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5.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tables/table16.xml" ContentType="application/vnd.openxmlformats-officedocument.spreadsheetml.table+xml"/>
  <Override PartName="/xl/worksheets/sheet22.xml" ContentType="application/vnd.openxmlformats-officedocument.spreadsheetml.worksheet+xml"/>
  <Override PartName="/xl/tables/table17.xml" ContentType="application/vnd.openxmlformats-officedocument.spreadsheetml.table+xml"/>
  <Override PartName="/xl/worksheets/sheet23.xml" ContentType="application/vnd.openxmlformats-officedocument.spreadsheetml.worksheet+xml"/>
  <Override PartName="/xl/tables/table18.xml" ContentType="application/vnd.openxmlformats-officedocument.spreadsheetml.table+xml"/>
  <Override PartName="/xl/worksheets/sheet24.xml" ContentType="application/vnd.openxmlformats-officedocument.spreadsheetml.worksheet+xml"/>
  <Override PartName="/xl/tables/table19.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tables/table20.xml" ContentType="application/vnd.openxmlformats-officedocument.spreadsheetml.table+xml"/>
  <Override PartName="/xl/worksheets/sheet27.xml" ContentType="application/vnd.openxmlformats-officedocument.spreadsheetml.worksheet+xml"/>
  <Override PartName="/xl/tables/table21.xml" ContentType="application/vnd.openxmlformats-officedocument.spreadsheetml.table+xml"/>
  <Override PartName="/xl/worksheets/sheet28.xml" ContentType="application/vnd.openxmlformats-officedocument.spreadsheetml.worksheet+xml"/>
  <Override PartName="/xl/tables/table22.xml" ContentType="application/vnd.openxmlformats-officedocument.spreadsheetml.table+xml"/>
  <Override PartName="/xl/worksheets/sheet29.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30.xml" ContentType="application/vnd.openxmlformats-officedocument.spreadsheetml.worksheet+xml"/>
  <Override PartName="/xl/tables/table23.xml" ContentType="application/vnd.openxmlformats-officedocument.spreadsheetml.table+xml"/>
  <Override PartName="/xl/worksheets/sheet31.xml" ContentType="application/vnd.openxmlformats-officedocument.spreadsheetml.worksheet+xml"/>
  <Override PartName="/xl/tables/table24.xml" ContentType="application/vnd.openxmlformats-officedocument.spreadsheetml.table+xml"/>
  <Override PartName="/xl/worksheets/sheet32.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worksheets/sheet37.xml" ContentType="application/vnd.openxmlformats-officedocument.spreadsheetml.worksheet+xml"/>
  <Override PartName="/xl/tables/table29.xml" ContentType="application/vnd.openxmlformats-officedocument.spreadsheetml.table+xml"/>
  <Override PartName="/xl/worksheets/sheet38.xml" ContentType="application/vnd.openxmlformats-officedocument.spreadsheetml.worksheet+xml"/>
  <Override PartName="/xl/tables/table30.xml" ContentType="application/vnd.openxmlformats-officedocument.spreadsheetml.table+xml"/>
  <Override PartName="/xl/worksheets/sheet39.xml" ContentType="application/vnd.openxmlformats-officedocument.spreadsheetml.worksheet+xml"/>
  <Override PartName="/xl/tables/table31.xml" ContentType="application/vnd.openxmlformats-officedocument.spreadsheetml.table+xml"/>
  <Override PartName="/xl/worksheets/sheet40.xml" ContentType="application/vnd.openxmlformats-officedocument.spreadsheetml.worksheet+xml"/>
  <Override PartName="/xl/tables/table32.xml" ContentType="application/vnd.openxmlformats-officedocument.spreadsheetml.table+xml"/>
  <Override PartName="/xl/worksheets/sheet4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9cd726db544ea6" /></Relationships>
</file>

<file path=xl/workbook.xml><?xml version="1.0" encoding="utf-8"?>
<x:workbook xmlns:x="http://schemas.openxmlformats.org/spreadsheetml/2006/main">
  <x:sheets>
    <x:sheet xmlns:r="http://schemas.openxmlformats.org/officeDocument/2006/relationships" name="概要" sheetId="1" r:id="Rb38e8a4f61594aee"/>
    <x:sheet xmlns:r="http://schemas.openxmlformats.org/officeDocument/2006/relationships" name="最終目的地DB" sheetId="2" r:id="Rabb5bee9bf834dc0"/>
    <x:sheet xmlns:r="http://schemas.openxmlformats.org/officeDocument/2006/relationships" name="ルートDB" sheetId="3" r:id="R0089d0dc1a6e4c24"/>
    <x:sheet xmlns:r="http://schemas.openxmlformats.org/officeDocument/2006/relationships" name="夜間適性順" sheetId="4" r:id="R060873ff0a7f42bf"/>
    <x:sheet xmlns:r="http://schemas.openxmlformats.org/officeDocument/2006/relationships" name="品質更新ログ" sheetId="5" r:id="R176afcf8b4344370"/>
    <x:sheet xmlns:r="http://schemas.openxmlformats.org/officeDocument/2006/relationships" name="近距離コアDB" sheetId="6" r:id="Rc7ede1695f6a4f4e"/>
    <x:sheet xmlns:r="http://schemas.openxmlformats.org/officeDocument/2006/relationships" name="準コアDB" sheetId="7" r:id="R000278ebdf9d4af4"/>
    <x:sheet xmlns:r="http://schemas.openxmlformats.org/officeDocument/2006/relationships" name="遠距離アーカイブ" sheetId="8" r:id="Rf0590c8eeeb84de2"/>
    <x:sheet xmlns:r="http://schemas.openxmlformats.org/officeDocument/2006/relationships" name="夜間コア順" sheetId="9" r:id="R5813e172f376482f"/>
    <x:sheet xmlns:r="http://schemas.openxmlformats.org/officeDocument/2006/relationships" name="用途別近距離ルート" sheetId="10" r:id="R96b283ff830a46dc"/>
    <x:sheet xmlns:r="http://schemas.openxmlformats.org/officeDocument/2006/relationships" name="広域ルートアーカイブ" sheetId="11" r:id="R4721fe3193e64c2d"/>
    <x:sheet xmlns:r="http://schemas.openxmlformats.org/officeDocument/2006/relationships" name="距離帯サマリー" sheetId="12" r:id="R4b31c67ce0034663"/>
    <x:sheet xmlns:r="http://schemas.openxmlformats.org/officeDocument/2006/relationships" name="重複・統合候補" sheetId="13" r:id="R38396cc900344886"/>
    <x:sheet xmlns:r="http://schemas.openxmlformats.org/officeDocument/2006/relationships" name="今すぐ出発" sheetId="14" r:id="R421a09c48e1543db"/>
    <x:sheet xmlns:r="http://schemas.openxmlformats.org/officeDocument/2006/relationships" name="用途別ランキング" sheetId="15" r:id="R27ae848b72004669"/>
    <x:sheet xmlns:r="http://schemas.openxmlformats.org/officeDocument/2006/relationships" name="コア採点DB" sheetId="16" r:id="Rcd3adafd6fd34a4f"/>
    <x:sheet xmlns:r="http://schemas.openxmlformats.org/officeDocument/2006/relationships" name="ルート採点DB" sheetId="17" r:id="R2808624ef2014d98"/>
    <x:sheet xmlns:r="http://schemas.openxmlformats.org/officeDocument/2006/relationships" name="採点ロジック" sheetId="18" r:id="R33d232e868e34b64"/>
    <x:sheet xmlns:r="http://schemas.openxmlformats.org/officeDocument/2006/relationships" name="近距離ルートカード" sheetId="19" r:id="R58b142e4ee554bf9"/>
    <x:sheet xmlns:r="http://schemas.openxmlformats.org/officeDocument/2006/relationships" name="条件入力ナビ" sheetId="20" r:id="Rbc5890d39f7a4c34"/>
    <x:sheet xmlns:r="http://schemas.openxmlformats.org/officeDocument/2006/relationships" name="カスタム候補計算" sheetId="21" r:id="Rcc514175f00a40af"/>
    <x:sheet xmlns:r="http://schemas.openxmlformats.org/officeDocument/2006/relationships" name="カスタムルート計算" sheetId="22" r:id="R9bad4d7dc50e48bb"/>
    <x:sheet xmlns:r="http://schemas.openxmlformats.org/officeDocument/2006/relationships" name="ベストプラン12" sheetId="23" r:id="Rf6742b3ab84545e9"/>
    <x:sheet xmlns:r="http://schemas.openxmlformats.org/officeDocument/2006/relationships" name="主力地点カード" sheetId="24" r:id="Re8226a1f8f634560"/>
    <x:sheet xmlns:r="http://schemas.openxmlformats.org/officeDocument/2006/relationships" name="実走プラン" sheetId="25" r:id="R42048815bc67478f"/>
    <x:sheet xmlns:r="http://schemas.openxmlformats.org/officeDocument/2006/relationships" name="ルート実現性監査" sheetId="26" r:id="R062e164f32694eda"/>
    <x:sheet xmlns:r="http://schemas.openxmlformats.org/officeDocument/2006/relationships" name="経由地品質監査" sheetId="27" r:id="Raed7165b431645dc"/>
    <x:sheet xmlns:r="http://schemas.openxmlformats.org/officeDocument/2006/relationships" name="経由地差替えログ" sheetId="28" r:id="R8277b9312e7243ae"/>
    <x:sheet xmlns:r="http://schemas.openxmlformats.org/officeDocument/2006/relationships" name="経由地改善サマリー" sheetId="29" r:id="R007f865874ba4d6e"/>
    <x:sheet xmlns:r="http://schemas.openxmlformats.org/officeDocument/2006/relationships" name="経由地役割設計" sheetId="30" r:id="Rea72380c0cd44800"/>
    <x:sheet xmlns:r="http://schemas.openxmlformats.org/officeDocument/2006/relationships" name="経由地使用頻度" sheetId="31" r:id="R6a95fd8a49ea4f37"/>
    <x:sheet xmlns:r="http://schemas.openxmlformats.org/officeDocument/2006/relationships" name="経由地多様性サマリー" sheetId="32" r:id="Rc4e1f8d955f54b13"/>
    <x:sheet xmlns:r="http://schemas.openxmlformats.org/officeDocument/2006/relationships" name="経由地運用カード" sheetId="33" r:id="Rf5de254cf406496f"/>
    <x:sheet xmlns:r="http://schemas.openxmlformats.org/officeDocument/2006/relationships" name="方向時間帯監査" sheetId="34" r:id="R8487c1b50a9840fc"/>
    <x:sheet xmlns:r="http://schemas.openxmlformats.org/officeDocument/2006/relationships" name="代替経由地プール" sheetId="35" r:id="Ra3b75609a5a5420e"/>
    <x:sheet xmlns:r="http://schemas.openxmlformats.org/officeDocument/2006/relationships" name="経由地交換マトリクス" sheetId="36" r:id="R6aec44a90e924697"/>
    <x:sheet xmlns:r="http://schemas.openxmlformats.org/officeDocument/2006/relationships" name="4区重点追加" sheetId="37" r:id="R3bc2efa7f1a14211"/>
    <x:sheet xmlns:r="http://schemas.openxmlformats.org/officeDocument/2006/relationships" name="4区用途別ルート" sheetId="38" r:id="R9d59a14c3d8748d6"/>
    <x:sheet xmlns:r="http://schemas.openxmlformats.org/officeDocument/2006/relationships" name="4区Operational Truth監査" sheetId="39" r:id="R175701ca91654362"/>
    <x:sheet xmlns:r="http://schemas.openxmlformats.org/officeDocument/2006/relationships" name="合法路上駐車アクセス" sheetId="40" r:id="Reb5373a937a4483c"/>
    <x:sheet xmlns:r="http://schemas.openxmlformats.org/officeDocument/2006/relationships" name="路上駐車採用ルール" sheetId="41" r:id="Re04497862825406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hh:mm"/>
    <x:numFmt numFmtId="202" formatCode="0"/>
  </x:numFmts>
  <x:fonts count="17">
    <x:font>
      <x:sz val="11"/>
      <x:name val="Carlito"/>
    </x:font>
    <x:font>
      <x:b/>
      <x:sz val="18"/>
      <x:color rgb="FFFFFFFF"/>
      <x:name val="Carlito"/>
    </x:font>
    <x:font>
      <x:b/>
      <x:sz val="11"/>
      <x:color rgb="FFFFFFFF"/>
      <x:name val="Carlito"/>
    </x:font>
    <x:font>
      <x:b/>
      <x:sz val="11"/>
      <x:color rgb="FF0B1F33"/>
      <x:name val="Carlito"/>
    </x:font>
    <x:font>
      <x:b/>
      <x:sz val="11"/>
      <x:color rgb="FF0563C1"/>
      <x:name val="Carlito"/>
    </x:font>
    <x:font>
      <x:sz val="11"/>
      <x:color rgb="FF0563C1"/>
      <x:name val="Carlito"/>
    </x:font>
    <x:font>
      <x:b/>
      <x:sz val="15"/>
      <x:color rgb="FFFFFFFF"/>
      <x:name val="Carlito"/>
    </x:font>
    <x:font>
      <x:b/>
      <x:sz val="11"/>
      <x:name val="Carlito"/>
    </x:font>
    <x:font>
      <x:b/>
      <x:sz val="16"/>
      <x:color rgb="FFFFFFFF"/>
      <x:name val="Carlito"/>
    </x:font>
    <x:font>
      <x:i/>
      <x:sz val="11"/>
      <x:color rgb="FF0B1F33"/>
      <x:name val="Carlito"/>
    </x:font>
    <x:font>
      <x:b/>
      <x:sz val="13"/>
      <x:color rgb="FF143D59"/>
      <x:name val="Carlito"/>
    </x:font>
    <x:font>
      <x:b/>
      <x:sz val="11"/>
      <x:color rgb="FF143D59"/>
      <x:name val="Carlito"/>
    </x:font>
    <x:font>
      <x:i/>
      <x:sz val="11"/>
      <x:color rgb="FF143D59"/>
      <x:name val="Carlito"/>
    </x:font>
    <x:font>
      <x:b/>
      <x:sz val="11"/>
      <x:color rgb="FF7A4E00"/>
      <x:name val="Carlito"/>
    </x:font>
    <x:font>
      <x:b/>
      <x:sz val="17"/>
      <x:color rgb="FFFFFFFF"/>
      <x:name val="Carlito"/>
    </x:font>
    <x:font>
      <x:b/>
      <x:sz val="13"/>
      <x:color rgb="FF0563C1"/>
      <x:name val="Carlito"/>
    </x:font>
    <x:font>
      <x:b/>
      <x:sz val="11"/>
      <x:color rgb="FF991B1B"/>
      <x:name val="Carlito"/>
    </x:font>
  </x:fonts>
  <x:fills count="63">
    <x:fill>
      <x:patternFill patternType="none"/>
    </x:fill>
    <x:fill>
      <x:patternFill patternType="gray125"/>
    </x:fill>
    <x:fill>
      <x:patternFill patternType="solid">
        <x:fgColor rgb="FF0B1F33"/>
      </x:patternFill>
    </x:fill>
    <x:fill>
      <x:patternFill patternType="solid">
        <x:fgColor rgb="FF143D59"/>
      </x:patternFill>
    </x:fill>
    <x:fill>
      <x:patternFill patternType="solid">
        <x:fgColor rgb="FFDCEAF3"/>
      </x:patternFill>
    </x:fill>
    <x:fill>
      <x:patternFill patternType="solid">
        <x:fgColor rgb="FF143D59"/>
      </x:patternFill>
    </x:fill>
    <x:fill>
      <x:patternFill patternType="solid">
        <x:fgColor rgb="FFDCEAF3"/>
      </x:patternFill>
    </x:fill>
    <x:fill>
      <x:patternFill patternType="solid">
        <x:fgColor rgb="FFDCEAF3"/>
      </x:patternFill>
    </x:fill>
    <x:fill>
      <x:patternFill patternType="solid">
        <x:fgColor rgb="FF143D59"/>
      </x:patternFill>
    </x:fill>
    <x:fill>
      <x:patternFill patternType="solid">
        <x:fgColor rgb="FF143D59"/>
      </x:patternFill>
    </x:fill>
    <x:fill>
      <x:patternFill patternType="solid">
        <x:fgColor rgb="FFDCEAF3"/>
      </x:patternFill>
    </x:fill>
    <x:fill>
      <x:patternFill patternType="solid">
        <x:fgColor rgb="FF143D59"/>
      </x:patternFill>
    </x:fill>
    <x:fill>
      <x:patternFill patternType="solid">
        <x:fgColor rgb="FF143D59"/>
      </x:patternFill>
    </x:fill>
    <x:fill>
      <x:patternFill patternType="solid">
        <x:fgColor rgb="FF143D59"/>
      </x:patternFill>
    </x:fill>
    <x:fill>
      <x:patternFill patternType="solid">
        <x:fgColor rgb="FF143D59"/>
      </x:patternFill>
    </x:fill>
    <x:fill>
      <x:patternFill patternType="solid">
        <x:fgColor rgb="FF143D59"/>
      </x:patternFill>
    </x:fill>
    <x:fill>
      <x:patternFill patternType="solid">
        <x:fgColor rgb="FF143D59"/>
      </x:patternFill>
    </x:fill>
    <x:fill>
      <x:patternFill patternType="solid">
        <x:fgColor rgb="FF143D59"/>
      </x:patternFill>
    </x:fill>
    <x:fill>
      <x:patternFill patternType="solid">
        <x:fgColor rgb="FF143D59"/>
      </x:patternFill>
    </x:fill>
    <x:fill>
      <x:patternFill patternType="solid">
        <x:fgColor rgb="FF143D59"/>
      </x:patternFill>
    </x:fill>
    <x:fill>
      <x:patternFill patternType="solid">
        <x:fgColor rgb="FFDCEAF3"/>
      </x:patternFill>
    </x:fill>
    <x:fill>
      <x:patternFill patternType="solid">
        <x:fgColor rgb="FF143D59"/>
      </x:patternFill>
    </x:fill>
    <x:fill>
      <x:patternFill patternType="solid">
        <x:fgColor rgb="FFDCEAF3"/>
      </x:patternFill>
    </x:fill>
    <x:fill>
      <x:patternFill patternType="solid">
        <x:fgColor rgb="FF0B1F33"/>
      </x:patternFill>
    </x:fill>
    <x:fill>
      <x:patternFill patternType="solid">
        <x:fgColor rgb="FFF3F7FA"/>
      </x:patternFill>
    </x:fill>
    <x:fill>
      <x:patternFill patternType="solid">
        <x:fgColor rgb="FFFFF7E6"/>
      </x:patternFill>
    </x:fill>
    <x:fill>
      <x:patternFill patternType="solid">
        <x:fgColor rgb="FF143D59"/>
      </x:patternFill>
    </x:fill>
    <x:fill>
      <x:patternFill patternType="solid">
        <x:fgColor rgb="FF0B1F33"/>
      </x:patternFill>
    </x:fill>
    <x:fill>
      <x:patternFill patternType="solid">
        <x:fgColor rgb="FFDCEAF3"/>
      </x:patternFill>
    </x:fill>
    <x:fill>
      <x:patternFill patternType="solid">
        <x:fgColor rgb="FFF3F7FA"/>
      </x:patternFill>
    </x:fill>
    <x:fill>
      <x:patternFill patternType="solid">
        <x:fgColor rgb="FFFFF7E6"/>
      </x:patternFill>
    </x:fill>
    <x:fill>
      <x:patternFill patternType="solid">
        <x:fgColor rgb="FF143D59"/>
      </x:patternFill>
    </x:fill>
    <x:fill>
      <x:patternFill patternType="solid">
        <x:fgColor rgb="FF0B1F33"/>
      </x:patternFill>
    </x:fill>
    <x:fill>
      <x:patternFill patternType="solid">
        <x:fgColor rgb="FFDCEAF3"/>
      </x:patternFill>
    </x:fill>
    <x:fill>
      <x:patternFill patternType="solid">
        <x:fgColor rgb="FFF3F7FA"/>
      </x:patternFill>
    </x:fill>
    <x:fill>
      <x:patternFill patternType="solid">
        <x:fgColor rgb="FFFFF7E6"/>
      </x:patternFill>
    </x:fill>
    <x:fill>
      <x:patternFill patternType="solid">
        <x:fgColor rgb="FF143D59"/>
      </x:patternFill>
    </x:fill>
    <x:fill>
      <x:patternFill patternType="solid">
        <x:fgColor rgb="FF0B1F33"/>
      </x:patternFill>
    </x:fill>
    <x:fill>
      <x:patternFill patternType="solid">
        <x:fgColor rgb="FFDCEAF3"/>
      </x:patternFill>
    </x:fill>
    <x:fill>
      <x:patternFill patternType="solid">
        <x:fgColor rgb="FFF3F7FA"/>
      </x:patternFill>
    </x:fill>
    <x:fill>
      <x:patternFill patternType="solid">
        <x:fgColor rgb="FF143D59"/>
      </x:patternFill>
    </x:fill>
    <x:fill>
      <x:patternFill patternType="solid">
        <x:fgColor rgb="FF0B1F33"/>
      </x:patternFill>
    </x:fill>
    <x:fill>
      <x:patternFill patternType="solid">
        <x:fgColor rgb="FFDCEAF3"/>
      </x:patternFill>
    </x:fill>
    <x:fill>
      <x:patternFill patternType="solid">
        <x:fgColor rgb="FFF3F7FA"/>
      </x:patternFill>
    </x:fill>
    <x:fill>
      <x:patternFill patternType="solid">
        <x:fgColor rgb="FF143D59"/>
      </x:patternFill>
    </x:fill>
    <x:fill>
      <x:patternFill patternType="solid">
        <x:fgColor rgb="FF0B1F33"/>
      </x:patternFill>
    </x:fill>
    <x:fill>
      <x:patternFill patternType="solid">
        <x:fgColor rgb="FFDCEAF3"/>
      </x:patternFill>
    </x:fill>
    <x:fill>
      <x:patternFill patternType="solid">
        <x:fgColor rgb="FF143D59"/>
      </x:patternFill>
    </x:fill>
    <x:fill>
      <x:patternFill patternType="solid">
        <x:fgColor rgb="FF0B1F33"/>
      </x:patternFill>
    </x:fill>
    <x:fill>
      <x:patternFill patternType="solid">
        <x:fgColor rgb="FF143D59"/>
      </x:patternFill>
    </x:fill>
    <x:fill>
      <x:patternFill patternType="solid">
        <x:fgColor rgb="FF0B1F33"/>
      </x:patternFill>
    </x:fill>
    <x:fill>
      <x:patternFill patternType="solid">
        <x:fgColor rgb="FFDCEAF3"/>
      </x:patternFill>
    </x:fill>
    <x:fill>
      <x:patternFill patternType="solid">
        <x:fgColor rgb="FFF3F7FA"/>
      </x:patternFill>
    </x:fill>
    <x:fill>
      <x:patternFill patternType="solid">
        <x:fgColor rgb="FF0B1F33"/>
      </x:patternFill>
    </x:fill>
    <x:fill>
      <x:patternFill patternType="solid">
        <x:fgColor rgb="FFDCEAF3"/>
      </x:patternFill>
    </x:fill>
    <x:fill>
      <x:patternFill patternType="solid">
        <x:fgColor rgb="FF143D59"/>
      </x:patternFill>
    </x:fill>
    <x:fill>
      <x:patternFill patternType="solid">
        <x:fgColor rgb="FFF3F7FA"/>
      </x:patternFill>
    </x:fill>
    <x:fill>
      <x:patternFill patternType="solid">
        <x:fgColor rgb="FF143D59"/>
      </x:patternFill>
    </x:fill>
    <x:fill>
      <x:patternFill patternType="solid">
        <x:fgColor rgb="FFF3F7FA"/>
      </x:patternFill>
    </x:fill>
    <x:fill>
      <x:patternFill patternType="solid">
        <x:fgColor rgb="FFFFF7E6"/>
      </x:patternFill>
    </x:fill>
    <x:fill>
      <x:patternFill patternType="solid">
        <x:fgColor rgb="FFFEE2E2"/>
      </x:patternFill>
    </x:fill>
    <x:fill>
      <x:patternFill patternType="solid">
        <x:fgColor rgb="FF0B1F33"/>
      </x:patternFill>
    </x:fill>
    <x:fill>
      <x:patternFill patternType="solid">
        <x:fgColor rgb="FFDCEAF3"/>
      </x:patternFill>
    </x:fill>
  </x:fills>
  <x:borders count="2">
    <x:border/>
    <x:border/>
  </x:borders>
  <x:cellStyleXfs count="1">
    <x:xf numFmtId="0" fontId="0" fillId="0" borderId="0"/>
  </x:cellStyleXfs>
  <x:cellXfs count="46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5" borderId="0"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3" fillId="8" borderId="0" xfId="0" applyNumberFormat="1" applyFont="1" applyFill="1" applyBorder="1" applyAlignment="1">
      <x:alignment horizontal="center" vertical="center" wrapText="1"/>
    </x:xf>
    <x:xf numFmtId="0" fontId="2" fillId="8" borderId="0" xfId="0" applyNumberFormat="1" applyFont="1" applyFill="1" applyBorder="1" applyAlignment="1">
      <x:alignment horizontal="center" vertical="center"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2" fillId="9" borderId="0" xfId="0" applyNumberFormat="1" applyFont="1" applyFill="1" applyBorder="1" applyAlignment="1">
      <x:alignment horizontal="center"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center"/>
    </x:xf>
    <x:xf numFmtId="0" fontId="3" fillId="10" borderId="0" xfId="0" applyNumberFormat="1" applyFont="1" applyFill="1" applyBorder="1" applyAlignment="1">
      <x:alignment horizontal="center" vertical="center"/>
    </x:xf>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4" fillId="0" borderId="0" xfId="0" applyNumberFormat="1" applyFont="1" applyFill="1" applyBorder="1"/>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horizontal="center"/>
    </x:xf>
    <x:xf numFmtId="0" fontId="2" fillId="11" borderId="0" xfId="0" applyNumberFormat="1" applyFont="1" applyFill="1" applyBorder="1" applyAlignment="1">
      <x:alignment horizontal="center" wrapText="1"/>
    </x:xf>
    <x:xf numFmtId="0" fontId="2" fillId="3" borderId="0" xfId="0" applyNumberFormat="1" applyFont="1" applyFill="1" applyBorder="1" applyAlignment="1">
      <x:alignment horizontal="center"/>
    </x:xf>
    <x:xf numFmtId="0" fontId="4" fillId="0" borderId="0" xfId="0" applyNumberFormat="1" applyFont="1" applyFill="1" applyBorder="1" applyAlignment="1">
      <x:alignment horizontal="center"/>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horizontal="center"/>
    </x:xf>
    <x:xf numFmtId="0" fontId="2" fillId="12" borderId="0" xfId="0" applyNumberFormat="1" applyFont="1" applyFill="1" applyBorder="1" applyAlignment="1">
      <x:alignment horizontal="center" vertical="center"/>
    </x:xf>
    <x:xf numFmtId="0" fontId="2" fillId="1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2" fillId="13" borderId="0" xfId="0" applyNumberFormat="1" applyFont="1" applyFill="1" applyBorder="1" applyAlignment="1">
      <x:alignment horizontal="center" wrapText="1"/>
    </x:xf>
    <x:xf numFmtId="0" fontId="2" fillId="13"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top" wrapText="1"/>
    </x:xf>
    <x:xf numFmtId="0" fontId="4" fillId="0" borderId="0" xfId="0" applyNumberFormat="1" applyFont="1" applyFill="1" applyBorder="1" applyAlignment="1">
      <x:alignment horizontal="center" wrapText="1"/>
    </x:xf>
    <x:xf numFmtId="0" fontId="2" fillId="13" borderId="0" xfId="0" applyNumberFormat="1" applyFont="1" applyFill="1" applyBorder="1" applyAlignment="1">
      <x:alignment horizontal="center"/>
    </x:xf>
    <x:xf numFmtId="0" fontId="2" fillId="13" borderId="0" xfId="0" applyNumberFormat="1" applyFont="1" applyFill="1" applyBorder="1" applyAlignment="1">
      <x:alignment horizontal="center" vertical="center"/>
    </x:xf>
    <x:xf numFmtId="0" fontId="5" fillId="0" borderId="0" xfId="0" applyNumberFormat="1" applyFont="1" applyFill="1" applyBorder="1" applyAlignment="1">
      <x:alignment vertical="top"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horizontal="center"/>
    </x:xf>
    <x:xf numFmtId="0" fontId="2" fillId="14" borderId="0" xfId="0" applyNumberFormat="1" applyFont="1" applyFill="1" applyBorder="1" applyAlignment="1">
      <x:alignment horizontal="center" wrapText="1"/>
    </x:xf>
    <x:xf numFmtId="0" fontId="5" fillId="0"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horizontal="center"/>
    </x:xf>
    <x:xf numFmtId="0" fontId="2" fillId="15" borderId="0" xfId="0" applyNumberFormat="1" applyFont="1" applyFill="1" applyBorder="1" applyAlignment="1">
      <x:alignment horizontal="center" wrapText="1"/>
    </x:xf>
    <x:xf numFmtId="0" fontId="5" fillId="0" borderId="0" xfId="0" applyNumberFormat="1" applyFont="1" applyFill="1" applyBorder="1" applyAlignment="1">
      <x:alignment horizontal="center" vertical="top" wrapText="1"/>
    </x:xf>
    <x:xf numFmtId="0" fontId="4"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horizontal="center"/>
    </x:xf>
    <x:xf numFmtId="0" fontId="2" fillId="16" borderId="0" xfId="0" applyNumberFormat="1" applyFont="1" applyFill="1" applyBorder="1" applyAlignment="1">
      <x:alignment horizontal="center" vertical="center"/>
    </x:xf>
    <x:xf numFmtId="0" fontId="2" fillId="16" borderId="0" xfId="0" applyNumberFormat="1" applyFont="1" applyFill="1" applyBorder="1" applyAlignment="1">
      <x:alignment horizontal="center" vertical="center" wrapText="1"/>
    </x:xf>
    <x:xf numFmtId="0" fontId="2" fillId="16" borderId="0" xfId="0" applyNumberFormat="1" applyFont="1" applyFill="1" applyBorder="1" applyAlignment="1">
      <x:alignment horizontal="center" vertical="top"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horizontal="center"/>
    </x:xf>
    <x:xf numFmtId="0" fontId="2" fillId="17" borderId="0" xfId="0" applyNumberFormat="1" applyFont="1" applyFill="1" applyBorder="1" applyAlignment="1">
      <x:alignment horizontal="center" vertical="center"/>
    </x:xf>
    <x:xf numFmtId="0" fontId="2" fillId="17" borderId="0" xfId="0" applyNumberFormat="1" applyFont="1" applyFill="1" applyBorder="1" applyAlignment="1">
      <x:alignment horizontal="center" vertical="center" wrapText="1"/>
    </x:xf>
    <x:xf numFmtId="0" fontId="0" fillId="18" borderId="0" xfId="0" applyNumberFormat="1" applyFont="1" applyFill="1" applyBorder="1"/>
    <x:xf numFmtId="0" fontId="2" fillId="18" borderId="0" xfId="0" applyNumberFormat="1" applyFont="1" applyFill="1" applyBorder="1"/>
    <x:xf numFmtId="0" fontId="2" fillId="18" borderId="0" xfId="0" applyNumberFormat="1" applyFont="1" applyFill="1" applyBorder="1" applyAlignment="1">
      <x:alignment horizontal="center"/>
    </x:xf>
    <x:xf numFmtId="0" fontId="2" fillId="18" borderId="0" xfId="0" applyNumberFormat="1" applyFont="1" applyFill="1" applyBorder="1" applyAlignment="1">
      <x:alignment horizontal="center" wrapText="1"/>
    </x:xf>
    <x:xf numFmtId="0" fontId="0" fillId="19" borderId="0" xfId="0" applyNumberFormat="1" applyFont="1" applyFill="1" applyBorder="1" applyAlignment="1">
      <x:alignment vertical="top" wrapText="1"/>
    </x:xf>
    <x:xf numFmtId="0" fontId="2" fillId="19" borderId="0" xfId="0" applyNumberFormat="1" applyFont="1" applyFill="1" applyBorder="1" applyAlignment="1">
      <x:alignment vertical="top" wrapText="1"/>
    </x:xf>
    <x:xf numFmtId="0" fontId="2" fillId="19" borderId="0" xfId="0" applyNumberFormat="1" applyFont="1" applyFill="1" applyBorder="1" applyAlignment="1">
      <x:alignment horizontal="center" vertical="top" wrapText="1"/>
    </x:xf>
    <x:xf numFmtId="0" fontId="2" fillId="19" borderId="0" xfId="0" applyNumberFormat="1" applyFont="1" applyFill="1" applyBorder="1" applyAlignment="1">
      <x:alignment horizontal="center" vertical="center" wrapText="1"/>
    </x:xf>
    <x:xf numFmtId="0" fontId="0" fillId="19" borderId="0" xfId="0" applyNumberFormat="1" applyFont="1" applyFill="1" applyBorder="1" applyAlignment="1">
      <x:alignment wrapText="1"/>
    </x:xf>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0" fillId="19" borderId="0" xfId="0" applyNumberFormat="1" applyFont="1" applyFill="1" applyBorder="1"/>
    <x:xf numFmtId="0" fontId="6" fillId="19" borderId="0" xfId="0" applyNumberFormat="1" applyFont="1" applyFill="1" applyBorder="1"/>
    <x:xf numFmtId="0" fontId="6" fillId="19" borderId="0" xfId="0" applyNumberFormat="1" applyFont="1" applyFill="1" applyBorder="1" applyAlignment="1">
      <x:alignment horizontal="center"/>
    </x:xf>
    <x:xf numFmtId="0" fontId="6" fillId="19" borderId="0" xfId="0" applyNumberFormat="1" applyFont="1" applyFill="1" applyBorder="1" applyAlignment="1">
      <x:alignment horizontal="center" vertical="center"/>
    </x:xf>
    <x:xf numFmtId="0" fontId="0" fillId="20" borderId="0" xfId="0" applyNumberFormat="1" applyFont="1" applyFill="1" applyBorder="1"/>
    <x:xf numFmtId="0" fontId="7" fillId="20" borderId="0" xfId="0" applyNumberFormat="1" applyFont="1" applyFill="1" applyBorder="1"/>
    <x:xf numFmtId="0" fontId="7" fillId="20" borderId="0" xfId="0" applyNumberFormat="1" applyFont="1" applyFill="1" applyBorder="1" applyAlignment="1">
      <x:alignment horizontal="center"/>
    </x:xf>
    <x:xf numFmtId="0" fontId="6" fillId="19" borderId="0" xfId="0" applyNumberFormat="1" applyFont="1" applyFill="1" applyBorder="1" applyAlignment="1">
      <x:alignment horizontal="center" vertical="center" wrapText="1"/>
    </x:xf>
    <x:xf numFmtId="0" fontId="7" fillId="20" borderId="0" xfId="0" applyNumberFormat="1" applyFont="1" applyFill="1" applyBorder="1" applyAlignment="1">
      <x:alignment wrapText="1"/>
    </x:xf>
    <x:xf numFmtId="0" fontId="7" fillId="20" borderId="0" xfId="0" applyNumberFormat="1" applyFont="1" applyFill="1" applyBorder="1" applyAlignment="1">
      <x:alignment horizontal="center" wrapText="1"/>
    </x:xf>
    <x:xf numFmtId="0" fontId="2" fillId="19" borderId="0" xfId="0" applyNumberFormat="1" applyFont="1" applyFill="1" applyBorder="1"/>
    <x:xf numFmtId="0" fontId="2" fillId="19" borderId="0" xfId="0" applyNumberFormat="1" applyFont="1" applyFill="1" applyBorder="1" applyAlignment="1">
      <x:alignment horizontal="center"/>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3" borderId="0" xfId="0" applyNumberFormat="1" applyFont="1" applyFill="1" applyBorder="1" applyAlignment="1">
      <x:alignment wrapText="1"/>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0" xfId="0" applyNumberFormat="1" applyFont="1" applyFill="1" applyBorder="1" applyAlignment="1">
      <x:alignment horizontal="center" vertical="center"/>
    </x:xf>
    <x:xf numFmtId="0" fontId="7" fillId="4" borderId="0" xfId="0" applyNumberFormat="1" applyFont="1" applyFill="1" applyBorder="1"/>
    <x:xf numFmtId="0" fontId="7" fillId="4" borderId="0" xfId="0" applyNumberFormat="1" applyFont="1" applyFill="1" applyBorder="1" applyAlignment="1">
      <x:alignment horizontal="center"/>
    </x:xf>
    <x:xf numFmtId="0" fontId="6" fillId="3" borderId="0" xfId="0" applyNumberFormat="1" applyFont="1" applyFill="1" applyBorder="1" applyAlignment="1">
      <x:alignment horizontal="center" vertical="center" wrapText="1"/>
    </x:xf>
    <x:xf numFmtId="0" fontId="7" fillId="4" borderId="0" xfId="0" applyNumberFormat="1" applyFont="1" applyFill="1" applyBorder="1" applyAlignment="1">
      <x:alignment wrapText="1"/>
    </x:xf>
    <x:xf numFmtId="0" fontId="7" fillId="4" borderId="0" xfId="0" applyNumberFormat="1" applyFont="1" applyFill="1" applyBorder="1" applyAlignment="1">
      <x:alignment horizont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2" fillId="21" borderId="0" xfId="0" applyNumberFormat="1" applyFont="1" applyFill="1" applyBorder="1" applyAlignment="1">
      <x:alignment horizontal="center" vertical="top" wrapText="1"/>
    </x:xf>
    <x:xf numFmtId="0" fontId="2" fillId="21" borderId="0" xfId="0" applyNumberFormat="1" applyFont="1" applyFill="1" applyBorder="1" applyAlignment="1">
      <x:alignment horizontal="center"/>
    </x:xf>
    <x:xf numFmtId="0" fontId="2" fillId="21" borderId="0" xfId="0" applyNumberFormat="1" applyFont="1" applyFill="1" applyBorder="1" applyAlignment="1">
      <x:alignment horizontal="center" vertical="center"/>
    </x:xf>
    <x:xf numFmtId="0" fontId="8" fillId="21" borderId="0" xfId="0" applyNumberFormat="1" applyFont="1" applyFill="1" applyBorder="1"/>
    <x:xf numFmtId="0" fontId="8" fillId="21" borderId="0" xfId="0" applyNumberFormat="1" applyFont="1" applyFill="1" applyBorder="1" applyAlignment="1">
      <x:alignment horizontal="center"/>
    </x:xf>
    <x:xf numFmtId="0" fontId="8" fillId="21" borderId="0" xfId="0" applyNumberFormat="1" applyFont="1" applyFill="1" applyBorder="1" applyAlignment="1">
      <x:alignment horizontal="center" vertical="center"/>
    </x:xf>
    <x:xf numFmtId="0" fontId="0" fillId="22" borderId="0" xfId="0" applyNumberFormat="1" applyFont="1" applyFill="1" applyBorder="1"/>
    <x:xf numFmtId="0" fontId="7" fillId="22" borderId="0" xfId="0" applyNumberFormat="1" applyFont="1" applyFill="1" applyBorder="1"/>
    <x:xf numFmtId="0" fontId="7" fillId="22" borderId="0" xfId="0" applyNumberFormat="1" applyFont="1" applyFill="1" applyBorder="1" applyAlignment="1">
      <x:alignment horizontal="center"/>
    </x:xf>
    <x:xf numFmtId="0" fontId="7" fillId="22" borderId="0" xfId="0" applyNumberFormat="1" applyFont="1" applyFill="1" applyBorder="1" applyAlignment="1">
      <x:alignment horizontal="center"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horizontal="center"/>
    </x:xf>
    <x:xf numFmtId="0" fontId="1" fillId="23" borderId="0" xfId="0" applyNumberFormat="1" applyFont="1" applyFill="1" applyBorder="1" applyAlignment="1">
      <x:alignment horizontal="center" vertical="center"/>
    </x:xf>
    <x:xf numFmtId="0" fontId="9" fillId="22" borderId="0" xfId="0" applyNumberFormat="1" applyFont="1" applyFill="1" applyBorder="1"/>
    <x:xf numFmtId="0" fontId="9" fillId="22" borderId="0" xfId="0" applyNumberFormat="1" applyFont="1" applyFill="1" applyBorder="1" applyAlignment="1">
      <x:alignment horizontal="center"/>
    </x:xf>
    <x:xf numFmtId="0" fontId="0" fillId="24" borderId="0" xfId="0" applyNumberFormat="1" applyFont="1" applyFill="1" applyBorder="1"/>
    <x:xf numFmtId="0" fontId="10" fillId="24" borderId="0" xfId="0" applyNumberFormat="1" applyFont="1" applyFill="1" applyBorder="1"/>
    <x:xf numFmtId="0" fontId="10" fillId="24" xfId="0" applyNumberFormat="1" applyFont="1" applyFill="1" applyBorder="0"/>
    <x:xf numFmtId="0" fontId="10" fillId="24" xfId="0" applyNumberFormat="1" applyFont="1" applyFill="1" applyBorder="0" applyAlignment="1">
      <x:alignment wrapText="1"/>
    </x:xf>
    <x:xf numFmtId="0" fontId="10" fillId="24" xfId="0" applyNumberFormat="1" applyFont="1" applyFill="1" applyBorder="0" applyAlignment="1">
      <x:alignment horizontal="center" wrapText="1"/>
    </x:xf>
    <x:xf numFmtId="0" fontId="10" fillId="24" xfId="0" applyNumberFormat="1" applyFont="1" applyFill="1" applyBorder="0" applyAlignment="1">
      <x:alignment horizontal="center" vertical="center" wrapText="1"/>
    </x:xf>
    <x:xf numFmtId="0" fontId="11" fillId="22" borderId="0" xfId="0" applyNumberFormat="1" applyFont="1" applyFill="1" applyBorder="1"/>
    <x:xf numFmtId="0" fontId="11" fillId="22" borderId="0" xfId="0" applyNumberFormat="1" applyFont="1" applyFill="1" applyBorder="1" applyAlignment="1">
      <x:alignment horizontal="center"/>
    </x:xf>
    <x:xf numFmtId="0" fontId="7" fillId="24" borderId="0" xfId="0" applyNumberFormat="1" applyFont="1" applyFill="1" applyBorder="1"/>
    <x:xf numFmtId="0" fontId="7" fillId="24" borderId="0" xfId="0" applyNumberFormat="1" applyFont="1" applyFill="1" applyBorder="1" applyAlignment="1">
      <x:alignment horizontal="center"/>
    </x:xf>
    <x:xf numFmtId="0" fontId="0" fillId="25" borderId="0" xfId="0" applyNumberFormat="1" applyFont="1" applyFill="1" applyBorder="1"/>
    <x:xf numFmtId="0" fontId="7" fillId="25" borderId="0" xfId="0" applyNumberFormat="1" applyFont="1" applyFill="1" applyBorder="1"/>
    <x:xf numFmtId="0" fontId="7" fillId="25" borderId="0" xfId="0" applyNumberFormat="1" applyFont="1" applyFill="1" applyBorder="1" applyAlignment="1">
      <x:alignment wrapText="1"/>
    </x:xf>
    <x:xf numFmtId="0" fontId="7" fillId="25" borderId="0" xfId="0" applyNumberFormat="1" applyFont="1" applyFill="1" applyBorder="1" applyAlignment="1">
      <x:alignment vertical="center" wrapText="1"/>
    </x:xf>
    <x:xf numFmtId="0" fontId="4" fillId="25" borderId="0" xfId="0" applyNumberFormat="1" applyFont="1" applyFill="1" applyBorder="1" applyAlignment="1">
      <x:alignment vertical="center" wrapText="1"/>
    </x:xf>
    <x:xf numFmtId="0" fontId="7" fillId="22" borderId="0" xfId="0" applyNumberFormat="1" applyFont="1" applyFill="1" applyBorder="1" applyAlignment="1">
      <x:alignment wrapText="1"/>
    </x:xf>
    <x:xf numFmtId="0" fontId="8" fillId="21" borderId="0" xfId="0" applyNumberFormat="1" applyFont="1" applyFill="1" applyBorder="1" applyAlignment="1">
      <x:alignment horizontal="center" vertical="center" wrapText="1"/>
    </x:xf>
    <x:xf numFmtId="0" fontId="1" fillId="23" borderId="0" xfId="0" applyNumberFormat="1" applyFont="1" applyFill="1" applyBorder="1" applyAlignment="1">
      <x:alignment horizontal="center" vertical="center" wrapText="1"/>
    </x:xf>
    <x:xf numFmtId="0" fontId="9" fillId="22" borderId="0" xfId="0" applyNumberFormat="1" applyFont="1" applyFill="1" applyBorder="1" applyAlignment="1">
      <x:alignment horizontal="center" wrapText="1"/>
    </x:xf>
    <x:xf numFmtId="0" fontId="11" fillId="22" borderId="0" xfId="0" applyNumberFormat="1" applyFont="1" applyFill="1" applyBorder="1" applyAlignment="1">
      <x:alignment horizontal="center" wrapText="1"/>
    </x:xf>
    <x:xf numFmtId="0" fontId="7" fillId="24" borderId="0" xfId="0" applyNumberFormat="1" applyFont="1" applyFill="1" applyBorder="1" applyAlignment="1">
      <x:alignment horizontal="center" wrapText="1"/>
    </x:xf>
    <x:xf numFmtId="0" fontId="9" fillId="22"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11" fillId="22" borderId="0" xfId="0" applyNumberFormat="1" applyFont="1" applyFill="1" applyBorder="1" applyAlignment="1">
      <x:alignment horizontal="center" vertical="center" wrapText="1"/>
    </x:xf>
    <x:xf numFmtId="0" fontId="7" fillId="24" borderId="0" xfId="0" applyNumberFormat="1" applyFont="1" applyFill="1" applyBorder="1" applyAlignment="1">
      <x:alignment horizontal="center" vertical="center" wrapText="1"/>
    </x:xf>
    <x:xf numFmtId="0" fontId="4" fillId="0" borderId="0" xfId="0" applyNumberFormat="1" applyFont="1" applyFill="1" applyBorder="1" applyAlignment="1">
      <x:alignment vertical="center" wrapText="1"/>
    </x:xf>
    <x:xf numFmtId="0" fontId="7" fillId="22" borderId="0" xfId="0" applyNumberFormat="1" applyFont="1" applyFill="1" applyBorder="1" applyAlignment="1">
      <x:alignment vertical="center" wrapText="1"/>
    </x:xf>
    <x:xf numFmtId="0" fontId="0" fillId="0" borderId="0" xfId="0" applyNumberFormat="1" applyFont="1" applyFill="1" applyBorder="1" applyAlignment="1">
      <x:alignment horizontal="center" vertical="center" wrapText="1"/>
    </x:xf>
    <x:xf numFmtId="0" fontId="4" fillId="0" borderId="0" xfId="0" applyNumberFormat="1" applyFont="1" applyFill="1" applyBorder="1" applyAlignment="1">
      <x:alignment horizontal="center" vertical="center" wrapText="1"/>
    </x:xf>
    <x:xf numFmtId="0" fontId="4" fillId="25" borderId="0" xfId="0" applyNumberFormat="1" applyFont="1" applyFill="1" applyBorder="1" applyAlignment="1">
      <x:alignment horizontal="center" vertical="center" wrapText="1"/>
    </x:xf>
    <x:xf numFmtId="0" fontId="7" fillId="22" borderId="0" xfId="0" applyNumberFormat="1" applyFont="1" applyFill="1" applyBorder="1" applyAlignment="1">
      <x:alignment horizontal="center" vertical="center" wrapText="1"/>
    </x:xf>
    <x:xf numFmtId="0" fontId="8" fillId="3" borderId="0" xfId="0" applyNumberFormat="1" applyFont="1" applyFill="1" applyBorder="1"/>
    <x:xf numFmtId="0" fontId="8" fillId="3" borderId="0" xfId="0" applyNumberFormat="1" applyFont="1" applyFill="1" applyBorder="1" applyAlignment="1">
      <x:alignment horizontal="center"/>
    </x:xf>
    <x:xf numFmtId="0" fontId="8" fillId="3" borderId="0" xfId="0" applyNumberFormat="1" applyFont="1" applyFill="1" applyBorder="1" applyAlignment="1">
      <x:alignment horizontal="center" vertical="center"/>
    </x:xf>
    <x:xf numFmtId="0" fontId="9" fillId="4" borderId="0" xfId="0" applyNumberFormat="1" applyFont="1" applyFill="1" applyBorder="1"/>
    <x:xf numFmtId="0" fontId="9" fillId="4" borderId="0" xfId="0" applyNumberFormat="1" applyFont="1" applyFill="1" applyBorder="1" applyAlignment="1">
      <x:alignment horizontal="center"/>
    </x:xf>
    <x:xf numFmtId="0" fontId="11" fillId="4" borderId="0" xfId="0" applyNumberFormat="1" applyFont="1" applyFill="1" applyBorder="1"/>
    <x:xf numFmtId="0" fontId="11" fillId="4" borderId="0" xfId="0" applyNumberFormat="1" applyFont="1" applyFill="1" applyBorder="1" applyAlignment="1">
      <x:alignment horizontal="center"/>
    </x:xf>
    <x:xf numFmtId="0" fontId="8"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9" fillId="4" borderId="0" xfId="0" applyNumberFormat="1" applyFont="1" applyFill="1" applyBorder="1" applyAlignment="1">
      <x:alignment horizontal="center" wrapText="1"/>
    </x:xf>
    <x:xf numFmtId="0" fontId="11" fillId="4" borderId="0" xfId="0" applyNumberFormat="1" applyFont="1" applyFill="1" applyBorder="1" applyAlignment="1">
      <x:alignment horizontal="center" wrapText="1"/>
    </x:xf>
    <x:xf numFmtId="0" fontId="9" fillId="4" borderId="0" xfId="0" applyNumberFormat="1" applyFont="1" applyFill="1" applyBorder="1" applyAlignment="1">
      <x:alignment horizontal="center" vertical="center" wrapText="1"/>
    </x:xf>
    <x:xf numFmtId="0" fontId="11" fillId="4" borderId="0" xfId="0" applyNumberFormat="1" applyFont="1" applyFill="1" applyBorder="1" applyAlignment="1">
      <x:alignment horizontal="center" vertical="center" wrapText="1"/>
    </x:xf>
    <x:xf numFmtId="0" fontId="7" fillId="4" borderId="0" xfId="0" applyNumberFormat="1" applyFont="1" applyFill="1" applyBorder="1" applyAlignment="1">
      <x:alignment vertical="center" wrapText="1"/>
    </x:xf>
    <x:xf numFmtId="0" fontId="7" fillId="4" borderId="0" xfId="0" applyNumberFormat="1" applyFont="1" applyFill="1" applyBorder="1" applyAlignment="1">
      <x:alignment horizontal="center" vertical="center" wrapText="1"/>
    </x:xf>
    <x:xf numFmtId="0" fontId="0" fillId="26" borderId="0" xfId="0" applyNumberFormat="1" applyFont="1" applyFill="1" applyBorder="1"/>
    <x:xf numFmtId="0" fontId="2" fillId="26" borderId="0" xfId="0" applyNumberFormat="1" applyFont="1" applyFill="1" applyBorder="1"/>
    <x:xf numFmtId="0" fontId="2" fillId="26" borderId="0" xfId="0" applyNumberFormat="1" applyFont="1" applyFill="1" applyBorder="1" applyAlignment="1">
      <x:alignment wrapText="1"/>
    </x:xf>
    <x:xf numFmtId="0" fontId="2" fillId="26" borderId="0" xfId="0" applyNumberFormat="1" applyFont="1" applyFill="1" applyBorder="1" applyAlignment="1">
      <x:alignment horizontal="center" wrapText="1"/>
    </x:xf>
    <x:xf numFmtId="0" fontId="0" fillId="27" borderId="0" xfId="0" applyNumberFormat="1" applyFont="1" applyFill="1" applyBorder="1"/>
    <x:xf numFmtId="0" fontId="1" fillId="27" borderId="0" xfId="0" applyNumberFormat="1" applyFont="1" applyFill="1" applyBorder="1"/>
    <x:xf numFmtId="0" fontId="1" fillId="27" borderId="0" xfId="0" applyNumberFormat="1" applyFont="1" applyFill="1" applyBorder="1" applyAlignment="1">
      <x:alignment horizontal="center"/>
    </x:xf>
    <x:xf numFmtId="0" fontId="1" fillId="27" borderId="0" xfId="0" applyNumberFormat="1" applyFont="1" applyFill="1" applyBorder="1" applyAlignment="1">
      <x:alignment horizontal="center" vertical="center"/>
    </x:xf>
    <x:xf numFmtId="0" fontId="0" fillId="28" borderId="0" xfId="0" applyNumberFormat="1" applyFont="1" applyFill="1" applyBorder="1"/>
    <x:xf numFmtId="0" fontId="12" fillId="28" borderId="0" xfId="0" applyNumberFormat="1" applyFont="1" applyFill="1" applyBorder="1"/>
    <x:xf numFmtId="0" fontId="12" fillId="28" borderId="0" xfId="0" applyNumberFormat="1" applyFont="1" applyFill="1" applyBorder="1" applyAlignment="1">
      <x:alignment horizontal="center"/>
    </x:xf>
    <x:xf numFmtId="0" fontId="0" fillId="29" borderId="0" xfId="0" applyNumberFormat="1" applyFont="1" applyFill="1" applyBorder="1"/>
    <x:xf numFmtId="0" fontId="7" fillId="29" borderId="0" xfId="0" applyNumberFormat="1" applyFont="1" applyFill="1" applyBorder="1"/>
    <x:xf numFmtId="0" fontId="0" fillId="30" borderId="0" xfId="0" applyNumberFormat="1" applyFont="1" applyFill="1" applyBorder="1"/>
    <x:xf numFmtId="0" fontId="13" fillId="30" borderId="0" xfId="0" applyNumberFormat="1" applyFont="1" applyFill="1" applyBorder="1"/>
    <x:xf numFmtId="0" fontId="13" fillId="30" borderId="0" xfId="0" applyNumberFormat="1" applyFont="1" applyFill="1" applyBorder="1" applyAlignment="1">
      <x:alignment horizontal="center"/>
    </x:xf>
    <x:xf numFmtId="0" fontId="2" fillId="26" borderId="0" xfId="0" applyNumberFormat="1" applyFont="1" applyFill="1" applyBorder="1" applyAlignment="1">
      <x:alignment horizontal="center"/>
    </x:xf>
    <x:xf numFmtId="0" fontId="7" fillId="28" borderId="0" xfId="0" applyNumberFormat="1" applyFont="1" applyFill="1" applyBorder="1"/>
    <x:xf numFmtId="0" fontId="7" fillId="28" borderId="0" xfId="0" applyNumberFormat="1" applyFont="1" applyFill="1" applyBorder="1" applyAlignment="1">
      <x:alignment horizontal="center"/>
    </x:xf>
    <x:xf numFmtId="0" fontId="7" fillId="28" borderId="0" xfId="0" applyNumberFormat="1" applyFont="1" applyFill="1" applyBorder="1" applyAlignment="1">
      <x:alignment wrapText="1"/>
    </x:xf>
    <x:xf numFmtId="0" fontId="14" fillId="27" borderId="0" xfId="0" applyNumberFormat="1" applyFont="1" applyFill="1" applyBorder="1"/>
    <x:xf numFmtId="0" fontId="14" fillId="27" borderId="0" xfId="0" applyNumberFormat="1" applyFont="1" applyFill="1" applyBorder="1" applyAlignment="1">
      <x:alignment horizontal="center"/>
    </x:xf>
    <x:xf numFmtId="0" fontId="14" fillId="27" borderId="0" xfId="0" applyNumberFormat="1" applyFont="1" applyFill="1" applyBorder="1" applyAlignment="1">
      <x:alignment horizontal="center" vertical="center"/>
    </x:xf>
    <x:xf numFmtId="0" fontId="11" fillId="29" borderId="0" xfId="0" applyNumberFormat="1" applyFont="1" applyFill="1" applyBorder="1"/>
    <x:xf numFmtId="0" fontId="11" fillId="29" borderId="0" xfId="0" applyNumberFormat="1" applyFont="1" applyFill="1" applyBorder="1" applyAlignment="1">
      <x:alignment wrapText="1"/>
    </x:xf>
    <x:xf numFmtId="0" fontId="11" fillId="29" borderId="0" xfId="0" applyNumberFormat="1" applyFont="1" applyFill="1" applyBorder="1" applyAlignment="1">
      <x:alignment horizontal="center" wrapText="1"/>
    </x:xf>
    <x:xf numFmtId="0" fontId="11" fillId="29" borderId="0" xfId="0" applyNumberFormat="1" applyFont="1" applyFill="1" applyBorder="1" applyAlignment="1">
      <x:alignment horizontal="center" vertical="center" wrapText="1"/>
    </x:xf>
    <x:xf numFmtId="0" fontId="15" fillId="30" borderId="0" xfId="0" applyNumberFormat="1" applyFont="1" applyFill="1" applyBorder="1"/>
    <x:xf numFmtId="0" fontId="15" fillId="30" borderId="0" xfId="0" applyNumberFormat="1" applyFont="1" applyFill="1" applyBorder="1" applyAlignment="1">
      <x:alignment horizontal="center"/>
    </x:xf>
    <x:xf numFmtId="0" fontId="15" fillId="30" borderId="0" xfId="0" applyNumberFormat="1" applyFont="1" applyFill="1" applyBorder="1" applyAlignment="1">
      <x:alignment horizontal="center" vertical="center"/>
    </x:xf>
    <x:xf numFmtId="0" fontId="1" fillId="27" borderId="0" xfId="0" applyNumberFormat="1" applyFont="1" applyFill="1" applyBorder="1" applyAlignment="1">
      <x:alignment horizontal="center" vertical="center" wrapText="1"/>
    </x:xf>
    <x:xf numFmtId="0" fontId="12" fillId="28" borderId="0" xfId="0" applyNumberFormat="1" applyFont="1" applyFill="1" applyBorder="1" applyAlignment="1">
      <x:alignment horizontal="center" wrapText="1"/>
    </x:xf>
    <x:xf numFmtId="0" fontId="7" fillId="29" borderId="0" xfId="0" applyNumberFormat="1" applyFont="1" applyFill="1" applyBorder="1" applyAlignment="1">
      <x:alignment wrapText="1"/>
    </x:xf>
    <x:xf numFmtId="0" fontId="13" fillId="30" borderId="0" xfId="0" applyNumberFormat="1" applyFont="1" applyFill="1" applyBorder="1" applyAlignment="1">
      <x:alignment horizontal="center" wrapText="1"/>
    </x:xf>
    <x:xf numFmtId="0" fontId="7" fillId="28" borderId="0" xfId="0" applyNumberFormat="1" applyFont="1" applyFill="1" applyBorder="1" applyAlignment="1">
      <x:alignment horizontal="center" wrapText="1"/>
    </x:xf>
    <x:xf numFmtId="0" fontId="12" fillId="28" borderId="0" xfId="0" applyNumberFormat="1" applyFont="1" applyFill="1" applyBorder="1" applyAlignment="1">
      <x:alignment horizontal="center" vertical="center" wrapText="1"/>
    </x:xf>
    <x:xf numFmtId="0" fontId="2" fillId="26" borderId="0" xfId="0" applyNumberFormat="1" applyFont="1" applyFill="1" applyBorder="1" applyAlignment="1">
      <x:alignment vertical="center" wrapText="1"/>
    </x:xf>
    <x:xf numFmtId="0" fontId="2" fillId="26" borderId="0" xfId="0" applyNumberFormat="1" applyFont="1" applyFill="1" applyBorder="1" applyAlignment="1">
      <x:alignment horizontal="center" vertical="center" wrapText="1"/>
    </x:xf>
    <x:xf numFmtId="0" fontId="7" fillId="29" borderId="0" xfId="0" applyNumberFormat="1" applyFont="1" applyFill="1" applyBorder="1" applyAlignment="1">
      <x:alignment vertical="center" wrapText="1"/>
    </x:xf>
    <x:xf numFmtId="0" fontId="13" fillId="30" borderId="0" xfId="0" applyNumberFormat="1" applyFont="1" applyFill="1" applyBorder="1" applyAlignment="1">
      <x:alignment horizontal="center" vertical="center" wrapText="1"/>
    </x:xf>
    <x:xf numFmtId="0" fontId="7" fillId="28" borderId="0" xfId="0" applyNumberFormat="1" applyFont="1" applyFill="1" applyBorder="1" applyAlignment="1">
      <x:alignment horizontal="center" vertical="center" wrapText="1"/>
    </x:xf>
    <x:xf numFmtId="0" fontId="7" fillId="28" borderId="0" xfId="0" applyNumberFormat="1" applyFont="1" applyFill="1" applyBorder="1" applyAlignment="1">
      <x:alignment vertical="center" wrapText="1"/>
    </x:xf>
    <x:xf numFmtId="0" fontId="12" fillId="4" borderId="0" xfId="0" applyNumberFormat="1" applyFont="1" applyFill="1" applyBorder="1"/>
    <x:xf numFmtId="0" fontId="12" fillId="4" borderId="0" xfId="0" applyNumberFormat="1" applyFont="1" applyFill="1" applyBorder="1" applyAlignment="1">
      <x:alignment horizontal="center"/>
    </x:xf>
    <x:xf numFmtId="0" fontId="13" fillId="25" borderId="0" xfId="0" applyNumberFormat="1" applyFont="1" applyFill="1" applyBorder="1"/>
    <x:xf numFmtId="0" fontId="13" fillId="25" borderId="0" xfId="0" applyNumberFormat="1" applyFont="1" applyFill="1" applyBorder="1" applyAlignment="1">
      <x:alignment horizontal="center"/>
    </x:xf>
    <x:xf numFmtId="0" fontId="14" fillId="2" borderId="0" xfId="0" applyNumberFormat="1" applyFont="1" applyFill="1" applyBorder="1"/>
    <x:xf numFmtId="0" fontId="14" fillId="2" borderId="0" xfId="0" applyNumberFormat="1" applyFont="1" applyFill="1" applyBorder="1" applyAlignment="1">
      <x:alignment horizontal="center"/>
    </x:xf>
    <x:xf numFmtId="0" fontId="14" fillId="2" borderId="0" xfId="0" applyNumberFormat="1" applyFont="1" applyFill="1" applyBorder="1" applyAlignment="1">
      <x:alignment horizontal="center" vertical="center"/>
    </x:xf>
    <x:xf numFmtId="0" fontId="11" fillId="24" borderId="0" xfId="0" applyNumberFormat="1" applyFont="1" applyFill="1" applyBorder="1"/>
    <x:xf numFmtId="0" fontId="11" fillId="24" borderId="0" xfId="0" applyNumberFormat="1" applyFont="1" applyFill="1" applyBorder="1" applyAlignment="1">
      <x:alignment wrapText="1"/>
    </x:xf>
    <x:xf numFmtId="0" fontId="11" fillId="24" borderId="0" xfId="0" applyNumberFormat="1" applyFont="1" applyFill="1" applyBorder="1" applyAlignment="1">
      <x:alignment horizontal="center" wrapText="1"/>
    </x:xf>
    <x:xf numFmtId="0" fontId="11" fillId="24" borderId="0" xfId="0" applyNumberFormat="1" applyFont="1" applyFill="1" applyBorder="1" applyAlignment="1">
      <x:alignment horizontal="center" vertical="center" wrapText="1"/>
    </x:xf>
    <x:xf numFmtId="0" fontId="15" fillId="25" borderId="0" xfId="0" applyNumberFormat="1" applyFont="1" applyFill="1" applyBorder="1"/>
    <x:xf numFmtId="0" fontId="15" fillId="25" borderId="0" xfId="0" applyNumberFormat="1" applyFont="1" applyFill="1" applyBorder="1" applyAlignment="1">
      <x:alignment horizontal="center"/>
    </x:xf>
    <x:xf numFmtId="0" fontId="15" fillId="25" borderId="0" xfId="0" applyNumberFormat="1" applyFont="1" applyFill="1" applyBorder="1" applyAlignment="1">
      <x:alignment horizontal="center" vertical="center"/>
    </x:xf>
    <x:xf numFmtId="0" fontId="12" fillId="4" borderId="0" xfId="0" applyNumberFormat="1" applyFont="1" applyFill="1" applyBorder="1" applyAlignment="1">
      <x:alignment horizontal="center" wrapText="1"/>
    </x:xf>
    <x:xf numFmtId="0" fontId="7" fillId="24" borderId="0" xfId="0" applyNumberFormat="1" applyFont="1" applyFill="1" applyBorder="1" applyAlignment="1">
      <x:alignment wrapText="1"/>
    </x:xf>
    <x:xf numFmtId="0" fontId="13" fillId="25" borderId="0" xfId="0" applyNumberFormat="1" applyFont="1" applyFill="1" applyBorder="1" applyAlignment="1">
      <x:alignment horizontal="center" wrapText="1"/>
    </x:xf>
    <x:xf numFmtId="0" fontId="12"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7" fillId="24" borderId="0" xfId="0" applyNumberFormat="1" applyFont="1" applyFill="1" applyBorder="1" applyAlignment="1">
      <x:alignment vertical="center" wrapText="1"/>
    </x:xf>
    <x:xf numFmtId="0" fontId="13" fillId="25" borderId="0" xfId="0" applyNumberFormat="1" applyFont="1" applyFill="1" applyBorder="1" applyAlignment="1">
      <x:alignment horizontal="center" vertical="center" wrapText="1"/>
    </x:xf>
    <x:xf numFmtId="201" fontId="0" fillId="0" borderId="0" xfId="0" applyNumberFormat="1" applyFont="1" applyFill="1" applyBorder="1"/>
    <x:xf numFmtId="0" fontId="0" fillId="31" borderId="0" xfId="0" applyNumberFormat="1" applyFont="1" applyFill="1" applyBorder="1"/>
    <x:xf numFmtId="0" fontId="2" fillId="31" borderId="0" xfId="0" applyNumberFormat="1" applyFont="1" applyFill="1" applyBorder="1"/>
    <x:xf numFmtId="0" fontId="2" fillId="31" borderId="0" xfId="0" applyNumberFormat="1" applyFont="1" applyFill="1" applyBorder="1" applyAlignment="1">
      <x:alignment wrapText="1"/>
    </x:xf>
    <x:xf numFmtId="0" fontId="2" fillId="31" borderId="0" xfId="0" applyNumberFormat="1" applyFont="1" applyFill="1" applyBorder="1" applyAlignment="1">
      <x:alignment horizontal="center" wrapText="1"/>
    </x:xf>
    <x:xf numFmtId="201" fontId="0" fillId="0" borderId="0" xfId="0" applyNumberFormat="1" applyFont="1" applyFill="1" applyBorder="1" applyAlignment="1">
      <x:alignment wrapText="1"/>
    </x:xf>
    <x:xf numFmtId="0" fontId="0" fillId="32" borderId="0" xfId="0" applyNumberFormat="1" applyFont="1" applyFill="1" applyBorder="1"/>
    <x:xf numFmtId="0" fontId="1" fillId="32" borderId="0" xfId="0" applyNumberFormat="1" applyFont="1" applyFill="1" applyBorder="1"/>
    <x:xf numFmtId="0" fontId="1" fillId="32" borderId="0" xfId="0" applyNumberFormat="1" applyFont="1" applyFill="1" applyBorder="1" applyAlignment="1">
      <x:alignment horizontal="center"/>
    </x:xf>
    <x:xf numFmtId="0" fontId="1" fillId="32" borderId="0" xfId="0" applyNumberFormat="1" applyFont="1" applyFill="1" applyBorder="1" applyAlignment="1">
      <x:alignment horizontal="center" vertical="center"/>
    </x:xf>
    <x:xf numFmtId="0" fontId="0" fillId="33" borderId="0" xfId="0" applyNumberFormat="1" applyFont="1" applyFill="1" applyBorder="1"/>
    <x:xf numFmtId="0" fontId="12" fillId="33" borderId="0" xfId="0" applyNumberFormat="1" applyFont="1" applyFill="1" applyBorder="1"/>
    <x:xf numFmtId="0" fontId="12" fillId="33" borderId="0" xfId="0" applyNumberFormat="1" applyFont="1" applyFill="1" applyBorder="1" applyAlignment="1">
      <x:alignment horizontal="center"/>
    </x:xf>
    <x:xf numFmtId="0" fontId="0" fillId="34" borderId="0" xfId="0" applyNumberFormat="1" applyFont="1" applyFill="1" applyBorder="1"/>
    <x:xf numFmtId="0" fontId="7" fillId="34" borderId="0" xfId="0" applyNumberFormat="1" applyFont="1" applyFill="1" applyBorder="1"/>
    <x:xf numFmtId="0" fontId="0" fillId="35" borderId="0" xfId="0" applyNumberFormat="1" applyFont="1" applyFill="1" applyBorder="1"/>
    <x:xf numFmtId="0" fontId="13" fillId="35" borderId="0" xfId="0" applyNumberFormat="1" applyFont="1" applyFill="1" applyBorder="1"/>
    <x:xf numFmtId="0" fontId="13" fillId="35" borderId="0" xfId="0" applyNumberFormat="1" applyFont="1" applyFill="1" applyBorder="1" applyAlignment="1">
      <x:alignment horizontal="center"/>
    </x:xf>
    <x:xf numFmtId="201" fontId="13" fillId="35" borderId="0" xfId="0" applyNumberFormat="1" applyFont="1" applyFill="1" applyBorder="1" applyAlignment="1">
      <x:alignment horizontal="center"/>
    </x:xf>
    <x:xf numFmtId="0" fontId="2" fillId="31" borderId="0" xfId="0" applyNumberFormat="1" applyFont="1" applyFill="1" applyBorder="1" applyAlignment="1">
      <x:alignment horizontal="center"/>
    </x:xf>
    <x:xf numFmtId="0" fontId="7" fillId="33" borderId="0" xfId="0" applyNumberFormat="1" applyFont="1" applyFill="1" applyBorder="1"/>
    <x:xf numFmtId="202" fontId="0" fillId="0" borderId="0" xfId="0" applyNumberFormat="1" applyFont="1" applyFill="1" applyBorder="1"/>
    <x:xf numFmtId="0" fontId="7" fillId="33" borderId="0" xfId="0" applyNumberFormat="1" applyFont="1" applyFill="1" applyBorder="1" applyAlignment="1">
      <x:alignment horizontal="center"/>
    </x:xf>
    <x:xf numFmtId="0" fontId="7" fillId="34" borderId="0" xfId="0" applyNumberFormat="1" applyFont="1" applyFill="1" applyBorder="1" applyAlignment="1">
      <x:alignment wrapText="1"/>
    </x:xf>
    <x:xf numFmtId="0" fontId="1" fillId="32" borderId="0" xfId="0" applyNumberFormat="1" applyFont="1" applyFill="1" applyBorder="1" applyAlignment="1">
      <x:alignment horizontal="center" vertical="center" wrapText="1"/>
    </x:xf>
    <x:xf numFmtId="0" fontId="12" fillId="33" borderId="0" xfId="0" applyNumberFormat="1" applyFont="1" applyFill="1" applyBorder="1" applyAlignment="1">
      <x:alignment horizontal="center" wrapText="1"/>
    </x:xf>
    <x:xf numFmtId="201" fontId="13" fillId="35" borderId="0" xfId="0" applyNumberFormat="1" applyFont="1" applyFill="1" applyBorder="1" applyAlignment="1">
      <x:alignment horizontal="center" wrapText="1"/>
    </x:xf>
    <x:xf numFmtId="0" fontId="7" fillId="33" borderId="0" xfId="0" applyNumberFormat="1" applyFont="1" applyFill="1" applyBorder="1" applyAlignment="1">
      <x:alignment wrapText="1"/>
    </x:xf>
    <x:xf numFmtId="0" fontId="13" fillId="35" borderId="0" xfId="0" applyNumberFormat="1" applyFont="1" applyFill="1" applyBorder="1" applyAlignment="1">
      <x:alignment horizontal="center" wrapText="1"/>
    </x:xf>
    <x:xf numFmtId="202" fontId="0" fillId="0" borderId="0" xfId="0" applyNumberFormat="1" applyFont="1" applyFill="1" applyBorder="1" applyAlignment="1">
      <x:alignment wrapText="1"/>
    </x:xf>
    <x:xf numFmtId="0" fontId="7" fillId="33" borderId="0" xfId="0" applyNumberFormat="1" applyFont="1" applyFill="1" applyBorder="1" applyAlignment="1">
      <x:alignment horizontal="center" wrapText="1"/>
    </x:xf>
    <x:xf numFmtId="0" fontId="12" fillId="33" borderId="0" xfId="0" applyNumberFormat="1" applyFont="1" applyFill="1" applyBorder="1" applyAlignment="1">
      <x:alignment horizontal="center" vertical="center" wrapText="1"/>
    </x:xf>
    <x:xf numFmtId="0" fontId="2" fillId="31" borderId="0" xfId="0" applyNumberFormat="1" applyFont="1" applyFill="1" applyBorder="1" applyAlignment="1">
      <x:alignment vertical="center" wrapText="1"/>
    </x:xf>
    <x:xf numFmtId="0" fontId="2" fillId="31" borderId="0" xfId="0" applyNumberFormat="1" applyFont="1" applyFill="1" applyBorder="1" applyAlignment="1">
      <x:alignment horizontal="center" vertical="center" wrapText="1"/>
    </x:xf>
    <x:xf numFmtId="0" fontId="7" fillId="34" borderId="0" xfId="0" applyNumberFormat="1" applyFont="1" applyFill="1" applyBorder="1" applyAlignment="1">
      <x:alignment vertical="center" wrapText="1"/>
    </x:xf>
    <x:xf numFmtId="201" fontId="13" fillId="35" borderId="0" xfId="0" applyNumberFormat="1" applyFont="1" applyFill="1" applyBorder="1" applyAlignment="1">
      <x:alignment horizontal="center" vertical="center" wrapText="1"/>
    </x:xf>
    <x:xf numFmtId="0" fontId="7" fillId="33" borderId="0" xfId="0" applyNumberFormat="1" applyFont="1" applyFill="1" applyBorder="1" applyAlignment="1">
      <x:alignment vertical="center" wrapText="1"/>
    </x:xf>
    <x:xf numFmtId="0" fontId="13" fillId="35" borderId="0" xfId="0" applyNumberFormat="1" applyFont="1" applyFill="1" applyBorder="1" applyAlignment="1">
      <x:alignment horizontal="center" vertical="center" wrapText="1"/>
    </x:xf>
    <x:xf numFmtId="201" fontId="0" fillId="0" borderId="0" xfId="0" applyNumberFormat="1" applyFont="1" applyFill="1" applyBorder="1" applyAlignment="1">
      <x:alignment vertical="center" wrapText="1"/>
    </x:xf>
    <x:xf numFmtId="202" fontId="0" fillId="0" borderId="0" xfId="0" applyNumberFormat="1" applyFont="1" applyFill="1" applyBorder="1" applyAlignment="1">
      <x:alignment vertical="center" wrapText="1"/>
    </x:xf>
    <x:xf numFmtId="0" fontId="7" fillId="33" borderId="0" xfId="0" applyNumberFormat="1" applyFont="1" applyFill="1" applyBorder="1" applyAlignment="1">
      <x:alignment horizontal="center" vertical="center" wrapText="1"/>
    </x:xf>
    <x:xf numFmtId="0" fontId="15" fillId="35" borderId="0" xfId="0" applyNumberFormat="1" applyFont="1" applyFill="1" applyBorder="1"/>
    <x:xf numFmtId="0" fontId="15" fillId="35" borderId="0" xfId="0" applyNumberFormat="1" applyFont="1" applyFill="1" applyBorder="1" applyAlignment="1">
      <x:alignment horizontal="center"/>
    </x:xf>
    <x:xf numFmtId="0" fontId="15" fillId="35" borderId="0"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wrapText="1"/>
    </x:xf>
    <x:xf numFmtId="201" fontId="13" fillId="25" borderId="0" xfId="0" applyNumberFormat="1" applyFont="1" applyFill="1" applyBorder="1" applyAlignment="1">
      <x:alignment horizontal="center"/>
    </x:xf>
    <x:xf numFmtId="201" fontId="13" fillId="25" borderId="0" xfId="0" applyNumberFormat="1" applyFont="1" applyFill="1" applyBorder="1" applyAlignment="1">
      <x:alignment horizontal="center" wrapText="1"/>
    </x:xf>
    <x:xf numFmtId="201" fontId="13" fillId="25" borderId="0" xfId="0" applyNumberFormat="1" applyFont="1" applyFill="1" applyBorder="1" applyAlignment="1">
      <x:alignment horizontal="center" vertical="center" wrapText="1"/>
    </x:xf>
    <x:xf numFmtId="0" fontId="2" fillId="36" borderId="0" xfId="0" applyNumberFormat="1" applyFont="1" applyFill="1" applyBorder="1" applyAlignment="1">
      <x:alignment horizontal="center" vertical="top" wrapText="1"/>
    </x:xf>
    <x:xf numFmtId="0" fontId="0" fillId="36" borderId="0" xfId="0" applyNumberFormat="1" applyFont="1" applyFill="1" applyBorder="1" applyAlignment="1">
      <x:alignment wrapText="1"/>
    </x:xf>
    <x:xf numFmtId="0" fontId="2" fillId="36" borderId="0" xfId="0" applyNumberFormat="1" applyFont="1" applyFill="1" applyBorder="1" applyAlignment="1">
      <x:alignment wrapText="1"/>
    </x:xf>
    <x:xf numFmtId="0" fontId="2" fillId="36" borderId="0" xfId="0" applyNumberFormat="1" applyFont="1" applyFill="1" applyBorder="1" applyAlignment="1">
      <x:alignment horizontal="center" wrapText="1"/>
    </x:xf>
    <x:xf numFmtId="0" fontId="2" fillId="36" borderId="0" xfId="0" applyNumberFormat="1" applyFont="1" applyFill="1" applyBorder="1" applyAlignment="1">
      <x:alignment horizontal="center" vertical="center" wrapText="1"/>
    </x:xf>
    <x:xf numFmtId="0" fontId="0" fillId="36" borderId="0" xfId="0" applyNumberFormat="1" applyFont="1" applyFill="1" applyBorder="1"/>
    <x:xf numFmtId="0" fontId="2" fillId="36" borderId="0" xfId="0" applyNumberFormat="1" applyFont="1" applyFill="1" applyBorder="1"/>
    <x:xf numFmtId="0" fontId="2" fillId="36" borderId="0" xfId="0" applyNumberFormat="1" applyFont="1" applyFill="1" applyBorder="1" applyAlignment="1">
      <x:alignment horizontal="center"/>
    </x:xf>
    <x:xf numFmtId="0" fontId="0" fillId="37" borderId="0" xfId="0" applyNumberFormat="1" applyFont="1" applyFill="1" applyBorder="1"/>
    <x:xf numFmtId="0" fontId="1" fillId="37" borderId="0" xfId="0" applyNumberFormat="1" applyFont="1" applyFill="1" applyBorder="1"/>
    <x:xf numFmtId="0" fontId="1" fillId="37" borderId="0" xfId="0" applyNumberFormat="1" applyFont="1" applyFill="1" applyBorder="1" applyAlignment="1">
      <x:alignment horizontal="center"/>
    </x:xf>
    <x:xf numFmtId="0" fontId="1" fillId="37" borderId="0" xfId="0" applyNumberFormat="1" applyFont="1" applyFill="1" applyBorder="1" applyAlignment="1">
      <x:alignment horizontal="center" vertical="center"/>
    </x:xf>
    <x:xf numFmtId="0" fontId="0" fillId="38" borderId="0" xfId="0" applyNumberFormat="1" applyFont="1" applyFill="1" applyBorder="1"/>
    <x:xf numFmtId="0" fontId="12" fillId="38" borderId="0" xfId="0" applyNumberFormat="1" applyFont="1" applyFill="1" applyBorder="1"/>
    <x:xf numFmtId="0" fontId="12" fillId="38" borderId="0" xfId="0" applyNumberFormat="1" applyFont="1" applyFill="1" applyBorder="1" applyAlignment="1">
      <x:alignment horizontal="center"/>
    </x:xf>
    <x:xf numFmtId="0" fontId="0" fillId="39" borderId="0" xfId="0" applyNumberFormat="1" applyFont="1" applyFill="1" applyBorder="1"/>
    <x:xf numFmtId="200" fontId="0" fillId="39" borderId="0" xfId="0" applyNumberFormat="1" applyFont="1" applyFill="1" applyBorder="1"/>
    <x:xf numFmtId="0" fontId="11" fillId="39" borderId="0" xfId="0" applyNumberFormat="1" applyFont="1" applyFill="1" applyBorder="1"/>
    <x:xf numFmtId="200" fontId="11" fillId="39" borderId="0" xfId="0" applyNumberFormat="1" applyFont="1" applyFill="1" applyBorder="1"/>
    <x:xf numFmtId="0" fontId="11" fillId="39" borderId="0" xfId="0" applyNumberFormat="1" applyFont="1" applyFill="1" applyBorder="1" applyAlignment="1">
      <x:alignment wrapText="1"/>
    </x:xf>
    <x:xf numFmtId="200" fontId="11" fillId="39" borderId="0" xfId="0" applyNumberFormat="1" applyFont="1" applyFill="1" applyBorder="1" applyAlignment="1">
      <x:alignment wrapText="1"/>
    </x:xf>
    <x:xf numFmtId="0" fontId="11" fillId="39" borderId="0" xfId="0" applyNumberFormat="1" applyFont="1" applyFill="1" applyBorder="1" applyAlignment="1">
      <x:alignment horizontal="center" wrapText="1"/>
    </x:xf>
    <x:xf numFmtId="200" fontId="11" fillId="39" borderId="0" xfId="0" applyNumberFormat="1" applyFont="1" applyFill="1" applyBorder="1" applyAlignment="1">
      <x:alignment horizontal="center" wrapText="1"/>
    </x:xf>
    <x:xf numFmtId="0" fontId="11" fillId="39" borderId="0" xfId="0" applyNumberFormat="1" applyFont="1" applyFill="1" applyBorder="1" applyAlignment="1">
      <x:alignment horizontal="center" vertical="center" wrapText="1"/>
    </x:xf>
    <x:xf numFmtId="200" fontId="11" fillId="39" borderId="0" xfId="0" applyNumberFormat="1" applyFont="1" applyFill="1" applyBorder="1" applyAlignment="1">
      <x:alignment horizontal="center" vertical="center" wrapText="1"/>
    </x:xf>
    <x:xf numFmtId="0" fontId="8" fillId="37" borderId="0" xfId="0" applyNumberFormat="1" applyFont="1" applyFill="1" applyBorder="1" applyAlignment="1">
      <x:alignment horizontal="center" vertical="center"/>
    </x:xf>
    <x:xf numFmtId="0" fontId="8" fillId="37" borderId="0" xfId="0" applyNumberFormat="1" applyFont="1" applyFill="1" applyBorder="1"/>
    <x:xf numFmtId="0" fontId="8" fillId="37" borderId="0" xfId="0" applyNumberFormat="1" applyFont="1" applyFill="1" applyBorder="1" applyAlignment="1">
      <x:alignment horizontal="center"/>
    </x:xf>
    <x:xf numFmtId="0" fontId="7" fillId="38" borderId="0" xfId="0" applyNumberFormat="1" applyFont="1" applyFill="1" applyBorder="1" applyAlignment="1">
      <x:alignment horizontal="center" wrapText="1"/>
    </x:xf>
    <x:xf numFmtId="0" fontId="7" fillId="38" borderId="0" xfId="0" applyNumberFormat="1" applyFont="1" applyFill="1" applyBorder="1"/>
    <x:xf numFmtId="0" fontId="7" fillId="38" borderId="0" xfId="0" applyNumberFormat="1" applyFont="1" applyFill="1" applyBorder="1" applyAlignment="1">
      <x:alignment wrapText="1"/>
    </x:xf>
    <x:xf numFmtId="200" fontId="0" fillId="24" borderId="0" xfId="0" applyNumberFormat="1" applyFont="1" applyFill="1" applyBorder="1"/>
    <x:xf numFmtId="200" fontId="11" fillId="24" borderId="0" xfId="0" applyNumberFormat="1" applyFont="1" applyFill="1" applyBorder="1"/>
    <x:xf numFmtId="200" fontId="11" fillId="24" borderId="0" xfId="0" applyNumberFormat="1" applyFont="1" applyFill="1" applyBorder="1" applyAlignment="1">
      <x:alignment wrapText="1"/>
    </x:xf>
    <x:xf numFmtId="200" fontId="11" fillId="24" borderId="0" xfId="0" applyNumberFormat="1" applyFont="1" applyFill="1" applyBorder="1" applyAlignment="1">
      <x:alignment horizontal="center" wrapText="1"/>
    </x:xf>
    <x:xf numFmtId="200" fontId="11" fillId="24" borderId="0" xfId="0" applyNumberFormat="1" applyFont="1" applyFill="1" applyBorder="1" applyAlignment="1">
      <x:alignment horizontal="center" vertical="center" wrapText="1"/>
    </x:xf>
    <x:xf numFmtId="0" fontId="8" fillId="2" borderId="0" xfId="0" applyNumberFormat="1" applyFont="1" applyFill="1" applyBorder="1" applyAlignment="1">
      <x:alignment horizontal="center" vertical="center"/>
    </x:xf>
    <x:xf numFmtId="0" fontId="8" fillId="2" borderId="0" xfId="0" applyNumberFormat="1" applyFont="1" applyFill="1" applyBorder="1"/>
    <x:xf numFmtId="0" fontId="8" fillId="2" borderId="0" xfId="0" applyNumberFormat="1" applyFont="1" applyFill="1" applyBorder="1" applyAlignment="1">
      <x:alignment horizontal="center"/>
    </x:xf>
    <x:xf numFmtId="0" fontId="2" fillId="40" borderId="0" xfId="0" applyNumberFormat="1" applyFont="1" applyFill="1" applyBorder="1" applyAlignment="1">
      <x:alignment horizontal="center" vertical="center" wrapText="1"/>
    </x:xf>
    <x:xf numFmtId="0" fontId="0" fillId="40" borderId="0" xfId="0" applyNumberFormat="1" applyFont="1" applyFill="1" applyBorder="1"/>
    <x:xf numFmtId="0" fontId="2" fillId="40" borderId="0" xfId="0" applyNumberFormat="1" applyFont="1" applyFill="1" applyBorder="1"/>
    <x:xf numFmtId="0" fontId="2" fillId="40" borderId="0" xfId="0" applyNumberFormat="1" applyFont="1" applyFill="1" applyBorder="1" applyAlignment="1">
      <x:alignment wrapText="1"/>
    </x:xf>
    <x:xf numFmtId="0" fontId="2" fillId="40" borderId="0" xfId="0" applyNumberFormat="1" applyFont="1" applyFill="1" applyBorder="1" applyAlignment="1">
      <x:alignment horizontal="center" wrapText="1"/>
    </x:xf>
    <x:xf numFmtId="0" fontId="2" fillId="40" borderId="0" xfId="0" applyNumberFormat="1" applyFont="1" applyFill="1" applyBorder="1" applyAlignment="1">
      <x:alignment horizontal="center"/>
    </x:xf>
    <x:xf numFmtId="0" fontId="8" fillId="41" borderId="0" xfId="0" applyNumberFormat="1" applyFont="1" applyFill="1" applyBorder="1" applyAlignment="1">
      <x:alignment horizontal="center" vertical="center"/>
    </x:xf>
    <x:xf numFmtId="0" fontId="0" fillId="41" borderId="0" xfId="0" applyNumberFormat="1" applyFont="1" applyFill="1" applyBorder="1"/>
    <x:xf numFmtId="0" fontId="8" fillId="41" borderId="0" xfId="0" applyNumberFormat="1" applyFont="1" applyFill="1" applyBorder="1"/>
    <x:xf numFmtId="0" fontId="8" fillId="41" borderId="0" xfId="0" applyNumberFormat="1" applyFont="1" applyFill="1" applyBorder="1" applyAlignment="1">
      <x:alignment horizontal="center"/>
    </x:xf>
    <x:xf numFmtId="0" fontId="7" fillId="42" borderId="0" xfId="0" applyNumberFormat="1" applyFont="1" applyFill="1" applyBorder="1" applyAlignment="1">
      <x:alignment horizontal="center" wrapText="1"/>
    </x:xf>
    <x:xf numFmtId="0" fontId="7" fillId="42" borderId="0" xfId="0" applyNumberFormat="1" applyFont="1" applyFill="1" applyBorder="1" applyAlignment="1">
      <x:alignment wrapText="1"/>
    </x:xf>
    <x:xf numFmtId="0" fontId="0" fillId="42" borderId="0" xfId="0" applyNumberFormat="1" applyFont="1" applyFill="1" applyBorder="1"/>
    <x:xf numFmtId="0" fontId="7" fillId="42" borderId="0" xfId="0" applyNumberFormat="1" applyFont="1" applyFill="1" applyBorder="1"/>
    <x:xf numFmtId="0" fontId="1" fillId="41" borderId="0" xfId="0" applyNumberFormat="1" applyFont="1" applyFill="1" applyBorder="1"/>
    <x:xf numFmtId="0" fontId="1" fillId="41" borderId="0" xfId="0" applyNumberFormat="1" applyFont="1" applyFill="1" applyBorder="1" applyAlignment="1">
      <x:alignment horizontal="center"/>
    </x:xf>
    <x:xf numFmtId="0" fontId="1" fillId="41" borderId="0" xfId="0" applyNumberFormat="1" applyFont="1" applyFill="1" applyBorder="1" applyAlignment="1">
      <x:alignment horizontal="center" vertical="center"/>
    </x:xf>
    <x:xf numFmtId="0" fontId="12" fillId="42" borderId="0" xfId="0" applyNumberFormat="1" applyFont="1" applyFill="1" applyBorder="1"/>
    <x:xf numFmtId="0" fontId="12" fillId="42" borderId="0" xfId="0" applyNumberFormat="1" applyFont="1" applyFill="1" applyBorder="1" applyAlignment="1">
      <x:alignment horizontal="center"/>
    </x:xf>
    <x:xf numFmtId="0" fontId="0" fillId="43" borderId="0" xfId="0" applyNumberFormat="1" applyFont="1" applyFill="1" applyBorder="1"/>
    <x:xf numFmtId="0" fontId="11" fillId="43" borderId="0" xfId="0" applyNumberFormat="1" applyFont="1" applyFill="1" applyBorder="1"/>
    <x:xf numFmtId="0" fontId="11" fillId="43" borderId="0" xfId="0" applyNumberFormat="1" applyFont="1" applyFill="1" applyBorder="1" applyAlignment="1">
      <x:alignment wrapText="1"/>
    </x:xf>
    <x:xf numFmtId="0" fontId="11" fillId="43" borderId="0" xfId="0" applyNumberFormat="1" applyFont="1" applyFill="1" applyBorder="1" applyAlignment="1">
      <x:alignment horizontal="center" wrapText="1"/>
    </x:xf>
    <x:xf numFmtId="0" fontId="11" fillId="43" borderId="0" xfId="0" applyNumberFormat="1" applyFont="1" applyFill="1" applyBorder="1" applyAlignment="1">
      <x:alignment horizontal="center" vertical="center" wrapText="1"/>
    </x:xf>
    <x:xf numFmtId="0" fontId="1" fillId="41" borderId="0" xfId="0" applyNumberFormat="1" applyFont="1" applyFill="1" applyBorder="1" applyAlignment="1">
      <x:alignment horizontal="center" vertical="center" wrapText="1"/>
    </x:xf>
    <x:xf numFmtId="0" fontId="12" fillId="42" borderId="0" xfId="0" applyNumberFormat="1" applyFont="1" applyFill="1" applyBorder="1" applyAlignment="1">
      <x:alignment horizontal="center" wrapText="1"/>
    </x:xf>
    <x:xf numFmtId="0" fontId="2" fillId="44" borderId="0" xfId="0" applyNumberFormat="1" applyFont="1" applyFill="1" applyBorder="1" applyAlignment="1">
      <x:alignment horizontal="center" vertical="center" wrapText="1"/>
    </x:xf>
    <x:xf numFmtId="0" fontId="2" fillId="44" borderId="0" xfId="0" applyNumberFormat="1" applyFont="1" applyFill="1" applyBorder="1" applyAlignment="1">
      <x:alignment horizontal="center" wrapText="1"/>
    </x:xf>
    <x:xf numFmtId="0" fontId="0" fillId="45" borderId="0" xfId="0" applyNumberFormat="1" applyFont="1" applyFill="1" applyBorder="1"/>
    <x:xf numFmtId="0" fontId="1" fillId="45" borderId="0" xfId="0" applyNumberFormat="1" applyFont="1" applyFill="1" applyBorder="1"/>
    <x:xf numFmtId="0" fontId="1" fillId="45" borderId="0" xfId="0" applyNumberFormat="1" applyFont="1" applyFill="1" applyBorder="1" applyAlignment="1">
      <x:alignment horizontal="center"/>
    </x:xf>
    <x:xf numFmtId="0" fontId="1" fillId="45" borderId="0" xfId="0" applyNumberFormat="1" applyFont="1" applyFill="1" applyBorder="1" applyAlignment="1">
      <x:alignment horizontal="center" vertical="center"/>
    </x:xf>
    <x:xf numFmtId="0" fontId="0" fillId="46" borderId="0" xfId="0" applyNumberFormat="1" applyFont="1" applyFill="1" applyBorder="1"/>
    <x:xf numFmtId="0" fontId="12" fillId="46" borderId="0" xfId="0" applyNumberFormat="1" applyFont="1" applyFill="1" applyBorder="1"/>
    <x:xf numFmtId="0" fontId="12" fillId="46" borderId="0" xfId="0" applyNumberFormat="1" applyFont="1" applyFill="1" applyBorder="1" applyAlignment="1">
      <x:alignment horizontal="center"/>
    </x:xf>
    <x:xf numFmtId="0" fontId="0" fillId="44" borderId="0" xfId="0" applyNumberFormat="1" applyFont="1" applyFill="1" applyBorder="1"/>
    <x:xf numFmtId="0" fontId="2" fillId="44" borderId="0" xfId="0" applyNumberFormat="1" applyFont="1" applyFill="1" applyBorder="1"/>
    <x:xf numFmtId="0" fontId="2" fillId="44" borderId="0" xfId="0" applyNumberFormat="1" applyFont="1" applyFill="1" applyBorder="1" applyAlignment="1">
      <x:alignment horizontal="center"/>
    </x:xf>
    <x:xf numFmtId="0" fontId="2" fillId="47" borderId="0" xfId="0" applyNumberFormat="1" applyFont="1" applyFill="1" applyBorder="1" applyAlignment="1">
      <x:alignment horizontal="center" vertical="center" wrapText="1"/>
    </x:xf>
    <x:xf numFmtId="0" fontId="2" fillId="47" borderId="0" xfId="0" applyNumberFormat="1" applyFont="1" applyFill="1" applyBorder="1" applyAlignment="1">
      <x:alignment horizontal="center" wrapText="1"/>
    </x:xf>
    <x:xf numFmtId="0" fontId="2" fillId="47" borderId="0" xfId="0" applyNumberFormat="1" applyFont="1" applyFill="1" applyBorder="1" applyAlignment="1">
      <x:alignment horizontal="center" vertical="top" wrapText="1"/>
    </x:xf>
    <x:xf numFmtId="0" fontId="0" fillId="47" borderId="0" xfId="0" applyNumberFormat="1" applyFont="1" applyFill="1" applyBorder="1" applyAlignment="1">
      <x:alignment vertical="top" wrapText="1"/>
    </x:xf>
    <x:xf numFmtId="0" fontId="2" fillId="47" borderId="0" xfId="0" applyNumberFormat="1" applyFont="1" applyFill="1" applyBorder="1" applyAlignment="1">
      <x:alignment vertical="top" wrapText="1"/>
    </x:xf>
    <x:xf numFmtId="0" fontId="14" fillId="48" borderId="0" xfId="0" applyNumberFormat="1" applyFont="1" applyFill="1" applyBorder="1" applyAlignment="1">
      <x:alignment horizontal="center" vertical="center"/>
    </x:xf>
    <x:xf numFmtId="0" fontId="0" fillId="47" borderId="0" xfId="0" applyNumberFormat="1" applyFont="1" applyFill="1" applyBorder="1"/>
    <x:xf numFmtId="0" fontId="2" fillId="47" borderId="0" xfId="0" applyNumberFormat="1" applyFont="1" applyFill="1" applyBorder="1"/>
    <x:xf numFmtId="0" fontId="2" fillId="47" borderId="0" xfId="0" applyNumberFormat="1" applyFont="1" applyFill="1" applyBorder="1" applyAlignment="1">
      <x:alignment horizontal="center"/>
    </x:xf>
    <x:xf numFmtId="0" fontId="2" fillId="49" borderId="0" xfId="0" applyNumberFormat="1" applyFont="1" applyFill="1" applyBorder="1" applyAlignment="1">
      <x:alignment horizontal="center" vertical="center" wrapText="1"/>
    </x:xf>
    <x:xf numFmtId="0" fontId="2" fillId="49" borderId="0" xfId="0" applyNumberFormat="1" applyFont="1" applyFill="1" applyBorder="1" applyAlignment="1">
      <x:alignment horizontal="center" wrapText="1"/>
    </x:xf>
    <x:xf numFmtId="0" fontId="2" fillId="49" borderId="0" xfId="0" applyNumberFormat="1" applyFont="1" applyFill="1" applyBorder="1" applyAlignment="1">
      <x:alignment horizontal="center" vertical="top" wrapText="1"/>
    </x:xf>
    <x:xf numFmtId="0" fontId="0" fillId="50" borderId="0" xfId="0" applyNumberFormat="1" applyFont="1" applyFill="1" applyBorder="1"/>
    <x:xf numFmtId="0" fontId="1" fillId="50" borderId="0" xfId="0" applyNumberFormat="1" applyFont="1" applyFill="1" applyBorder="1"/>
    <x:xf numFmtId="0" fontId="1" fillId="50" borderId="0" xfId="0" applyNumberFormat="1" applyFont="1" applyFill="1" applyBorder="1" applyAlignment="1">
      <x:alignment horizontal="center"/>
    </x:xf>
    <x:xf numFmtId="0" fontId="1" fillId="50" borderId="0" xfId="0" applyNumberFormat="1" applyFont="1" applyFill="1" applyBorder="1" applyAlignment="1">
      <x:alignment horizontal="center" vertical="center"/>
    </x:xf>
    <x:xf numFmtId="0" fontId="0" fillId="51" borderId="0" xfId="0" applyNumberFormat="1" applyFont="1" applyFill="1" applyBorder="1"/>
    <x:xf numFmtId="0" fontId="12" fillId="51" borderId="0" xfId="0" applyNumberFormat="1" applyFont="1" applyFill="1" applyBorder="1"/>
    <x:xf numFmtId="0" fontId="12" fillId="51" borderId="0" xfId="0" applyNumberFormat="1" applyFont="1" applyFill="1" applyBorder="1" applyAlignment="1">
      <x:alignment horizontal="center"/>
    </x:xf>
    <x:xf numFmtId="0" fontId="0" fillId="52" borderId="0" xfId="0" applyNumberFormat="1" applyFont="1" applyFill="1" applyBorder="1"/>
    <x:xf numFmtId="0" fontId="11" fillId="52" borderId="0" xfId="0" applyNumberFormat="1" applyFont="1" applyFill="1" applyBorder="1"/>
    <x:xf numFmtId="0" fontId="11" fillId="52" borderId="0" xfId="0" applyNumberFormat="1" applyFont="1" applyFill="1" applyBorder="1" applyAlignment="1">
      <x:alignment wrapText="1"/>
    </x:xf>
    <x:xf numFmtId="0" fontId="11" fillId="52" borderId="0" xfId="0" applyNumberFormat="1" applyFont="1" applyFill="1" applyBorder="1" applyAlignment="1">
      <x:alignment horizontal="center" wrapText="1"/>
    </x:xf>
    <x:xf numFmtId="0" fontId="11" fillId="52" borderId="0" xfId="0" applyNumberFormat="1" applyFont="1" applyFill="1" applyBorder="1" applyAlignment="1">
      <x:alignment horizontal="center" vertical="center" wrapText="1"/>
    </x:xf>
    <x:xf numFmtId="0" fontId="0" fillId="49" borderId="0" xfId="0" applyNumberFormat="1" applyFont="1" applyFill="1" applyBorder="1"/>
    <x:xf numFmtId="0" fontId="2" fillId="49" borderId="0" xfId="0" applyNumberFormat="1" applyFont="1" applyFill="1" applyBorder="1"/>
    <x:xf numFmtId="0" fontId="2" fillId="49" borderId="0" xfId="0" applyNumberFormat="1" applyFont="1" applyFill="1" applyBorder="1" applyAlignment="1">
      <x:alignment horizontal="center"/>
    </x:xf>
    <x:xf numFmtId="0" fontId="14" fillId="50" borderId="0" xfId="0" applyNumberFormat="1" applyFont="1" applyFill="1" applyBorder="1"/>
    <x:xf numFmtId="0" fontId="14" fillId="50" borderId="0" xfId="0" applyNumberFormat="1" applyFont="1" applyFill="1" applyBorder="1" applyAlignment="1">
      <x:alignment horizontal="center"/>
    </x:xf>
    <x:xf numFmtId="0" fontId="14" fillId="50" borderId="0" xfId="0" applyNumberFormat="1" applyFont="1" applyFill="1" applyBorder="1" applyAlignment="1">
      <x:alignment horizontal="center" vertical="center"/>
    </x:xf>
    <x:xf numFmtId="0" fontId="0" fillId="53" borderId="0" xfId="0" applyNumberFormat="1" applyFont="1" applyFill="1" applyBorder="1"/>
    <x:xf numFmtId="0" fontId="1" fillId="53" borderId="0" xfId="0" applyNumberFormat="1" applyFont="1" applyFill="1" applyBorder="1"/>
    <x:xf numFmtId="0" fontId="1" fillId="53" borderId="0" xfId="0" applyNumberFormat="1" applyFont="1" applyFill="1" applyBorder="1" applyAlignment="1">
      <x:alignment horizontal="center"/>
    </x:xf>
    <x:xf numFmtId="0" fontId="1" fillId="53" borderId="0" xfId="0" applyNumberFormat="1" applyFont="1" applyFill="1" applyBorder="1" applyAlignment="1">
      <x:alignment horizontal="center" vertical="center"/>
    </x:xf>
    <x:xf numFmtId="0" fontId="0" fillId="54" borderId="0" xfId="0" applyNumberFormat="1" applyFont="1" applyFill="1" applyBorder="1"/>
    <x:xf numFmtId="0" fontId="12" fillId="54" borderId="0" xfId="0" applyNumberFormat="1" applyFont="1" applyFill="1" applyBorder="1"/>
    <x:xf numFmtId="0" fontId="12" fillId="54" borderId="0" xfId="0" applyNumberFormat="1" applyFont="1" applyFill="1" applyBorder="1" applyAlignment="1">
      <x:alignment horizontal="center"/>
    </x:xf>
    <x:xf numFmtId="0" fontId="0" fillId="55" borderId="0" xfId="0" applyNumberFormat="1" applyFont="1" applyFill="1" applyBorder="1"/>
    <x:xf numFmtId="0" fontId="2" fillId="55" borderId="0" xfId="0" applyNumberFormat="1" applyFont="1" applyFill="1" applyBorder="1"/>
    <x:xf numFmtId="0" fontId="2" fillId="55" borderId="0" xfId="0" applyNumberFormat="1" applyFont="1" applyFill="1" applyBorder="1" applyAlignment="1">
      <x:alignment horizontal="center"/>
    </x:xf>
    <x:xf numFmtId="0" fontId="2" fillId="55" borderId="0" xfId="0" applyNumberFormat="1" applyFont="1" applyFill="1" applyBorder="1" applyAlignment="1">
      <x:alignment horizontal="center" wrapText="1"/>
    </x:xf>
    <x:xf numFmtId="0" fontId="0" fillId="56" borderId="0" xfId="0" applyNumberFormat="1" applyFont="1" applyFill="1" applyBorder="1"/>
    <x:xf numFmtId="0" fontId="11" fillId="56" borderId="0" xfId="0" applyNumberFormat="1" applyFont="1" applyFill="1" applyBorder="1"/>
    <x:xf numFmtId="0" fontId="11" fillId="56" borderId="0" xfId="0" applyNumberFormat="1" applyFont="1" applyFill="1" applyBorder="1" applyAlignment="1">
      <x:alignment wrapText="1"/>
    </x:xf>
    <x:xf numFmtId="0" fontId="11" fillId="56" borderId="0" xfId="0" applyNumberFormat="1" applyFont="1" applyFill="1" applyBorder="1" applyAlignment="1">
      <x:alignment horizontal="center" wrapText="1"/>
    </x:xf>
    <x:xf numFmtId="0" fontId="11" fillId="56" borderId="0" xfId="0" applyNumberFormat="1" applyFont="1" applyFill="1" applyBorder="1" applyAlignment="1">
      <x:alignment horizontal="center" vertical="center" wrapText="1"/>
    </x:xf>
    <x:xf numFmtId="200" fontId="11" fillId="56" borderId="0" xfId="0" applyNumberFormat="1" applyFont="1" applyFill="1" applyBorder="1" applyAlignment="1">
      <x:alignment horizontal="center" vertical="center" wrapText="1"/>
    </x:xf>
    <x:xf numFmtId="0" fontId="0" fillId="57" borderId="0" xfId="0" applyNumberFormat="1" applyFont="1" applyFill="1" applyBorder="1"/>
    <x:xf numFmtId="0" fontId="2" fillId="57" borderId="0" xfId="0" applyNumberFormat="1" applyFont="1" applyFill="1" applyBorder="1"/>
    <x:xf numFmtId="0" fontId="2" fillId="57" borderId="0" xfId="0" applyNumberFormat="1" applyFont="1" applyFill="1" applyBorder="1" applyAlignment="1">
      <x:alignment wrapText="1"/>
    </x:xf>
    <x:xf numFmtId="0" fontId="2" fillId="57" borderId="0" xfId="0" applyNumberFormat="1" applyFont="1" applyFill="1" applyBorder="1" applyAlignment="1">
      <x:alignment horizontal="center" wrapText="1"/>
    </x:xf>
    <x:xf numFmtId="0" fontId="2" fillId="57" borderId="0" xfId="0" applyNumberFormat="1" applyFont="1" applyFill="1" applyBorder="1" applyAlignment="1">
      <x:alignment horizontal="center"/>
    </x:xf>
    <x:xf numFmtId="0" fontId="0" fillId="58" borderId="0" xfId="0" applyNumberFormat="1" applyFont="1" applyFill="1" applyBorder="1" applyAlignment="1">
      <x:alignment vertical="center" wrapText="1"/>
    </x:xf>
    <x:xf numFmtId="0" fontId="7" fillId="58" borderId="0" xfId="0" applyNumberFormat="1" applyFont="1" applyFill="1" applyBorder="1" applyAlignment="1">
      <x:alignment vertical="center" wrapText="1"/>
    </x:xf>
    <x:xf numFmtId="0" fontId="0" fillId="59" borderId="0" xfId="0" applyNumberFormat="1" applyFont="1" applyFill="1" applyBorder="1" applyAlignment="1">
      <x:alignment vertical="center" wrapText="1"/>
    </x:xf>
    <x:xf numFmtId="0" fontId="13" fillId="59" borderId="0" xfId="0" applyNumberFormat="1" applyFont="1" applyFill="1" applyBorder="1" applyAlignment="1">
      <x:alignment vertical="center" wrapText="1"/>
    </x:xf>
    <x:xf numFmtId="0" fontId="13" fillId="59" borderId="0" xfId="0" applyNumberFormat="1" applyFont="1" applyFill="1" applyBorder="1" applyAlignment="1">
      <x:alignment horizontal="center" vertical="center" wrapText="1"/>
    </x:xf>
    <x:xf numFmtId="0" fontId="0" fillId="60" borderId="0" xfId="0" applyNumberFormat="1" applyFont="1" applyFill="1" applyBorder="1" applyAlignment="1">
      <x:alignment vertical="center" wrapText="1"/>
    </x:xf>
    <x:xf numFmtId="0" fontId="16" fillId="60" borderId="0" xfId="0" applyNumberFormat="1" applyFont="1" applyFill="1" applyBorder="1" applyAlignment="1">
      <x:alignment vertical="center" wrapText="1"/>
    </x:xf>
    <x:xf numFmtId="0" fontId="16" fillId="60" borderId="0" xfId="0" applyNumberFormat="1" applyFont="1" applyFill="1" applyBorder="1" applyAlignment="1">
      <x:alignment horizontal="center" vertical="center" wrapText="1"/>
    </x:xf>
    <x:xf numFmtId="0" fontId="0" fillId="61" borderId="0" xfId="0" applyNumberFormat="1" applyFont="1" applyFill="1" applyBorder="1"/>
    <x:xf numFmtId="0" fontId="1" fillId="61" borderId="0" xfId="0" applyNumberFormat="1" applyFont="1" applyFill="1" applyBorder="1"/>
    <x:xf numFmtId="0" fontId="1" fillId="61" borderId="0" xfId="0" applyNumberFormat="1" applyFont="1" applyFill="1" applyBorder="1" applyAlignment="1">
      <x:alignment horizontal="center"/>
    </x:xf>
    <x:xf numFmtId="0" fontId="1" fillId="61" borderId="0" xfId="0" applyNumberFormat="1" applyFont="1" applyFill="1" applyBorder="1" applyAlignment="1">
      <x:alignment horizontal="center" vertical="center"/>
    </x:xf>
    <x:xf numFmtId="0" fontId="0" fillId="62" borderId="0" xfId="0" applyNumberFormat="1" applyFont="1" applyFill="1" applyBorder="1"/>
    <x:xf numFmtId="0" fontId="12" fillId="62" borderId="0" xfId="0" applyNumberFormat="1" applyFont="1" applyFill="1" applyBorder="1"/>
    <x:xf numFmtId="0" fontId="12" fillId="62" borderId="0" xfId="0" applyNumberFormat="1" applyFont="1" applyFill="1" applyBorder="1" applyAlignment="1">
      <x:alignment horizontal="center"/>
    </x:xf>
    <x:xf numFmtId="0" fontId="7" fillId="62" borderId="0" xfId="0" applyNumberFormat="1" applyFont="1" applyFill="1" applyBorder="1"/>
    <x:xf numFmtId="0" fontId="7" fillId="62" borderId="0" xfId="0" applyNumberFormat="1" applyFont="1" applyFill="1" applyBorder="1" applyAlignment="1">
      <x:alignment wrapText="1"/>
    </x:xf>
  </x:cellXfs>
  <x:cellStyles count="1">
    <x:cellStyle name="Normal" xfId="0"/>
  </x:cellStyles>
  <x:dxfs count="10">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patternType="solid">
          <x:bgColor rgb="FFDCFCE7"/>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a5a55642cbc4033" /><Relationship Type="http://schemas.openxmlformats.org/officeDocument/2006/relationships/theme" Target="/xl/theme/theme1.xml" Id="R35e6b98364be4a34" /><Relationship Type="http://schemas.openxmlformats.org/officeDocument/2006/relationships/sharedStrings" Target="/xl/sharedStrings.xml" Id="R0164e6f3f9764038" /><Relationship Type="http://schemas.openxmlformats.org/officeDocument/2006/relationships/worksheet" Target="/xl/worksheets/sheet1.xml" Id="Rb38e8a4f61594aee" /><Relationship Type="http://schemas.openxmlformats.org/officeDocument/2006/relationships/worksheet" Target="/xl/worksheets/sheet2.xml" Id="Rabb5bee9bf834dc0" /><Relationship Type="http://schemas.openxmlformats.org/officeDocument/2006/relationships/worksheet" Target="/xl/worksheets/sheet3.xml" Id="R0089d0dc1a6e4c24" /><Relationship Type="http://schemas.openxmlformats.org/officeDocument/2006/relationships/worksheet" Target="/xl/worksheets/sheet4.xml" Id="R060873ff0a7f42bf" /><Relationship Type="http://schemas.openxmlformats.org/officeDocument/2006/relationships/worksheet" Target="/xl/worksheets/sheet5.xml" Id="R176afcf8b4344370" /><Relationship Type="http://schemas.openxmlformats.org/officeDocument/2006/relationships/worksheet" Target="/xl/worksheets/sheet6.xml" Id="Rc7ede1695f6a4f4e" /><Relationship Type="http://schemas.openxmlformats.org/officeDocument/2006/relationships/worksheet" Target="/xl/worksheets/sheet7.xml" Id="R000278ebdf9d4af4" /><Relationship Type="http://schemas.openxmlformats.org/officeDocument/2006/relationships/worksheet" Target="/xl/worksheets/sheet8.xml" Id="Rf0590c8eeeb84de2" /><Relationship Type="http://schemas.openxmlformats.org/officeDocument/2006/relationships/worksheet" Target="/xl/worksheets/sheet9.xml" Id="R5813e172f376482f" /><Relationship Type="http://schemas.openxmlformats.org/officeDocument/2006/relationships/worksheet" Target="/xl/worksheets/sheet10.xml" Id="R96b283ff830a46dc" /><Relationship Type="http://schemas.openxmlformats.org/officeDocument/2006/relationships/worksheet" Target="/xl/worksheets/sheet11.xml" Id="R4721fe3193e64c2d" /><Relationship Type="http://schemas.openxmlformats.org/officeDocument/2006/relationships/worksheet" Target="/xl/worksheets/sheet12.xml" Id="R4b31c67ce0034663" /><Relationship Type="http://schemas.openxmlformats.org/officeDocument/2006/relationships/worksheet" Target="/xl/worksheets/sheet13.xml" Id="R38396cc900344886" /><Relationship Type="http://schemas.openxmlformats.org/officeDocument/2006/relationships/worksheet" Target="/xl/worksheets/sheet14.xml" Id="R421a09c48e1543db" /><Relationship Type="http://schemas.openxmlformats.org/officeDocument/2006/relationships/worksheet" Target="/xl/worksheets/sheet15.xml" Id="R27ae848b72004669" /><Relationship Type="http://schemas.openxmlformats.org/officeDocument/2006/relationships/worksheet" Target="/xl/worksheets/sheet16.xml" Id="Rcd3adafd6fd34a4f" /><Relationship Type="http://schemas.openxmlformats.org/officeDocument/2006/relationships/worksheet" Target="/xl/worksheets/sheet17.xml" Id="R2808624ef2014d98" /><Relationship Type="http://schemas.openxmlformats.org/officeDocument/2006/relationships/worksheet" Target="/xl/worksheets/sheet18.xml" Id="R33d232e868e34b64" /><Relationship Type="http://schemas.openxmlformats.org/officeDocument/2006/relationships/worksheet" Target="/xl/worksheets/sheet19.xml" Id="R58b142e4ee554bf9" /><Relationship Type="http://schemas.openxmlformats.org/officeDocument/2006/relationships/worksheet" Target="/xl/worksheets/sheet20.xml" Id="Rbc5890d39f7a4c34" /><Relationship Type="http://schemas.openxmlformats.org/officeDocument/2006/relationships/worksheet" Target="/xl/worksheets/sheet21.xml" Id="Rcc514175f00a40af" /><Relationship Type="http://schemas.openxmlformats.org/officeDocument/2006/relationships/worksheet" Target="/xl/worksheets/sheet22.xml" Id="R9bad4d7dc50e48bb" /><Relationship Type="http://schemas.openxmlformats.org/officeDocument/2006/relationships/worksheet" Target="/xl/worksheets/sheet23.xml" Id="Rf6742b3ab84545e9" /><Relationship Type="http://schemas.openxmlformats.org/officeDocument/2006/relationships/worksheet" Target="/xl/worksheets/sheet24.xml" Id="Re8226a1f8f634560" /><Relationship Type="http://schemas.openxmlformats.org/officeDocument/2006/relationships/worksheet" Target="/xl/worksheets/sheet25.xml" Id="R42048815bc67478f" /><Relationship Type="http://schemas.openxmlformats.org/officeDocument/2006/relationships/worksheet" Target="/xl/worksheets/sheet26.xml" Id="R062e164f32694eda" /><Relationship Type="http://schemas.openxmlformats.org/officeDocument/2006/relationships/worksheet" Target="/xl/worksheets/sheet27.xml" Id="Raed7165b431645dc" /><Relationship Type="http://schemas.openxmlformats.org/officeDocument/2006/relationships/worksheet" Target="/xl/worksheets/sheet28.xml" Id="R8277b9312e7243ae" /><Relationship Type="http://schemas.openxmlformats.org/officeDocument/2006/relationships/worksheet" Target="/xl/worksheets/sheet29.xml" Id="R007f865874ba4d6e" /><Relationship Type="http://schemas.openxmlformats.org/officeDocument/2006/relationships/worksheet" Target="/xl/worksheets/sheet30.xml" Id="Rea72380c0cd44800" /><Relationship Type="http://schemas.openxmlformats.org/officeDocument/2006/relationships/worksheet" Target="/xl/worksheets/sheet31.xml" Id="R6a95fd8a49ea4f37" /><Relationship Type="http://schemas.openxmlformats.org/officeDocument/2006/relationships/worksheet" Target="/xl/worksheets/sheet32.xml" Id="Rc4e1f8d955f54b13" /><Relationship Type="http://schemas.openxmlformats.org/officeDocument/2006/relationships/worksheet" Target="/xl/worksheets/sheet33.xml" Id="Rf5de254cf406496f" /><Relationship Type="http://schemas.openxmlformats.org/officeDocument/2006/relationships/worksheet" Target="/xl/worksheets/sheet34.xml" Id="R8487c1b50a9840fc" /><Relationship Type="http://schemas.openxmlformats.org/officeDocument/2006/relationships/worksheet" Target="/xl/worksheets/sheet35.xml" Id="Ra3b75609a5a5420e" /><Relationship Type="http://schemas.openxmlformats.org/officeDocument/2006/relationships/worksheet" Target="/xl/worksheets/sheet36.xml" Id="R6aec44a90e924697" /><Relationship Type="http://schemas.openxmlformats.org/officeDocument/2006/relationships/worksheet" Target="/xl/worksheets/sheet37.xml" Id="R3bc2efa7f1a14211" /><Relationship Type="http://schemas.openxmlformats.org/officeDocument/2006/relationships/worksheet" Target="/xl/worksheets/sheet38.xml" Id="R9d59a14c3d8748d6" /><Relationship Type="http://schemas.openxmlformats.org/officeDocument/2006/relationships/worksheet" Target="/xl/worksheets/sheet39.xml" Id="R175701ca91654362" /><Relationship Type="http://schemas.openxmlformats.org/officeDocument/2006/relationships/worksheet" Target="/xl/worksheets/sheet40.xml" Id="Reb5373a937a4483c" /><Relationship Type="http://schemas.openxmlformats.org/officeDocument/2006/relationships/worksheet" Target="/xl/worksheets/sheet41.xml" Id="Re044978628254065" /></Relationships>
</file>

<file path=xl/drawings/_rels/drawing1.xml.rels>&#65279;<?xml version="1.0" encoding="utf-8"?><Relationships xmlns="http://schemas.openxmlformats.org/package/2006/relationships"><Relationship Type="http://schemas.openxmlformats.org/officeDocument/2006/relationships/chart" Target="/xl/drawings/charts/chart1.xml" Id="R573dddfdbedd4060" /></Relationships>
</file>

<file path=xl/drawings/_rels/drawing2.xml.rels>&#65279;<?xml version="1.0" encoding="utf-8"?><Relationships xmlns="http://schemas.openxmlformats.org/package/2006/relationships"><Relationship Type="http://schemas.openxmlformats.org/officeDocument/2006/relationships/chart" Target="/xl/drawings/charts/chart2.xml" Id="R2076fbcf49d84b54" /></Relationships>
</file>

<file path=xl/drawings/_rels/drawing3.xml.rels>&#65279;<?xml version="1.0" encoding="utf-8"?><Relationships xmlns="http://schemas.openxmlformats.org/package/2006/relationships"><Relationship Type="http://schemas.openxmlformats.org/officeDocument/2006/relationships/chart" Target="/xl/drawings/charts/chart3.xml" Id="R011dc2bdd12f41f6" /></Relationships>
</file>

<file path=xl/drawings/_rels/drawing4.xml.rels>&#65279;<?xml version="1.0" encoding="utf-8"?><Relationships xmlns="http://schemas.openxmlformats.org/package/2006/relationships"><Relationship Type="http://schemas.openxmlformats.org/officeDocument/2006/relationships/chart" Target="/xl/drawings/charts/chart4.xml" Id="R4f98a1413bb1402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候補地カテゴリ構成</a:t>
            </a:r>
          </a:p>
        </c:rich>
      </c:tx>
      <c:overlay val="0"/>
    </c:title>
    <c:autoTitleDeleted val="0"/>
    <c:plotArea>
      <c:layout/>
      <c:barChart>
        <c:barDir val="col"/>
        <c:varyColors val="0"/>
        <c:ser>
          <c:idx val="0"/>
          <c:order val="0"/>
          <c:tx>
            <c:v>地点数</c:v>
          </c:tx>
          <c:cat>
            <c:strRef>
              <c:f>'概要'!$D$5:$D$17</c:f>
              <c:strCache>
                <c:ptCount val="0"/>
              </c:strCache>
            </c:strRef>
          </c:cat>
          <c:val>
            <c:numRef>
              <c:f>'概要'!$E$5:$E$17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近距離コア｜最終目的地力 TOP10</a:t>
            </a:r>
          </a:p>
        </c:rich>
      </c:tx>
      <c:overlay val="0"/>
    </c:title>
    <c:autoTitleDeleted val="0"/>
    <c:plotArea>
      <c:layout/>
      <c:barChart>
        <c:barDir val="col"/>
        <c:varyColors val="0"/>
        <c:ser>
          <c:idx val="0"/>
          <c:order val="0"/>
          <c:tx>
            <c:v>最終目的地力</c:v>
          </c:tx>
          <c:cat>
            <c:strRef>
              <c:f>'今すぐ出発'!$B$53:$B$62</c:f>
              <c:strCache>
                <c:ptCount val="0"/>
              </c:strCache>
            </c:strRef>
          </c:cat>
          <c:val>
            <c:numRef>
              <c:f>'今すぐ出発'!$C$53:$C$62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差替えルート｜経由地品質 Before / After</a:t>
            </a:r>
          </a:p>
        </c:rich>
      </c:tx>
      <c:overlay val="0"/>
    </c:title>
    <c:autoTitleDeleted val="0"/>
    <c:plotArea>
      <c:layout/>
      <c:barChart>
        <c:barDir val="col"/>
        <c:grouping val="clustered"/>
        <c:varyColors val="0"/>
        <c:ser>
          <c:idx val="0"/>
          <c:order val="0"/>
          <c:tx>
            <c:v>改善前</c:v>
          </c:tx>
          <c:cat>
            <c:strRef>
              <c:f>'経由地改善サマリー'!$A$21:$A$28</c:f>
              <c:strCache>
                <c:ptCount val="0"/>
              </c:strCache>
            </c:strRef>
          </c:cat>
          <c:val>
            <c:numRef>
              <c:f>'経由地改善サマリー'!$B$21:$B$28</c:f>
              <c:numCache>
                <c:formatCode>General</c:formatCode>
                <c:ptCount val="0"/>
              </c:numCache>
            </c:numRef>
          </c:val>
        </c:ser>
        <c:ser>
          <c:idx val="1"/>
          <c:order val="1"/>
          <c:tx>
            <c:v>改善後</c:v>
          </c:tx>
          <c:cat>
            <c:strRef>
              <c:f>'経由地改善サマリー'!$A$21:$A$28</c:f>
              <c:strCache>
                <c:ptCount val="0"/>
              </c:strCache>
            </c:strRef>
          </c:cat>
          <c:val>
            <c:numRef>
              <c:f>'経由地改善サマリー'!$C$21:$C$28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低多様性ルート｜多様性と経由地品質</a:t>
            </a:r>
          </a:p>
        </c:rich>
      </c:tx>
      <c:overlay val="0"/>
    </c:title>
    <c:autoTitleDeleted val="0"/>
    <c:plotArea>
      <c:layout/>
      <c:barChart>
        <c:barDir val="col"/>
        <c:grouping val="clustered"/>
        <c:varyColors val="0"/>
        <c:ser>
          <c:idx val="0"/>
          <c:order val="0"/>
          <c:tx>
            <c:v>多様性</c:v>
          </c:tx>
          <c:cat>
            <c:strRef>
              <c:f>'経由地多様性サマリー'!$A$39:$A$48</c:f>
              <c:strCache>
                <c:ptCount val="0"/>
              </c:strCache>
            </c:strRef>
          </c:cat>
          <c:val>
            <c:numRef>
              <c:f>'経由地多様性サマリー'!$B$39:$B$48</c:f>
              <c:numCache>
                <c:formatCode>General</c:formatCode>
                <c:ptCount val="0"/>
              </c:numCache>
            </c:numRef>
          </c:val>
        </c:ser>
        <c:ser>
          <c:idx val="1"/>
          <c:order val="1"/>
          <c:tx>
            <c:v>経由地品質</c:v>
          </c:tx>
          <c:cat>
            <c:strRef>
              <c:f>'経由地多様性サマリー'!$A$39:$A$48</c:f>
              <c:strCache>
                <c:ptCount val="0"/>
              </c:strCache>
            </c:strRef>
          </c:cat>
          <c:val>
            <c:numRef>
              <c:f>'経由地多様性サマリー'!$C$39:$C$48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73dddfdbedd4060"/>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51</xdr:row>
      <xdr:rowOff>0</xdr:rowOff>
    </xdr:from>
    <xdr:to>
      <xdr:col>14</xdr:col>
      <xdr:colOff>0</xdr:colOff>
      <xdr:row>70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076fbcf49d84b54"/>
        </a:graphicData>
      </a:graphic>
    </xdr:graphicFrame>
    <xdr:clientData/>
  </xdr:twoCellAnchor>
</xdr:wsDr>
</file>

<file path=xl/drawings/drawing3.xml><?xml version="1.0" encoding="utf-8"?>
<xdr:wsDr xmlns:xdr="http://schemas.openxmlformats.org/drawingml/2006/spreadsheetDrawing">
  <xdr:twoCellAnchor>
    <xdr:from>
      <xdr:col>11</xdr:col>
      <xdr:colOff>0</xdr:colOff>
      <xdr:row>3</xdr:row>
      <xdr:rowOff>0</xdr:rowOff>
    </xdr:from>
    <xdr:to>
      <xdr:col>20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11dc2bdd12f41f6"/>
        </a:graphicData>
      </a:graphic>
    </xdr:graphicFrame>
    <xdr:clientData/>
  </xdr:twoCellAnchor>
</xdr:wsDr>
</file>

<file path=xl/drawings/drawing4.xml><?xml version="1.0" encoding="utf-8"?>
<xdr:wsDr xmlns:xdr="http://schemas.openxmlformats.org/drawingml/2006/spreadsheetDrawing">
  <xdr:twoCellAnchor>
    <xdr:from>
      <xdr:col>11</xdr:col>
      <xdr:colOff>0</xdr:colOff>
      <xdr:row>3</xdr:row>
      <xdr:rowOff>0</xdr:rowOff>
    </xdr:from>
    <xdr:to>
      <xdr:col>20</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98a1413bb14024"/>
        </a:graphicData>
      </a:graphic>
    </xdr:graphicFrame>
    <xdr:clientData/>
  </xdr:twoCellAnchor>
</xdr:wsDr>
</file>

<file path=xl/tables/table1.xml><?xml version="1.0" encoding="utf-8"?>
<x:table xmlns:x="http://schemas.openxmlformats.org/spreadsheetml/2006/main" id="116" name="DestinationsTable" displayName="DestinationsTable" ref="A1:AE276" headerRowCount="1">
  <x:tableColumns count="31">
    <x:tableColumn id="1" name="ID"/>
    <x:tableColumn id="2" name="名称"/>
    <x:tableColumn id="3" name="エリア"/>
    <x:tableColumn id="4" name="カテゴリ"/>
    <x:tableColumn id="5" name="現在地→目的地（クリック）"/>
    <x:tableColumn id="6" name="経由地・最終目的地として成立する理由"/>
    <x:tableColumn id="7" name="駐車場"/>
    <x:tableColumn id="8" name="利用可能時間"/>
    <x:tableColumn id="9" name="夜間適性（並べ替え可）"/>
    <x:tableColumn id="10" name="穴場度(1-5)"/>
    <x:tableColumn id="11" name="注意事項"/>
    <x:tableColumn id="12" name="確認日"/>
    <x:tableColumn id="13" name="確認状態"/>
    <x:tableColumn id="14" name="情報源URL"/>
    <x:tableColumn id="15" name="Wikipedia由来の豆知識"/>
    <x:tableColumn id="16" name="Wikipedia・関連項目（クリック）"/>
    <x:tableColumn id="17" name="品質補足・ブラッシュアップ履歴"/>
    <x:tableColumn id="18" name="距離帯"/>
    <x:tableColumn id="19" name="蒲田からの概算距離"/>
    <x:tableColumn id="20" name="通常時の概算所要時間"/>
    <x:tableColumn id="21" name="主な使いどころ"/>
    <x:tableColumn id="22" name="滞在目安"/>
    <x:tableColumn id="23" name="雨天適性"/>
    <x:tableColumn id="24" name="車内鑑賞適性"/>
    <x:tableColumn id="25" name="代替地点"/>
    <x:tableColumn id="26" name="組み合わせやすい経由地"/>
    <x:tableColumn id="27" name="路上短時間アクセス"/>
    <x:tableColumn id="28" name="路上合法性確度"/>
    <x:tableColumn id="29" name="路上利用条件"/>
    <x:tableColumn id="30" name="路上利用の適用範囲"/>
    <x:tableColumn id="31" name="現地確認必須"/>
  </x:tableColumns>
  <x:tableStyleInfo name="TableStyleMedium2" showRowStripes="1"/>
</x:table>
</file>

<file path=xl/tables/table2.xml><?xml version="1.0" encoding="utf-8"?>
<x:table xmlns:x="http://schemas.openxmlformats.org/spreadsheetml/2006/main" id="100" name="RoutesTable" displayName="RoutesTable" ref="A1:Z153" headerRowCount="1">
  <x:tableColumns count="26">
    <x:tableColumn id="1" name="ルートID"/>
    <x:tableColumn id="2" name="タイトル"/>
    <x:tableColumn id="3" name="テーマ"/>
    <x:tableColumn id="4" name="起点"/>
    <x:tableColumn id="5" name="経由地1"/>
    <x:tableColumn id="6" name="経由地2"/>
    <x:tableColumn id="7" name="経由地3"/>
    <x:tableColumn id="8" name="最終目的地"/>
    <x:tableColumn id="9" name="想定総時間"/>
    <x:tableColumn id="10" name="夜間適性（並べ替え可）"/>
    <x:tableColumn id="11" name="注意事項"/>
    <x:tableColumn id="12" name="現在地→経由地→最終目的地（クリック）"/>
    <x:tableColumn id="13" name="ルート区分"/>
    <x:tableColumn id="14" name="経由地品質(0-100)"/>
    <x:tableColumn id="15" name="改善状態"/>
    <x:tableColumn id="16" name="経由地設計意図"/>
    <x:tableColumn id="17" name="差替え・役割履歴"/>
    <x:tableColumn id="18" name="更新日"/>
    <x:tableColumn id="19" name="経由地多様性"/>
    <x:tableColumn id="20" name="使用過多ペナルティ"/>
    <x:tableColumn id="21" name="体験遷移"/>
    <x:tableColumn id="22" name="推奨滞在配分"/>
    <x:tableColumn id="23" name="駐車方式"/>
    <x:tableColumn id="24" name="スキップ基準"/>
    <x:tableColumn id="25" name="ルート系統"/>
    <x:tableColumn id="26" name="走行演出"/>
  </x:tableColumns>
  <x:tableStyleInfo name="TableStyleMedium2" showRowStripes="1"/>
</x:table>
</file>

<file path=xl/tables/table3.xml><?xml version="1.0" encoding="utf-8"?>
<x:table xmlns:x="http://schemas.openxmlformats.org/spreadsheetml/2006/main" id="89" name="NightSuitabilityTable" displayName="NightSuitabilityTable" ref="A1:Q259" headerRowCount="1">
  <x:tableColumns count="17">
    <x:tableColumn id="1" name="ID"/>
    <x:tableColumn id="2" name="名称"/>
    <x:tableColumn id="3" name="エリア"/>
    <x:tableColumn id="4" name="カテゴリ"/>
    <x:tableColumn id="5" name="現在地→目的地（クリック）"/>
    <x:tableColumn id="6" name="経由地・最終目的地として成立する理由"/>
    <x:tableColumn id="7" name="駐車場"/>
    <x:tableColumn id="8" name="利用可能時間"/>
    <x:tableColumn id="9" name="夜間適性（並べ替え可）"/>
    <x:tableColumn id="10" name="穴場度(1-5)"/>
    <x:tableColumn id="11" name="注意事項"/>
    <x:tableColumn id="12" name="確認日"/>
    <x:tableColumn id="13" name="確認状態"/>
    <x:tableColumn id="14" name="情報源URL"/>
    <x:tableColumn id="15" name="Wikipedia由来の豆知識"/>
    <x:tableColumn id="16" name="Wikipedia・関連項目（クリック）"/>
    <x:tableColumn id="17" name="品質補足・ブラッシュアップ履歴"/>
  </x:tableColumns>
  <x:tableStyleInfo name="TableStyleMedium2" showRowStripes="1"/>
</x:table>
</file>

<file path=xl/tables/table4.xml><?xml version="1.0" encoding="utf-8"?>
<x:table xmlns:x="http://schemas.openxmlformats.org/spreadsheetml/2006/main" id="124" name="QualityUpdateTable" displayName="QualityUpdateTable" ref="A1:F80" headerRowCount="1">
  <x:tableColumns count="6">
    <x:tableColumn id="1" name="更新日"/>
    <x:tableColumn id="2" name="バージョン"/>
    <x:tableColumn id="3" name="対象"/>
    <x:tableColumn id="4" name="更新内容"/>
    <x:tableColumn id="5" name="品質改善の狙い"/>
    <x:tableColumn id="6" name="根拠URL"/>
  </x:tableColumns>
  <x:tableStyleInfo name="TableStyleMedium2" showRowStripes="1"/>
</x:table>
</file>

<file path=xl/tables/table5.xml><?xml version="1.0" encoding="utf-8"?>
<x:table xmlns:x="http://schemas.openxmlformats.org/spreadsheetml/2006/main" id="117" name="CoreDestinationsTable" displayName="CoreDestinationsTable" ref="A1:AE94" headerRowCount="1">
  <x:tableColumns count="31">
    <x:tableColumn id="1" name="ID"/>
    <x:tableColumn id="2" name="名称"/>
    <x:tableColumn id="3" name="エリア"/>
    <x:tableColumn id="4" name="カテゴリ"/>
    <x:tableColumn id="5" name="現在地→目的地（クリック）"/>
    <x:tableColumn id="6" name="経由地・最終目的地として成立する理由"/>
    <x:tableColumn id="7" name="駐車場"/>
    <x:tableColumn id="8" name="利用可能時間"/>
    <x:tableColumn id="9" name="夜間適性（並べ替え可）"/>
    <x:tableColumn id="10" name="穴場度(1-5)"/>
    <x:tableColumn id="11" name="注意事項"/>
    <x:tableColumn id="12" name="確認日"/>
    <x:tableColumn id="13" name="確認状態"/>
    <x:tableColumn id="14" name="情報源URL"/>
    <x:tableColumn id="15" name="Wikipedia由来の豆知識"/>
    <x:tableColumn id="16" name="Wikipedia・関連項目（クリック）"/>
    <x:tableColumn id="17" name="品質補足・ブラッシュアップ履歴"/>
    <x:tableColumn id="18" name="距離帯"/>
    <x:tableColumn id="19" name="蒲田からの概算距離"/>
    <x:tableColumn id="20" name="通常時の概算所要時間"/>
    <x:tableColumn id="21" name="主な使いどころ"/>
    <x:tableColumn id="22" name="滞在目安"/>
    <x:tableColumn id="23" name="雨天適性"/>
    <x:tableColumn id="24" name="車内鑑賞適性"/>
    <x:tableColumn id="25" name="代替地点"/>
    <x:tableColumn id="26" name="組み合わせやすい経由地"/>
    <x:tableColumn id="27" name="路上短時間アクセス"/>
    <x:tableColumn id="28" name="路上合法性確度"/>
    <x:tableColumn id="29" name="路上利用条件"/>
    <x:tableColumn id="30" name="路上利用の適用範囲"/>
    <x:tableColumn id="31" name="現地確認必須"/>
  </x:tableColumns>
  <x:tableStyleInfo name="TableStyleMedium2" showRowStripes="1"/>
</x:table>
</file>

<file path=xl/tables/table6.xml><?xml version="1.0" encoding="utf-8"?>
<x:table xmlns:x="http://schemas.openxmlformats.org/spreadsheetml/2006/main" id="118" name="SemiCoreDestinationsTable" displayName="SemiCoreDestinationsTable" ref="A1:AE23" headerRowCount="1">
  <x:tableColumns count="31">
    <x:tableColumn id="1" name="ID"/>
    <x:tableColumn id="2" name="名称"/>
    <x:tableColumn id="3" name="エリア"/>
    <x:tableColumn id="4" name="カテゴリ"/>
    <x:tableColumn id="5" name="現在地→目的地（クリック）"/>
    <x:tableColumn id="6" name="経由地・最終目的地として成立する理由"/>
    <x:tableColumn id="7" name="駐車場"/>
    <x:tableColumn id="8" name="利用可能時間"/>
    <x:tableColumn id="9" name="夜間適性（並べ替え可）"/>
    <x:tableColumn id="10" name="穴場度(1-5)"/>
    <x:tableColumn id="11" name="注意事項"/>
    <x:tableColumn id="12" name="確認日"/>
    <x:tableColumn id="13" name="確認状態"/>
    <x:tableColumn id="14" name="情報源URL"/>
    <x:tableColumn id="15" name="Wikipedia由来の豆知識"/>
    <x:tableColumn id="16" name="Wikipedia・関連項目（クリック）"/>
    <x:tableColumn id="17" name="品質補足・ブラッシュアップ履歴"/>
    <x:tableColumn id="18" name="距離帯"/>
    <x:tableColumn id="19" name="蒲田からの概算距離"/>
    <x:tableColumn id="20" name="通常時の概算所要時間"/>
    <x:tableColumn id="21" name="主な使いどころ"/>
    <x:tableColumn id="22" name="滞在目安"/>
    <x:tableColumn id="23" name="雨天適性"/>
    <x:tableColumn id="24" name="車内鑑賞適性"/>
    <x:tableColumn id="25" name="代替地点"/>
    <x:tableColumn id="26" name="組み合わせやすい経由地"/>
    <x:tableColumn id="27" name="路上短時間アクセス"/>
    <x:tableColumn id="28" name="路上合法性確度"/>
    <x:tableColumn id="29" name="路上利用条件"/>
    <x:tableColumn id="30" name="路上利用の適用範囲"/>
    <x:tableColumn id="31" name="現地確認必須"/>
  </x:tableColumns>
  <x:tableStyleInfo name="TableStyleMedium2" showRowStripes="1"/>
</x:table>
</file>

<file path=xl/tables/table7.xml><?xml version="1.0" encoding="utf-8"?>
<x:table xmlns:x="http://schemas.openxmlformats.org/spreadsheetml/2006/main" id="119" name="ArchiveDestinationsTable" displayName="ArchiveDestinationsTable" ref="A1:AE161" headerRowCount="1">
  <x:tableColumns count="31">
    <x:tableColumn id="1" name="ID"/>
    <x:tableColumn id="2" name="名称"/>
    <x:tableColumn id="3" name="エリア"/>
    <x:tableColumn id="4" name="カテゴリ"/>
    <x:tableColumn id="5" name="現在地→目的地（クリック）"/>
    <x:tableColumn id="6" name="経由地・最終目的地として成立する理由"/>
    <x:tableColumn id="7" name="駐車場"/>
    <x:tableColumn id="8" name="利用可能時間"/>
    <x:tableColumn id="9" name="夜間適性（並べ替え可）"/>
    <x:tableColumn id="10" name="穴場度(1-5)"/>
    <x:tableColumn id="11" name="注意事項"/>
    <x:tableColumn id="12" name="確認日"/>
    <x:tableColumn id="13" name="確認状態"/>
    <x:tableColumn id="14" name="情報源URL"/>
    <x:tableColumn id="15" name="Wikipedia由来の豆知識"/>
    <x:tableColumn id="16" name="Wikipedia・関連項目（クリック）"/>
    <x:tableColumn id="17" name="品質補足・ブラッシュアップ履歴"/>
    <x:tableColumn id="18" name="距離帯"/>
    <x:tableColumn id="19" name="蒲田からの概算距離"/>
    <x:tableColumn id="20" name="通常時の概算所要時間"/>
    <x:tableColumn id="21" name="主な使いどころ"/>
    <x:tableColumn id="22" name="滞在目安"/>
    <x:tableColumn id="23" name="雨天適性"/>
    <x:tableColumn id="24" name="車内鑑賞適性"/>
    <x:tableColumn id="25" name="代替地点"/>
    <x:tableColumn id="26" name="組み合わせやすい経由地"/>
    <x:tableColumn id="27" name="路上短時間アクセス"/>
    <x:tableColumn id="28" name="路上合法性確度"/>
    <x:tableColumn id="29" name="路上利用条件"/>
    <x:tableColumn id="30" name="路上利用の適用範囲"/>
    <x:tableColumn id="31" name="現地確認必須"/>
  </x:tableColumns>
  <x:tableStyleInfo name="TableStyleMedium2" showRowStripes="1"/>
</x:table>
</file>

<file path=xl/tables/table8.xml><?xml version="1.0" encoding="utf-8"?>
<x:table xmlns:x="http://schemas.openxmlformats.org/spreadsheetml/2006/main" id="120" name="NightCoreTable" displayName="NightCoreTable" ref="A1:AE94" headerRowCount="1">
  <x:tableColumns count="31">
    <x:tableColumn id="1" name="ID"/>
    <x:tableColumn id="2" name="名称"/>
    <x:tableColumn id="3" name="エリア"/>
    <x:tableColumn id="4" name="カテゴリ"/>
    <x:tableColumn id="5" name="現在地→目的地（クリック）"/>
    <x:tableColumn id="6" name="経由地・最終目的地として成立する理由"/>
    <x:tableColumn id="7" name="駐車場"/>
    <x:tableColumn id="8" name="利用可能時間"/>
    <x:tableColumn id="9" name="夜間適性（並べ替え可）"/>
    <x:tableColumn id="10" name="穴場度(1-5)"/>
    <x:tableColumn id="11" name="注意事項"/>
    <x:tableColumn id="12" name="確認日"/>
    <x:tableColumn id="13" name="確認状態"/>
    <x:tableColumn id="14" name="情報源URL"/>
    <x:tableColumn id="15" name="Wikipedia由来の豆知識"/>
    <x:tableColumn id="16" name="Wikipedia・関連項目（クリック）"/>
    <x:tableColumn id="17" name="品質補足・ブラッシュアップ履歴"/>
    <x:tableColumn id="18" name="距離帯"/>
    <x:tableColumn id="19" name="蒲田からの概算距離"/>
    <x:tableColumn id="20" name="通常時の概算所要時間"/>
    <x:tableColumn id="21" name="主な使いどころ"/>
    <x:tableColumn id="22" name="滞在目安"/>
    <x:tableColumn id="23" name="雨天適性"/>
    <x:tableColumn id="24" name="車内鑑賞適性"/>
    <x:tableColumn id="25" name="代替地点"/>
    <x:tableColumn id="26" name="組み合わせやすい経由地"/>
    <x:tableColumn id="27" name="路上短時間アクセス"/>
    <x:tableColumn id="28" name="路上合法性確度"/>
    <x:tableColumn id="29" name="路上利用条件"/>
    <x:tableColumn id="30" name="路上利用の適用範囲"/>
    <x:tableColumn id="31" name="現地確認必須"/>
  </x:tableColumns>
  <x:tableStyleInfo name="TableStyleMedium2" showRowStripes="1"/>
</x:table>
</file>

<file path=xl/tables/table9.xml><?xml version="1.0" encoding="utf-8"?>
<x:table xmlns:x="http://schemas.openxmlformats.org/spreadsheetml/2006/main" id="105" name="NearRoutesTable" displayName="NearRoutesTable" ref="A1:Z46" headerRowCount="1">
  <x:tableColumns count="26">
    <x:tableColumn id="1" name="ルートID"/>
    <x:tableColumn id="2" name="タイトル"/>
    <x:tableColumn id="3" name="テーマ"/>
    <x:tableColumn id="4" name="起点"/>
    <x:tableColumn id="5" name="経由地1"/>
    <x:tableColumn id="6" name="経由地2"/>
    <x:tableColumn id="7" name="経由地3"/>
    <x:tableColumn id="8" name="最終目的地"/>
    <x:tableColumn id="9" name="想定総時間"/>
    <x:tableColumn id="10" name="夜間適性（並べ替え可）"/>
    <x:tableColumn id="11" name="注意事項"/>
    <x:tableColumn id="12" name="現在地→経由地→最終目的地（クリック）"/>
    <x:tableColumn id="13" name="ルート区分"/>
    <x:tableColumn id="14" name="経由地品質(0-100)"/>
    <x:tableColumn id="15" name="改善状態"/>
    <x:tableColumn id="16" name="経由地設計意図"/>
    <x:tableColumn id="17" name="差替え・役割履歴"/>
    <x:tableColumn id="18" name="更新日"/>
    <x:tableColumn id="19" name="経由地多様性"/>
    <x:tableColumn id="20" name="使用過多ペナルティ"/>
    <x:tableColumn id="21" name="体験遷移"/>
    <x:tableColumn id="22" name="推奨滞在配分"/>
    <x:tableColumn id="23" name="駐車方式"/>
    <x:tableColumn id="24" name="スキップ基準"/>
    <x:tableColumn id="25" name="ルート系統"/>
    <x:tableColumn id="26" name="走行演出"/>
  </x:tableColumns>
  <x:tableStyleInfo name="TableStyleMedium2" showRowStripes="1"/>
</x:table>
</file>

<file path=xl/tables/table10.xml><?xml version="1.0" encoding="utf-8"?>
<x:table xmlns:x="http://schemas.openxmlformats.org/spreadsheetml/2006/main" id="106" name="BroadRoutesTable" displayName="BroadRoutesTable" ref="A1:Z108" headerRowCount="1">
  <x:tableColumns count="26">
    <x:tableColumn id="1" name="ルートID"/>
    <x:tableColumn id="2" name="タイトル"/>
    <x:tableColumn id="3" name="テーマ"/>
    <x:tableColumn id="4" name="起点"/>
    <x:tableColumn id="5" name="経由地1"/>
    <x:tableColumn id="6" name="経由地2"/>
    <x:tableColumn id="7" name="経由地3"/>
    <x:tableColumn id="8" name="最終目的地"/>
    <x:tableColumn id="9" name="想定総時間"/>
    <x:tableColumn id="10" name="夜間適性（並べ替え可）"/>
    <x:tableColumn id="11" name="注意事項"/>
    <x:tableColumn id="12" name="現在地→経由地→最終目的地（クリック）"/>
    <x:tableColumn id="13" name="ルート区分"/>
    <x:tableColumn id="14" name="経由地品質(0-100)"/>
    <x:tableColumn id="15" name="改善状態"/>
    <x:tableColumn id="16" name="経由地設計意図"/>
    <x:tableColumn id="17" name="差替え・役割履歴"/>
    <x:tableColumn id="18" name="更新日"/>
    <x:tableColumn id="19" name="経由地多様性"/>
    <x:tableColumn id="20" name="使用過多ペナルティ"/>
    <x:tableColumn id="21" name="体験遷移"/>
    <x:tableColumn id="22" name="推奨滞在配分"/>
    <x:tableColumn id="23" name="駐車方式"/>
    <x:tableColumn id="24" name="スキップ基準"/>
    <x:tableColumn id="25" name="ルート系統"/>
    <x:tableColumn id="26" name="走行演出"/>
  </x:tableColumns>
  <x:tableStyleInfo name="TableStyleMedium2" showRowStripes="1"/>
</x:table>
</file>

<file path=xl/tables/table11.xml><?xml version="1.0" encoding="utf-8"?>
<x:table xmlns:x="http://schemas.openxmlformats.org/spreadsheetml/2006/main" id="40" name="DuplicateCandidatesTable" displayName="DuplicateCandidatesTable" ref="A1:D17" headerRowCount="1">
  <x:tableColumns count="4">
    <x:tableColumn id="1" name="地点名"/>
    <x:tableColumn id="2" name="件数"/>
    <x:tableColumn id="3" name="ID"/>
    <x:tableColumn id="4" name="対応方針"/>
  </x:tableColumns>
  <x:tableStyleInfo name="TableStyleMedium2" showRowStripes="1"/>
</x:table>
</file>

<file path=xl/tables/table12.xml><?xml version="1.0" encoding="utf-8"?>
<x:table xmlns:x="http://schemas.openxmlformats.org/spreadsheetml/2006/main" id="92" name="UseCaseRankingTable" displayName="UseCaseRankingTable" ref="A1:K81" headerRowCount="1">
  <x:tableColumns count="11">
    <x:tableColumn id="1" name="用途"/>
    <x:tableColumn id="2" name="順位"/>
    <x:tableColumn id="3" name="地点名"/>
    <x:tableColumn id="4" name="スコア"/>
    <x:tableColumn id="5" name="距離帯"/>
    <x:tableColumn id="6" name="所要時間"/>
    <x:tableColumn id="7" name="夜間"/>
    <x:tableColumn id="8" name="雨天"/>
    <x:tableColumn id="9" name="車内"/>
    <x:tableColumn id="10" name="一言判断"/>
    <x:tableColumn id="11" name="ナビ"/>
  </x:tableColumns>
  <x:tableStyleInfo name="TableStyleMedium2" showRowStripes="1"/>
</x:table>
</file>

<file path=xl/tables/table13.xml><?xml version="1.0" encoding="utf-8"?>
<x:table xmlns:x="http://schemas.openxmlformats.org/spreadsheetml/2006/main" id="121" name="CoreScoringTable" displayName="CoreScoringTable" ref="A1:AF94" headerRowCount="1">
  <x:tableColumns count="32">
    <x:tableColumn id="1" name="ID"/>
    <x:tableColumn id="2" name="名称"/>
    <x:tableColumn id="3" name="エリア"/>
    <x:tableColumn id="4" name="カテゴリ"/>
    <x:tableColumn id="5" name="Googleマップ"/>
    <x:tableColumn id="6" name="距離帯"/>
    <x:tableColumn id="7" name="概算距離"/>
    <x:tableColumn id="8" name="概算所要時間"/>
    <x:tableColumn id="9" name="夜間適性"/>
    <x:tableColumn id="10" name="穴場度"/>
    <x:tableColumn id="11" name="雨天適性"/>
    <x:tableColumn id="12" name="車内鑑賞"/>
    <x:tableColumn id="13" name="駐車確実性"/>
    <x:tableColumn id="14" name="閉場余裕"/>
    <x:tableColumn id="15" name="平日夜90分"/>
    <x:tableColumn id="16" name="深夜2時間"/>
    <x:tableColumn id="17" name="雨天"/>
    <x:tableColumn id="18" name="飛行機"/>
    <x:tableColumn id="19" name="海・港"/>
    <x:tableColumn id="20" name="工場夜景"/>
    <x:tableColumn id="21" name="静かな場所"/>
    <x:tableColumn id="22" name="休日半日"/>
    <x:tableColumn id="23" name="最終目的地力"/>
    <x:tableColumn id="24" name="推奨用途"/>
    <x:tableColumn id="25" name="推奨到着"/>
    <x:tableColumn id="26" name="一言判断"/>
    <x:tableColumn id="27" name="成立理由"/>
    <x:tableColumn id="28" name="注意事項"/>
    <x:tableColumn id="29" name="代替地点"/>
    <x:tableColumn id="30" name="組合せやすい経由地"/>
    <x:tableColumn id="31" name="路上短時間適性"/>
    <x:tableColumn id="32" name="路上合法性確度"/>
  </x:tableColumns>
  <x:tableStyleInfo name="TableStyleMedium2" showRowStripes="1"/>
</x:table>
</file>

<file path=xl/tables/table14.xml><?xml version="1.0" encoding="utf-8"?>
<x:table xmlns:x="http://schemas.openxmlformats.org/spreadsheetml/2006/main" id="109" name="RouteScoringTable" displayName="RouteScoringTable" ref="A1:AB46" headerRowCount="1">
  <x:tableColumns count="28">
    <x:tableColumn id="1" name="ルートID"/>
    <x:tableColumn id="2" name="タイトル"/>
    <x:tableColumn id="3" name="テーマ"/>
    <x:tableColumn id="4" name="経由地1"/>
    <x:tableColumn id="5" name="経由地2"/>
    <x:tableColumn id="6" name="経由地3"/>
    <x:tableColumn id="7" name="最終目的地"/>
    <x:tableColumn id="8" name="想定総時間"/>
    <x:tableColumn id="9" name="夜間適性"/>
    <x:tableColumn id="10" name="実現確実性"/>
    <x:tableColumn id="11" name="所要上限分"/>
    <x:tableColumn id="12" name="平日夜90分"/>
    <x:tableColumn id="13" name="深夜2時間"/>
    <x:tableColumn id="14" name="雨天"/>
    <x:tableColumn id="15" name="飛行機"/>
    <x:tableColumn id="16" name="海・港"/>
    <x:tableColumn id="17" name="工場夜景"/>
    <x:tableColumn id="18" name="静かな場所"/>
    <x:tableColumn id="19" name="休日半日"/>
    <x:tableColumn id="20" name="ルート総合"/>
    <x:tableColumn id="21" name="注意事項"/>
    <x:tableColumn id="22" name="Googleマップ"/>
    <x:tableColumn id="23" name="経由地品質"/>
    <x:tableColumn id="24" name="経由地多様性"/>
    <x:tableColumn id="25" name="使用過多ペナルティ"/>
    <x:tableColumn id="26" name="ルート系統"/>
    <x:tableColumn id="27" name="ルート区分"/>
    <x:tableColumn id="28" name="改善状態"/>
  </x:tableColumns>
  <x:tableStyleInfo name="TableStyleMedium2" showRowStripes="1"/>
</x:table>
</file>

<file path=xl/tables/table15.xml><?xml version="1.0" encoding="utf-8"?>
<x:table xmlns:x="http://schemas.openxmlformats.org/spreadsheetml/2006/main" id="73" name="NearRouteCardsTable" displayName="NearRouteCardsTable" ref="A4:K28" headerRowCount="1">
  <x:tableColumns count="11">
    <x:tableColumn id="1" name="用途"/>
    <x:tableColumn id="2" name="推奨ルート"/>
    <x:tableColumn id="3" name="総時間"/>
    <x:tableColumn id="4" name="スコア"/>
    <x:tableColumn id="5" name="経由地"/>
    <x:tableColumn id="6" name="最終目的地"/>
    <x:tableColumn id="7" name="経由地品質"/>
    <x:tableColumn id="8" name="多様性"/>
    <x:tableColumn id="9" name="使い回し罰"/>
    <x:tableColumn id="10" name="注意事項"/>
    <x:tableColumn id="11" name="Googleマップ"/>
  </x:tableColumns>
  <x:tableStyleInfo name="TableStyleMedium2" showRowStripes="1"/>
</x:table>
</file>

<file path=xl/tables/table16.xml><?xml version="1.0" encoding="utf-8"?>
<x:table xmlns:x="http://schemas.openxmlformats.org/spreadsheetml/2006/main" id="122" name="CustomDestinationCalcTable" displayName="CustomDestinationCalcTable" ref="A1:AM94" headerRowCount="1">
  <x:tableColumns count="39">
    <x:tableColumn id="1" name="ID"/>
    <x:tableColumn id="2" name="名称"/>
    <x:tableColumn id="3" name="エリア"/>
    <x:tableColumn id="4" name="カテゴリ"/>
    <x:tableColumn id="5" name="成立理由"/>
    <x:tableColumn id="6" name="注意事項"/>
    <x:tableColumn id="7" name="距離帯"/>
    <x:tableColumn id="8" name="概算距離"/>
    <x:tableColumn id="9" name="概算所要"/>
    <x:tableColumn id="10" name="夜間適性"/>
    <x:tableColumn id="11" name="穴場度"/>
    <x:tableColumn id="12" name="雨天適性"/>
    <x:tableColumn id="13" name="車内鑑賞"/>
    <x:tableColumn id="14" name="駐車確実性"/>
    <x:tableColumn id="15" name="閉場余裕"/>
    <x:tableColumn id="16" name="平日夜90分"/>
    <x:tableColumn id="17" name="深夜2時間"/>
    <x:tableColumn id="18" name="雨天"/>
    <x:tableColumn id="19" name="飛行機"/>
    <x:tableColumn id="20" name="海・港"/>
    <x:tableColumn id="21" name="工場夜景"/>
    <x:tableColumn id="22" name="静かな場所"/>
    <x:tableColumn id="23" name="休日半日"/>
    <x:tableColumn id="24" name="最終目的地力"/>
    <x:tableColumn id="25" name="推奨用途"/>
    <x:tableColumn id="26" name="推奨到着"/>
    <x:tableColumn id="27" name="一言判断"/>
    <x:tableColumn id="28" name="代替地点"/>
    <x:tableColumn id="29" name="組合せ"/>
    <x:tableColumn id="30" name="片道最大分"/>
    <x:tableColumn id="31" name="滞在中央分"/>
    <x:tableColumn id="32" name="推定総時間分"/>
    <x:tableColumn id="33" name="徒歩負荷"/>
    <x:tableColumn id="34" name="Story点"/>
    <x:tableColumn id="35" name="強風リスク"/>
    <x:tableColumn id="36" name="カスタムスコア"/>
    <x:tableColumn id="37" name="順位"/>
    <x:tableColumn id="38" name="路上短時間適性"/>
    <x:tableColumn id="39" name="路上合法性確度"/>
  </x:tableColumns>
  <x:tableStyleInfo name="TableStyleMedium2" showRowStripes="1"/>
</x:table>
</file>

<file path=xl/tables/table17.xml><?xml version="1.0" encoding="utf-8"?>
<x:table xmlns:x="http://schemas.openxmlformats.org/spreadsheetml/2006/main" id="110" name="CustomRouteCalcTable" displayName="CustomRouteCalcTable" ref="A1:AR46" headerRowCount="1">
  <x:tableColumns count="44">
    <x:tableColumn id="1" name="ルートID"/>
    <x:tableColumn id="2" name="タイトル"/>
    <x:tableColumn id="3" name="テーマ"/>
    <x:tableColumn id="4" name="経由地1"/>
    <x:tableColumn id="5" name="経由地2"/>
    <x:tableColumn id="6" name="経由地3"/>
    <x:tableColumn id="7" name="最終目的地"/>
    <x:tableColumn id="8" name="想定総時間"/>
    <x:tableColumn id="9" name="夜間適性"/>
    <x:tableColumn id="10" name="実現確実性"/>
    <x:tableColumn id="11" name="所要上限分"/>
    <x:tableColumn id="12" name="平日夜90分"/>
    <x:tableColumn id="13" name="深夜2時間"/>
    <x:tableColumn id="14" name="雨天"/>
    <x:tableColumn id="15" name="飛行機"/>
    <x:tableColumn id="16" name="海・港"/>
    <x:tableColumn id="17" name="工場夜景"/>
    <x:tableColumn id="18" name="静かな場所"/>
    <x:tableColumn id="19" name="休日半日"/>
    <x:tableColumn id="20" name="ルート総合"/>
    <x:tableColumn id="21" name="注意事項"/>
    <x:tableColumn id="22" name="高速区分"/>
    <x:tableColumn id="23" name="強風リスク"/>
    <x:tableColumn id="24" name="Story点"/>
    <x:tableColumn id="25" name="カスタムスコア"/>
    <x:tableColumn id="26" name="順位"/>
    <x:tableColumn id="27" name="最短分"/>
    <x:tableColumn id="28" name="中央値分"/>
    <x:tableColumn id="29" name="最長分"/>
    <x:tableColumn id="30" name="立寄数"/>
    <x:tableColumn id="31" name="Hard Gate地点"/>
    <x:tableColumn id="32" name="Hard Gate時刻"/>
    <x:tableColumn id="33" name="Hard Gate位置"/>
    <x:tableColumn id="34" name="最低駐車確実性"/>
    <x:tableColumn id="35" name="強風リスク補助"/>
    <x:tableColumn id="36" name="Plan B最終地点"/>
    <x:tableColumn id="37" name="実現性スコア"/>
    <x:tableColumn id="38" name="経由地品質"/>
    <x:tableColumn id="39" name="ルート区分"/>
    <x:tableColumn id="40" name="改善状態"/>
    <x:tableColumn id="41" name="経由地多様性"/>
    <x:tableColumn id="42" name="使用過多ペナルティ"/>
    <x:tableColumn id="43" name="ルート系統"/>
    <x:tableColumn id="44" name="走行演出"/>
  </x:tableColumns>
  <x:tableStyleInfo name="TableStyleMedium2" showRowStripes="1"/>
</x:table>
</file>

<file path=xl/tables/table18.xml><?xml version="1.0" encoding="utf-8"?>
<x:table xmlns:x="http://schemas.openxmlformats.org/spreadsheetml/2006/main" id="49" name="PresetPlansTable" displayName="PresetPlansTable" ref="A4:K16" headerRowCount="1">
  <x:tableColumns count="11">
    <x:tableColumn id="1" name="プリセット"/>
    <x:tableColumn id="2" name="総時間"/>
    <x:tableColumn id="3" name="時間帯"/>
    <x:tableColumn id="4" name="天候"/>
    <x:tableColumn id="5" name="気分"/>
    <x:tableColumn id="6" name="歩き方"/>
    <x:tableColumn id="7" name="駐車"/>
    <x:tableColumn id="8" name="高速"/>
    <x:tableColumn id="9" name="狙い"/>
    <x:tableColumn id="10" name="推奨行動"/>
    <x:tableColumn id="11" name="条件入力"/>
  </x:tableColumns>
  <x:tableStyleInfo name="TableStyleMedium2" showRowStripes="1"/>
</x:table>
</file>

<file path=xl/tables/table19.xml><?xml version="1.0" encoding="utf-8"?>
<x:table xmlns:x="http://schemas.openxmlformats.org/spreadsheetml/2006/main" id="93" name="CoreDestinationCardsTable" displayName="CoreDestinationCardsTable" ref="A4:L24" headerRowCount="1">
  <x:tableColumns count="12">
    <x:tableColumn id="1" name="順位"/>
    <x:tableColumn id="2" name="地点"/>
    <x:tableColumn id="3" name="総合点"/>
    <x:tableColumn id="4" name="得意用途"/>
    <x:tableColumn id="5" name="距離"/>
    <x:tableColumn id="6" name="所要"/>
    <x:tableColumn id="7" name="推奨到着"/>
    <x:tableColumn id="8" name="滞在"/>
    <x:tableColumn id="9" name="成立理由"/>
    <x:tableColumn id="10" name="失敗しやすい点"/>
    <x:tableColumn id="11" name="代替"/>
    <x:tableColumn id="12" name="ナビ"/>
  </x:tableColumns>
  <x:tableStyleInfo name="TableStyleMedium2" showRowStripes="1"/>
</x:table>
</file>

<file path=xl/tables/table20.xml><?xml version="1.0" encoding="utf-8"?>
<x:table xmlns:x="http://schemas.openxmlformats.org/spreadsheetml/2006/main" id="72" name="RouteFeasibilityAuditTable" displayName="RouteFeasibilityAuditTable" ref="A1:X38" headerRowCount="1">
  <x:tableColumns count="24">
    <x:tableColumn id="1" name="ルートID"/>
    <x:tableColumn id="2" name="タイトル"/>
    <x:tableColumn id="3" name="テーマ"/>
    <x:tableColumn id="4" name="想定総時間"/>
    <x:tableColumn id="5" name="最短分"/>
    <x:tableColumn id="6" name="中央値分"/>
    <x:tableColumn id="7" name="最長分"/>
    <x:tableColumn id="8" name="立寄数"/>
    <x:tableColumn id="9" name="Hard Gate地点"/>
    <x:tableColumn id="10" name="Hard Gate時刻"/>
    <x:tableColumn id="11" name="位置"/>
    <x:tableColumn id="12" name="最低駐車確実性"/>
    <x:tableColumn id="13" name="強風リスク"/>
    <x:tableColumn id="14" name="実現性スコア"/>
    <x:tableColumn id="15" name="経由地品質"/>
    <x:tableColumn id="16" name="経由地多様性"/>
    <x:tableColumn id="17" name="使用過多ペナルティ"/>
    <x:tableColumn id="18" name="ルート系統"/>
    <x:tableColumn id="19" name="改善状態"/>
    <x:tableColumn id="20" name="Plan B最終地点"/>
    <x:tableColumn id="21" name="主な失敗条件"/>
    <x:tableColumn id="22" name="既存注意事項"/>
    <x:tableColumn id="23" name="本ルート"/>
    <x:tableColumn id="24" name="Plan Bルート"/>
  </x:tableColumns>
  <x:tableStyleInfo name="TableStyleMedium2" showRowStripes="1"/>
</x:table>
</file>

<file path=xl/tables/table21.xml><?xml version="1.0" encoding="utf-8"?>
<x:table xmlns:x="http://schemas.openxmlformats.org/spreadsheetml/2006/main" id="58" name="WaypointQualityAuditTable" displayName="WaypointQualityAuditTable" ref="A1:O298" headerRowCount="1">
  <x:tableColumns count="15">
    <x:tableColumn id="1" name="ルートID"/>
    <x:tableColumn id="2" name="ルート名"/>
    <x:tableColumn id="3" name="ルート区分"/>
    <x:tableColumn id="4" name="位置"/>
    <x:tableColumn id="5" name="経由地"/>
    <x:tableColumn id="6" name="駐車確実性"/>
    <x:tableColumn id="7" name="短時間立寄り"/>
    <x:tableColumn id="8" name="時間帯適合"/>
    <x:tableColumn id="9" name="テーマ連続性"/>
    <x:tableColumn id="10" name="進行方向"/>
    <x:tableColumn id="11" name="次地点との差"/>
    <x:tableColumn id="12" name="経由地品質"/>
    <x:tableColumn id="13" name="経由地の役割"/>
    <x:tableColumn id="14" name="主な問題"/>
    <x:tableColumn id="15" name="改善状態"/>
  </x:tableColumns>
  <x:tableStyleInfo name="TableStyleMedium2" showRowStripes="1"/>
</x:table>
</file>

<file path=xl/tables/table22.xml><?xml version="1.0" encoding="utf-8"?>
<x:table xmlns:x="http://schemas.openxmlformats.org/spreadsheetml/2006/main" id="59" name="WaypointReplacementLogTable" displayName="WaypointReplacementLogTable" ref="A1:M9" headerRowCount="1">
  <x:tableColumns count="13">
    <x:tableColumn id="1" name="更新日"/>
    <x:tableColumn id="2" name="ルートID"/>
    <x:tableColumn id="3" name="旧ルート名"/>
    <x:tableColumn id="4" name="旧経由地"/>
    <x:tableColumn id="5" name="旧最終目的地"/>
    <x:tableColumn id="6" name="新ルート名"/>
    <x:tableColumn id="7" name="新経由地"/>
    <x:tableColumn id="8" name="新最終目的地"/>
    <x:tableColumn id="9" name="改善前品質"/>
    <x:tableColumn id="10" name="改善後品質"/>
    <x:tableColumn id="11" name="改善幅"/>
    <x:tableColumn id="12" name="変更理由"/>
    <x:tableColumn id="13" name="公式確認・根拠"/>
  </x:tableColumns>
  <x:tableStyleInfo name="TableStyleMedium2" showRowStripes="1"/>
</x:table>
</file>

<file path=xl/tables/table23.xml><?xml version="1.0" encoding="utf-8"?>
<x:table xmlns:x="http://schemas.openxmlformats.org/spreadsheetml/2006/main" id="68" name="WaypointRoleDesignTable" displayName="WaypointRoleDesignTable" ref="A1:S115" headerRowCount="1">
  <x:tableColumns count="19">
    <x:tableColumn id="1" name="ルートID"/>
    <x:tableColumn id="2" name="ルート名"/>
    <x:tableColumn id="3" name="ルート系統"/>
    <x:tableColumn id="4" name="順番"/>
    <x:tableColumn id="5" name="地点"/>
    <x:tableColumn id="6" name="地点タイプ"/>
    <x:tableColumn id="7" name="役割"/>
    <x:tableColumn id="8" name="推奨滞在分"/>
    <x:tableColumn id="9" name="現地ですること"/>
    <x:tableColumn id="10" name="駐車方法"/>
    <x:tableColumn id="11" name="最適時間"/>
    <x:tableColumn id="12" name="省略条件"/>
    <x:tableColumn id="13" name="次地点への変化"/>
    <x:tableColumn id="14" name="経由利用回数"/>
    <x:tableColumn id="15" name="最終利用回数"/>
    <x:tableColumn id="16" name="総利用回数"/>
    <x:tableColumn id="17" name="使い回し度"/>
    <x:tableColumn id="18" name="地点品質"/>
    <x:tableColumn id="19" name="公式情報源"/>
  </x:tableColumns>
  <x:tableStyleInfo name="TableStyleMedium2" showRowStripes="1"/>
</x:table>
</file>

<file path=xl/tables/table24.xml><?xml version="1.0" encoding="utf-8"?>
<x:table xmlns:x="http://schemas.openxmlformats.org/spreadsheetml/2006/main" id="69" name="WaypointUsageTable" displayName="WaypointUsageTable" ref="A1:N62" headerRowCount="1">
  <x:tableColumns count="14">
    <x:tableColumn id="1" name="地点"/>
    <x:tableColumn id="2" name="経由利用"/>
    <x:tableColumn id="3" name="最終利用"/>
    <x:tableColumn id="4" name="総利用"/>
    <x:tableColumn id="5" name="使い回し度"/>
    <x:tableColumn id="6" name="平均地点品質"/>
    <x:tableColumn id="7" name="カテゴリ"/>
    <x:tableColumn id="8" name="駐車場"/>
    <x:tableColumn id="9" name="利用時間"/>
    <x:tableColumn id="10" name="主な役割"/>
    <x:tableColumn id="11" name="採用ルート例"/>
    <x:tableColumn id="12" name="代替地点"/>
    <x:tableColumn id="13" name="公式情報源"/>
    <x:tableColumn id="14" name="多様化方針"/>
  </x:tableColumns>
  <x:tableStyleInfo name="TableStyleMedium2" showRowStripes="1"/>
</x:table>
</file>

<file path=xl/tables/table25.xml><?xml version="1.0" encoding="utf-8"?>
<x:table xmlns:x="http://schemas.openxmlformats.org/spreadsheetml/2006/main" id="77" name="WaypointOperationCardsTable" displayName="WaypointOperationCardsTable" ref="A4:L48" headerRowCount="1">
  <x:tableColumns count="12">
    <x:tableColumn id="1" name="優先度"/>
    <x:tableColumn id="2" name="ルートID"/>
    <x:tableColumn id="3" name="ルート"/>
    <x:tableColumn id="4" name="順番"/>
    <x:tableColumn id="5" name="地点"/>
    <x:tableColumn id="6" name="役割"/>
    <x:tableColumn id="7" name="到着後5分"/>
    <x:tableColumn id="8" name="標準滞在"/>
    <x:tableColumn id="9" name="最大滞在"/>
    <x:tableColumn id="10" name="駐車・動線"/>
    <x:tableColumn id="11" name="即省略条件"/>
    <x:tableColumn id="12" name="Googleマップ"/>
  </x:tableColumns>
  <x:tableStyleInfo name="TableStyleMedium2" showRowStripes="1"/>
</x:table>
</file>

<file path=xl/tables/table26.xml><?xml version="1.0" encoding="utf-8"?>
<x:table xmlns:x="http://schemas.openxmlformats.org/spreadsheetml/2006/main" id="78" name="DirectionTimeAuditTable" displayName="DirectionTimeAuditTable" ref="A1:M38" headerRowCount="1">
  <x:tableColumns count="13">
    <x:tableColumn id="1" name="ルートID"/>
    <x:tableColumn id="2" name="ルート名"/>
    <x:tableColumn id="3" name="主用途"/>
    <x:tableColumn id="4" name="最初の閉場地点"/>
    <x:tableColumn id="5" name="閉場時刻"/>
    <x:tableColumn id="6" name="推奨最終出発"/>
    <x:tableColumn id="7" name="方向制約"/>
    <x:tableColumn id="8" name="深夜成立"/>
    <x:tableColumn id="9" name="雨天成立"/>
    <x:tableColumn id="10" name="経由地数"/>
    <x:tableColumn id="11" name="運用判定"/>
    <x:tableColumn id="12" name="短縮パターン"/>
    <x:tableColumn id="13" name="注意事項"/>
  </x:tableColumns>
  <x:tableStyleInfo name="TableStyleMedium2" showRowStripes="1"/>
</x:table>
</file>

<file path=xl/tables/table27.xml><?xml version="1.0" encoding="utf-8"?>
<x:table xmlns:x="http://schemas.openxmlformats.org/spreadsheetml/2006/main" id="96" name="AlternativeWaypointPoolTable" displayName="AlternativeWaypointPoolTable" ref="A1:L7" headerRowCount="1">
  <x:tableColumns count="12">
    <x:tableColumn id="1" name="地点"/>
    <x:tableColumn id="2" name="主な役割"/>
    <x:tableColumn id="3" name="適合時間帯"/>
    <x:tableColumn id="4" name="駐車確実性"/>
    <x:tableColumn id="5" name="雨天"/>
    <x:tableColumn id="6" name="短時間"/>
    <x:tableColumn id="7" name="Story"/>
    <x:tableColumn id="8" name="交換対象"/>
    <x:tableColumn id="9" name="交換理由"/>
    <x:tableColumn id="10" name="営業時間・Hard Gate"/>
    <x:tableColumn id="11" name="公式情報源"/>
    <x:tableColumn id="12" name="Googleマップ"/>
  </x:tableColumns>
  <x:tableStyleInfo name="TableStyleMedium2" showRowStripes="1"/>
</x:table>
</file>

<file path=xl/tables/table28.xml><?xml version="1.0" encoding="utf-8"?>
<x:table xmlns:x="http://schemas.openxmlformats.org/spreadsheetml/2006/main" id="97" name="WaypointSwapMatrixTable" displayName="WaypointSwapMatrixTable" ref="A1:J5" headerRowCount="1">
  <x:tableColumns count="10">
    <x:tableColumn id="1" name="ルートID"/>
    <x:tableColumn id="2" name="旧構成"/>
    <x:tableColumn id="3" name="新構成"/>
    <x:tableColumn id="4" name="改善軸"/>
    <x:tableColumn id="5" name="改善前の弱点"/>
    <x:tableColumn id="6" name="新経由地の役割"/>
    <x:tableColumn id="7" name="時間帯"/>
    <x:tableColumn id="8" name="品質点"/>
    <x:tableColumn id="9" name="多様性"/>
    <x:tableColumn id="10" name="状態"/>
  </x:tableColumns>
  <x:tableStyleInfo name="TableStyleMedium2" showRowStripes="1"/>
</x:table>
</file>

<file path=xl/tables/table29.xml><?xml version="1.0" encoding="utf-8"?>
<x:table xmlns:x="http://schemas.openxmlformats.org/spreadsheetml/2006/main" id="111" name="FourWardDestinationsTable" displayName="FourWardDestinationsTable" ref="A10:L27" headerRowCount="1">
  <x:tableColumns count="12">
    <x:tableColumn id="1" name="区"/>
    <x:tableColumn id="2" name="地点"/>
    <x:tableColumn id="3" name="カテゴリ"/>
    <x:tableColumn id="4" name="距離帯"/>
    <x:tableColumn id="5" name="所要"/>
    <x:tableColumn id="6" name="夜間"/>
    <x:tableColumn id="7" name="雨天"/>
    <x:tableColumn id="8" name="駐車条件"/>
    <x:tableColumn id="9" name="主な使い方"/>
    <x:tableColumn id="10" name="注意"/>
    <x:tableColumn id="11" name="Googleマップ"/>
    <x:tableColumn id="12" name="公式情報源"/>
  </x:tableColumns>
  <x:tableStyleInfo name="TableStyleMedium2" showRowStripes="1"/>
</x:table>
</file>

<file path=xl/tables/table30.xml><?xml version="1.0" encoding="utf-8"?>
<x:table xmlns:x="http://schemas.openxmlformats.org/spreadsheetml/2006/main" id="112" name="FourWardRoutesTable" displayName="FourWardRoutesTable" ref="A4:M12" headerRowCount="1">
  <x:tableColumns count="13">
    <x:tableColumn id="1" name="ルートID"/>
    <x:tableColumn id="2" name="区・系統"/>
    <x:tableColumn id="3" name="タイトル"/>
    <x:tableColumn id="4" name="用途"/>
    <x:tableColumn id="5" name="経由地1"/>
    <x:tableColumn id="6" name="経由地2"/>
    <x:tableColumn id="7" name="最終目的地"/>
    <x:tableColumn id="8" name="総時間"/>
    <x:tableColumn id="9" name="夜間"/>
    <x:tableColumn id="10" name="品質"/>
    <x:tableColumn id="11" name="多様性"/>
    <x:tableColumn id="12" name="注意"/>
    <x:tableColumn id="13" name="Googleマップ"/>
  </x:tableColumns>
  <x:tableStyleInfo name="TableStyleMedium2" showRowStripes="1"/>
</x:table>
</file>

<file path=xl/tables/table31.xml><?xml version="1.0" encoding="utf-8"?>
<x:table xmlns:x="http://schemas.openxmlformats.org/spreadsheetml/2006/main" id="114" name="FourWardOperationalAuditTable" displayName="FourWardOperationalAuditTable" ref="A4:K9" headerRowCount="1">
  <x:tableColumns count="11">
    <x:tableColumn id="1" name="区"/>
    <x:tableColumn id="2" name="地点"/>
    <x:tableColumn id="3" name="監査対象"/>
    <x:tableColumn id="4" name="修正前の弱点"/>
    <x:tableColumn id="5" name="監査後のOperational Truth"/>
    <x:tableColumn id="6" name="ルートへの影響"/>
    <x:tableColumn id="7" name="確認日"/>
    <x:tableColumn id="8" name="公式情報源"/>
    <x:tableColumn id="9" name="信頼度"/>
    <x:tableColumn id="10" name="次回確認条件"/>
    <x:tableColumn id="11" name="状態"/>
  </x:tableColumns>
  <x:tableStyleInfo name="TableStyleMedium2" showRowStripes="1"/>
</x:table>
</file>

<file path=xl/tables/table32.xml><?xml version="1.0" encoding="utf-8"?>
<x:table xmlns:x="http://schemas.openxmlformats.org/spreadsheetml/2006/main" id="123" name="LegalCurbAccessTable" displayName="LegalCurbAccessTable" ref="A4:R14" headerRowCount="1">
  <x:tableColumns count="18">
    <x:tableColumn id="1" name="ID"/>
    <x:tableColumn id="2" name="区"/>
    <x:tableColumn id="3" name="路上区間・住所"/>
    <x:tableColumn id="4" name="近接スポット"/>
    <x:tableColumn id="5" name="主な用途"/>
    <x:tableColumn id="6" name="種別"/>
    <x:tableColumn id="7" name="利用時間"/>
    <x:tableColumn id="8" name="制限時間"/>
    <x:tableColumn id="9" name="手数料"/>
    <x:tableColumn id="10" name="曜日条件"/>
    <x:tableColumn id="11" name="確度"/>
    <x:tableColumn id="12" name="採用判定"/>
    <x:tableColumn id="13" name="夜間利用"/>
    <x:tableColumn id="14" name="長時間利用"/>
    <x:tableColumn id="15" name="現地確認事項"/>
    <x:tableColumn id="16" name="公式基礎情報"/>
    <x:tableColumn id="17" name="位置情報源"/>
    <x:tableColumn id="18" name="Googleマップ"/>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721193c083f4054" /></Relationships>
</file>

<file path=xl/worksheets/_rels/sheet2.xml.rels>&#65279;<?xml version="1.0" encoding="utf-8"?><Relationships xmlns="http://schemas.openxmlformats.org/package/2006/relationships"><Relationship Type="http://schemas.openxmlformats.org/officeDocument/2006/relationships/table" Target="/xl/tables/table1.xml" Id="R736546036f744353" /></Relationships>
</file>

<file path=xl/worksheets/_rels/sheet3.xml.rels>&#65279;<?xml version="1.0" encoding="utf-8"?><Relationships xmlns="http://schemas.openxmlformats.org/package/2006/relationships"><Relationship Type="http://schemas.openxmlformats.org/officeDocument/2006/relationships/table" Target="/xl/tables/table2.xml" Id="R757556a7aee9447c" /></Relationships>
</file>

<file path=xl/worksheets/_rels/sheet4.xml.rels>&#65279;<?xml version="1.0" encoding="utf-8"?><Relationships xmlns="http://schemas.openxmlformats.org/package/2006/relationships"><Relationship Type="http://schemas.openxmlformats.org/officeDocument/2006/relationships/table" Target="/xl/tables/table3.xml" Id="R0d80dd1fb74b4643" /></Relationships>
</file>

<file path=xl/worksheets/_rels/sheet5.xml.rels>&#65279;<?xml version="1.0" encoding="utf-8"?><Relationships xmlns="http://schemas.openxmlformats.org/package/2006/relationships"><Relationship Type="http://schemas.openxmlformats.org/officeDocument/2006/relationships/table" Target="/xl/tables/table4.xml" Id="R0f7d96973f784002" /></Relationships>
</file>

<file path=xl/worksheets/_rels/sheet6.xml.rels>&#65279;<?xml version="1.0" encoding="utf-8"?><Relationships xmlns="http://schemas.openxmlformats.org/package/2006/relationships"><Relationship Type="http://schemas.openxmlformats.org/officeDocument/2006/relationships/table" Target="/xl/tables/table5.xml" Id="R6563083bb020425c" /></Relationships>
</file>

<file path=xl/worksheets/_rels/sheet7.xml.rels>&#65279;<?xml version="1.0" encoding="utf-8"?><Relationships xmlns="http://schemas.openxmlformats.org/package/2006/relationships"><Relationship Type="http://schemas.openxmlformats.org/officeDocument/2006/relationships/table" Target="/xl/tables/table6.xml" Id="Rb331f24806de4384" /></Relationships>
</file>

<file path=xl/worksheets/_rels/sheet8.xml.rels>&#65279;<?xml version="1.0" encoding="utf-8"?><Relationships xmlns="http://schemas.openxmlformats.org/package/2006/relationships"><Relationship Type="http://schemas.openxmlformats.org/officeDocument/2006/relationships/table" Target="/xl/tables/table7.xml" Id="R95dda2a093a04a31" /></Relationships>
</file>

<file path=xl/worksheets/_rels/sheet9.xml.rels>&#65279;<?xml version="1.0" encoding="utf-8"?><Relationships xmlns="http://schemas.openxmlformats.org/package/2006/relationships"><Relationship Type="http://schemas.openxmlformats.org/officeDocument/2006/relationships/table" Target="/xl/tables/table8.xml" Id="Re9c4898d9fb6496b" /></Relationships>
</file>

<file path=xl/worksheets/_rels/sheet10.xml.rels>&#65279;<?xml version="1.0" encoding="utf-8"?><Relationships xmlns="http://schemas.openxmlformats.org/package/2006/relationships"><Relationship Type="http://schemas.openxmlformats.org/officeDocument/2006/relationships/table" Target="/xl/tables/table9.xml" Id="R9d1f2d013e954955" /></Relationships>
</file>

<file path=xl/worksheets/_rels/sheet11.xml.rels>&#65279;<?xml version="1.0" encoding="utf-8"?><Relationships xmlns="http://schemas.openxmlformats.org/package/2006/relationships"><Relationship Type="http://schemas.openxmlformats.org/officeDocument/2006/relationships/table" Target="/xl/tables/table10.xml" Id="R6ad8906bf23c40cc" /></Relationships>
</file>

<file path=xl/worksheets/_rels/sheet13.xml.rels>&#65279;<?xml version="1.0" encoding="utf-8"?><Relationships xmlns="http://schemas.openxmlformats.org/package/2006/relationships"><Relationship Type="http://schemas.openxmlformats.org/officeDocument/2006/relationships/table" Target="/xl/tables/table11.xml" Id="R1b0a95ea0f094b31" /></Relationships>
</file>

<file path=xl/worksheets/_rels/sheet14.xml.rels>&#65279;<?xml version="1.0" encoding="utf-8"?><Relationships xmlns="http://schemas.openxmlformats.org/package/2006/relationships"><Relationship Type="http://schemas.openxmlformats.org/officeDocument/2006/relationships/drawing" Target="/xl/drawings/drawing2.xml" Id="R1350c5b8c35a4e2f" /></Relationships>
</file>

<file path=xl/worksheets/_rels/sheet15.xml.rels>&#65279;<?xml version="1.0" encoding="utf-8"?><Relationships xmlns="http://schemas.openxmlformats.org/package/2006/relationships"><Relationship Type="http://schemas.openxmlformats.org/officeDocument/2006/relationships/table" Target="/xl/tables/table12.xml" Id="Rd48de115119848b4" /></Relationships>
</file>

<file path=xl/worksheets/_rels/sheet16.xml.rels>&#65279;<?xml version="1.0" encoding="utf-8"?><Relationships xmlns="http://schemas.openxmlformats.org/package/2006/relationships"><Relationship Type="http://schemas.openxmlformats.org/officeDocument/2006/relationships/table" Target="/xl/tables/table13.xml" Id="Recdb21e852254e72" /></Relationships>
</file>

<file path=xl/worksheets/_rels/sheet17.xml.rels>&#65279;<?xml version="1.0" encoding="utf-8"?><Relationships xmlns="http://schemas.openxmlformats.org/package/2006/relationships"><Relationship Type="http://schemas.openxmlformats.org/officeDocument/2006/relationships/table" Target="/xl/tables/table14.xml" Id="Redb08a7abcac4df4" /></Relationships>
</file>

<file path=xl/worksheets/_rels/sheet19.xml.rels>&#65279;<?xml version="1.0" encoding="utf-8"?><Relationships xmlns="http://schemas.openxmlformats.org/package/2006/relationships"><Relationship Type="http://schemas.openxmlformats.org/officeDocument/2006/relationships/table" Target="/xl/tables/table15.xml" Id="Rc07bcd3d58144a95" /></Relationships>
</file>

<file path=xl/worksheets/_rels/sheet21.xml.rels>&#65279;<?xml version="1.0" encoding="utf-8"?><Relationships xmlns="http://schemas.openxmlformats.org/package/2006/relationships"><Relationship Type="http://schemas.openxmlformats.org/officeDocument/2006/relationships/table" Target="/xl/tables/table16.xml" Id="Rfb8aa4f9d0f84232" /></Relationships>
</file>

<file path=xl/worksheets/_rels/sheet22.xml.rels>&#65279;<?xml version="1.0" encoding="utf-8"?><Relationships xmlns="http://schemas.openxmlformats.org/package/2006/relationships"><Relationship Type="http://schemas.openxmlformats.org/officeDocument/2006/relationships/table" Target="/xl/tables/table17.xml" Id="Rd8b6fedb53c74eb9" /></Relationships>
</file>

<file path=xl/worksheets/_rels/sheet23.xml.rels>&#65279;<?xml version="1.0" encoding="utf-8"?><Relationships xmlns="http://schemas.openxmlformats.org/package/2006/relationships"><Relationship Type="http://schemas.openxmlformats.org/officeDocument/2006/relationships/table" Target="/xl/tables/table18.xml" Id="R6afa3dc2166c4f59" /></Relationships>
</file>

<file path=xl/worksheets/_rels/sheet24.xml.rels>&#65279;<?xml version="1.0" encoding="utf-8"?><Relationships xmlns="http://schemas.openxmlformats.org/package/2006/relationships"><Relationship Type="http://schemas.openxmlformats.org/officeDocument/2006/relationships/table" Target="/xl/tables/table19.xml" Id="Rb0bf9dac7d00452a" /></Relationships>
</file>

<file path=xl/worksheets/_rels/sheet26.xml.rels>&#65279;<?xml version="1.0" encoding="utf-8"?><Relationships xmlns="http://schemas.openxmlformats.org/package/2006/relationships"><Relationship Type="http://schemas.openxmlformats.org/officeDocument/2006/relationships/table" Target="/xl/tables/table20.xml" Id="R706586a9445c458c" /></Relationships>
</file>

<file path=xl/worksheets/_rels/sheet27.xml.rels>&#65279;<?xml version="1.0" encoding="utf-8"?><Relationships xmlns="http://schemas.openxmlformats.org/package/2006/relationships"><Relationship Type="http://schemas.openxmlformats.org/officeDocument/2006/relationships/table" Target="/xl/tables/table21.xml" Id="Re6a592b9e5c54f2d" /></Relationships>
</file>

<file path=xl/worksheets/_rels/sheet28.xml.rels>&#65279;<?xml version="1.0" encoding="utf-8"?><Relationships xmlns="http://schemas.openxmlformats.org/package/2006/relationships"><Relationship Type="http://schemas.openxmlformats.org/officeDocument/2006/relationships/table" Target="/xl/tables/table22.xml" Id="R25598baa73074bd4" /></Relationships>
</file>

<file path=xl/worksheets/_rels/sheet29.xml.rels>&#65279;<?xml version="1.0" encoding="utf-8"?><Relationships xmlns="http://schemas.openxmlformats.org/package/2006/relationships"><Relationship Type="http://schemas.openxmlformats.org/officeDocument/2006/relationships/drawing" Target="/xl/drawings/drawing3.xml" Id="R0c4d8e7bdc4c40da" /></Relationships>
</file>

<file path=xl/worksheets/_rels/sheet30.xml.rels>&#65279;<?xml version="1.0" encoding="utf-8"?><Relationships xmlns="http://schemas.openxmlformats.org/package/2006/relationships"><Relationship Type="http://schemas.openxmlformats.org/officeDocument/2006/relationships/table" Target="/xl/tables/table23.xml" Id="R0228c8e4b329428a" /></Relationships>
</file>

<file path=xl/worksheets/_rels/sheet31.xml.rels>&#65279;<?xml version="1.0" encoding="utf-8"?><Relationships xmlns="http://schemas.openxmlformats.org/package/2006/relationships"><Relationship Type="http://schemas.openxmlformats.org/officeDocument/2006/relationships/table" Target="/xl/tables/table24.xml" Id="Rbfb3b4c925704d1c" /></Relationships>
</file>

<file path=xl/worksheets/_rels/sheet32.xml.rels>&#65279;<?xml version="1.0" encoding="utf-8"?><Relationships xmlns="http://schemas.openxmlformats.org/package/2006/relationships"><Relationship Type="http://schemas.openxmlformats.org/officeDocument/2006/relationships/drawing" Target="/xl/drawings/drawing4.xml" Id="R50cc3c32d1a24e29" /></Relationships>
</file>

<file path=xl/worksheets/_rels/sheet33.xml.rels>&#65279;<?xml version="1.0" encoding="utf-8"?><Relationships xmlns="http://schemas.openxmlformats.org/package/2006/relationships"><Relationship Type="http://schemas.openxmlformats.org/officeDocument/2006/relationships/table" Target="/xl/tables/table25.xml" Id="Rad7d3df3cb8e4ae9" /></Relationships>
</file>

<file path=xl/worksheets/_rels/sheet34.xml.rels>&#65279;<?xml version="1.0" encoding="utf-8"?><Relationships xmlns="http://schemas.openxmlformats.org/package/2006/relationships"><Relationship Type="http://schemas.openxmlformats.org/officeDocument/2006/relationships/table" Target="/xl/tables/table26.xml" Id="R84204849f9f04b98" /></Relationships>
</file>

<file path=xl/worksheets/_rels/sheet35.xml.rels>&#65279;<?xml version="1.0" encoding="utf-8"?><Relationships xmlns="http://schemas.openxmlformats.org/package/2006/relationships"><Relationship Type="http://schemas.openxmlformats.org/officeDocument/2006/relationships/table" Target="/xl/tables/table27.xml" Id="Rdabfc37fc5bf4481" /></Relationships>
</file>

<file path=xl/worksheets/_rels/sheet36.xml.rels>&#65279;<?xml version="1.0" encoding="utf-8"?><Relationships xmlns="http://schemas.openxmlformats.org/package/2006/relationships"><Relationship Type="http://schemas.openxmlformats.org/officeDocument/2006/relationships/table" Target="/xl/tables/table28.xml" Id="R57e1ebc98bab415d" /></Relationships>
</file>

<file path=xl/worksheets/_rels/sheet37.xml.rels>&#65279;<?xml version="1.0" encoding="utf-8"?><Relationships xmlns="http://schemas.openxmlformats.org/package/2006/relationships"><Relationship Type="http://schemas.openxmlformats.org/officeDocument/2006/relationships/table" Target="/xl/tables/table29.xml" Id="Rd422b8ad3f124310" /></Relationships>
</file>

<file path=xl/worksheets/_rels/sheet38.xml.rels>&#65279;<?xml version="1.0" encoding="utf-8"?><Relationships xmlns="http://schemas.openxmlformats.org/package/2006/relationships"><Relationship Type="http://schemas.openxmlformats.org/officeDocument/2006/relationships/table" Target="/xl/tables/table30.xml" Id="R206d52cdbfb2482e" /></Relationships>
</file>

<file path=xl/worksheets/_rels/sheet39.xml.rels>&#65279;<?xml version="1.0" encoding="utf-8"?><Relationships xmlns="http://schemas.openxmlformats.org/package/2006/relationships"><Relationship Type="http://schemas.openxmlformats.org/officeDocument/2006/relationships/table" Target="/xl/tables/table31.xml" Id="R6753ef697f854511" /></Relationships>
</file>

<file path=xl/worksheets/_rels/sheet40.xml.rels>&#65279;<?xml version="1.0" encoding="utf-8"?><Relationships xmlns="http://schemas.openxmlformats.org/package/2006/relationships"><Relationship Type="http://schemas.openxmlformats.org/officeDocument/2006/relationships/table" Target="/xl/tables/table32.xml" Id="Rb5bc85e4e23c4daf" /></Relationships>
</file>

<file path=xl/worksheets/sheet1.xml><?xml version="1.0" encoding="utf-8"?>
<x:worksheet xmlns:x="http://schemas.openxmlformats.org/spreadsheetml/2006/main">
  <x:sheetFormatPr defaultRowHeight="15"/>
  <x:cols>
    <x:col min="1" max="1" width="18" hidden="0" customWidth="1"/>
    <x:col min="2" max="2" width="4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 t="str">
        <x:v>PROJECT CRUISE｜最終目的地・ルートDB</x:v>
      </x:c>
      <x:c r="B1" s="5"/>
      <x:c r="C1" s="5"/>
      <x:c r="D1" s="5"/>
      <x:c r="E1" s="5"/>
      <x:c r="F1" s="5"/>
      <x:c r="G1" s="5"/>
      <x:c r="H1" s="5"/>
    </x:row>
    <x:row r="2">
      <x:c r="A2" s="5"/>
      <x:c r="B2" s="5"/>
      <x:c r="C2" s="5"/>
      <x:c r="D2" s="5"/>
      <x:c r="E2" s="5"/>
      <x:c r="F2" s="5"/>
      <x:c r="G2" s="5"/>
      <x:c r="H2" s="5"/>
    </x:row>
    <x:row r="4">
      <x:c r="A4" s="14" t="str">
        <x:v>指標</x:v>
      </x:c>
      <x:c r="B4" s="14" t="str">
        <x:v>値</x:v>
      </x:c>
      <x:c r="D4" s="38" t="str">
        <x:v>カテゴリ集計</x:v>
      </x:c>
      <x:c r="E4" s="38" t="str">
        <x:v>地点数</x:v>
      </x:c>
    </x:row>
    <x:row r="5">
      <x:c r="A5" t="str">
        <x:v>候補地点数</x:v>
      </x:c>
      <x:c r="B5" t="n">
        <x:f>COUNTA('最終目的地DB'!A2:A500)</x:f>
        <x:v>275</x:v>
      </x:c>
      <x:c r="D5" t="str">
        <x:v>飛行機</x:v>
      </x:c>
      <x:c r="E5" t="n">
        <x:v>15</x:v>
      </x:c>
    </x:row>
    <x:row r="6">
      <x:c r="A6" t="str">
        <x:v>完成ルート数</x:v>
      </x:c>
      <x:c r="B6" t="n">
        <x:f>COUNTA('ルートDB'!A2:A300)</x:f>
        <x:v>152</x:v>
      </x:c>
      <x:c r="D6" t="str">
        <x:v>海</x:v>
      </x:c>
      <x:c r="E6" t="n">
        <x:v>40</x:v>
      </x:c>
    </x:row>
    <x:row r="7">
      <x:c r="A7" t="str">
        <x:v>夜間適性4以上</x:v>
      </x:c>
      <x:c r="B7" t="n">
        <x:f>COUNTIF('最終目的地DB'!I2:I500,"&gt;=4")</x:f>
        <x:v>137</x:v>
      </x:c>
      <x:c r="D7" t="str">
        <x:v>港</x:v>
      </x:c>
      <x:c r="E7" t="n">
        <x:v>29</x:v>
      </x:c>
    </x:row>
    <x:row r="8">
      <x:c r="A8" t="str">
        <x:v>穴場度4以上</x:v>
      </x:c>
      <x:c r="B8" t="n">
        <x:f>COUNTIF('最終目的地DB'!J2:J500,"&gt;=4")</x:f>
        <x:v>125</x:v>
      </x:c>
      <x:c r="D8" t="str">
        <x:v>工場夜景</x:v>
      </x:c>
      <x:c r="E8" t="n">
        <x:v>3</x:v>
      </x:c>
    </x:row>
    <x:row r="9">
      <x:c r="D9" t="str">
        <x:v>高台</x:v>
      </x:c>
      <x:c r="E9" t="n">
        <x:v>40</x:v>
      </x:c>
    </x:row>
    <x:row r="10">
      <x:c r="D10" t="str">
        <x:v>都市夜景</x:v>
      </x:c>
      <x:c r="E10" t="n">
        <x:v>9</x:v>
      </x:c>
    </x:row>
    <x:row r="11">
      <x:c r="A11" s="14"/>
      <x:c r="B11" s="14"/>
      <x:c r="C11" s="14"/>
      <x:c r="D11" s="14" t="str">
        <x:v>公園</x:v>
      </x:c>
      <x:c r="E11" s="14" t="n">
        <x:v>37</x:v>
      </x:c>
      <x:c r="F11" s="14"/>
      <x:c r="G11" s="14"/>
      <x:c r="H11" s="14"/>
    </x:row>
    <x:row r="12">
      <x:c r="A12" s="22"/>
      <x:c r="B12" s="22"/>
      <x:c r="C12" s="22"/>
      <x:c r="D12" s="22" t="str">
        <x:v>Story</x:v>
      </x:c>
      <x:c r="E12" s="22" t="n">
        <x:v>13</x:v>
      </x:c>
      <x:c r="F12" s="22"/>
      <x:c r="G12" s="22"/>
      <x:c r="H12" s="22"/>
    </x:row>
    <x:row r="13">
      <x:c r="A13" s="22"/>
      <x:c r="B13" s="22"/>
      <x:c r="C13" s="22"/>
      <x:c r="D13" s="22" t="str">
        <x:v>漁港</x:v>
      </x:c>
      <x:c r="E13" s="22" t="n">
        <x:v>3</x:v>
      </x:c>
      <x:c r="F13" s="22"/>
      <x:c r="G13" s="22"/>
      <x:c r="H13" s="22"/>
    </x:row>
    <x:row r="14">
      <x:c r="A14" s="22"/>
      <x:c r="B14" s="22"/>
      <x:c r="C14" s="22"/>
      <x:c r="D14" s="22" t="str">
        <x:v>行き止まり</x:v>
      </x:c>
      <x:c r="E14" s="22" t="n">
        <x:v>9</x:v>
      </x:c>
      <x:c r="F14" s="22"/>
      <x:c r="G14" s="22"/>
      <x:c r="H14" s="22"/>
    </x:row>
    <x:row r="15">
      <x:c r="A15" s="22"/>
      <x:c r="B15" s="22"/>
      <x:c r="C15" s="22"/>
      <x:c r="D15" s="22" t="str">
        <x:v>PA</x:v>
      </x:c>
      <x:c r="E15" s="22" t="n">
        <x:v>9</x:v>
      </x:c>
      <x:c r="F15" s="22"/>
      <x:c r="G15" s="22"/>
      <x:c r="H15" s="22"/>
    </x:row>
    <x:row r="16">
      <x:c r="A16" s="22"/>
      <x:c r="B16" s="22"/>
      <x:c r="C16" s="22"/>
      <x:c r="D16" s="22" t="str">
        <x:v>SA</x:v>
      </x:c>
      <x:c r="E16" s="22" t="n">
        <x:v>4</x:v>
      </x:c>
      <x:c r="F16" s="22"/>
      <x:c r="G16" s="22"/>
      <x:c r="H16" s="22"/>
    </x:row>
    <x:row r="17">
      <x:c r="A17" s="22"/>
      <x:c r="B17" s="22"/>
      <x:c r="C17" s="22"/>
      <x:c r="D17" s="22" t="str">
        <x:v>湖</x:v>
      </x:c>
      <x:c r="E17" s="22" t="n">
        <x:v>11</x:v>
      </x:c>
      <x:c r="F17" s="22"/>
      <x:c r="G17" s="22"/>
      <x:c r="H17" s="22"/>
    </x:row>
    <x:row r="18">
      <x:c r="A18" s="14" t="str">
        <x:v>運用ルール</x:v>
      </x:c>
      <x:c r="B18" s="14" t="str"/>
      <x:c r="C18" s="14" t="str"/>
      <x:c r="D18" s="14" t="str">
        <x:v>森林</x:v>
      </x:c>
      <x:c r="E18" s="14" t="n">
        <x:v>12</x:v>
      </x:c>
      <x:c r="F18" s="14" t="str"/>
      <x:c r="G18" s="14" t="str"/>
      <x:c r="H18" s="14" t="str"/>
    </x:row>
    <x:row r="19">
      <x:c r="A19" s="22" t="str">
        <x:v>1</x:v>
      </x:c>
      <x:c r="B19" s="22" t="str">
        <x:v>私有地・立入禁止・路上駐車前提は採用しない</x:v>
      </x:c>
      <x:c r="C19" s="22" t="str"/>
      <x:c r="D19" s="22" t="str">
        <x:v>ダム</x:v>
      </x:c>
      <x:c r="E19" s="22" t="n">
        <x:v>4</x:v>
      </x:c>
      <x:c r="F19" s="22" t="str"/>
      <x:c r="G19" s="22" t="str"/>
      <x:c r="H19" s="22" t="str"/>
    </x:row>
    <x:row r="20">
      <x:c r="A20" s="22" t="str">
        <x:v>2</x:v>
      </x:c>
      <x:c r="B20" s="22" t="str">
        <x:v>営業時間・駐車場・工事・規制は出発当日に再確認</x:v>
      </x:c>
      <x:c r="C20" s="22" t="str"/>
      <x:c r="D20" s="22" t="str">
        <x:v>城址</x:v>
      </x:c>
      <x:c r="E20" s="22" t="n">
        <x:v>7</x:v>
      </x:c>
      <x:c r="F20" s="22" t="str"/>
      <x:c r="G20" s="22" t="str"/>
      <x:c r="H20" s="22" t="str"/>
    </x:row>
    <x:row r="21">
      <x:c r="A21" s="22" t="str">
        <x:v>3</x:v>
      </x:c>
      <x:c r="B21" s="22" t="str">
        <x:v>夜間適性は景観・安全・駐車可能性の総合評価</x:v>
      </x:c>
      <x:c r="C21" s="22" t="str"/>
      <x:c r="D21" s="22" t="str">
        <x:v>防災</x:v>
      </x:c>
      <x:c r="E21" s="22" t="n">
        <x:v>1</x:v>
      </x:c>
      <x:c r="F21" s="22" t="str"/>
      <x:c r="G21" s="22" t="str"/>
      <x:c r="H21" s="22" t="str"/>
    </x:row>
    <x:row r="22">
      <x:c r="A22" s="22" t="str">
        <x:v>4</x:v>
      </x:c>
      <x:c r="B22" s="22" t="str">
        <x:v>Googleマップの到着時刻・渋滞は固定値ではない</x:v>
      </x:c>
      <x:c r="C22" s="22" t="str"/>
      <x:c r="D22" s="22" t="str"/>
      <x:c r="E22" s="22" t="str"/>
      <x:c r="F22" s="22" t="str"/>
      <x:c r="G22" s="22" t="str"/>
      <x:c r="H22" s="22" t="str"/>
    </x:row>
    <x:row r="23">
      <x:c r="A23" s="22" t="str">
        <x:v>5</x:v>
      </x:c>
      <x:c r="B23" s="22" t="str">
        <x:v>ルートは経由地2～3か所＋最終目的地1か所</x:v>
      </x:c>
      <x:c r="C23" s="22" t="str"/>
      <x:c r="D23" s="22" t="str"/>
      <x:c r="E23" s="22" t="str"/>
      <x:c r="F23" s="22" t="str"/>
      <x:c r="G23" s="22" t="str"/>
      <x:c r="H23" s="22" t="str"/>
    </x:row>
    <x:row r="24">
      <x:c r="A24" s="22" t="str">
        <x:v>6</x:v>
      </x:c>
      <x:c r="B24" s="22" t="str">
        <x:v>12ルート追加ごとにExcel保存版を更新</x:v>
      </x:c>
      <x:c r="C24" s="22" t="str"/>
      <x:c r="D24" s="22" t="str"/>
      <x:c r="E24" s="22" t="str"/>
      <x:c r="F24" s="22" t="str"/>
      <x:c r="G24" s="22" t="str"/>
      <x:c r="H24" s="22" t="str"/>
    </x:row>
    <x:row r="26">
      <x:c r="A26" s="44" t="str">
        <x:v>v4更新：候補81～100地点、ルート37～48を追加（2026-07-29確認）</x:v>
      </x:c>
      <x:c r="B26" s="44"/>
      <x:c r="C26" s="44"/>
      <x:c r="D26" s="44"/>
      <x:c r="E26" s="44"/>
      <x:c r="F26" s="44"/>
      <x:c r="G26" s="44"/>
      <x:c r="H26" s="44"/>
    </x:row>
    <x:row r="28">
      <x:c r="A28" s="46" t="str">
        <x:v>今回の運用上の重要事項</x:v>
      </x:c>
      <x:c r="B28" s="46"/>
      <x:c r="C28" s="46"/>
      <x:c r="D28" s="46"/>
      <x:c r="E28" s="46"/>
      <x:c r="F28" s="46"/>
      <x:c r="G28" s="46"/>
      <x:c r="H28" s="46"/>
    </x:row>
    <x:row r="29">
      <x:c r="A29" s="22" t="str">
        <x:v>佐倉ふるさと広場</x:v>
      </x:c>
      <x:c r="B29" s="22" t="str">
        <x:v>拡張整備が進行中のため、イベント・駐車場・立入範囲を当日確認。</x:v>
      </x:c>
      <x:c r="C29" s="22" t="str"/>
      <x:c r="D29" s="22" t="str"/>
      <x:c r="E29" s="22" t="str"/>
      <x:c r="F29" s="22" t="str"/>
      <x:c r="G29" s="22" t="str"/>
      <x:c r="H29" s="22" t="str"/>
    </x:row>
    <x:row r="30">
      <x:c r="A30" s="22" t="str">
        <x:v>山間候補</x:v>
      </x:c>
      <x:c r="B30" s="22" t="str">
        <x:v>菜の花台・払沢の滝・石垣山は霧、凍結、狭路、閉場時刻をHard Gateで判定。</x:v>
      </x:c>
      <x:c r="C30" s="22" t="str"/>
      <x:c r="D30" s="22" t="str"/>
      <x:c r="E30" s="22" t="str"/>
      <x:c r="F30" s="22" t="str"/>
      <x:c r="G30" s="22" t="str"/>
      <x:c r="H30" s="22" t="str"/>
    </x:row>
    <x:row r="32">
      <x:c r="A32" s="59" t="str">
        <x:v>現在地ナビ・夜間並べ替え対応版</x:v>
      </x:c>
      <x:c r="B32" s="59"/>
      <x:c r="C32" s="59"/>
      <x:c r="D32" s="59"/>
      <x:c r="E32" s="59"/>
    </x:row>
    <x:row r="33">
      <x:c r="A33" s="22" t="str">
        <x:v>変更1</x:v>
      </x:c>
      <x:c r="B33" s="22" t="str">
        <x:v>Googleマップは端末の現在地から目的地までの経路を開きます</x:v>
      </x:c>
      <x:c r="C33" s="22" t="str"/>
      <x:c r="D33" s="22" t="str"/>
      <x:c r="E33" s="22" t="str"/>
    </x:row>
    <x:row r="34">
      <x:c r="A34" s="22" t="str">
        <x:v>変更2</x:v>
      </x:c>
      <x:c r="B34" s="22" t="str">
        <x:v>夜間適性列の▼から昇順・降順へ並べ替え可能です</x:v>
      </x:c>
      <x:c r="C34" s="22" t="str"/>
      <x:c r="D34" s="22" t="str"/>
      <x:c r="E34" s="22" t="str"/>
    </x:row>
    <x:row r="35">
      <x:c r="A35" s="22" t="str">
        <x:v>変更3</x:v>
      </x:c>
      <x:c r="B35" s="22" t="str">
        <x:v>「夜間適性順」シートは最初から夜間適性の高い順です</x:v>
      </x:c>
      <x:c r="C35" s="22" t="str"/>
      <x:c r="D35" s="22" t="str"/>
      <x:c r="E35" s="22" t="str"/>
    </x:row>
    <x:row r="37">
      <x:c r="A37" s="66" t="str">
        <x:v>今回の追加結果</x:v>
      </x:c>
      <x:c r="B37" s="66"/>
      <x:c r="C37" s="66"/>
      <x:c r="D37" s="66"/>
      <x:c r="E37" s="66"/>
    </x:row>
    <x:row r="38">
      <x:c r="A38" s="22" t="str">
        <x:v>追加地点数</x:v>
      </x:c>
      <x:c r="B38" s="22" t="n">
        <x:v>20</x:v>
      </x:c>
      <x:c r="C38" s="22"/>
      <x:c r="D38" s="22" t="str">
        <x:v>Excel更新</x:v>
      </x:c>
      <x:c r="E38" s="22" t="str">
        <x:v>あり</x:v>
      </x:c>
    </x:row>
    <x:row r="39">
      <x:c r="A39" s="22" t="str">
        <x:v>累計地点数</x:v>
      </x:c>
      <x:c r="B39" s="22" t="n">
        <x:v>120</x:v>
      </x:c>
      <x:c r="C39" s="22"/>
      <x:c r="D39" s="22" t="str">
        <x:v>除外</x:v>
      </x:c>
      <x:c r="E39" s="22" t="str">
        <x:v>私有岸壁・路上駐車前提地点</x:v>
      </x:c>
    </x:row>
    <x:row r="40">
      <x:c r="A40" s="22" t="str">
        <x:v>追加ルート数</x:v>
      </x:c>
      <x:c r="B40" s="22" t="n">
        <x:v>12</x:v>
      </x:c>
      <x:c r="C40" s="22"/>
      <x:c r="D40" s="22" t="str">
        <x:v>保留</x:v>
      </x:c>
      <x:c r="E40" s="22" t="str">
        <x:v>鷺沼北公園・殿町第2公園は経由地専用</x:v>
      </x:c>
    </x:row>
    <x:row r="41">
      <x:c r="A41" s="22" t="str">
        <x:v>累計ルート数</x:v>
      </x:c>
      <x:c r="B41" s="22" t="n">
        <x:v>60</x:v>
      </x:c>
      <x:c r="C41" s="22"/>
      <x:c r="D41" s="22" t="str">
        <x:v>確認日</x:v>
      </x:c>
      <x:c r="E41" s="22" t="str">
        <x:v>2026-07-29</x:v>
      </x:c>
    </x:row>
    <x:row r="42">
      <x:c r="A42" s="73" t="str">
        <x:v>今回の追加結果｜v6</x:v>
      </x:c>
      <x:c r="B42" s="73"/>
      <x:c r="C42" s="73"/>
      <x:c r="D42" s="73"/>
      <x:c r="E42" s="73"/>
    </x:row>
    <x:row r="43">
      <x:c r="A43" s="22" t="str">
        <x:v>追加地点数</x:v>
      </x:c>
      <x:c r="B43" s="22" t="n">
        <x:v>20</x:v>
      </x:c>
      <x:c r="C43" s="22"/>
      <x:c r="D43" s="22" t="str">
        <x:v>Excel更新</x:v>
      </x:c>
      <x:c r="E43" s="22" t="str">
        <x:v>あり</x:v>
      </x:c>
    </x:row>
    <x:row r="44">
      <x:c r="A44" s="22" t="str">
        <x:v>累計地点数</x:v>
      </x:c>
      <x:c r="B44" s="22" t="n">
        <x:v>140</x:v>
      </x:c>
      <x:c r="C44" s="22"/>
      <x:c r="D44" s="22" t="str">
        <x:v>除外</x:v>
      </x:c>
      <x:c r="E44" s="22" t="str">
        <x:v>路上駐車前提・私有地・無許可岸壁</x:v>
      </x:c>
    </x:row>
    <x:row r="45">
      <x:c r="A45" s="22" t="str">
        <x:v>追加ルート数</x:v>
      </x:c>
      <x:c r="B45" s="22" t="n">
        <x:v>12</x:v>
      </x:c>
      <x:c r="C45" s="22"/>
      <x:c r="D45" s="22" t="str">
        <x:v>保留</x:v>
      </x:c>
      <x:c r="E45" s="22" t="str">
        <x:v>施設利用者専用駐車場は条件付き採用</x:v>
      </x:c>
    </x:row>
    <x:row r="46">
      <x:c r="A46" s="22" t="str">
        <x:v>累計ルート数</x:v>
      </x:c>
      <x:c r="B46" s="22" t="n">
        <x:v>72</x:v>
      </x:c>
      <x:c r="C46" s="22"/>
      <x:c r="D46" s="22" t="str">
        <x:v>確認日</x:v>
      </x:c>
      <x:c r="E46" s="23" t="n">
        <x:v>46232</x:v>
      </x:c>
    </x:row>
    <x:row r="47">
      <x:c r="A47" s="22"/>
      <x:c r="B47" s="22"/>
      <x:c r="C47" s="22"/>
      <x:c r="D47" s="22" t="str">
        <x:v>Googleマップ</x:v>
      </x:c>
      <x:c r="E47" s="22" t="str">
        <x:v>現在地→目的地／経由地ルート対応</x:v>
      </x:c>
    </x:row>
    <x:row r="48">
      <x:c r="A48" s="88" t="str">
        <x:v>今回の追加結果｜160地点・84ルート</x:v>
      </x:c>
      <x:c r="B48" s="88"/>
      <x:c r="C48" s="88"/>
      <x:c r="D48" s="88"/>
      <x:c r="E48" s="88"/>
    </x:row>
    <x:row r="49">
      <x:c r="A49" s="14" t="str">
        <x:v>追加地点数</x:v>
      </x:c>
      <x:c r="B49" s="14" t="n">
        <x:v>20</x:v>
      </x:c>
      <x:c r="C49" s="14"/>
      <x:c r="D49" s="14" t="str">
        <x:v>除外</x:v>
      </x:c>
      <x:c r="E49" s="14" t="str">
        <x:v>路上駐車前提・私有岸壁・立入禁止</x:v>
      </x:c>
    </x:row>
    <x:row r="50">
      <x:c r="A50" s="22" t="str">
        <x:v>累計地点数</x:v>
      </x:c>
      <x:c r="B50" s="22" t="n">
        <x:v>160</x:v>
      </x:c>
      <x:c r="C50" s="22"/>
      <x:c r="D50" s="22" t="str">
        <x:v>保留</x:v>
      </x:c>
      <x:c r="E50" s="22" t="str">
        <x:v>美の山公園は概ね70km圏外寄りの特別枠</x:v>
      </x:c>
    </x:row>
    <x:row r="51">
      <x:c r="A51" s="22" t="str">
        <x:v>追加ルート数</x:v>
      </x:c>
      <x:c r="B51" s="22" t="n">
        <x:v>12</x:v>
      </x:c>
      <x:c r="C51" s="22"/>
      <x:c r="D51" s="22" t="str">
        <x:v>改善</x:v>
      </x:c>
      <x:c r="E51" s="22" t="str">
        <x:v>Operational TruthとWikipedia豆知識を完全分離</x:v>
      </x:c>
    </x:row>
    <x:row r="52">
      <x:c r="A52" s="22" t="str">
        <x:v>累計ルート数</x:v>
      </x:c>
      <x:c r="B52" s="22" t="n">
        <x:v>84</x:v>
      </x:c>
      <x:c r="C52" s="22"/>
      <x:c r="D52" s="22" t="str">
        <x:v>改善</x:v>
      </x:c>
      <x:c r="E52" s="22" t="str">
        <x:v>夜間利用は駐車場閉鎖時刻をHard Gate化</x:v>
      </x:c>
    </x:row>
    <x:row r="53">
      <x:c r="A53" s="22" t="str">
        <x:v>Excel更新</x:v>
      </x:c>
      <x:c r="B53" s="22" t="str">
        <x:v>あり</x:v>
      </x:c>
      <x:c r="C53" s="22"/>
      <x:c r="D53" s="22" t="str">
        <x:v>確認日</x:v>
      </x:c>
      <x:c r="E53" s="23" t="n">
        <x:v>46232</x:v>
      </x:c>
    </x:row>
    <x:row r="54">
      <x:c r="A54" s="93" t="str">
        <x:v>今回の追加結果｜180地点・96ルート</x:v>
      </x:c>
      <x:c r="B54" s="93"/>
      <x:c r="C54" s="93"/>
      <x:c r="D54" s="93"/>
      <x:c r="E54" s="93"/>
    </x:row>
    <x:row r="55">
      <x:c r="A55" s="22" t="str">
        <x:v>追加地点数</x:v>
      </x:c>
      <x:c r="B55" s="22" t="n">
        <x:v>20</x:v>
      </x:c>
      <x:c r="C55" s="22"/>
      <x:c r="D55" s="22" t="str">
        <x:v>Excel更新</x:v>
      </x:c>
      <x:c r="E55" s="22" t="str">
        <x:v>あり</x:v>
      </x:c>
    </x:row>
    <x:row r="56">
      <x:c r="A56" s="22" t="str">
        <x:v>累計地点数</x:v>
      </x:c>
      <x:c r="B56" s="22" t="n">
        <x:v>180</x:v>
      </x:c>
      <x:c r="C56" s="22"/>
      <x:c r="D56" s="22" t="str">
        <x:v>除外</x:v>
      </x:c>
      <x:c r="E56" s="22" t="str">
        <x:v>私有岸壁・路上駐車前提・閉鎖時刻不明で危険な地点</x:v>
      </x:c>
    </x:row>
    <x:row r="57">
      <x:c r="A57" s="22" t="str">
        <x:v>追加ルート数</x:v>
      </x:c>
      <x:c r="B57" s="22" t="n">
        <x:v>12</x:v>
      </x:c>
      <x:c r="C57" s="22"/>
      <x:c r="D57" s="22" t="str">
        <x:v>保留</x:v>
      </x:c>
      <x:c r="E57" s="22" t="str">
        <x:v>本牧山頂・袖ケ浦海浜は駐車場時間を当日再確認</x:v>
      </x:c>
    </x:row>
    <x:row r="58">
      <x:c r="A58" s="22" t="str">
        <x:v>累計ルート数</x:v>
      </x:c>
      <x:c r="B58" s="22" t="n">
        <x:v>96</x:v>
      </x:c>
      <x:c r="C58" s="22"/>
      <x:c r="D58" s="22" t="str">
        <x:v>確認日</x:v>
      </x:c>
      <x:c r="E58" s="23" t="n">
        <x:v>46232</x:v>
      </x:c>
    </x:row>
    <x:row r="59">
      <x:c r="A59" s="22"/>
      <x:c r="B59" s="22"/>
      <x:c r="C59" s="22"/>
      <x:c r="D59" s="22" t="str">
        <x:v>品質改善</x:v>
      </x:c>
      <x:c r="E59" s="22" t="str">
        <x:v>港湾施設と24時間公園を分離し、昼夜ルートのHard Gateを明記</x:v>
      </x:c>
    </x:row>
    <x:row r="61">
      <x:c r="A61" s="101" t="str">
        <x:v>今回の追加・既存ブラッシュアップ結果｜v10</x:v>
      </x:c>
      <x:c r="B61" s="101"/>
      <x:c r="C61" s="101"/>
      <x:c r="D61" s="101"/>
      <x:c r="E61" s="101"/>
    </x:row>
    <x:row r="62">
      <x:c r="A62" s="22" t="str">
        <x:v>追加地点数</x:v>
      </x:c>
      <x:c r="B62" s="22" t="n">
        <x:v>20</x:v>
      </x:c>
      <x:c r="C62" s="22"/>
      <x:c r="D62" s="22" t="str">
        <x:v>リンク再生成</x:v>
      </x:c>
      <x:c r="E62" s="22" t="str">
        <x:v>Googleマップ200件・ルート108件</x:v>
      </x:c>
    </x:row>
    <x:row r="63">
      <x:c r="A63" s="22" t="str">
        <x:v>累計地点数</x:v>
      </x:c>
      <x:c r="B63" s="22" t="n">
        <x:v>200</x:v>
      </x:c>
      <x:c r="C63" s="22"/>
      <x:c r="D63" s="22" t="str">
        <x:v>Wikipediaリンク</x:v>
      </x:c>
      <x:c r="E63" s="22" t="str">
        <x:v>全200地点補完</x:v>
      </x:c>
    </x:row>
    <x:row r="64">
      <x:c r="A64" s="22" t="str">
        <x:v>追加ルート数</x:v>
      </x:c>
      <x:c r="B64" s="22" t="n">
        <x:v>12</x:v>
      </x:c>
      <x:c r="C64" s="22"/>
      <x:c r="D64" s="22" t="str">
        <x:v>新規重点</x:v>
      </x:c>
      <x:c r="E64" s="22" t="str">
        <x:v>海辺・灯台・美術館・ダム・SA/PA</x:v>
      </x:c>
    </x:row>
    <x:row r="65">
      <x:c r="A65" s="22" t="str">
        <x:v>累計ルート数</x:v>
      </x:c>
      <x:c r="B65" s="22" t="n">
        <x:v>108</x:v>
      </x:c>
      <x:c r="C65" s="22"/>
      <x:c r="D65" s="22" t="str">
        <x:v>除外</x:v>
      </x:c>
      <x:c r="E65" s="22" t="str">
        <x:v>路上駐車前提・私有岸壁・閉鎖情報不明地点</x:v>
      </x:c>
    </x:row>
    <x:row r="66">
      <x:c r="A66" s="22" t="str">
        <x:v>既存重点更新</x:v>
      </x:c>
      <x:c r="B66" s="22" t="n">
        <x:v>6</x:v>
      </x:c>
      <x:c r="C66" s="22"/>
      <x:c r="D66" s="22" t="str">
        <x:v>保留</x:v>
      </x:c>
      <x:c r="E66" s="22" t="str">
        <x:v>駐車場時間不明地点は当日再確認</x:v>
      </x:c>
    </x:row>
    <x:row r="67">
      <x:c r="A67" s="22" t="str">
        <x:v>Excel更新</x:v>
      </x:c>
      <x:c r="B67" s="22" t="str">
        <x:v>あり</x:v>
      </x:c>
      <x:c r="C67" s="22"/>
      <x:c r="D67" s="22" t="str">
        <x:v>確認日</x:v>
      </x:c>
      <x:c r="E67" s="23" t="n">
        <x:v>46232</x:v>
      </x:c>
    </x:row>
    <x:row r="68">
      <x:c r="A68" s="22"/>
      <x:c r="B68" s="22"/>
      <x:c r="C68" s="22"/>
      <x:c r="D68" s="22" t="str">
        <x:v>改善ログ</x:v>
      </x:c>
      <x:c r="E68" s="22" t="str">
        <x:v>「品質更新ログ」シートを追加</x:v>
      </x:c>
    </x:row>
    <x:row r="70">
      <x:c r="A70" s="107" t="str">
        <x:v>今回の追加・既存ブラッシュアップ結果｜v11</x:v>
      </x:c>
      <x:c r="B70" s="107"/>
      <x:c r="C70" s="107"/>
      <x:c r="D70" s="107"/>
      <x:c r="E70" s="107"/>
    </x:row>
    <x:row r="71">
      <x:c r="A71" s="22" t="str">
        <x:v>追加地点数</x:v>
      </x:c>
      <x:c r="B71" s="22" t="n">
        <x:v>20</x:v>
      </x:c>
      <x:c r="C71" s="22"/>
      <x:c r="D71" s="22" t="str">
        <x:v>重点補強</x:v>
      </x:c>
      <x:c r="E71" s="22" t="str">
        <x:v>飛行機・小田原・庭園・城址・防災</x:v>
      </x:c>
    </x:row>
    <x:row r="72">
      <x:c r="A72" s="22" t="str">
        <x:v>累計地点数</x:v>
      </x:c>
      <x:c r="B72" s="22" t="n">
        <x:v>220</x:v>
      </x:c>
      <x:c r="C72" s="22"/>
      <x:c r="D72" s="22" t="str">
        <x:v>Googleマップ</x:v>
      </x:c>
      <x:c r="E72" s="22" t="str">
        <x:v>220地点・120ルートを全件再生成</x:v>
      </x:c>
    </x:row>
    <x:row r="73">
      <x:c r="A73" s="22" t="str">
        <x:v>追加ルート数</x:v>
      </x:c>
      <x:c r="B73" s="22" t="n">
        <x:v>12</x:v>
      </x:c>
      <x:c r="C73" s="22"/>
      <x:c r="D73" s="22" t="str">
        <x:v>Wikipedia</x:v>
      </x:c>
      <x:c r="E73" s="22" t="str">
        <x:v>全220地点リンク維持</x:v>
      </x:c>
    </x:row>
    <x:row r="74">
      <x:c r="A74" s="22" t="str">
        <x:v>累計ルート数</x:v>
      </x:c>
      <x:c r="B74" s="22" t="n">
        <x:v>120</x:v>
      </x:c>
      <x:c r="C74" s="22"/>
      <x:c r="D74" s="22" t="str">
        <x:v>除外</x:v>
      </x:c>
      <x:c r="E74" s="22" t="str">
        <x:v>私有地・立入禁止・路上駐車前提</x:v>
      </x:c>
    </x:row>
    <x:row r="75">
      <x:c r="A75" s="22" t="str">
        <x:v>既存再点検</x:v>
      </x:c>
      <x:c r="B75" s="22" t="n">
        <x:v>6</x:v>
      </x:c>
      <x:c r="C75" s="22"/>
      <x:c r="D75" s="22" t="str">
        <x:v>保留</x:v>
      </x:c>
      <x:c r="E75" s="22" t="str">
        <x:v>公式に利用時間の明記がない地点は当日再確認</x:v>
      </x:c>
    </x:row>
    <x:row r="76">
      <x:c r="A76" s="22" t="str">
        <x:v>Excel更新</x:v>
      </x:c>
      <x:c r="B76" s="22" t="str">
        <x:v>あり</x:v>
      </x:c>
      <x:c r="C76" s="22"/>
      <x:c r="D76" s="22" t="str">
        <x:v>確認日</x:v>
      </x:c>
      <x:c r="E76" s="23" t="n">
        <x:v>46232</x:v>
      </x:c>
    </x:row>
    <x:row r="77">
      <x:c r="A77" s="22" t="str">
        <x:v>品質ログ</x:v>
      </x:c>
      <x:c r="B77" s="22" t="str">
        <x:v>8件追加</x:v>
      </x:c>
      <x:c r="C77" s="22"/>
      <x:c r="D77" s="22" t="str">
        <x:v>夜間並べ替え</x:v>
      </x:c>
      <x:c r="E77" s="22" t="str">
        <x:v>専用シート更新済み</x:v>
      </x:c>
    </x:row>
    <x:row r="78">
      <x:c r="A78" s="22"/>
      <x:c r="B78" s="22"/>
      <x:c r="C78" s="22"/>
      <x:c r="D78" s="22" t="str">
        <x:v>改善点</x:v>
      </x:c>
      <x:c r="E78" s="22" t="str">
        <x:v>新規追加と既存修正を品質ログで分離</x:v>
      </x:c>
    </x:row>
    <x:row r="80">
      <x:c r="A80" s="111" t="str">
        <x:v>今回の追加・既存ブラッシュアップ結果｜v12</x:v>
      </x:c>
      <x:c r="B80" s="111"/>
      <x:c r="C80" s="111"/>
      <x:c r="D80" s="111"/>
      <x:c r="E80" s="111"/>
    </x:row>
    <x:row r="81">
      <x:c r="A81" s="22" t="str">
        <x:v>追加地点数</x:v>
      </x:c>
      <x:c r="B81" s="22" t="n">
        <x:v>20</x:v>
      </x:c>
      <x:c r="C81" s="22"/>
      <x:c r="D81" s="22" t="str">
        <x:v>重点補強</x:v>
      </x:c>
      <x:c r="E81" s="22" t="str">
        <x:v>干潟・運河・基地跡・高台・道の駅・里山</x:v>
      </x:c>
    </x:row>
    <x:row r="82">
      <x:c r="A82" s="22" t="str">
        <x:v>累計地点数</x:v>
      </x:c>
      <x:c r="B82" s="22" t="n">
        <x:v>240</x:v>
      </x:c>
      <x:c r="C82" s="22"/>
      <x:c r="D82" s="22" t="str">
        <x:v>夜間強化</x:v>
      </x:c>
      <x:c r="E82" s="22" t="str">
        <x:v>24時間駐車の幕張・国分寺・足柄を追加</x:v>
      </x:c>
    </x:row>
    <x:row r="83">
      <x:c r="A83" s="22" t="str">
        <x:v>追加ルート数</x:v>
      </x:c>
      <x:c r="B83" s="22" t="n">
        <x:v>12</x:v>
      </x:c>
      <x:c r="C83" s="22"/>
      <x:c r="D83" s="22" t="str">
        <x:v>除外</x:v>
      </x:c>
      <x:c r="E83" s="22" t="str">
        <x:v>私有地・立入禁止・路上駐車前提</x:v>
      </x:c>
    </x:row>
    <x:row r="84">
      <x:c r="A84" s="22" t="str">
        <x:v>累計ルート数</x:v>
      </x:c>
      <x:c r="B84" s="22" t="n">
        <x:v>132</x:v>
      </x:c>
      <x:c r="C84" s="22"/>
      <x:c r="D84" s="22" t="str">
        <x:v>条件付き</x:v>
      </x:c>
      <x:c r="E84" s="22" t="str">
        <x:v>専用駐車場なしは合法時間貸しを明記</x:v>
      </x:c>
    </x:row>
    <x:row r="85">
      <x:c r="A85" s="22" t="str">
        <x:v>既存再点検</x:v>
      </x:c>
      <x:c r="B85" s="22" t="n">
        <x:v>5</x:v>
      </x:c>
      <x:c r="C85" s="22"/>
      <x:c r="D85" s="22" t="str">
        <x:v>確認日</x:v>
      </x:c>
      <x:c r="E85" s="23" t="n">
        <x:v>46232</x:v>
      </x:c>
    </x:row>
    <x:row r="86">
      <x:c r="A86" s="22" t="str">
        <x:v>Excel更新</x:v>
      </x:c>
      <x:c r="B86" s="22" t="str">
        <x:v>あり</x:v>
      </x:c>
      <x:c r="C86" s="22"/>
      <x:c r="D86" s="22" t="str">
        <x:v>リンク</x:v>
      </x:c>
      <x:c r="E86" s="22" t="str">
        <x:v>240地点・132ルートを再生成</x:v>
      </x:c>
    </x:row>
    <x:row r="87">
      <x:c r="A87" s="22" t="str">
        <x:v>品質ログ</x:v>
      </x:c>
      <x:c r="B87" s="22" t="str">
        <x:v>4件追加</x:v>
      </x:c>
      <x:c r="C87" s="22"/>
      <x:c r="D87" s="22" t="str">
        <x:v>夜間並替え</x:v>
      </x:c>
      <x:c r="E87" s="22" t="str">
        <x:v>更新済み</x:v>
      </x:c>
    </x:row>
    <x:row r="88">
      <x:c r="A88" s="22"/>
      <x:c r="B88" s="22"/>
      <x:c r="C88" s="22"/>
      <x:c r="D88" s="22" t="str">
        <x:v>改善点</x:v>
      </x:c>
      <x:c r="E88" s="22" t="str">
        <x:v>徒歩負荷・進行方向・閉場Hard Gateを説明へ反映</x:v>
      </x:c>
    </x:row>
    <x:row r="90">
      <x:c r="A90" s="118" t="str">
        <x:v>近距離コア再編｜v13</x:v>
      </x:c>
      <x:c r="B90" s="118"/>
      <x:c r="C90" s="118"/>
      <x:c r="D90" s="118"/>
      <x:c r="E90" s="118"/>
    </x:row>
    <x:row r="91">
      <x:c r="A91" s="22" t="str">
        <x:v>近距離新規地点</x:v>
      </x:c>
      <x:c r="B91" s="22" t="n">
        <x:v>12</x:v>
      </x:c>
      <x:c r="C91" s="22"/>
      <x:c r="D91" s="22" t="str">
        <x:v>重点エリア</x:v>
      </x:c>
      <x:c r="E91" s="22" t="str">
        <x:v>大田区・羽田・大森・多摩川・お台場・豊洲</x:v>
      </x:c>
    </x:row>
    <x:row r="92">
      <x:c r="A92" s="22" t="str">
        <x:v>累計地点</x:v>
      </x:c>
      <x:c r="B92" s="22" t="n">
        <x:v>252</x:v>
      </x:c>
      <x:c r="C92" s="22"/>
      <x:c r="D92" s="22" t="str">
        <x:v>追加情報</x:v>
      </x:c>
      <x:c r="E92" s="22" t="str">
        <x:v>距離帯・所要時間・滞在・雨天・車内・代替</x:v>
      </x:c>
    </x:row>
    <x:row r="93">
      <x:c r="A93" s="22" t="str">
        <x:v>追加ルート</x:v>
      </x:c>
      <x:c r="B93" s="22" t="n">
        <x:v>12</x:v>
      </x:c>
      <x:c r="C93" s="22"/>
      <x:c r="D93" s="22" t="str">
        <x:v>近距離ルート</x:v>
      </x:c>
      <x:c r="E93" s="22" t="n">
        <x:v>35</x:v>
      </x:c>
    </x:row>
    <x:row r="94">
      <x:c r="A94" s="22" t="str">
        <x:v>累計ルート</x:v>
      </x:c>
      <x:c r="B94" s="22" t="n">
        <x:v>144</x:v>
      </x:c>
      <x:c r="C94" s="22"/>
      <x:c r="D94" s="22" t="str">
        <x:v>広域ルート</x:v>
      </x:c>
      <x:c r="E94" s="22" t="n">
        <x:v>109</x:v>
      </x:c>
    </x:row>
    <x:row r="95">
      <x:c r="A95" s="22" t="str">
        <x:v>近距離コア地点</x:v>
      </x:c>
      <x:c r="B95" s="22" t="n">
        <x:v>70</x:v>
      </x:c>
      <x:c r="C95" s="22"/>
      <x:c r="D95" s="22" t="str">
        <x:v>除外方針</x:v>
      </x:c>
      <x:c r="E95" s="22" t="str">
        <x:v>35km超は近距離検索から分離</x:v>
      </x:c>
    </x:row>
    <x:row r="96">
      <x:c r="A96" s="22" t="str">
        <x:v>準コア地点</x:v>
      </x:c>
      <x:c r="B96" s="22" t="n">
        <x:v>22</x:v>
      </x:c>
      <x:c r="C96" s="22"/>
      <x:c r="D96" s="22" t="str">
        <x:v>確認日</x:v>
      </x:c>
      <x:c r="E96" s="23" t="n">
        <x:v>46232</x:v>
      </x:c>
    </x:row>
    <x:row r="97">
      <x:c r="A97" s="22" t="str">
        <x:v>遠距離アーカイブ</x:v>
      </x:c>
      <x:c r="B97" s="22" t="n">
        <x:v>160</x:v>
      </x:c>
      <x:c r="C97" s="22"/>
      <x:c r="D97" s="22" t="str">
        <x:v>Excel更新</x:v>
      </x:c>
      <x:c r="E97" s="22" t="str">
        <x:v>あり</x:v>
      </x:c>
    </x:row>
    <x:row r="98">
      <x:c r="A98" s="22" t="str">
        <x:v>重複候補</x:v>
      </x:c>
      <x:c r="B98" s="22" t="n">
        <x:v>16</x:v>
      </x:c>
      <x:c r="C98" s="22"/>
      <x:c r="D98" s="22" t="str">
        <x:v>新規シート</x:v>
      </x:c>
      <x:c r="E98" s="22" t="str">
        <x:v>コア／準コア／遠距離／用途別ルート／重複候補</x:v>
      </x:c>
    </x:row>
    <x:row r="99">
      <x:c r="A99" s="22"/>
      <x:c r="B99" s="22"/>
      <x:c r="C99" s="22"/>
      <x:c r="D99" s="22" t="str">
        <x:v>品質改善</x:v>
      </x:c>
      <x:c r="E99" s="22" t="str">
        <x:v>件数競争から、近さ・使い方・代替性の密度へ転換</x:v>
      </x:c>
    </x:row>
    <x:row r="101">
      <x:c r="A101" s="145" t="str">
        <x:v>近距離コア作り込み｜v14</x:v>
      </x:c>
      <x:c r="B101" s="145"/>
      <x:c r="C101" s="145"/>
      <x:c r="D101" s="145"/>
      <x:c r="E101" s="145"/>
    </x:row>
    <x:row r="102">
      <x:c r="A102" s="22" t="str">
        <x:v>新規地点</x:v>
      </x:c>
      <x:c r="B102" s="22" t="n">
        <x:v>0</x:v>
      </x:c>
      <x:c r="C102" s="22"/>
      <x:c r="D102" s="22" t="str">
        <x:v>今回の重点</x:v>
      </x:c>
      <x:c r="E102" s="22" t="str">
        <x:v>件数追加ではなく選択・比較・即出発</x:v>
      </x:c>
    </x:row>
    <x:row r="103">
      <x:c r="A103" s="22" t="str">
        <x:v>コア地点採点</x:v>
      </x:c>
      <x:c r="B103" s="22" t="n">
        <x:v>70</x:v>
      </x:c>
      <x:c r="C103" s="22"/>
      <x:c r="D103" s="22" t="str">
        <x:v>採点軸</x:v>
      </x:c>
      <x:c r="E103" s="22" t="str">
        <x:v>近さ・夜間・駐車・閉場・雨天・車内・穴場</x:v>
      </x:c>
    </x:row>
    <x:row r="104">
      <x:c r="A104" s="22" t="str">
        <x:v>近距離ルート採点</x:v>
      </x:c>
      <x:c r="B104" s="22" t="n">
        <x:v>35</x:v>
      </x:c>
      <x:c r="C104" s="22"/>
      <x:c r="D104" s="22" t="str">
        <x:v>用途</x:v>
      </x:c>
      <x:c r="E104" s="22" t="str">
        <x:v>平日夜／深夜／雨天／飛行機／海／工場夜景／静けさ／休日</x:v>
      </x:c>
    </x:row>
    <x:row r="105">
      <x:c r="A105" s="22" t="str">
        <x:v>用途別ランキング</x:v>
      </x:c>
      <x:c r="B105" s="22" t="n">
        <x:v>8</x:v>
      </x:c>
      <x:c r="C105" s="22"/>
      <x:c r="D105" s="22" t="str">
        <x:v>新シート</x:v>
      </x:c>
      <x:c r="E105" s="22" t="str">
        <x:v>今すぐ出発／用途別ランキング／コア採点DB</x:v>
      </x:c>
    </x:row>
    <x:row r="106">
      <x:c r="A106" s="22" t="str">
        <x:v>用途別上位地点</x:v>
      </x:c>
      <x:c r="B106" s="22" t="n">
        <x:v>80</x:v>
      </x:c>
      <x:c r="C106" s="22"/>
      <x:c r="D106" s="22" t="str">
        <x:v>ルート</x:v>
      </x:c>
      <x:c r="E106" s="22" t="str">
        <x:v>ルート採点DB／近距離ルートカード</x:v>
      </x:c>
    </x:row>
    <x:row r="107">
      <x:c r="A107" s="22" t="str">
        <x:v>用途別ルートカード</x:v>
      </x:c>
      <x:c r="B107" s="22" t="n">
        <x:v>24</x:v>
      </x:c>
      <x:c r="C107" s="22"/>
      <x:c r="D107" s="22" t="str">
        <x:v>品質改善</x:v>
      </x:c>
      <x:c r="E107" s="22" t="str">
        <x:v>閉場時刻と駐車確実性を独立採点</x:v>
      </x:c>
    </x:row>
    <x:row r="108">
      <x:c r="A108" s="22" t="str">
        <x:v>ダッシュボード</x:v>
      </x:c>
      <x:c r="B108" s="22" t="str">
        <x:v>追加</x:v>
      </x:c>
      <x:c r="C108" s="22"/>
      <x:c r="D108" s="22" t="str">
        <x:v>注意</x:v>
      </x:c>
      <x:c r="E108" s="22" t="str">
        <x:v>スコアは比較補助。出発当日は公式情報を再確認</x:v>
      </x:c>
    </x:row>
    <x:row r="109">
      <x:c r="A109" s="22" t="str">
        <x:v>採点ロジック</x:v>
      </x:c>
      <x:c r="B109" s="22" t="str">
        <x:v>追加</x:v>
      </x:c>
      <x:c r="C109" s="22"/>
      <x:c r="D109" s="22" t="str">
        <x:v>既存データ</x:v>
      </x:c>
      <x:c r="E109" s="22" t="str">
        <x:v>近距離コア70地点を全件再評価</x:v>
      </x:c>
    </x:row>
    <x:row r="110">
      <x:c r="A110" s="22" t="str">
        <x:v>Excel更新</x:v>
      </x:c>
      <x:c r="B110" s="22" t="str">
        <x:v>あり</x:v>
      </x:c>
      <x:c r="C110" s="22"/>
      <x:c r="D110" s="22" t="str">
        <x:v>数式エラー</x:v>
      </x:c>
      <x:c r="E110" s="22" t="str">
        <x:v>最終検査実施</x:v>
      </x:c>
    </x:row>
    <x:row r="111">
      <x:c r="A111" s="22" t="str">
        <x:v>確認日</x:v>
      </x:c>
      <x:c r="B111" s="23" t="n">
        <x:v>46232</x:v>
      </x:c>
      <x:c r="C111" s="22"/>
      <x:c r="D111" s="22" t="str">
        <x:v>次の深化</x:v>
      </x:c>
      <x:c r="E111" s="22" t="str">
        <x:v>重複統合・地点ごとの短文カード・時間帯別ルート再設計</x:v>
      </x:c>
    </x:row>
    <x:row r="112">
      <x:c r="A112" s="22"/>
      <x:c r="B112" s="22"/>
      <x:c r="C112" s="22"/>
      <x:c r="D112" s="22" t="str">
        <x:v>完成版</x:v>
      </x:c>
      <x:c r="E112" s="22" t="str">
        <x:v>v14</x:v>
      </x:c>
    </x:row>
    <x:row r="114">
      <x:c r="A114" s="212" t="str">
        <x:v>条件入力ナビ作り込み｜v15</x:v>
      </x:c>
      <x:c r="B114" s="212"/>
      <x:c r="C114" s="212"/>
      <x:c r="D114" s="212"/>
      <x:c r="E114" s="212"/>
    </x:row>
    <x:row r="115">
      <x:c r="A115" s="22" t="str">
        <x:v>新規地点</x:v>
      </x:c>
      <x:c r="B115" s="22" t="n">
        <x:v>0</x:v>
      </x:c>
      <x:c r="C115" s="22"/>
      <x:c r="D115" s="22" t="str">
        <x:v>今回の重点</x:v>
      </x:c>
      <x:c r="E115" s="22" t="str">
        <x:v>ユーザー条件から候補を動的生成</x:v>
      </x:c>
    </x:row>
    <x:row r="116">
      <x:c r="A116" s="22" t="str">
        <x:v>条件入力項目</x:v>
      </x:c>
      <x:c r="B116" s="22" t="n">
        <x:v>7</x:v>
      </x:c>
      <x:c r="C116" s="22"/>
      <x:c r="D116" s="22" t="str">
        <x:v>入力条件</x:v>
      </x:c>
      <x:c r="E116" s="22" t="str">
        <x:v>総時間・時間帯・天候・気分・歩行・駐車・高速</x:v>
      </x:c>
    </x:row>
    <x:row r="117">
      <x:c r="A117" s="22" t="str">
        <x:v>自動採点地点</x:v>
      </x:c>
      <x:c r="B117" s="22" t="n">
        <x:v>70</x:v>
      </x:c>
      <x:c r="C117" s="22"/>
      <x:c r="D117" s="22" t="str">
        <x:v>時間判定</x:v>
      </x:c>
      <x:c r="E117" s="22" t="str">
        <x:v>往復移動＋滞在中央値で適合度を評価</x:v>
      </x:c>
    </x:row>
    <x:row r="118">
      <x:c r="A118" s="22" t="str">
        <x:v>自動採点ルート</x:v>
      </x:c>
      <x:c r="B118" s="22" t="n">
        <x:v>35</x:v>
      </x:c>
      <x:c r="C118" s="22"/>
      <x:c r="D118" s="22" t="str">
        <x:v>強風判定</x:v>
      </x:c>
      <x:c r="E118" s="22" t="str">
        <x:v>海・港・河川・屋上・展望を減点</x:v>
      </x:c>
    </x:row>
    <x:row r="119">
      <x:c r="A119" s="22" t="str">
        <x:v>表示候補</x:v>
      </x:c>
      <x:c r="B119" s="22" t="n">
        <x:v>5</x:v>
      </x:c>
      <x:c r="C119" s="22"/>
      <x:c r="D119" s="22" t="str">
        <x:v>歩行判定</x:v>
      </x:c>
      <x:c r="E119" s="22" t="str">
        <x:v>徒歩負荷と車内鑑賞性を反映</x:v>
      </x:c>
    </x:row>
    <x:row r="120">
      <x:c r="A120" s="22" t="str">
        <x:v>表示ルート</x:v>
      </x:c>
      <x:c r="B120" s="22" t="n">
        <x:v>3</x:v>
      </x:c>
      <x:c r="C120" s="22"/>
      <x:c r="D120" s="22" t="str">
        <x:v>駐車判定</x:v>
      </x:c>
      <x:c r="E120" s="22" t="str">
        <x:v>確実性優先／穴場優先を切替</x:v>
      </x:c>
    </x:row>
    <x:row r="121">
      <x:c r="A121" s="22" t="str">
        <x:v>プリセット</x:v>
      </x:c>
      <x:c r="B121" s="22" t="n">
        <x:v>12</x:v>
      </x:c>
      <x:c r="C121" s="22"/>
      <x:c r="D121" s="22" t="str">
        <x:v>ルート判定</x:v>
      </x:c>
      <x:c r="E121" s="22" t="str">
        <x:v>高速道路の好みと総時間を反映</x:v>
      </x:c>
    </x:row>
    <x:row r="122">
      <x:c r="A122" s="22" t="str">
        <x:v>主力地点カード</x:v>
      </x:c>
      <x:c r="B122" s="22" t="n">
        <x:v>20</x:v>
      </x:c>
      <x:c r="C122" s="22"/>
      <x:c r="D122" s="22" t="str">
        <x:v>新シート</x:v>
      </x:c>
      <x:c r="E122" s="22" t="str">
        <x:v>条件入力ナビ／計算2枚／ベストプラン12／主力カード</x:v>
      </x:c>
    </x:row>
    <x:row r="123">
      <x:c r="A123" s="22" t="str">
        <x:v>Excel更新</x:v>
      </x:c>
      <x:c r="B123" s="22" t="str">
        <x:v>あり</x:v>
      </x:c>
      <x:c r="C123" s="22"/>
      <x:c r="D123" s="22" t="str">
        <x:v>注意</x:v>
      </x:c>
      <x:c r="E123" s="22" t="str">
        <x:v>Excelで入力を変更すると順位が再計算される</x:v>
      </x:c>
    </x:row>
    <x:row r="124">
      <x:c r="A124" s="22" t="str">
        <x:v>確認日</x:v>
      </x:c>
      <x:c r="B124" s="23" t="n">
        <x:v>46232</x:v>
      </x:c>
      <x:c r="C124" s="22"/>
      <x:c r="D124" s="22" t="str">
        <x:v>数式検査</x:v>
      </x:c>
      <x:c r="E124" s="22" t="str">
        <x:v>実施</x:v>
      </x:c>
    </x:row>
    <x:row r="125">
      <x:c r="A125" s="22" t="str">
        <x:v>バージョン</x:v>
      </x:c>
      <x:c r="B125" s="22" t="str">
        <x:v>v15</x:v>
      </x:c>
      <x:c r="C125" s="22"/>
      <x:c r="D125" s="22" t="str">
        <x:v>次の深化</x:v>
      </x:c>
      <x:c r="E125" s="22" t="str">
        <x:v>Google Maps実走時間との照合・閉場監視・重複統合</x:v>
      </x:c>
    </x:row>
    <x:row r="126">
      <x:c r="A126" s="22"/>
      <x:c r="B126" s="22"/>
      <x:c r="C126" s="22"/>
      <x:c r="D126" s="22" t="str">
        <x:v>完成版</x:v>
      </x:c>
      <x:c r="E126" s="22" t="str">
        <x:v>条件入力ナビ版</x:v>
      </x:c>
    </x:row>
    <x:row r="128">
      <x:c r="A128" s="276" t="str">
        <x:v>実走プラン作り込み｜v16</x:v>
      </x:c>
      <x:c r="B128" s="276"/>
      <x:c r="C128" s="276"/>
      <x:c r="D128" s="276"/>
      <x:c r="E128" s="276"/>
    </x:row>
    <x:row r="129">
      <x:c r="A129" s="22" t="str">
        <x:v>新規地点</x:v>
      </x:c>
      <x:c r="B129" s="22" t="n">
        <x:v>0</x:v>
      </x:c>
      <x:c r="C129" s="22"/>
      <x:c r="D129" s="22" t="str">
        <x:v>今回の重点</x:v>
      </x:c>
      <x:c r="E129" s="22" t="str">
        <x:v>選択後の実走失敗を減らす</x:v>
      </x:c>
    </x:row>
    <x:row r="130">
      <x:c r="A130" s="22" t="str">
        <x:v>監査対象ルート</x:v>
      </x:c>
      <x:c r="B130" s="22" t="n">
        <x:v>35</x:v>
      </x:c>
      <x:c r="C130" s="22"/>
      <x:c r="D130" s="22" t="str">
        <x:v>入力</x:v>
      </x:c>
      <x:c r="E130" s="22" t="str">
        <x:v>出発時刻・順位・渋滞・滞在・帰宅バッファ</x:v>
      </x:c>
    </x:row>
    <x:row r="131">
      <x:c r="A131" s="22" t="str">
        <x:v>実走入力</x:v>
      </x:c>
      <x:c r="B131" s="22" t="n">
        <x:v>6</x:v>
      </x:c>
      <x:c r="C131" s="22"/>
      <x:c r="D131" s="22" t="str">
        <x:v>時間計算</x:v>
      </x:c>
      <x:c r="E131" s="22" t="str">
        <x:v>ルート中央値を移動55%・滞在45%へ概算配分</x:v>
      </x:c>
    </x:row>
    <x:row r="132">
      <x:c r="A132" s="22" t="str">
        <x:v>Hard Gate抽出</x:v>
      </x:c>
      <x:c r="B132" s="22" t="str">
        <x:v>全ルート</x:v>
      </x:c>
      <x:c r="C132" s="22"/>
      <x:c r="D132" s="22" t="str">
        <x:v>Hard Gate</x:v>
      </x:c>
      <x:c r="E132" s="22" t="str">
        <x:v>最初に閉まる地点と到着余裕を算出</x:v>
      </x:c>
    </x:row>
    <x:row r="133">
      <x:c r="A133" s="22" t="str">
        <x:v>Plan B</x:v>
      </x:c>
      <x:c r="B133" s="22" t="str">
        <x:v>自動表示</x:v>
      </x:c>
      <x:c r="C133" s="22"/>
      <x:c r="D133" s="22" t="str">
        <x:v>天候判定</x:v>
      </x:c>
      <x:c r="E133" s="22" t="str">
        <x:v>強風・雨とルート特性を照合</x:v>
      </x:c>
    </x:row>
    <x:row r="134">
      <x:c r="A134" s="22" t="str">
        <x:v>タイムライン</x:v>
      </x:c>
      <x:c r="B134" s="22" t="str">
        <x:v>自動計算</x:v>
      </x:c>
      <x:c r="C134" s="22"/>
      <x:c r="D134" s="22" t="str">
        <x:v>駐車判定</x:v>
      </x:c>
      <x:c r="E134" s="22" t="str">
        <x:v>ルート内で最も弱い駐車条件を採用</x:v>
      </x:c>
    </x:row>
    <x:row r="135">
      <x:c r="A135" s="22" t="str">
        <x:v>GO判定</x:v>
      </x:c>
      <x:c r="B135" s="22" t="str">
        <x:v>4ゲート</x:v>
      </x:c>
      <x:c r="C135" s="22"/>
      <x:c r="D135" s="22" t="str">
        <x:v>Plan B</x:v>
      </x:c>
      <x:c r="E135" s="22" t="str">
        <x:v>次順位ルート＋最終地点の代替を表示</x:v>
      </x:c>
    </x:row>
    <x:row r="136">
      <x:c r="A136" s="22" t="str">
        <x:v>ルート監査DB</x:v>
      </x:c>
      <x:c r="B136" s="22" t="str">
        <x:v>追加</x:v>
      </x:c>
      <x:c r="C136" s="22"/>
      <x:c r="D136" s="22" t="str">
        <x:v>新シート</x:v>
      </x:c>
      <x:c r="E136" s="22" t="str">
        <x:v>実走プラン／ルート実現性監査</x:v>
      </x:c>
    </x:row>
    <x:row r="137">
      <x:c r="A137" s="22" t="str">
        <x:v>Excel更新</x:v>
      </x:c>
      <x:c r="B137" s="22" t="str">
        <x:v>あり</x:v>
      </x:c>
      <x:c r="C137" s="22"/>
      <x:c r="D137" s="22" t="str">
        <x:v>注意</x:v>
      </x:c>
      <x:c r="E137" s="22" t="str">
        <x:v>時刻は概算。出発直前にGoogle Mapsと公式情報を確認</x:v>
      </x:c>
    </x:row>
    <x:row r="138">
      <x:c r="A138" s="22" t="str">
        <x:v>確認日</x:v>
      </x:c>
      <x:c r="B138" s="23" t="n">
        <x:v>46232</x:v>
      </x:c>
      <x:c r="C138" s="22"/>
      <x:c r="D138" s="22" t="str">
        <x:v>数式検査</x:v>
      </x:c>
      <x:c r="E138" s="22" t="str">
        <x:v>実施</x:v>
      </x:c>
    </x:row>
    <x:row r="139">
      <x:c r="A139" s="22" t="str">
        <x:v>バージョン</x:v>
      </x:c>
      <x:c r="B139" s="22" t="str">
        <x:v>v16</x:v>
      </x:c>
      <x:c r="C139" s="22"/>
      <x:c r="D139" s="22" t="str">
        <x:v>次の深化</x:v>
      </x:c>
      <x:c r="E139" s="22" t="str">
        <x:v>実走結果ログ・到着時刻補正・ルート学習</x:v>
      </x:c>
    </x:row>
    <x:row r="140">
      <x:c r="A140" s="22"/>
      <x:c r="B140" s="22"/>
      <x:c r="C140" s="22"/>
      <x:c r="D140" s="22" t="str">
        <x:v>完成版</x:v>
      </x:c>
      <x:c r="E140" s="22" t="str">
        <x:v>実走プラン版</x:v>
      </x:c>
    </x:row>
    <x:row r="142">
      <x:c r="A142" s="323" t="str">
        <x:v>経由地品質向上｜v17</x:v>
      </x:c>
      <x:c r="B142" s="323"/>
      <x:c r="C142" s="323"/>
      <x:c r="D142" s="323"/>
      <x:c r="E142" s="323"/>
    </x:row>
    <x:row r="143">
      <x:c r="A143" s="22" t="str">
        <x:v>差替えルート</x:v>
      </x:c>
      <x:c r="B143" s="22" t="n">
        <x:v>8</x:v>
      </x:c>
      <x:c r="C143" s="22"/>
      <x:c r="D143" s="22" t="str">
        <x:v>今回の重点</x:v>
      </x:c>
      <x:c r="E143" s="22" t="str">
        <x:v>経由地を停めやすさ・短時間性・流れで再設計</x:v>
      </x:c>
    </x:row>
    <x:row r="144">
      <x:c r="A144" s="22" t="str">
        <x:v>役割明記ルート</x:v>
      </x:c>
      <x:c r="B144" s="22" t="n">
        <x:v>9</x:v>
      </x:c>
      <x:c r="C144" s="22"/>
      <x:c r="D144" s="22" t="str">
        <x:v>主な削除</x:v>
      </x:c>
      <x:c r="E144" s="22" t="str">
        <x:v>駐車不可・曖昧複合地点・大きな逆走</x:v>
      </x:c>
    </x:row>
    <x:row r="145">
      <x:c r="A145" s="22" t="str">
        <x:v>監査経由地</x:v>
      </x:c>
      <x:c r="B145" s="22" t="n">
        <x:v>297</x:v>
      </x:c>
      <x:c r="C145" s="22"/>
      <x:c r="D145" s="22" t="str">
        <x:v>主な追加</x:v>
      </x:c>
      <x:c r="E145" s="22" t="str">
        <x:v>大森浜辺・根岸森林・三ツ池・東高根・東扇島西</x:v>
      </x:c>
    </x:row>
    <x:row r="146">
      <x:c r="A146" s="22" t="str">
        <x:v>改善前平均</x:v>
      </x:c>
      <x:c r="B146" s="22" t="n">
        <x:v>79</x:v>
      </x:c>
      <x:c r="C146" s="22"/>
      <x:c r="D146" s="22" t="str">
        <x:v>共有駐車</x:v>
      </x:c>
      <x:c r="E146" s="22" t="str">
        <x:v>HICとソラムナードは徒歩連結として維持</x:v>
      </x:c>
    </x:row>
    <x:row r="147">
      <x:c r="A147" s="22" t="str">
        <x:v>改善後平均</x:v>
      </x:c>
      <x:c r="B147" s="22" t="n">
        <x:v>88</x:v>
      </x:c>
      <x:c r="C147" s="22"/>
      <x:c r="D147" s="22" t="str">
        <x:v>昼専用</x:v>
      </x:c>
      <x:c r="E147" s="22" t="str">
        <x:v>野鳥・庭園・河川敷は時間帯を明示</x:v>
      </x:c>
    </x:row>
    <x:row r="148">
      <x:c r="A148" s="22" t="str">
        <x:v>70点未満・前</x:v>
      </x:c>
      <x:c r="B148" s="22" t="n">
        <x:v>0</x:v>
      </x:c>
      <x:c r="C148" s="22"/>
      <x:c r="D148" s="22" t="str">
        <x:v>終点強化</x:v>
      </x:c>
      <x:c r="E148" s="22" t="str">
        <x:v>24時間または駐車確実性の高い地点へ</x:v>
      </x:c>
    </x:row>
    <x:row r="149">
      <x:c r="A149" s="22" t="str">
        <x:v>70点未満・後</x:v>
      </x:c>
      <x:c r="B149" s="22" t="n">
        <x:v>0</x:v>
      </x:c>
      <x:c r="C149" s="22"/>
      <x:c r="D149" s="22" t="str">
        <x:v>新シート</x:v>
      </x:c>
      <x:c r="E149" s="22" t="str">
        <x:v>経由地品質監査／差替えログ／改善サマリー</x:v>
      </x:c>
    </x:row>
    <x:row r="150">
      <x:c r="A150" s="22" t="str">
        <x:v>公式再確認地点</x:v>
      </x:c>
      <x:c r="B150" s="22" t="n">
        <x:v>6</x:v>
      </x:c>
      <x:c r="C150" s="22"/>
      <x:c r="D150" s="22" t="str">
        <x:v>公式確認</x:v>
      </x:c>
      <x:c r="E150" s="22" t="str">
        <x:v>森ケ崎・大森浜辺・羽田T2・東扇島西・お台場・根岸</x:v>
      </x:c>
    </x:row>
    <x:row r="151">
      <x:c r="A151" s="22" t="str">
        <x:v>Excel更新</x:v>
      </x:c>
      <x:c r="B151" s="22" t="str">
        <x:v>あり</x:v>
      </x:c>
      <x:c r="C151" s="22"/>
      <x:c r="D151" s="22" t="str">
        <x:v>注意</x:v>
      </x:c>
      <x:c r="E151" s="22" t="str">
        <x:v>営業時間・イベント規制は出発直前に再確認</x:v>
      </x:c>
    </x:row>
    <x:row r="152">
      <x:c r="A152" s="22" t="str">
        <x:v>確認日</x:v>
      </x:c>
      <x:c r="B152" s="23" t="n">
        <x:v>46232</x:v>
      </x:c>
      <x:c r="C152" s="22"/>
      <x:c r="D152" s="22" t="str">
        <x:v>数式検査</x:v>
      </x:c>
      <x:c r="E152" s="22" t="str">
        <x:v>実施</x:v>
      </x:c>
    </x:row>
    <x:row r="153">
      <x:c r="A153" s="22" t="str">
        <x:v>バージョン</x:v>
      </x:c>
      <x:c r="B153" s="22" t="str">
        <x:v>v17</x:v>
      </x:c>
      <x:c r="C153" s="22"/>
      <x:c r="D153" s="22" t="str">
        <x:v>次の深化</x:v>
      </x:c>
      <x:c r="E153" s="22" t="str">
        <x:v>経由地滞在時間・写真ポイント・実走結果学習</x:v>
      </x:c>
    </x:row>
    <x:row r="154">
      <x:c r="A154" s="22"/>
      <x:c r="B154" s="22"/>
      <x:c r="C154" s="22"/>
      <x:c r="D154" s="22" t="str">
        <x:v>完成版</x:v>
      </x:c>
      <x:c r="E154" s="22" t="str">
        <x:v>経由地品質向上版</x:v>
      </x:c>
    </x:row>
    <x:row r="156">
      <x:c r="A156" s="363" t="str">
        <x:v>経由地役割・多様性深化｜v18</x:v>
      </x:c>
      <x:c r="B156" s="363"/>
      <x:c r="C156" s="363"/>
      <x:c r="D156" s="363"/>
      <x:c r="E156" s="363"/>
    </x:row>
    <x:row r="157">
      <x:c r="A157" s="22" t="str">
        <x:v>新規地点</x:v>
      </x:c>
      <x:c r="B157" s="22" t="n">
        <x:v>0</x:v>
      </x:c>
      <x:c r="C157" s="22"/>
      <x:c r="D157" s="22" t="str">
        <x:v>今回の重点</x:v>
      </x:c>
      <x:c r="E157" s="22" t="str">
        <x:v>経由地の役割・滞在・駐車・省略条件を固定</x:v>
      </x:c>
    </x:row>
    <x:row r="158">
      <x:c r="A158" s="22" t="str">
        <x:v>近距離ルート</x:v>
      </x:c>
      <x:c r="B158" s="22" t="n">
        <x:v>37</x:v>
      </x:c>
      <x:c r="C158" s="22"/>
      <x:c r="D158" s="22" t="str">
        <x:v>多様性</x:v>
      </x:c>
      <x:c r="E158" s="22" t="str">
        <x:v>使用回数を数え、使い回し過多を動的スコアへ反映</x:v>
      </x:c>
    </x:row>
    <x:row r="159">
      <x:c r="A159" s="22" t="str">
        <x:v>役割設計レコード</x:v>
      </x:c>
      <x:c r="B159" s="22" t="n">
        <x:v>114</x:v>
      </x:c>
      <x:c r="C159" s="22"/>
      <x:c r="D159" s="22" t="str">
        <x:v>R001</x:v>
      </x:c>
      <x:c r="E159" s="22" t="str">
        <x:v>HIC正式名称へ統一し近距離ルートへ復帰</x:v>
      </x:c>
    </x:row>
    <x:row r="160">
      <x:c r="A160" s="22" t="str">
        <x:v>正式名修正</x:v>
      </x:c>
      <x:c r="B160" s="22" t="n">
        <x:v>1</x:v>
      </x:c>
      <x:c r="C160" s="22"/>
      <x:c r="D160" s="22" t="str">
        <x:v>R004</x:v>
      </x:c>
      <x:c r="E160" s="22" t="str">
        <x:v>東京ゲートブリッジを停車地点から走行演出へ</x:v>
      </x:c>
    </x:row>
    <x:row r="161">
      <x:c r="A161" s="22" t="str">
        <x:v>走行演出化</x:v>
      </x:c>
      <x:c r="B161" s="22" t="n">
        <x:v>1</x:v>
      </x:c>
      <x:c r="C161" s="22"/>
      <x:c r="D161" s="22" t="str">
        <x:v>R005</x:v>
      </x:c>
      <x:c r="E161" s="22" t="str">
        <x:v>海の森から若洲へ進む一方向ルートに変更</x:v>
      </x:c>
    </x:row>
    <x:row r="162">
      <x:c r="A162" s="22" t="str">
        <x:v>進行方向修正</x:v>
      </x:c>
      <x:c r="B162" s="22" t="n">
        <x:v>1</x:v>
      </x:c>
      <x:c r="C162" s="22"/>
      <x:c r="D162" s="22" t="str">
        <x:v>R080</x:v>
      </x:c>
      <x:c r="E162" s="22" t="str">
        <x:v>ナイト表記を廃止し昼～夕方へ</x:v>
      </x:c>
    </x:row>
    <x:row r="163">
      <x:c r="A163" s="22" t="str">
        <x:v>昼ルート再定義</x:v>
      </x:c>
      <x:c r="B163" s="22" t="n">
        <x:v>1</x:v>
      </x:c>
      <x:c r="C163" s="22"/>
      <x:c r="D163" s="22" t="str">
        <x:v>公式再確認</x:v>
      </x:c>
      <x:c r="E163" s="22" t="str">
        <x:v>若洲・海の森・武蔵野の森・府中の森</x:v>
      </x:c>
    </x:row>
    <x:row r="164">
      <x:c r="A164" s="22" t="str">
        <x:v>高頻度地点</x:v>
      </x:c>
      <x:c r="B164" s="22" t="n">
        <x:v>2</x:v>
      </x:c>
      <x:c r="C164" s="22"/>
      <x:c r="D164" s="22" t="str">
        <x:v>新シート</x:v>
      </x:c>
      <x:c r="E164" s="22" t="str">
        <x:v>経由地役割設計／使用頻度／多様性サマリー</x:v>
      </x:c>
    </x:row>
    <x:row r="165">
      <x:c r="A165" s="22" t="str">
        <x:v>平均多様性</x:v>
      </x:c>
      <x:c r="B165" s="22" t="n">
        <x:v>72</x:v>
      </x:c>
      <x:c r="C165" s="22"/>
      <x:c r="D165" s="22" t="str">
        <x:v>選定改善</x:v>
      </x:c>
      <x:c r="E165" s="22" t="str">
        <x:v>経由地品質＋多様性＋使用過多罰を条件入力へ反映</x:v>
      </x:c>
    </x:row>
    <x:row r="166">
      <x:c r="A166" s="22" t="str">
        <x:v>平均経由地品質</x:v>
      </x:c>
      <x:c r="B166" s="22" t="n">
        <x:v>80</x:v>
      </x:c>
      <x:c r="C166" s="22"/>
      <x:c r="D166" s="22" t="str">
        <x:v>注意</x:v>
      </x:c>
      <x:c r="E166" s="22" t="str">
        <x:v>強い地点は削除せず、同系統での使い回しを抑える</x:v>
      </x:c>
    </x:row>
    <x:row r="167">
      <x:c r="A167" s="22" t="str">
        <x:v>Excel更新</x:v>
      </x:c>
      <x:c r="B167" s="22" t="str">
        <x:v>あり</x:v>
      </x:c>
      <x:c r="C167" s="22"/>
      <x:c r="D167" s="22" t="str">
        <x:v>数式検査</x:v>
      </x:c>
      <x:c r="E167" s="22" t="str">
        <x:v>実施</x:v>
      </x:c>
    </x:row>
    <x:row r="168">
      <x:c r="A168" s="22" t="str">
        <x:v>確認日</x:v>
      </x:c>
      <x:c r="B168" s="23" t="n">
        <x:v>46232</x:v>
      </x:c>
      <x:c r="C168" s="22"/>
      <x:c r="D168" s="22" t="str">
        <x:v>次の深化</x:v>
      </x:c>
      <x:c r="E168" s="22" t="str">
        <x:v>写真ポイント・現地5分行動・実走フィードバック</x:v>
      </x:c>
    </x:row>
    <x:row r="169">
      <x:c r="A169" s="22"/>
      <x:c r="B169" s="22"/>
      <x:c r="C169" s="22"/>
      <x:c r="D169" s="22" t="str">
        <x:v>完成版</x:v>
      </x:c>
      <x:c r="E169" s="22" t="str">
        <x:v>経由地役割多様性版</x:v>
      </x:c>
    </x:row>
    <x:row r="171">
      <x:c r="A171" s="386" t="str">
        <x:v>経由地運用深化｜v19</x:v>
      </x:c>
      <x:c r="B171" s="386"/>
      <x:c r="C171" s="386"/>
      <x:c r="D171" s="386"/>
      <x:c r="E171" s="386"/>
    </x:row>
    <x:row r="172">
      <x:c r="A172" s="22" t="str">
        <x:v>新規地点</x:v>
      </x:c>
      <x:c r="B172" s="22" t="n">
        <x:v>0</x:v>
      </x:c>
      <x:c r="C172" s="22"/>
      <x:c r="D172" s="22" t="str">
        <x:v>今回の重点</x:v>
      </x:c>
      <x:c r="E172" s="22" t="str">
        <x:v>現地到着後5分と即省略条件を固定</x:v>
      </x:c>
    </x:row>
    <x:row r="173">
      <x:c r="A173" s="22" t="str">
        <x:v>差替えルート</x:v>
      </x:c>
      <x:c r="B173" s="22" t="n">
        <x:v>2</x:v>
      </x:c>
      <x:c r="C173" s="22"/>
      <x:c r="D173" s="22" t="str">
        <x:v>R144</x:v>
      </x:c>
      <x:c r="E173" s="22" t="str">
        <x:v>HICを外し、大森浜辺→森ケ崎→T3へ</x:v>
      </x:c>
    </x:row>
    <x:row r="174">
      <x:c r="A174" s="22" t="str">
        <x:v>運用カード地点</x:v>
      </x:c>
      <x:c r="B174" s="22" t="n">
        <x:v>44</x:v>
      </x:c>
      <x:c r="C174" s="22"/>
      <x:c r="D174" s="22" t="str">
        <x:v>R142</x:v>
      </x:c>
      <x:c r="E174" s="22" t="str">
        <x:v>HIC・城南島を外し、T3→東扇島西へ</x:v>
      </x:c>
    </x:row>
    <x:row r="175">
      <x:c r="A175" s="22" t="str">
        <x:v>方向時間帯監査</x:v>
      </x:c>
      <x:c r="B175" s="22" t="n">
        <x:v>37</x:v>
      </x:c>
      <x:c r="C175" s="22"/>
      <x:c r="D175" s="22" t="str">
        <x:v>深夜品質</x:v>
      </x:c>
      <x:c r="E175" s="22" t="str">
        <x:v>閉場Hard Gateなしの1経由地＋終点</x:v>
      </x:c>
    </x:row>
    <x:row r="176">
      <x:c r="A176" s="22" t="str">
        <x:v>HIC使用削減</x:v>
      </x:c>
      <x:c r="B176" s="22" t="n">
        <x:v>2</x:v>
      </x:c>
      <x:c r="C176" s="22"/>
      <x:c r="D176" s="22" t="str">
        <x:v>多様性</x:v>
      </x:c>
      <x:c r="E176" s="22" t="str">
        <x:v>海苔Story・都市インフラ・空港・工業島へ分散</x:v>
      </x:c>
    </x:row>
    <x:row r="177">
      <x:c r="A177" s="22" t="str">
        <x:v>城南島使用削減</x:v>
      </x:c>
      <x:c r="B177" s="22" t="n">
        <x:v>1</x:v>
      </x:c>
      <x:c r="C177" s="22"/>
      <x:c r="D177" s="22" t="str">
        <x:v>新シート</x:v>
      </x:c>
      <x:c r="E177" s="22" t="str">
        <x:v>経由地運用カード／方向時間帯監査</x:v>
      </x:c>
    </x:row>
    <x:row r="178">
      <x:c r="A178" s="22" t="str">
        <x:v>24時間深夜ルート</x:v>
      </x:c>
      <x:c r="B178" s="22" t="n">
        <x:v>1</x:v>
      </x:c>
      <x:c r="C178" s="22"/>
      <x:c r="D178" s="22" t="str">
        <x:v>公式確認</x:v>
      </x:c>
      <x:c r="E178" s="22" t="str">
        <x:v>T3展望デッキ24時間／東扇島西172台24時間</x:v>
      </x:c>
    </x:row>
    <x:row r="179">
      <x:c r="A179" s="22" t="str">
        <x:v>公式再確認地点</x:v>
      </x:c>
      <x:c r="B179" s="22" t="n">
        <x:v>2</x:v>
      </x:c>
      <x:c r="C179" s="22"/>
      <x:c r="D179" s="22" t="str">
        <x:v>運用改善</x:v>
      </x:c>
      <x:c r="E179" s="22" t="str">
        <x:v>標準滞在・最大滞在・駐車・省略条件を明示</x:v>
      </x:c>
    </x:row>
    <x:row r="180">
      <x:c r="A180" s="22" t="str">
        <x:v>Excel更新</x:v>
      </x:c>
      <x:c r="B180" s="22" t="str">
        <x:v>あり</x:v>
      </x:c>
      <x:c r="C180" s="22"/>
      <x:c r="D180" s="22" t="str">
        <x:v>注意</x:v>
      </x:c>
      <x:c r="E180" s="22" t="str">
        <x:v>PAは上り下り、海辺は強風・臨時閉鎖を直前確認</x:v>
      </x:c>
    </x:row>
    <x:row r="181">
      <x:c r="A181" s="22" t="str">
        <x:v>確認日</x:v>
      </x:c>
      <x:c r="B181" s="23" t="n">
        <x:v>46232</x:v>
      </x:c>
      <x:c r="C181" s="22"/>
      <x:c r="D181" s="22" t="str">
        <x:v>数式検査</x:v>
      </x:c>
      <x:c r="E181" s="22" t="str">
        <x:v>実施</x:v>
      </x:c>
    </x:row>
    <x:row r="182">
      <x:c r="A182" s="22" t="str">
        <x:v>バージョン</x:v>
      </x:c>
      <x:c r="B182" s="22" t="str">
        <x:v>v19</x:v>
      </x:c>
      <x:c r="C182" s="22"/>
      <x:c r="D182" s="22" t="str">
        <x:v>次の深化</x:v>
      </x:c>
      <x:c r="E182" s="22" t="str">
        <x:v>低多様性ルートを系統別に追加差替え</x:v>
      </x:c>
    </x:row>
    <x:row r="183">
      <x:c r="A183" s="22"/>
      <x:c r="B183" s="22"/>
      <x:c r="C183" s="22"/>
      <x:c r="D183" s="22" t="str">
        <x:v>完成版</x:v>
      </x:c>
      <x:c r="E183" s="22" t="str">
        <x:v>経由地運用深化版</x:v>
      </x:c>
    </x:row>
    <x:row r="185">
      <x:c r="A185" s="398" t="str">
        <x:v>代替経由地プール深化｜v20</x:v>
      </x:c>
      <x:c r="B185" s="398"/>
      <x:c r="C185" s="398"/>
      <x:c r="D185" s="398"/>
      <x:c r="E185" s="398"/>
    </x:row>
    <x:row r="186">
      <x:c r="A186" s="22" t="str">
        <x:v>新規地点</x:v>
      </x:c>
      <x:c r="B186" s="22" t="n">
        <x:v>6</x:v>
      </x:c>
      <x:c r="C186" s="22"/>
      <x:c r="D186" s="22" t="str">
        <x:v>今回の重点</x:v>
      </x:c>
      <x:c r="E186" s="22" t="str">
        <x:v>代替経由地を機能別に追加し、飛行機偏重を削減</x:v>
      </x:c>
    </x:row>
    <x:row r="187">
      <x:c r="A187" s="22" t="str">
        <x:v>累計地点</x:v>
      </x:c>
      <x:c r="B187" s="22" t="n">
        <x:v>258</x:v>
      </x:c>
      <x:c r="C187" s="22"/>
      <x:c r="D187" s="22" t="str">
        <x:v>新規地点</x:v>
      </x:c>
      <x:c r="E187" s="22" t="str">
        <x:v>平和島・勝島・大井ふ頭・ちどり・東扇島中・ふれーゆ</x:v>
      </x:c>
    </x:row>
    <x:row r="188">
      <x:c r="A188" s="22" t="str">
        <x:v>近距離コア</x:v>
      </x:c>
      <x:c r="B188" s="22" t="n">
        <x:v>76</x:v>
      </x:c>
      <x:c r="C188" s="22"/>
      <x:c r="D188" s="22" t="str">
        <x:v>R056</x:v>
      </x:c>
      <x:c r="E188" s="22" t="str">
        <x:v>ふれーゆ→大さん橋→シンボルタワー</x:v>
      </x:c>
    </x:row>
    <x:row r="189">
      <x:c r="A189" s="22" t="str">
        <x:v>差替えルート</x:v>
      </x:c>
      <x:c r="B189" s="22" t="n">
        <x:v>4</x:v>
      </x:c>
      <x:c r="C189" s="22"/>
      <x:c r="D189" s="22" t="str">
        <x:v>R059</x:v>
      </x:c>
      <x:c r="E189" s="22" t="str">
        <x:v>ちどり→東扇島中→川崎マリエン</x:v>
      </x:c>
    </x:row>
    <x:row r="190">
      <x:c r="A190" s="22" t="str">
        <x:v>累計ルート</x:v>
      </x:c>
      <x:c r="B190" s="22" t="n">
        <x:v>144</x:v>
      </x:c>
      <x:c r="C190" s="22"/>
      <x:c r="D190" s="22" t="str">
        <x:v>R138</x:v>
      </x:c>
      <x:c r="E190" s="22" t="str">
        <x:v>池上梅園→平和島→大森浜辺</x:v>
      </x:c>
    </x:row>
    <x:row r="191">
      <x:c r="A191" s="22" t="str">
        <x:v>新規ルート</x:v>
      </x:c>
      <x:c r="B191" s="22" t="n">
        <x:v>0</x:v>
      </x:c>
      <x:c r="C191" s="22"/>
      <x:c r="D191" s="22" t="str">
        <x:v>R139</x:v>
      </x:c>
      <x:c r="E191" s="22" t="str">
        <x:v>しながわ区民→大井ふ頭→平和島</x:v>
      </x:c>
    </x:row>
    <x:row r="192">
      <x:c r="A192" s="22" t="str">
        <x:v>遠距離移管</x:v>
      </x:c>
      <x:c r="B192" s="22" t="n">
        <x:v>0</x:v>
      </x:c>
      <x:c r="C192" s="22"/>
      <x:c r="D192" s="22" t="str">
        <x:v>新シート</x:v>
      </x:c>
      <x:c r="E192" s="22" t="str">
        <x:v>代替経由地プール／経由地交換マトリクス</x:v>
      </x:c>
    </x:row>
    <x:row r="193">
      <x:c r="A193" s="22" t="str">
        <x:v>公式再確認</x:v>
      </x:c>
      <x:c r="B193" s="22" t="n">
        <x:v>6</x:v>
      </x:c>
      <x:c r="C193" s="22"/>
      <x:c r="D193" s="22" t="str">
        <x:v>品質改善</x:v>
      </x:c>
      <x:c r="E193" s="22" t="str">
        <x:v>雨天・昼・夕方・24時間の役割を分離</x:v>
      </x:c>
    </x:row>
    <x:row r="194">
      <x:c r="A194" s="22" t="str">
        <x:v>Excel更新</x:v>
      </x:c>
      <x:c r="B194" s="22" t="str">
        <x:v>あり</x:v>
      </x:c>
      <x:c r="C194" s="22"/>
      <x:c r="D194" s="22" t="str">
        <x:v>注意</x:v>
      </x:c>
      <x:c r="E194" s="22" t="str">
        <x:v>工事・閉場・最終入庫は出発直前に公式確認</x:v>
      </x:c>
    </x:row>
    <x:row r="195">
      <x:c r="A195" s="22" t="str">
        <x:v>確認日</x:v>
      </x:c>
      <x:c r="B195" s="23" t="n">
        <x:v>46232</x:v>
      </x:c>
      <x:c r="C195" s="22"/>
      <x:c r="D195" s="22" t="str">
        <x:v>数式検査</x:v>
      </x:c>
      <x:c r="E195" s="22" t="str">
        <x:v>実施</x:v>
      </x:c>
    </x:row>
    <x:row r="196">
      <x:c r="A196" s="22" t="str">
        <x:v>バージョン</x:v>
      </x:c>
      <x:c r="B196" s="22" t="str">
        <x:v>v20</x:v>
      </x:c>
      <x:c r="C196" s="22"/>
      <x:c r="D196" s="22" t="str">
        <x:v>次の深化</x:v>
      </x:c>
      <x:c r="E196" s="22" t="str">
        <x:v>ルートTOP3の同系統重複を相互排他制御</x:v>
      </x:c>
    </x:row>
    <x:row r="197">
      <x:c r="A197" s="22"/>
      <x:c r="B197" s="22"/>
      <x:c r="C197" s="22"/>
      <x:c r="D197" s="22" t="str">
        <x:v>完成版</x:v>
      </x:c>
      <x:c r="E197" s="22" t="str">
        <x:v>代替経由地プール版</x:v>
      </x:c>
    </x:row>
    <x:row r="199">
      <x:c r="A199" s="407" t="str">
        <x:v>4区重点追加｜v21</x:v>
      </x:c>
      <x:c r="B199" s="407"/>
      <x:c r="C199" s="407"/>
      <x:c r="D199" s="407"/>
      <x:c r="E199" s="407"/>
    </x:row>
    <x:row r="200">
      <x:c r="A200" s="22" t="str">
        <x:v>新規地点</x:v>
      </x:c>
      <x:c r="B200" s="22" t="n">
        <x:v>17</x:v>
      </x:c>
      <x:c r="C200" s="22"/>
      <x:c r="D200" s="22" t="str">
        <x:v>今回の重点</x:v>
      </x:c>
      <x:c r="E200" s="22" t="str">
        <x:v>4区の産業遺産・水辺・建築・庭園を追加</x:v>
      </x:c>
    </x:row>
    <x:row r="201">
      <x:c r="A201" s="22" t="str">
        <x:v>大田区</x:v>
      </x:c>
      <x:c r="B201" s="22" t="n">
        <x:v>5</x:v>
      </x:c>
      <x:c r="C201" s="22"/>
      <x:c r="D201" s="22" t="str">
        <x:v>大田区</x:v>
      </x:c>
      <x:c r="E201" s="22" t="str">
        <x:v>海苔・交通・郷土史・工業島・防災</x:v>
      </x:c>
    </x:row>
    <x:row r="202">
      <x:c r="A202" s="22" t="str">
        <x:v>品川区</x:v>
      </x:c>
      <x:c r="B202" s="22" t="n">
        <x:v>4</x:v>
      </x:c>
      <x:c r="C202" s="22"/>
      <x:c r="D202" s="22" t="str">
        <x:v>品川区</x:v>
      </x:c>
      <x:c r="E202" s="22" t="str">
        <x:v>東海道史・運河・高架・ナイター</x:v>
      </x:c>
    </x:row>
    <x:row r="203">
      <x:c r="A203" s="22" t="str">
        <x:v>港区</x:v>
      </x:c>
      <x:c r="B203" s="22" t="n">
        <x:v>4</x:v>
      </x:c>
      <x:c r="C203" s="22"/>
      <x:c r="D203" s="22" t="str">
        <x:v>港区</x:v>
      </x:c>
      <x:c r="E203" s="22" t="str">
        <x:v>東京タワー・六本木・水再生センター</x:v>
      </x:c>
    </x:row>
    <x:row r="204">
      <x:c r="A204" s="22" t="str">
        <x:v>新宿区</x:v>
      </x:c>
      <x:c r="B204" s="22" t="n">
        <x:v>4</x:v>
      </x:c>
      <x:c r="C204" s="22"/>
      <x:c r="D204" s="22" t="str">
        <x:v>新宿区</x:v>
      </x:c>
      <x:c r="E204" s="22" t="str">
        <x:v>都庁・新宿御苑・絵画館・巨大アトリウム</x:v>
      </x:c>
    </x:row>
    <x:row r="205">
      <x:c r="A205" s="22" t="str">
        <x:v>累計地点</x:v>
      </x:c>
      <x:c r="B205" s="22" t="n">
        <x:v>275</x:v>
      </x:c>
      <x:c r="C205" s="22"/>
      <x:c r="D205" s="22" t="str">
        <x:v>Operational Truth</x:v>
      </x:c>
      <x:c r="E205" s="22" t="str">
        <x:v>駐車・閉場・休館・予約制を公式情報で確認</x:v>
      </x:c>
    </x:row>
    <x:row r="206">
      <x:c r="A206" s="22" t="str">
        <x:v>新規ルート</x:v>
      </x:c>
      <x:c r="B206" s="22" t="n">
        <x:v>8</x:v>
      </x:c>
      <x:c r="C206" s="22"/>
      <x:c r="D206" s="22" t="str">
        <x:v>現在注意</x:v>
      </x:c>
      <x:c r="E206" s="22" t="str">
        <x:v>東京シティビューは2026年7月31日まで休館</x:v>
      </x:c>
    </x:row>
    <x:row r="207">
      <x:c r="A207" s="22" t="str">
        <x:v>累計ルート</x:v>
      </x:c>
      <x:c r="B207" s="22" t="n">
        <x:v>152</x:v>
      </x:c>
      <x:c r="C207" s="22"/>
      <x:c r="D207" s="22" t="str">
        <x:v>新シート</x:v>
      </x:c>
      <x:c r="E207" s="22" t="str">
        <x:v>4区重点追加／4区用途別ルート</x:v>
      </x:c>
    </x:row>
    <x:row r="208">
      <x:c r="A208" s="22" t="str">
        <x:v>近距離コア</x:v>
      </x:c>
      <x:c r="B208" s="22" t="n">
        <x:v>93</x:v>
      </x:c>
      <x:c r="C208" s="22"/>
      <x:c r="D208" s="22" t="str">
        <x:v>条件入力</x:v>
      </x:c>
      <x:c r="E208" s="22" t="str">
        <x:v>17地点・8ルートを自動選定へ反映</x:v>
      </x:c>
    </x:row>
    <x:row r="209">
      <x:c r="A209" s="22" t="str">
        <x:v>遠距離移管</x:v>
      </x:c>
      <x:c r="B209" s="22" t="n">
        <x:v>0</x:v>
      </x:c>
      <x:c r="C209" s="22"/>
      <x:c r="D209" s="22" t="str">
        <x:v>数式検査</x:v>
      </x:c>
      <x:c r="E209" s="22" t="str">
        <x:v>実施</x:v>
      </x:c>
    </x:row>
    <x:row r="210">
      <x:c r="A210" s="22" t="str">
        <x:v>Excel更新</x:v>
      </x:c>
      <x:c r="B210" s="22" t="str">
        <x:v>あり</x:v>
      </x:c>
      <x:c r="C210" s="22"/>
      <x:c r="D210" s="22" t="str">
        <x:v>次の深化</x:v>
      </x:c>
      <x:c r="E210" s="22" t="str">
        <x:v>4区内の低知名度・夜間短時間スポットを追加監査</x:v>
      </x:c>
    </x:row>
    <x:row r="211">
      <x:c r="A211" s="22" t="str">
        <x:v>確認日</x:v>
      </x:c>
      <x:c r="B211" s="23" t="n">
        <x:v>46232</x:v>
      </x:c>
      <x:c r="C211" s="22"/>
      <x:c r="D211" s="22" t="str">
        <x:v>完成版</x:v>
      </x:c>
      <x:c r="E211" s="22" t="str">
        <x:v>4区重点追加版</x:v>
      </x:c>
    </x:row>
    <x:row r="212">
      <x:c r="A212" s="22"/>
      <x:c r="B212" s="22"/>
      <x:c r="C212" s="22"/>
      <x:c r="D212" s="22"/>
      <x:c r="E212" s="22"/>
    </x:row>
    <x:row r="214">
      <x:c r="A214" s="437" t="str">
        <x:v>4区Operational Truth監査｜v22</x:v>
      </x:c>
      <x:c r="B214" s="437"/>
      <x:c r="C214" s="437"/>
      <x:c r="D214" s="437"/>
      <x:c r="E214" s="437"/>
    </x:row>
    <x:row r="215">
      <x:c r="A215" s="22" t="str">
        <x:v>新規地点</x:v>
      </x:c>
      <x:c r="B215" s="22" t="n">
        <x:v>0</x:v>
      </x:c>
      <x:c r="C215" s="22"/>
      <x:c r="D215" s="22" t="str">
        <x:v>今回の重点</x:v>
      </x:c>
      <x:c r="E215" s="22" t="str">
        <x:v>地点追加ではなくOperational Truthの分解</x:v>
      </x:c>
    </x:row>
    <x:row r="216">
      <x:c r="A216" s="22" t="str">
        <x:v>近距離既存ブラッシュアップ</x:v>
      </x:c>
      <x:c r="B216" s="22" t="n">
        <x:v>4</x:v>
      </x:c>
      <x:c r="C216" s="22"/>
      <x:c r="D216" s="22" t="str">
        <x:v>萩中公園</x:v>
      </x:c>
      <x:c r="E216" s="22" t="str">
        <x:v>駐車24時間と施設別終了時刻を分離</x:v>
      </x:c>
    </x:row>
    <x:row r="217">
      <x:c r="A217" s="22" t="str">
        <x:v>ルート注意事項修正</x:v>
      </x:c>
      <x:c r="B217" s="22" t="n">
        <x:v>3</x:v>
      </x:c>
      <x:c r="C217" s="22"/>
      <x:c r="D217" s="22" t="str">
        <x:v>東糀谷防災公園</x:v>
      </x:c>
      <x:c r="E217" s="22" t="str">
        <x:v>一般9台＋身障者1台へ修正</x:v>
      </x:c>
    </x:row>
    <x:row r="218">
      <x:c r="A218" s="22" t="str">
        <x:v>遠距離アーカイブ移管</x:v>
      </x:c>
      <x:c r="B218" s="22" t="n">
        <x:v>0</x:v>
      </x:c>
      <x:c r="C218" s="22"/>
      <x:c r="D218" s="22" t="str">
        <x:v>東京タワー</x:v>
      </x:c>
      <x:c r="E218" s="22" t="str">
        <x:v>地下駐車場営業見合わせを独立管理</x:v>
      </x:c>
    </x:row>
    <x:row r="219">
      <x:c r="A219" s="22" t="str">
        <x:v>公式一次情報確認</x:v>
      </x:c>
      <x:c r="B219" s="22" t="n">
        <x:v>5</x:v>
      </x:c>
      <x:c r="C219" s="22"/>
      <x:c r="D219" s="22" t="str">
        <x:v>東京都庁</x:v>
      </x:c>
      <x:c r="E219" s="22" t="str">
        <x:v>入庫21:30・出庫22:00をHard Gate化</x:v>
      </x:c>
    </x:row>
    <x:row r="220">
      <x:c r="A220" s="22" t="str">
        <x:v>保留継続</x:v>
      </x:c>
      <x:c r="B220" s="22" t="n">
        <x:v>1</x:v>
      </x:c>
      <x:c r="C220" s="22"/>
      <x:c r="D220" s="22" t="str">
        <x:v>品川区公園</x:v>
      </x:c>
      <x:c r="E220" s="22" t="str">
        <x:v>運動施設時間と公園駐車条件を混同しない</x:v>
      </x:c>
    </x:row>
    <x:row r="221">
      <x:c r="A221" s="22" t="str">
        <x:v>Excel更新</x:v>
      </x:c>
      <x:c r="B221" s="22" t="str">
        <x:v>あり</x:v>
      </x:c>
      <x:c r="C221" s="22"/>
      <x:c r="D221" s="22" t="str">
        <x:v>新シート</x:v>
      </x:c>
      <x:c r="E221" s="22" t="str">
        <x:v>4区Operational Truth監査</x:v>
      </x:c>
    </x:row>
    <x:row r="222">
      <x:c r="A222" s="22" t="str">
        <x:v>確認日</x:v>
      </x:c>
      <x:c r="B222" s="23" t="n">
        <x:v>46232</x:v>
      </x:c>
      <x:c r="C222" s="22"/>
      <x:c r="D222" s="22" t="str">
        <x:v>数式検査</x:v>
      </x:c>
      <x:c r="E222" s="22" t="str">
        <x:v>実施</x:v>
      </x:c>
    </x:row>
    <x:row r="223">
      <x:c r="A223" s="22" t="str">
        <x:v>対象</x:v>
      </x:c>
      <x:c r="B223" s="22" t="str">
        <x:v>大田・品川・港・新宿</x:v>
      </x:c>
      <x:c r="C223" s="22"/>
      <x:c r="D223" s="22" t="str">
        <x:v>次の深化</x:v>
      </x:c>
      <x:c r="E223" s="22" t="str">
        <x:v>天王洲・八潮北の駐車場一次情報を継続探索</x:v>
      </x:c>
    </x:row>
    <x:row r="224">
      <x:c r="A224" s="22" t="str">
        <x:v>重点</x:v>
      </x:c>
      <x:c r="B224" s="22" t="str">
        <x:v>駐車・施設時間・出庫制限</x:v>
      </x:c>
      <x:c r="C224" s="22"/>
      <x:c r="D224" s="22" t="str">
        <x:v>完成版</x:v>
      </x:c>
      <x:c r="E224" s="22" t="str">
        <x:v>4区Operational Truth監査版</x:v>
      </x:c>
    </x:row>
    <x:row r="225">
      <x:c r="A225" s="22" t="str">
        <x:v>バージョン</x:v>
      </x:c>
      <x:c r="B225" s="22" t="str">
        <x:v>v22</x:v>
      </x:c>
      <x:c r="C225" s="22"/>
      <x:c r="D225" s="22" t="str">
        <x:v>更新方針</x:v>
      </x:c>
      <x:c r="E225" s="22" t="str">
        <x:v>新規追加より既存情報密度を優先</x:v>
      </x:c>
    </x:row>
    <x:row r="226">
      <x:c r="A226" s="22"/>
      <x:c r="B226" s="22"/>
      <x:c r="C226" s="22"/>
      <x:c r="D226" s="22" t="str">
        <x:v>状態</x:v>
      </x:c>
      <x:c r="E226" s="22" t="str">
        <x:v>継続深化</x:v>
      </x:c>
    </x:row>
    <x:row r="228">
      <x:c r="A228" s="447" t="str">
        <x:v>合法路上駐車統合｜v23</x:v>
      </x:c>
      <x:c r="B228" s="447"/>
      <x:c r="C228" s="447"/>
      <x:c r="D228" s="447"/>
      <x:c r="E228" s="447"/>
    </x:row>
    <x:row r="229">
      <x:c r="A229" s="22" t="str">
        <x:v>新規最終目的地</x:v>
      </x:c>
      <x:c r="B229" s="22" t="n">
        <x:v>0</x:v>
      </x:c>
      <x:c r="C229" s="22"/>
      <x:c r="D229" s="22" t="str">
        <x:v>今回の重点</x:v>
      </x:c>
      <x:c r="E229" s="22" t="str">
        <x:v>専用駐車場がなくても、合法な時間制限駐車区間を採用</x:v>
      </x:c>
    </x:row>
    <x:row r="230">
      <x:c r="A230" s="22" t="str">
        <x:v>合法路上アクセスノード</x:v>
      </x:c>
      <x:c r="B230" s="22" t="n">
        <x:v>10</x:v>
      </x:c>
      <x:c r="C230" s="22"/>
      <x:c r="D230" s="22" t="str">
        <x:v>採用方式</x:v>
      </x:c>
      <x:c r="E230" s="22" t="str">
        <x:v>最終目的地の駐車場ではなく短時間アクセスノードとして管理</x:v>
      </x:c>
    </x:row>
    <x:row r="231">
      <x:c r="A231" s="22" t="str">
        <x:v>A判定</x:v>
      </x:c>
      <x:c r="B231" s="22" t="n">
        <x:v>4</x:v>
      </x:c>
      <x:c r="C231" s="22"/>
      <x:c r="D231" s="22" t="str">
        <x:v>A判定</x:v>
      </x:c>
      <x:c r="E231" s="22" t="str">
        <x:v>時間・制限・料金まで確認できた地点</x:v>
      </x:c>
    </x:row>
    <x:row r="232">
      <x:c r="A232" s="22" t="str">
        <x:v>B判定</x:v>
      </x:c>
      <x:c r="B232" s="22" t="n">
        <x:v>6</x:v>
      </x:c>
      <x:c r="C232" s="22"/>
      <x:c r="D232" s="22" t="str">
        <x:v>B判定</x:v>
      </x:c>
      <x:c r="E232" s="22" t="str">
        <x:v>地点と概略時間のみ。現地標識確認前提</x:v>
      </x:c>
    </x:row>
    <x:row r="233">
      <x:c r="A233" s="22" t="str">
        <x:v>既存地点ブラッシュアップ</x:v>
      </x:c>
      <x:c r="B233" s="22" t="n">
        <x:v>6</x:v>
      </x:c>
      <x:c r="C233" s="22"/>
      <x:c r="D233" s="22" t="str">
        <x:v>C判定</x:v>
      </x:c>
      <x:c r="E233" s="22" t="str">
        <x:v>慣行路駐のみは引き続き除外</x:v>
      </x:c>
    </x:row>
    <x:row r="234">
      <x:c r="A234" s="22" t="str">
        <x:v>ルート注意事項修正</x:v>
      </x:c>
      <x:c r="B234" s="22" t="n">
        <x:v>4</x:v>
      </x:c>
      <x:c r="C234" s="22"/>
      <x:c r="D234" s="22" t="str">
        <x:v>既存反映</x:v>
      </x:c>
      <x:c r="E234" s="22" t="str">
        <x:v>天王洲・港南・都庁・NS・御苑・東京タワー</x:v>
      </x:c>
    </x:row>
    <x:row r="235">
      <x:c r="A235" s="22" t="str">
        <x:v>遠距離移管</x:v>
      </x:c>
      <x:c r="B235" s="22" t="n">
        <x:v>0</x:v>
      </x:c>
      <x:c r="C235" s="22"/>
      <x:c r="D235" s="22" t="str">
        <x:v>新シート</x:v>
      </x:c>
      <x:c r="E235" s="22" t="str">
        <x:v>合法路上駐車アクセス／路上駐車採用ルール</x:v>
      </x:c>
    </x:row>
    <x:row r="236">
      <x:c r="A236" s="22" t="str">
        <x:v>条件入力項目追加</x:v>
      </x:c>
      <x:c r="B236" s="22" t="n">
        <x:v>1</x:v>
      </x:c>
      <x:c r="C236" s="22"/>
      <x:c r="D236" s="22" t="str">
        <x:v>条件入力</x:v>
      </x:c>
      <x:c r="E236" s="22" t="str">
        <x:v>専用駐車優先／許容／路上候補除外</x:v>
      </x:c>
    </x:row>
    <x:row r="237">
      <x:c r="A237" s="22" t="str">
        <x:v>Excel更新</x:v>
      </x:c>
      <x:c r="B237" s="22" t="str">
        <x:v>あり</x:v>
      </x:c>
      <x:c r="C237" s="22"/>
      <x:c r="D237" s="22" t="str">
        <x:v>夜間方針</x:v>
      </x:c>
      <x:c r="E237" s="22" t="str">
        <x:v>昼用区間を夜間利用可能と推定しない</x:v>
      </x:c>
    </x:row>
    <x:row r="238">
      <x:c r="A238" s="22" t="str">
        <x:v>確認日</x:v>
      </x:c>
      <x:c r="B238" s="23" t="n">
        <x:v>46232</x:v>
      </x:c>
      <x:c r="C238" s="22"/>
      <x:c r="D238" s="22" t="str">
        <x:v>数式検査</x:v>
      </x:c>
      <x:c r="E238" s="22" t="str">
        <x:v>実施</x:v>
      </x:c>
    </x:row>
    <x:row r="239">
      <x:c r="A239" s="22" t="str">
        <x:v>バージョン</x:v>
      </x:c>
      <x:c r="B239" s="22" t="str">
        <x:v>v23</x:v>
      </x:c>
      <x:c r="C239" s="22"/>
      <x:c r="D239" s="22" t="str">
        <x:v>次の深化</x:v>
      </x:c>
      <x:c r="E239" s="22" t="str">
        <x:v>公式オープンデータでS判定へ昇格</x:v>
      </x:c>
    </x:row>
    <x:row r="240">
      <x:c r="A240" s="22" t="str">
        <x:v>方針</x:v>
      </x:c>
      <x:c r="B240" s="22" t="str">
        <x:v>合法な短時間路上アクセスを候補化</x:v>
      </x:c>
      <x:c r="C240" s="22"/>
      <x:c r="D240" s="22" t="str">
        <x:v>状態</x:v>
      </x:c>
      <x:c r="E240" s="22" t="str">
        <x:v>継続深化</x:v>
      </x:c>
    </x:row>
    <x:row r="241">
      <x:c r="A241" s="22"/>
      <x:c r="B241" s="22"/>
      <x:c r="C241" s="22"/>
      <x:c r="D241" s="22" t="str">
        <x:v>完成版</x:v>
      </x:c>
      <x:c r="E241" s="22" t="str">
        <x:v>合法路上駐車統合版</x:v>
      </x:c>
    </x:row>
  </x:sheetData>
  <x:mergeCells>
    <x:mergeCell ref="A1:H2"/>
    <x:mergeCell ref="A26:H26"/>
    <x:mergeCell ref="A28:H28"/>
    <x:mergeCell ref="A32:E32"/>
    <x:mergeCell ref="A37:E37"/>
    <x:mergeCell ref="A42:E42"/>
    <x:mergeCell ref="A49:E49"/>
    <x:mergeCell ref="A48:E48"/>
    <x:mergeCell ref="A54:E54"/>
    <x:mergeCell ref="A61:E61"/>
    <x:mergeCell ref="A70:E70"/>
    <x:mergeCell ref="A80:E80"/>
    <x:mergeCell ref="A90:E90"/>
    <x:mergeCell ref="A101:E101"/>
    <x:mergeCell ref="A114:E114"/>
    <x:mergeCell ref="A128:E128"/>
    <x:mergeCell ref="A142:E142"/>
    <x:mergeCell ref="A156:E156"/>
    <x:mergeCell ref="A171:E171"/>
    <x:mergeCell ref="A185:E185"/>
    <x:mergeCell ref="A199:E199"/>
    <x:mergeCell ref="A214:E214"/>
    <x:mergeCell ref="A228:E228"/>
  </x:mergeCells>
  <x:pageMargins left="0.7" right="0.7" top="0.75" bottom="0.75" header="0.3" footer="0.3"/>
  <x:drawing xmlns:r="http://schemas.openxmlformats.org/officeDocument/2006/relationships" r:id="R8721193c083f4054"/>
</x:worksheet>
</file>

<file path=xl/worksheets/sheet2.xml><?xml version="1.0" encoding="utf-8"?>
<x:worksheet xmlns:x="http://schemas.openxmlformats.org/spreadsheetml/2006/main">
  <x:sheetFormatPr defaultRowHeight="15"/>
  <x:cols>
    <x:col min="1" max="1" width="9" hidden="0" customWidth="1"/>
    <x:col min="2" max="2" width="32" hidden="0" customWidth="1"/>
    <x:col min="3" max="3" width="22" hidden="0" customWidth="1"/>
    <x:col min="4" max="4" width="31" hidden="0" customWidth="1"/>
    <x:col min="5" max="5" width="21" hidden="0" customWidth="1"/>
    <x:col min="6" max="6" width="48" hidden="0" customWidth="1"/>
    <x:col min="7" max="7" width="44" hidden="0" customWidth="1"/>
    <x:col min="8" max="8" width="41" hidden="0" customWidth="1"/>
    <x:col min="9" max="9" width="10" hidden="0" customWidth="1"/>
    <x:col min="10" max="10" width="10" hidden="0" customWidth="1"/>
    <x:col min="11" max="11" width="52" hidden="0" customWidth="1"/>
    <x:col min="12" max="12" width="13" hidden="0" customWidth="1"/>
    <x:col min="13" max="13" width="14" hidden="0" customWidth="1"/>
    <x:col min="14" max="14" width="50" hidden="0" customWidth="1"/>
    <x:col min="15" max="15" width="50" hidden="0" customWidth="1"/>
    <x:col min="16" max="16" width="22" hidden="0" customWidth="1"/>
    <x:col min="17" max="17" width="46" hidden="0" customWidth="1"/>
    <x:col min="18" max="18" width="12" hidden="0" customWidth="1"/>
    <x:col min="19" max="19" width="19" hidden="0" customWidth="1"/>
    <x:col min="20" max="20" width="20" hidden="0" customWidth="1"/>
    <x:col min="21" max="21" width="24" hidden="0" customWidth="1"/>
    <x:col min="22" max="22" width="15" hidden="0" customWidth="1"/>
    <x:col min="23" max="23" width="10" hidden="0" customWidth="1"/>
    <x:col min="24" max="24" width="12" hidden="0" customWidth="1"/>
    <x:col min="25" max="25" width="30" hidden="0" customWidth="1"/>
    <x:col min="26" max="26" width="36" hidden="0" customWidth="1"/>
    <x:col min="27" max="27" width="30" hidden="0" customWidth="1"/>
    <x:col min="28" max="28" width="14" hidden="0" customWidth="1"/>
    <x:col min="29" max="29" width="45" hidden="0" customWidth="1"/>
    <x:col min="30" max="30" width="50" hidden="0" customWidth="1"/>
    <x:col min="31" max="31" width="48" hidden="0" customWidth="1"/>
  </x:cols>
  <x:sheetData>
    <x:row r="1">
      <x:c r="A1" s="26" t="str">
        <x:v>ID</x:v>
      </x:c>
      <x:c r="B1" s="26" t="str">
        <x:v>名称</x:v>
      </x:c>
      <x:c r="C1" s="26" t="str">
        <x:v>エリア</x:v>
      </x:c>
      <x:c r="D1" s="26" t="str">
        <x:v>カテゴリ</x:v>
      </x:c>
      <x:c r="E1" s="26" t="str">
        <x:v>現在地→目的地（クリック）</x:v>
      </x:c>
      <x:c r="F1" s="26" t="str">
        <x:v>経由地・最終目的地として成立する理由</x:v>
      </x:c>
      <x:c r="G1" s="26" t="str">
        <x:v>駐車場</x:v>
      </x:c>
      <x:c r="H1" s="26" t="str">
        <x:v>利用可能時間</x:v>
      </x:c>
      <x:c r="I1" s="26" t="str">
        <x:v>夜間適性（並べ替え可）</x:v>
      </x:c>
      <x:c r="J1" s="26" t="str">
        <x:v>穴場度(1-5)</x:v>
      </x:c>
      <x:c r="K1" s="26" t="str">
        <x:v>注意事項</x:v>
      </x:c>
      <x:c r="L1" s="26" t="str">
        <x:v>確認日</x:v>
      </x:c>
      <x:c r="M1" s="26" t="str">
        <x:v>確認状態</x:v>
      </x:c>
      <x:c r="N1" s="26" t="str">
        <x:v>情報源URL</x:v>
      </x:c>
      <x:c r="O1" s="79" t="str">
        <x:v>Wikipedia由来の豆知識</x:v>
      </x:c>
      <x:c r="P1" s="79" t="str">
        <x:v>Wikipedia・関連項目（クリック）</x:v>
      </x:c>
      <x:c r="Q1" t="str">
        <x:v>品質補足・ブラッシュアップ履歴</x:v>
      </x:c>
      <x:c r="R1" t="str">
        <x:v>距離帯</x:v>
      </x:c>
      <x:c r="S1" t="str">
        <x:v>蒲田からの概算距離</x:v>
      </x:c>
      <x:c r="T1" t="str">
        <x:v>通常時の概算所要時間</x:v>
      </x:c>
      <x:c r="U1" t="str">
        <x:v>主な使いどころ</x:v>
      </x:c>
      <x:c r="V1" t="str">
        <x:v>滞在目安</x:v>
      </x:c>
      <x:c r="W1" t="str">
        <x:v>雨天適性</x:v>
      </x:c>
      <x:c r="X1" t="str">
        <x:v>車内鑑賞適性</x:v>
      </x:c>
      <x:c r="Y1" t="str">
        <x:v>代替地点</x:v>
      </x:c>
      <x:c r="Z1" t="str">
        <x:v>組み合わせやすい経由地</x:v>
      </x:c>
      <x:c r="AA1" s="447" t="str">
        <x:v>路上短時間アクセス</x:v>
      </x:c>
      <x:c r="AB1" s="447" t="str">
        <x:v>路上合法性確度</x:v>
      </x:c>
      <x:c r="AC1" s="447" t="str">
        <x:v>路上利用条件</x:v>
      </x:c>
      <x:c r="AD1" s="447" t="str">
        <x:v>路上利用の適用範囲</x:v>
      </x:c>
      <x:c r="AE1" s="447" t="str">
        <x:v>現地確認必須</x:v>
      </x:c>
    </x:row>
    <x:row r="2">
      <x:c r="A2" s="27" t="str">
        <x:v>D001</x:v>
      </x:c>
      <x:c r="B2" s="27" t="str">
        <x:v>城南島海浜公園</x:v>
      </x:c>
      <x:c r="C2" s="27" t="str">
        <x:v>大田区・城南島</x:v>
      </x:c>
      <x:c r="D2" s="27" t="str">
        <x:v>飛行機・海・港</x:v>
      </x:c>
      <x:c r="E2" s="49" t="e">
        <x:f>HYPERLINK("https://www.google.com/maps/dir/?api=1&amp;destination=%E5%9F%8E%E5%8D%97%E5%B3%B6%E6%B5%B7%E6%B5%9C%E5%85%AC%E5%9C%92&amp;travelmode=driving","現在地からナビ開始")</x:f>
      </x:c>
      <x:c r="F2" s="27" t="str">
        <x:v>羽田の航空機、東京湾、コンテナ港を同時に味わえる大田区起点の基準Ending。</x:v>
      </x:c>
      <x:c r="G2" s="27" t="str">
        <x:v>あり・有料</x:v>
      </x:c>
      <x:c r="H2" s="27" t="str">
        <x:v>駐車場 7:30～21:00</x:v>
      </x:c>
      <x:c r="I2" s="27" t="n">
        <x:v>4</x:v>
      </x:c>
      <x:c r="J2" s="27" t="n">
        <x:v>4</x:v>
      </x:c>
      <x:c r="K2" s="27" t="str">
        <x:v>21時以降は入出庫不可。臨時閉鎖と高さ制限を当日確認。</x:v>
      </x:c>
      <x:c r="L2" s="28" t="n">
        <x:v>46232</x:v>
      </x:c>
      <x:c r="M2" s="27" t="str">
        <x:v>一次確認済</x:v>
      </x:c>
      <x:c r="N2" s="27" t="str">
        <x:v>https://tokyo-south-seaside-parks.com/jonanjima/</x:v>
      </x:c>
      <x:c r="O2" s="27" t="str">
        <x:v>城南島は東京湾を埋め立てて造られた人工島で、大井ふ頭の物流機能を補う工業・港湾地区として整備された。</x:v>
      </x:c>
      <x:c r="P2" s="49" t="e">
        <x:f>HYPERLINK("https://ja.wikipedia.org/wiki/Special:Search?search=%E5%9F%8E%E5%8D%97%E5%B3%B6%E6%B5%B7%E6%B5%9C%E5%85%AC%E5%9C%92","Wikipedia・関連項目")</x:f>
      </x:c>
      <x:c r="R2" t="str">
        <x:v>0〜10km</x:v>
      </x:c>
      <x:c r="S2" t="str">
        <x:v>概ね0〜10km</x:v>
      </x:c>
      <x:c r="T2" t="str">
        <x:v>通常10〜30分</x:v>
      </x:c>
      <x:c r="U2" t="str">
        <x:v>飛行機</x:v>
      </x:c>
      <x:c r="V2" t="str">
        <x:v>30〜60分</x:v>
      </x:c>
      <x:c r="W2" t="n">
        <x:v>1</x:v>
      </x:c>
      <x:c r="X2" t="n">
        <x:v>4</x:v>
      </x:c>
      <x:c r="Y2" t="str">
        <x:v>城南島海浜公園</x:v>
      </x:c>
      <x:c r="Z2" t="str">
        <x:v>京浜島つばさ公園／羽田空港 第3ターミナル展望デッキ</x:v>
      </x:c>
      <x:c r="AA2" s="22" t="str">
        <x:v>なし</x:v>
      </x:c>
      <x:c r="AB2" s="22" t="str">
        <x:v>-</x:v>
      </x:c>
      <x:c r="AC2" s="22" t="str"/>
      <x:c r="AD2" s="22" t="str">
        <x:v>専用・路外駐車を基本</x:v>
      </x:c>
      <x:c r="AE2" s="22" t="str"/>
    </x:row>
    <x:row r="3">
      <x:c r="A3" s="27" t="str">
        <x:v>D002</x:v>
      </x:c>
      <x:c r="B3" s="27" t="str">
        <x:v>京浜島つばさ公園</x:v>
      </x:c>
      <x:c r="C3" s="27" t="str">
        <x:v>大田区・京浜島</x:v>
      </x:c>
      <x:c r="D3" s="27" t="str">
        <x:v>飛行機・工業島</x:v>
      </x:c>
      <x:c r="E3" s="49" t="e">
        <x:f>HYPERLINK("https://www.google.com/maps/dir/?api=1&amp;destination=%E4%BA%AC%E6%B5%9C%E5%B3%B6%E3%81%A4%E3%81%B0%E3%81%95%E5%85%AC%E5%9C%92&amp;travelmode=driving","現在地からナビ開始")</x:f>
      </x:c>
      <x:c r="F3" s="27" t="str">
        <x:v>滑走路を横から眺め、工業島の行き止まり感と航空機の迫力を味わえる。</x:v>
      </x:c>
      <x:c r="G3" s="27" t="str">
        <x:v>あり・小規模有料</x:v>
      </x:c>
      <x:c r="H3" s="27" t="str">
        <x:v>時間貸し駐車場は24時間運用の情報あり</x:v>
      </x:c>
      <x:c r="I3" s="27" t="n">
        <x:v>5</x:v>
      </x:c>
      <x:c r="J3" s="27" t="n">
        <x:v>4</x:v>
      </x:c>
      <x:c r="K3" s="27" t="str">
        <x:v>台数が少ない。満車時の路上待機・路上駐車は禁止。</x:v>
      </x:c>
      <x:c r="L3" s="28" t="n">
        <x:v>46232</x:v>
      </x:c>
      <x:c r="M3" s="27" t="str">
        <x:v>一次確認済</x:v>
      </x:c>
      <x:c r="N3" s="27" t="str">
        <x:v>https://tokyo-south-seaside-parks.com/keihinjima/</x:v>
      </x:c>
      <x:c r="O3" s="27" t="str">
        <x:v>京浜島も東京湾の人工島で、工場・倉庫地区と羽田空港が至近距離で隣り合う、東京らしい埋立地景観を持つ。</x:v>
      </x:c>
      <x:c r="P3" s="49" t="e">
        <x:f>HYPERLINK("https://ja.wikipedia.org/wiki/Special:Search?search=%E4%BA%AC%E6%B5%9C%E5%B3%B6%E3%81%A4%E3%81%B0%E3%81%95%E5%85%AC%E5%9C%92","Wikipedia・関連項目")</x:f>
      </x:c>
      <x:c r="R3" t="str">
        <x:v>0〜10km</x:v>
      </x:c>
      <x:c r="S3" t="str">
        <x:v>概ね0〜10km</x:v>
      </x:c>
      <x:c r="T3" t="str">
        <x:v>通常10〜30分</x:v>
      </x:c>
      <x:c r="U3" t="str">
        <x:v>飛行機</x:v>
      </x:c>
      <x:c r="V3" t="str">
        <x:v>30〜60分</x:v>
      </x:c>
      <x:c r="W3" t="n">
        <x:v>2</x:v>
      </x:c>
      <x:c r="X3" t="n">
        <x:v>4</x:v>
      </x:c>
      <x:c r="Y3" t="str">
        <x:v>城南島海浜公園</x:v>
      </x:c>
      <x:c r="Z3" t="str">
        <x:v>京浜島つばさ公園／羽田空港 第3ターミナル展望デッキ</x:v>
      </x:c>
      <x:c r="AA3" s="22" t="str">
        <x:v>なし</x:v>
      </x:c>
      <x:c r="AB3" s="22" t="str">
        <x:v>-</x:v>
      </x:c>
      <x:c r="AC3" s="22" t="str"/>
      <x:c r="AD3" s="22" t="str">
        <x:v>専用・路外駐車を基本</x:v>
      </x:c>
      <x:c r="AE3" s="22" t="str"/>
    </x:row>
    <x:row r="4">
      <x:c r="A4" s="27" t="str">
        <x:v>D003</x:v>
      </x:c>
      <x:c r="B4" s="27" t="str">
        <x:v>羽田空港 第3ターミナル展望デッキ</x:v>
      </x:c>
      <x:c r="C4" s="27" t="str">
        <x:v>大田区・羽田</x:v>
      </x:c>
      <x:c r="D4" s="27" t="str">
        <x:v>飛行機・展望</x:v>
      </x:c>
      <x:c r="E4" s="49" t="e">
        <x:f>HYPERLINK("https://www.google.com/maps/dir/?api=1&amp;destination=%E7%BE%BD%E7%94%B0%E7%A9%BA%E6%B8%AF%20%E7%AC%AC3%E3%82%BF%E3%83%BC%E3%83%9F%E3%83%8A%E3%83%AB%E5%B1%95%E6%9C%9B%E3%83%87%E3%83%83%E3%82%AD&amp;travelmode=driving","現在地からナビ開始")</x:f>
      </x:c>
      <x:c r="F4" s="27" t="str">
        <x:v>深夜でも滑走路灯火と航空機を楽しめる、安定性の高いEnding。</x:v>
      </x:c>
      <x:c r="G4" s="27" t="str">
        <x:v>P5 2,910台・24時間・有料</x:v>
      </x:c>
      <x:c r="H4" s="27" t="str">
        <x:v>展望デッキ24時間</x:v>
      </x:c>
      <x:c r="I4" s="27" t="n">
        <x:v>5</x:v>
      </x:c>
      <x:c r="J4" s="27" t="n">
        <x:v>2</x:v>
      </x:c>
      <x:c r="K4" s="27" t="str">
        <x:v>保安・悪天候・イベントで一時閉鎖の場合あり。多客期は駐車場混雑。</x:v>
      </x:c>
      <x:c r="L4" s="28" t="n">
        <x:v>46232</x:v>
      </x:c>
      <x:c r="M4" s="27" t="str">
        <x:v>一次確認済</x:v>
      </x:c>
      <x:c r="N4" s="27" t="str">
        <x:v>https://tokyo-haneda.com/service/facilities/observation_deck.html</x:v>
      </x:c>
      <x:c r="O4" s="27" t="str">
        <x:v>現在の第3ターミナルは2010年に国際線ターミナルとして開業し、2020年に現在の名称へ変更された。</x:v>
      </x:c>
      <x:c r="P4" s="49" t="e">
        <x:f>HYPERLINK("https://ja.wikipedia.org/wiki/Special:Search?search=%E7%BE%BD%E7%94%B0%E7%A9%BA%E6%B8%AF%20%E7%AC%AC3%E3%82%BF%E3%83%BC%E3%83%9F%E3%83%8A%E3%83%AB%E5%B1%95%E6%9C%9B%E3%83%87%E3%83%83%E3%82%AD","Wikipedia・関連項目")</x:f>
      </x:c>
      <x:c r="Q4" t="str">
        <x:v>2026-07-29公式再確認：T3展望デッキ24時間を深夜ルートのHard Gateなし条件へ反映。</x:v>
      </x:c>
      <x:c r="R4" t="str">
        <x:v>0〜10km</x:v>
      </x:c>
      <x:c r="S4" t="str">
        <x:v>概ね0〜10km</x:v>
      </x:c>
      <x:c r="T4" t="str">
        <x:v>通常10〜30分</x:v>
      </x:c>
      <x:c r="U4" t="str">
        <x:v>飛行機</x:v>
      </x:c>
      <x:c r="V4" t="str">
        <x:v>30〜60分</x:v>
      </x:c>
      <x:c r="W4" t="n">
        <x:v>2</x:v>
      </x:c>
      <x:c r="X4" t="n">
        <x:v>4</x:v>
      </x:c>
      <x:c r="Y4" t="str">
        <x:v>城南島海浜公園</x:v>
      </x:c>
      <x:c r="Z4" t="str">
        <x:v>京浜島つばさ公園／羽田空港 第3ターミナル展望デッキ</x:v>
      </x:c>
      <x:c r="AA4" s="22" t="str">
        <x:v>なし</x:v>
      </x:c>
      <x:c r="AB4" s="22" t="str">
        <x:v>-</x:v>
      </x:c>
      <x:c r="AC4" s="22" t="str"/>
      <x:c r="AD4" s="22" t="str">
        <x:v>専用・路外駐車を基本</x:v>
      </x:c>
      <x:c r="AE4" s="22" t="str"/>
    </x:row>
    <x:row r="5">
      <x:c r="A5" s="27" t="str">
        <x:v>D004</x:v>
      </x:c>
      <x:c r="B5" s="27" t="str">
        <x:v>多摩川浅間神社</x:v>
      </x:c>
      <x:c r="C5" s="27" t="str">
        <x:v>大田区・田園調布</x:v>
      </x:c>
      <x:c r="D5" s="27" t="str">
        <x:v>高台・Story</x:v>
      </x:c>
      <x:c r="E5" s="49" t="e">
        <x:f>HYPERLINK("https://www.google.com/maps/dir/?api=1&amp;destination=%E5%A4%9A%E6%91%A9%E5%B7%9D%E6%B5%85%E9%96%93%E7%A5%9E%E7%A4%BE&amp;travelmode=driving","現在地からナビ開始")</x:f>
      </x:c>
      <x:c r="F5" s="27" t="str">
        <x:v>多摩川と武蔵小杉方面を見下ろし、『シン・ゴジラ』の物語性も重ねられる。</x:v>
      </x:c>
      <x:c r="G5" s="27" t="str">
        <x:v>あり・約20台</x:v>
      </x:c>
      <x:c r="H5" s="27" t="str">
        <x:v>授与所 10:00～16:00、参拝は現地掲示優先</x:v>
      </x:c>
      <x:c r="I5" s="27" t="n">
        <x:v>2</x:v>
      </x:c>
      <x:c r="J5" s="27" t="n">
        <x:v>3</x:v>
      </x:c>
      <x:c r="K5" s="27" t="str">
        <x:v>住宅地と神社のため静粛必須。夜遅くより夕暮れ向け。</x:v>
      </x:c>
      <x:c r="L5" s="28" t="n">
        <x:v>46232</x:v>
      </x:c>
      <x:c r="M5" s="27" t="str">
        <x:v>一次確認済</x:v>
      </x:c>
      <x:c r="N5" s="27" t="str">
        <x:v>https://sengenjinja.info/</x:v>
      </x:c>
      <x:c r="O5" s="27" t="str">
        <x:v>社伝では源頼朝の時代に北条政子が富士浅間大神を勧請したとされ、『シン・ゴジラ』のロケ地としても知られる。</x:v>
      </x:c>
      <x:c r="P5" s="49" t="e">
        <x:f>HYPERLINK("https://ja.wikipedia.org/wiki/Special:Search?search=%E5%A4%9A%E6%91%A9%E5%B7%9D%E6%B5%85%E9%96%93%E7%A5%9E%E7%A4%BE","Wikipedia・関連項目")</x:f>
      </x:c>
      <x:c r="R5" t="str">
        <x:v>0〜10km</x:v>
      </x:c>
      <x:c r="S5" t="str">
        <x:v>概ね0〜10km</x:v>
      </x:c>
      <x:c r="T5" t="str">
        <x:v>通常10〜30分</x:v>
      </x:c>
      <x:c r="U5" t="str">
        <x:v>Story</x:v>
      </x:c>
      <x:c r="V5" t="str">
        <x:v>30〜60分</x:v>
      </x:c>
      <x:c r="W5" t="n">
        <x:v>1</x:v>
      </x:c>
      <x:c r="X5" t="n">
        <x:v>1</x:v>
      </x:c>
      <x:c r="Y5" t="str">
        <x:v>羽田空港 第3ターミナル展望デッキ</x:v>
      </x:c>
      <x:c r="Z5" t="str">
        <x:v>城南島海浜公園／潮風公園</x:v>
      </x:c>
      <x:c r="AA5" s="22" t="str">
        <x:v>なし</x:v>
      </x:c>
      <x:c r="AB5" s="22" t="str">
        <x:v>-</x:v>
      </x:c>
      <x:c r="AC5" s="22" t="str"/>
      <x:c r="AD5" s="22" t="str">
        <x:v>専用・路外駐車を基本</x:v>
      </x:c>
      <x:c r="AE5" s="22" t="str"/>
    </x:row>
    <x:row r="6">
      <x:c r="A6" s="27" t="str">
        <x:v>D005</x:v>
      </x:c>
      <x:c r="B6" s="27" t="str">
        <x:v>潮風公園</x:v>
      </x:c>
      <x:c r="C6" s="27" t="str">
        <x:v>港区・台場</x:v>
      </x:c>
      <x:c r="D6" s="27" t="str">
        <x:v>海・都市夜景</x:v>
      </x:c>
      <x:c r="E6" s="49" t="e">
        <x:f>HYPERLINK("https://www.google.com/maps/dir/?api=1&amp;destination=%E6%BD%AE%E9%A2%A8%E5%85%AC%E5%9C%92&amp;travelmode=driving","現在地からナビ開始")</x:f>
      </x:c>
      <x:c r="F6" s="27" t="str">
        <x:v>海辺でレインボーブリッジと都心の灯りを眺め、余韻を作りやすい。</x:v>
      </x:c>
      <x:c r="G6" s="27" t="str">
        <x:v>あり・有料</x:v>
      </x:c>
      <x:c r="H6" s="27" t="str">
        <x:v>駐車場 24時間</x:v>
      </x:c>
      <x:c r="I6" s="27" t="n">
        <x:v>5</x:v>
      </x:c>
      <x:c r="J6" s="27" t="n">
        <x:v>3</x:v>
      </x:c>
      <x:c r="K6" s="27" t="str">
        <x:v>イベント・工事による部分閉鎖を当日確認。集会や騒音行為は禁止。</x:v>
      </x:c>
      <x:c r="L6" s="28" t="n">
        <x:v>46232</x:v>
      </x:c>
      <x:c r="M6" s="27" t="str">
        <x:v>一次確認済</x:v>
      </x:c>
      <x:c r="N6" s="27" t="str">
        <x:v>https://www.tokyo-park.or.jp/park/shiokaze/index.html</x:v>
      </x:c>
      <x:c r="O6" s="27" t="str">
        <x:v>『お台場』の名は、江戸幕府が黒船来航に備えて東京湾に築いた砲台＝台場に由来する。</x:v>
      </x:c>
      <x:c r="P6" s="49" t="e">
        <x:f>HYPERLINK("https://ja.wikipedia.org/wiki/Special:Search?search=%E6%BD%AE%E9%A2%A8%E5%85%AC%E5%9C%92","Wikipedia・関連項目")</x:f>
      </x:c>
      <x:c r="R6" t="str">
        <x:v>10〜20km</x:v>
      </x:c>
      <x:c r="S6" t="str">
        <x:v>概ね10〜20km</x:v>
      </x:c>
      <x:c r="T6" t="str">
        <x:v>通常25〜50分</x:v>
      </x:c>
      <x:c r="U6" t="str">
        <x:v>海・港</x:v>
      </x:c>
      <x:c r="V6" t="str">
        <x:v>30〜60分</x:v>
      </x:c>
      <x:c r="W6" t="n">
        <x:v>1</x:v>
      </x:c>
      <x:c r="X6" t="n">
        <x:v>3</x:v>
      </x:c>
      <x:c r="Y6" t="str">
        <x:v>城南島海浜公園</x:v>
      </x:c>
      <x:c r="Z6" t="str">
        <x:v>潮風公園／晴海ふ頭公園</x:v>
      </x:c>
      <x:c r="AA6" s="22" t="str">
        <x:v>なし</x:v>
      </x:c>
      <x:c r="AB6" s="22" t="str">
        <x:v>-</x:v>
      </x:c>
      <x:c r="AC6" s="22" t="str"/>
      <x:c r="AD6" s="22" t="str">
        <x:v>専用・路外駐車を基本</x:v>
      </x:c>
      <x:c r="AE6" s="22" t="str"/>
    </x:row>
    <x:row r="7">
      <x:c r="A7" s="27" t="str">
        <x:v>D006</x:v>
      </x:c>
      <x:c r="B7" s="27" t="str">
        <x:v>若洲海浜公園</x:v>
      </x:c>
      <x:c r="C7" s="27" t="str">
        <x:v>江東区・若洲</x:v>
      </x:c>
      <x:c r="D7" s="27" t="str">
        <x:v>橋・海・港</x:v>
      </x:c>
      <x:c r="E7" s="49" t="e">
        <x:f>HYPERLINK("https://www.google.com/maps/dir/?api=1&amp;destination=%E8%8B%A5%E6%B4%B2%E6%B5%B7%E6%B5%9C%E5%85%AC%E5%9C%92&amp;travelmode=driving","現在地からナビ開始")</x:f>
      </x:c>
      <x:c r="F7" s="27" t="str">
        <x:v>東京ゲートブリッジを間近に感じ、東京港の最奥へ走る感覚が強い。</x:v>
      </x:c>
      <x:c r="G7" s="27" t="str">
        <x:v>東京都立若洲海浜公園駐車場322台・有料</x:v>
      </x:c>
      <x:c r="H7" s="27" t="str">
        <x:v>駐車場6:00～22:00／年末年始休場</x:v>
      </x:c>
      <x:c r="I7" s="27" t="n">
        <x:v>4</x:v>
      </x:c>
      <x:c r="J7" s="27" t="n">
        <x:v>3</x:v>
      </x:c>
      <x:c r="K7" s="27" t="str">
        <x:v>江東区立若洲公園はリニューアル工事中で、駐車場の一部・キャンプ場・貸自転車等が利用休止。強風時は滞在短縮。</x:v>
      </x:c>
      <x:c r="L7" s="28" t="n">
        <x:v>46232</x:v>
      </x:c>
      <x:c r="M7" s="27" t="str">
        <x:v>一次確認済</x:v>
      </x:c>
      <x:c r="N7" s="27" t="str">
        <x:v>https://www.tptc.co.jp/park/03_07/access</x:v>
      </x:c>
      <x:c r="O7" s="27" t="str">
        <x:v>東京ゲートブリッジはトラス部分の形から『恐竜橋』とも呼ばれ、羽田空港の航空制限を避けるため吊橋ではなくトラス橋になった。</x:v>
      </x:c>
      <x:c r="P7" s="49" t="e">
        <x:f>HYPERLINK("https://ja.wikipedia.org/wiki/Special:Search?search=%E8%8B%A5%E6%B4%B2%E6%B5%B7%E6%B5%9C%E5%85%AC%E5%9C%92","Wikipedia・関連項目")</x:f>
      </x:c>
      <x:c r="Q7" t="str">
        <x:v>2026-07-29公式再確認：駐車場322台・6:00～22:00と、リニューアル工事による一部利用休止を反映。</x:v>
      </x:c>
      <x:c r="R7" t="str">
        <x:v>10〜20km</x:v>
      </x:c>
      <x:c r="S7" t="str">
        <x:v>概ね10〜20km</x:v>
      </x:c>
      <x:c r="T7" t="str">
        <x:v>通常25〜50分</x:v>
      </x:c>
      <x:c r="U7" t="str">
        <x:v>海・港</x:v>
      </x:c>
      <x:c r="V7" t="str">
        <x:v>30〜90分</x:v>
      </x:c>
      <x:c r="W7" t="n">
        <x:v>1</x:v>
      </x:c>
      <x:c r="X7" t="n">
        <x:v>3</x:v>
      </x:c>
      <x:c r="Y7" t="str">
        <x:v>城南島海浜公園</x:v>
      </x:c>
      <x:c r="Z7" t="str">
        <x:v>潮風公園／晴海ふ頭公園</x:v>
      </x:c>
      <x:c r="AA7" s="22" t="str">
        <x:v>なし</x:v>
      </x:c>
      <x:c r="AB7" s="22" t="str">
        <x:v>-</x:v>
      </x:c>
      <x:c r="AC7" s="22" t="str"/>
      <x:c r="AD7" s="22" t="str">
        <x:v>専用・路外駐車を基本</x:v>
      </x:c>
      <x:c r="AE7" s="22" t="str"/>
    </x:row>
    <x:row r="8">
      <x:c r="A8" s="27" t="str">
        <x:v>D007</x:v>
      </x:c>
      <x:c r="B8" s="27" t="str">
        <x:v>葛西臨海公園</x:v>
      </x:c>
      <x:c r="C8" s="27" t="str">
        <x:v>江戸川区・臨海町</x:v>
      </x:c>
      <x:c r="D8" s="27" t="str">
        <x:v>海・観覧車・公園</x:v>
      </x:c>
      <x:c r="E8" s="49" t="e">
        <x:f>HYPERLINK("https://www.google.com/maps/dir/?api=1&amp;destination=%E8%91%9B%E8%A5%BF%E8%87%A8%E6%B5%B7%E5%85%AC%E5%9C%92&amp;travelmode=driving","現在地からナビ開始")</x:f>
      </x:c>
      <x:c r="F8" s="27" t="str">
        <x:v>湾岸道路の先に海辺と観覧車が現れ、東側の安定Endingになる。</x:v>
      </x:c>
      <x:c r="G8" s="27" t="str">
        <x:v>あり・有料</x:v>
      </x:c>
      <x:c r="H8" s="27" t="str">
        <x:v>駐車場 24時間</x:v>
      </x:c>
      <x:c r="I8" s="27" t="n">
        <x:v>4</x:v>
      </x:c>
      <x:c r="J8" s="27" t="n">
        <x:v>2</x:v>
      </x:c>
      <x:c r="K8" s="27" t="str">
        <x:v>休日は混雑。深夜は暗い園路や人通りの少ない区域を避ける。</x:v>
      </x:c>
      <x:c r="L8" s="28" t="n">
        <x:v>46232</x:v>
      </x:c>
      <x:c r="M8" s="27" t="str">
        <x:v>一次確認済</x:v>
      </x:c>
      <x:c r="N8" s="27" t="str">
        <x:v>https://www.tokyo-park.or.jp/park/kasairinkai/index.html</x:v>
      </x:c>
      <x:c r="O8" s="27" t="str">
        <x:v>園内の葛西臨海水族園は、ドーナツ形の大型水槽でクロマグロを群泳展示したことで世界的にも知られた。</x:v>
      </x:c>
      <x:c r="P8" s="49" t="e">
        <x:f>HYPERLINK("https://ja.wikipedia.org/wiki/Special:Search?search=%E8%91%9B%E8%A5%BF%E8%87%A8%E6%B5%B7%E5%85%AC%E5%9C%92","Wikipedia・関連項目")</x:f>
      </x:c>
      <x:c r="R8" t="str">
        <x:v>20〜25km</x:v>
      </x:c>
      <x:c r="S8" t="str">
        <x:v>概ね20〜25km</x:v>
      </x:c>
      <x:c r="T8" t="str">
        <x:v>通常40〜70分</x:v>
      </x:c>
      <x:c r="U8" t="str">
        <x:v>海・港</x:v>
      </x:c>
      <x:c r="V8" t="str">
        <x:v>30〜90分</x:v>
      </x:c>
      <x:c r="W8" t="n">
        <x:v>1</x:v>
      </x:c>
      <x:c r="X8" t="n">
        <x:v>3</x:v>
      </x:c>
      <x:c r="Y8" t="str">
        <x:v>城南島海浜公園</x:v>
      </x:c>
      <x:c r="Z8" t="str">
        <x:v>潮風公園／晴海ふ頭公園</x:v>
      </x:c>
      <x:c r="AA8" s="22" t="str">
        <x:v>なし</x:v>
      </x:c>
      <x:c r="AB8" s="22" t="str">
        <x:v>-</x:v>
      </x:c>
      <x:c r="AC8" s="22" t="str"/>
      <x:c r="AD8" s="22" t="str">
        <x:v>専用・路外駐車を基本</x:v>
      </x:c>
      <x:c r="AE8" s="22" t="str"/>
    </x:row>
    <x:row r="9">
      <x:c r="A9" s="27" t="str">
        <x:v>D008</x:v>
      </x:c>
      <x:c r="B9" s="27" t="str">
        <x:v>夢の島公園</x:v>
      </x:c>
      <x:c r="C9" s="27" t="str">
        <x:v>江東区・夢の島</x:v>
      </x:c>
      <x:c r="D9" s="27" t="str">
        <x:v>静かな休憩・公園</x:v>
      </x:c>
      <x:c r="E9" s="49" t="e">
        <x:f>HYPERLINK("https://www.google.com/maps/dir/?api=1&amp;destination=%E5%A4%A2%E3%81%AE%E5%B3%B6%E5%85%AC%E5%9C%92&amp;travelmode=driving","現在地からナビ開始")</x:f>
      </x:c>
      <x:c r="F9" s="27" t="str">
        <x:v>派手さはないが、湾岸走行後に静かに休むEndingとして使いやすい。</x:v>
      </x:c>
      <x:c r="G9" s="27" t="str">
        <x:v>あり・有料</x:v>
      </x:c>
      <x:c r="H9" s="27" t="str">
        <x:v>最新時間は公式確認</x:v>
      </x:c>
      <x:c r="I9" s="27" t="n">
        <x:v>3</x:v>
      </x:c>
      <x:c r="J9" s="27" t="n">
        <x:v>4</x:v>
      </x:c>
      <x:c r="K9" s="27" t="str">
        <x:v>一部閉鎖やイベントを確認。夜は奥まった区域を避ける。</x:v>
      </x:c>
      <x:c r="L9" s="28" t="n">
        <x:v>46232</x:v>
      </x:c>
      <x:c r="M9" s="27" t="str">
        <x:v>当日再確認</x:v>
      </x:c>
      <x:c r="N9" s="27" t="str">
        <x:v>https://www.tokyo-park.or.jp/park/yumenoshima/index.html</x:v>
      </x:c>
      <x:c r="O9" s="27" t="str">
        <x:v>夢の島は戦前に新空港建設地として計画され、戦後は海水浴場を経てごみ埋立地となったという劇的な履歴を持つ。</x:v>
      </x:c>
      <x:c r="P9" s="49" t="e">
        <x:f>HYPERLINK("https://ja.wikipedia.org/wiki/Special:Search?search=%E5%A4%A2%E3%81%AE%E5%B3%B6%E5%85%AC%E5%9C%92","Wikipedia・関連項目")</x:f>
      </x:c>
      <x:c r="R9" t="str">
        <x:v>10〜20km</x:v>
      </x:c>
      <x:c r="S9" t="str">
        <x:v>概ね10〜20km</x:v>
      </x:c>
      <x:c r="T9" t="str">
        <x:v>通常25〜50分</x:v>
      </x:c>
      <x:c r="U9" t="str">
        <x:v>休日半日</x:v>
      </x:c>
      <x:c r="V9" t="str">
        <x:v>30〜90分</x:v>
      </x:c>
      <x:c r="W9" t="n">
        <x:v>1</x:v>
      </x:c>
      <x:c r="X9" t="n">
        <x:v>1</x:v>
      </x:c>
      <x:c r="Y9" t="str">
        <x:v>平和の森公園</x:v>
      </x:c>
      <x:c r="Z9" t="str">
        <x:v>大森ふるさとの浜辺公園／森ケ崎公園</x:v>
      </x:c>
      <x:c r="AA9" s="22" t="str">
        <x:v>なし</x:v>
      </x:c>
      <x:c r="AB9" s="22" t="str">
        <x:v>-</x:v>
      </x:c>
      <x:c r="AC9" s="22" t="str"/>
      <x:c r="AD9" s="22" t="str">
        <x:v>専用・路外駐車を基本</x:v>
      </x:c>
      <x:c r="AE9" s="22" t="str"/>
    </x:row>
    <x:row r="10">
      <x:c r="A10" s="27" t="str">
        <x:v>D009</x:v>
      </x:c>
      <x:c r="B10" s="27" t="str">
        <x:v>川崎マリエン</x:v>
      </x:c>
      <x:c r="C10" s="27" t="str">
        <x:v>川崎市・東扇島</x:v>
      </x:c>
      <x:c r="D10" s="27" t="str">
        <x:v>工場夜景・展望</x:v>
      </x:c>
      <x:c r="E10" s="49" t="e">
        <x:f>HYPERLINK("https://www.google.com/maps/dir/?api=1&amp;destination=%E5%B7%9D%E5%B4%8E%E3%83%9E%E3%83%AA%E3%82%A8%E3%83%B3&amp;travelmode=driving","現在地からナビ開始")</x:f>
      </x:c>
      <x:c r="F10" s="27" t="str">
        <x:v>川崎港、工場、大型船、東京湾を高所から360度眺められる主力Ending。</x:v>
      </x:c>
      <x:c r="G10" s="27" t="str">
        <x:v>あり・有料</x:v>
      </x:c>
      <x:c r="H10" s="27" t="str">
        <x:v>駐車場 24時間／展望室 9:00～21:00</x:v>
      </x:c>
      <x:c r="I10" s="27" t="n">
        <x:v>5</x:v>
      </x:c>
      <x:c r="J10" s="27" t="n">
        <x:v>4</x:v>
      </x:c>
      <x:c r="K10" s="27" t="str">
        <x:v>最終入場、休館日、工事情報を当日確認。</x:v>
      </x:c>
      <x:c r="L10" s="28" t="n">
        <x:v>46232</x:v>
      </x:c>
      <x:c r="M10" s="27" t="str">
        <x:v>一次確認済</x:v>
      </x:c>
      <x:c r="N10" s="27" t="str">
        <x:v>https://www.kawasakiport.or.jp/</x:v>
      </x:c>
      <x:c r="O10" s="27" t="str">
        <x:v>『マリエン』はMarineとEntranceを組み合わせた愛称で、川崎港の交流拠点として造られた。</x:v>
      </x:c>
      <x:c r="P10" s="49" t="e">
        <x:f>HYPERLINK("https://ja.wikipedia.org/wiki/Special:Search?search=%E5%B7%9D%E5%B4%8E%E3%83%9E%E3%83%AA%E3%82%A8%E3%83%B3","Wikipedia・関連項目")</x:f>
      </x:c>
      <x:c r="R10" t="str">
        <x:v>10〜20km</x:v>
      </x:c>
      <x:c r="S10" t="str">
        <x:v>概ね10〜20km</x:v>
      </x:c>
      <x:c r="T10" t="str">
        <x:v>通常25〜50分</x:v>
      </x:c>
      <x:c r="U10" t="str">
        <x:v>工場夜景</x:v>
      </x:c>
      <x:c r="V10" t="str">
        <x:v>30〜60分</x:v>
      </x:c>
      <x:c r="W10" t="n">
        <x:v>2</x:v>
      </x:c>
      <x:c r="X10" t="n">
        <x:v>4</x:v>
      </x:c>
      <x:c r="Y10" t="str">
        <x:v>川崎マリエン</x:v>
      </x:c>
      <x:c r="Z10" t="str">
        <x:v>東扇島東公園／ちどり公園</x:v>
      </x:c>
      <x:c r="AA10" s="22" t="str">
        <x:v>なし</x:v>
      </x:c>
      <x:c r="AB10" s="22" t="str">
        <x:v>-</x:v>
      </x:c>
      <x:c r="AC10" s="22" t="str"/>
      <x:c r="AD10" s="22" t="str">
        <x:v>専用・路外駐車を基本</x:v>
      </x:c>
      <x:c r="AE10" s="22" t="str"/>
    </x:row>
    <x:row r="11">
      <x:c r="A11" s="27" t="str">
        <x:v>D010</x:v>
      </x:c>
      <x:c r="B11" s="27" t="str">
        <x:v>東扇島東公園</x:v>
      </x:c>
      <x:c r="C11" s="27" t="str">
        <x:v>川崎市・東扇島</x:v>
      </x:c>
      <x:c r="D11" s="27" t="str">
        <x:v>人工海浜・港</x:v>
      </x:c>
      <x:c r="E11" s="49" t="e">
        <x:f>HYPERLINK("https://www.google.com/maps/dir/?api=1&amp;destination=%E6%9D%B1%E6%89%87%E5%B3%B6%E6%9D%B1%E5%85%AC%E5%9C%92&amp;travelmode=driving","現在地からナビ開始")</x:f>
      </x:c>
      <x:c r="F11" s="27" t="str">
        <x:v>人工海浜、航空機、港湾設備を低い目線で眺める夕方Ending。</x:v>
      </x:c>
      <x:c r="G11" s="27" t="str">
        <x:v>あり・有料</x:v>
      </x:c>
      <x:c r="H11" s="27" t="str">
        <x:v>20:30～翌5:00は入庫不可</x:v>
      </x:c>
      <x:c r="I11" s="27" t="n">
        <x:v>3</x:v>
      </x:c>
      <x:c r="J11" s="27" t="n">
        <x:v>4</x:v>
      </x:c>
      <x:c r="K11" s="27" t="str">
        <x:v>夜遅い出発には不向き。入庫制限時刻を厳守。</x:v>
      </x:c>
      <x:c r="L11" s="28" t="n">
        <x:v>46232</x:v>
      </x:c>
      <x:c r="M11" s="27" t="str">
        <x:v>一次確認済</x:v>
      </x:c>
      <x:c r="N11" s="27" t="str">
        <x:v>https://www.city.kawasaki.jp/580/page/0000001282.html</x:v>
      </x:c>
      <x:c r="O11" s="27" t="str">
        <x:v>東扇島は川崎港の人工島で、公園の人工海浜は京浜工業地帯の中に造られた珍しい砂浜である。</x:v>
      </x:c>
      <x:c r="P11" s="49" t="e">
        <x:f>HYPERLINK("https://ja.wikipedia.org/wiki/Special:Search?search=%E6%9D%B1%E6%89%87%E5%B3%B6%E6%9D%B1%E5%85%AC%E5%9C%92","Wikipedia・関連項目")</x:f>
      </x:c>
      <x:c r="R11" t="str">
        <x:v>10〜20km</x:v>
      </x:c>
      <x:c r="S11" t="str">
        <x:v>概ね10〜20km</x:v>
      </x:c>
      <x:c r="T11" t="str">
        <x:v>通常25〜50分</x:v>
      </x:c>
      <x:c r="U11" t="str">
        <x:v>海・港</x:v>
      </x:c>
      <x:c r="V11" t="str">
        <x:v>30〜90分</x:v>
      </x:c>
      <x:c r="W11" t="n">
        <x:v>1</x:v>
      </x:c>
      <x:c r="X11" t="n">
        <x:v>3</x:v>
      </x:c>
      <x:c r="Y11" t="str">
        <x:v>城南島海浜公園</x:v>
      </x:c>
      <x:c r="Z11" t="str">
        <x:v>潮風公園／晴海ふ頭公園</x:v>
      </x:c>
      <x:c r="AA11" s="22" t="str">
        <x:v>なし</x:v>
      </x:c>
      <x:c r="AB11" s="22" t="str">
        <x:v>-</x:v>
      </x:c>
      <x:c r="AC11" s="22" t="str"/>
      <x:c r="AD11" s="22" t="str">
        <x:v>専用・路外駐車を基本</x:v>
      </x:c>
      <x:c r="AE11" s="22" t="str"/>
    </x:row>
    <x:row r="12">
      <x:c r="A12" s="27" t="str">
        <x:v>D011</x:v>
      </x:c>
      <x:c r="B12" s="27" t="str">
        <x:v>ちどり公園</x:v>
      </x:c>
      <x:c r="C12" s="27" t="str">
        <x:v>川崎市・千鳥町</x:v>
      </x:c>
      <x:c r="D12" s="27" t="str">
        <x:v>運河・港・穴場</x:v>
      </x:c>
      <x:c r="E12" s="49" t="e">
        <x:f>HYPERLINK("https://www.google.com/maps/dir/?api=1&amp;destination=%E3%81%A1%E3%81%A9%E3%82%8A%E5%85%AC%E5%9C%92&amp;travelmode=driving","現在地からナビ開始")</x:f>
      </x:c>
      <x:c r="F12" s="27" t="str">
        <x:v>京浜運河と大型船を低い展望台から眺める、港湾感の濃い穴場。</x:v>
      </x:c>
      <x:c r="G12" s="27" t="str">
        <x:v>あり・約30台</x:v>
      </x:c>
      <x:c r="H12" s="27" t="str">
        <x:v>駐車場 9:00～18:00</x:v>
      </x:c>
      <x:c r="I12" s="27" t="n">
        <x:v>1</x:v>
      </x:c>
      <x:c r="J12" s="27" t="n">
        <x:v>5</x:v>
      </x:c>
      <x:c r="K12" s="27" t="str">
        <x:v>公園利用時間と駐車時間を混同しない。夕方限定。</x:v>
      </x:c>
      <x:c r="L12" s="28" t="n">
        <x:v>46232</x:v>
      </x:c>
      <x:c r="M12" s="27" t="str">
        <x:v>一次確認済</x:v>
      </x:c>
      <x:c r="N12" s="27" t="str">
        <x:v>https://www.city.kawasaki.jp/</x:v>
      </x:c>
      <x:c r="O12" s="27" t="str">
        <x:v>千鳥町一帯は京浜工業地帯の埋立地で、運河越しに製油・化学・物流施設が連続する。</x:v>
      </x:c>
      <x:c r="P12" s="49" t="e">
        <x:f>HYPERLINK("https://ja.wikipedia.org/wiki/Special:Search?search=%E3%81%A1%E3%81%A9%E3%82%8A%E5%85%AC%E5%9C%92","Wikipedia・関連項目")</x:f>
      </x:c>
      <x:c r="R12" t="str">
        <x:v>35km超</x:v>
      </x:c>
      <x:c r="S12" t="str">
        <x:v>概ね35km超</x:v>
      </x:c>
      <x:c r="T12" t="str">
        <x:v>通常90分超</x:v>
      </x:c>
      <x:c r="U12" t="str">
        <x:v>海・港</x:v>
      </x:c>
      <x:c r="V12" t="str">
        <x:v>30〜90分</x:v>
      </x:c>
      <x:c r="W12" t="n">
        <x:v>2</x:v>
      </x:c>
      <x:c r="X12" t="n">
        <x:v>3</x:v>
      </x:c>
      <x:c r="Y12" t="str">
        <x:v>城南島海浜公園</x:v>
      </x:c>
      <x:c r="Z12" t="str">
        <x:v>潮風公園／晴海ふ頭公園</x:v>
      </x:c>
      <x:c r="AA12" s="22" t="str">
        <x:v>なし</x:v>
      </x:c>
      <x:c r="AB12" s="22" t="str">
        <x:v>-</x:v>
      </x:c>
      <x:c r="AC12" s="22" t="str"/>
      <x:c r="AD12" s="22" t="str">
        <x:v>専用・路外駐車を基本</x:v>
      </x:c>
      <x:c r="AE12" s="22" t="str"/>
    </x:row>
    <x:row r="13">
      <x:c r="A13" s="27" t="str">
        <x:v>D012</x:v>
      </x:c>
      <x:c r="B13" s="27" t="str">
        <x:v>横浜港シンボルタワー</x:v>
      </x:c>
      <x:c r="C13" s="27" t="str">
        <x:v>横浜市・本牧ふ頭</x:v>
      </x:c>
      <x:c r="D13" s="27" t="str">
        <x:v>港・行き止まり・展望</x:v>
      </x:c>
      <x:c r="E13" s="49" t="e">
        <x:f>HYPERLINK("https://www.google.com/maps/dir/?api=1&amp;destination=%E6%A8%AA%E6%B5%9C%E6%B8%AF%E3%82%B7%E3%83%B3%E3%83%9C%E3%83%AB%E3%82%BF%E3%83%AF%E3%83%BC&amp;travelmode=driving","現在地からナビ開始")</x:f>
      </x:c>
      <x:c r="F13" s="27" t="str">
        <x:v>本牧ふ頭最奥へ走り、船舶と横浜港を眺める行き止まり感が強い。</x:v>
      </x:c>
      <x:c r="G13" s="27" t="str">
        <x:v>あり・約205台</x:v>
      </x:c>
      <x:c r="H13" s="27" t="str">
        <x:v>季節変動、夏季は概ね20時まで</x:v>
      </x:c>
      <x:c r="I13" s="27" t="n">
        <x:v>3</x:v>
      </x:c>
      <x:c r="J13" s="27" t="n">
        <x:v>4</x:v>
      </x:c>
      <x:c r="K13" s="27" t="str">
        <x:v>入場締切は閉場より早い。ゲート閉鎖前に退出。</x:v>
      </x:c>
      <x:c r="L13" s="28" t="n">
        <x:v>46232</x:v>
      </x:c>
      <x:c r="M13" s="27" t="str">
        <x:v>当日再確認</x:v>
      </x:c>
      <x:c r="N13" s="27" t="str">
        <x:v>https://y-stw.com/</x:v>
      </x:c>
      <x:c r="O13" s="27" t="str">
        <x:v>横浜港シンボルタワーには船舶へ航路情報を伝える信号塔の役割があり、展望施設だけではない。</x:v>
      </x:c>
      <x:c r="P13" s="49" t="e">
        <x:f>HYPERLINK("https://ja.wikipedia.org/wiki/Special:Search?search=%E6%A8%AA%E6%B5%9C%E6%B8%AF%E3%82%B7%E3%83%B3%E3%83%9C%E3%83%AB%E3%82%BF%E3%83%AF%E3%83%BC","Wikipedia・関連項目")</x:f>
      </x:c>
      <x:c r="R13" t="str">
        <x:v>25〜35km</x:v>
      </x:c>
      <x:c r="S13" t="str">
        <x:v>概ね25〜35km</x:v>
      </x:c>
      <x:c r="T13" t="str">
        <x:v>通常55〜90分</x:v>
      </x:c>
      <x:c r="U13" t="str">
        <x:v>海・港</x:v>
      </x:c>
      <x:c r="V13" t="str">
        <x:v>30〜60分</x:v>
      </x:c>
      <x:c r="W13" t="n">
        <x:v>2</x:v>
      </x:c>
      <x:c r="X13" t="n">
        <x:v>3</x:v>
      </x:c>
      <x:c r="Y13" t="str">
        <x:v>城南島海浜公園</x:v>
      </x:c>
      <x:c r="Z13" t="str">
        <x:v>潮風公園／晴海ふ頭公園</x:v>
      </x:c>
      <x:c r="AA13" s="22" t="str">
        <x:v>なし</x:v>
      </x:c>
      <x:c r="AB13" s="22" t="str">
        <x:v>-</x:v>
      </x:c>
      <x:c r="AC13" s="22" t="str"/>
      <x:c r="AD13" s="22" t="str">
        <x:v>専用・路外駐車を基本</x:v>
      </x:c>
      <x:c r="AE13" s="22" t="str"/>
    </x:row>
    <x:row r="14">
      <x:c r="A14" s="27" t="str">
        <x:v>D013</x:v>
      </x:c>
      <x:c r="B14" s="27" t="str">
        <x:v>横浜港大さん橋</x:v>
      </x:c>
      <x:c r="C14" s="27" t="str">
        <x:v>横浜市・中区</x:v>
      </x:c>
      <x:c r="D14" s="27" t="str">
        <x:v>港・都市夜景</x:v>
      </x:c>
      <x:c r="E14" s="49" t="e">
        <x:f>HYPERLINK("https://www.google.com/maps/dir/?api=1&amp;destination=%E6%A8%AA%E6%B5%9C%E6%B8%AF%E5%A4%A7%E3%81%95%E3%82%93%E6%A9%8B&amp;travelmode=driving","現在地からナビ開始")</x:f>
      </x:c>
      <x:c r="F14" s="27" t="str">
        <x:v>みなとみらいとベイブリッジを受け止める完成度の高い都市型Ending。</x:v>
      </x:c>
      <x:c r="G14" s="27" t="str">
        <x:v>あり・有料</x:v>
      </x:c>
      <x:c r="H14" s="27" t="str">
        <x:v>駐車場 24時間</x:v>
      </x:c>
      <x:c r="I14" s="27" t="n">
        <x:v>5</x:v>
      </x:c>
      <x:c r="J14" s="27" t="n">
        <x:v>1</x:v>
      </x:c>
      <x:c r="K14" s="27" t="str">
        <x:v>イベント日・客船入港日は混雑。穴場性より確実性重視。</x:v>
      </x:c>
      <x:c r="L14" s="28" t="n">
        <x:v>46232</x:v>
      </x:c>
      <x:c r="M14" s="27" t="str">
        <x:v>一次確認済</x:v>
      </x:c>
      <x:c r="N14" s="27" t="str">
        <x:v>https://osanbashi.jp/</x:v>
      </x:c>
      <x:c r="O14" s="27" t="str">
        <x:v>大さん橋の起源は1894年完成の鉄桟橋で、現在の客船ターミナルは波打つ屋上デッキを持つ建築として評価が高い。</x:v>
      </x:c>
      <x:c r="P14" s="49" t="e">
        <x:f>HYPERLINK("https://ja.wikipedia.org/wiki/Special:Search?search=%E6%A8%AA%E6%B5%9C%E6%B8%AF%E5%A4%A7%E3%81%95%E3%82%93%E6%A9%8B","Wikipedia・関連項目")</x:f>
      </x:c>
      <x:c r="R14" t="str">
        <x:v>20〜25km</x:v>
      </x:c>
      <x:c r="S14" t="str">
        <x:v>概ね20〜25km</x:v>
      </x:c>
      <x:c r="T14" t="str">
        <x:v>通常40〜70分</x:v>
      </x:c>
      <x:c r="U14" t="str">
        <x:v>海・港</x:v>
      </x:c>
      <x:c r="V14" t="str">
        <x:v>30〜60分</x:v>
      </x:c>
      <x:c r="W14" t="n">
        <x:v>2</x:v>
      </x:c>
      <x:c r="X14" t="n">
        <x:v>3</x:v>
      </x:c>
      <x:c r="Y14" t="str">
        <x:v>城南島海浜公園</x:v>
      </x:c>
      <x:c r="Z14" t="str">
        <x:v>潮風公園／晴海ふ頭公園</x:v>
      </x:c>
      <x:c r="AA14" s="22" t="str">
        <x:v>なし</x:v>
      </x:c>
      <x:c r="AB14" s="22" t="str">
        <x:v>-</x:v>
      </x:c>
      <x:c r="AC14" s="22" t="str"/>
      <x:c r="AD14" s="22" t="str">
        <x:v>専用・路外駐車を基本</x:v>
      </x:c>
      <x:c r="AE14" s="22" t="str"/>
    </x:row>
    <x:row r="15">
      <x:c r="A15" s="27" t="str">
        <x:v>D014</x:v>
      </x:c>
      <x:c r="B15" s="27" t="str">
        <x:v>うみかぜ公園</x:v>
      </x:c>
      <x:c r="C15" s="27" t="str">
        <x:v>横須賀市・平成町</x:v>
      </x:c>
      <x:c r="D15" s="27" t="str">
        <x:v>海・猿島・船</x:v>
      </x:c>
      <x:c r="E15" s="49" t="e">
        <x:f>HYPERLINK("https://www.google.com/maps/dir/?api=1&amp;destination=%E3%81%86%E3%81%BF%E3%81%8B%E3%81%9C%E5%85%AC%E5%9C%92&amp;travelmode=driving","現在地からナビ開始")</x:f>
      </x:c>
      <x:c r="F15" s="27" t="str">
        <x:v>猿島と東京湾航路を眺め、夜にも使える横須賀の安定Ending。</x:v>
      </x:c>
      <x:c r="G15" s="27" t="str">
        <x:v>あり・有料</x:v>
      </x:c>
      <x:c r="H15" s="27" t="str">
        <x:v>駐車場 24時間</x:v>
      </x:c>
      <x:c r="I15" s="27" t="n">
        <x:v>4</x:v>
      </x:c>
      <x:c r="J15" s="27" t="n">
        <x:v>3</x:v>
      </x:c>
      <x:c r="K15" s="27" t="str">
        <x:v>海風が強い。深夜は静粛にし、公園設備の利用範囲を守る。</x:v>
      </x:c>
      <x:c r="L15" s="28" t="n">
        <x:v>46232</x:v>
      </x:c>
      <x:c r="M15" s="27" t="str">
        <x:v>一次確認済</x:v>
      </x:c>
      <x:c r="N15" s="27" t="str">
        <x:v>https://www.city.yokosuka.kanagawa.jp/5820/sisetu/fc00000441.html</x:v>
      </x:c>
      <x:c r="O15" s="27" t="str">
        <x:v>正面に見える猿島は、東京湾に残る唯一の自然島とされ、旧軍の砲台跡も残る。</x:v>
      </x:c>
      <x:c r="P15" s="49" t="e">
        <x:f>HYPERLINK("https://ja.wikipedia.org/wiki/Special:Search?search=%E3%81%86%E3%81%BF%E3%81%8B%E3%81%9C%E5%85%AC%E5%9C%92","Wikipedia・関連項目")</x:f>
      </x:c>
      <x:c r="R15" t="str">
        <x:v>35km超</x:v>
      </x:c>
      <x:c r="S15" t="str">
        <x:v>概ね35km超</x:v>
      </x:c>
      <x:c r="T15" t="str">
        <x:v>通常90分超</x:v>
      </x:c>
      <x:c r="U15" t="str">
        <x:v>海・港</x:v>
      </x:c>
      <x:c r="V15" t="str">
        <x:v>30〜60分</x:v>
      </x:c>
      <x:c r="W15" t="n">
        <x:v>1</x:v>
      </x:c>
      <x:c r="X15" t="n">
        <x:v>3</x:v>
      </x:c>
      <x:c r="Y15" t="str">
        <x:v>城南島海浜公園</x:v>
      </x:c>
      <x:c r="Z15" t="str">
        <x:v>潮風公園／晴海ふ頭公園</x:v>
      </x:c>
      <x:c r="AA15" s="22" t="str">
        <x:v>なし</x:v>
      </x:c>
      <x:c r="AB15" s="22" t="str">
        <x:v>-</x:v>
      </x:c>
      <x:c r="AC15" s="22" t="str"/>
      <x:c r="AD15" s="22" t="str">
        <x:v>専用・路外駐車を基本</x:v>
      </x:c>
      <x:c r="AE15" s="22" t="str"/>
    </x:row>
    <x:row r="16">
      <x:c r="A16" s="27" t="str">
        <x:v>D015</x:v>
      </x:c>
      <x:c r="B16" s="27" t="str">
        <x:v>海辺つり公園</x:v>
      </x:c>
      <x:c r="C16" s="27" t="str">
        <x:v>横須賀市・平成町</x:v>
      </x:c>
      <x:c r="D16" s="27" t="str">
        <x:v>海・航路・釣り</x:v>
      </x:c>
      <x:c r="E16" s="49" t="e">
        <x:f>HYPERLINK("https://www.google.com/maps/dir/?api=1&amp;destination=%E6%B5%B7%E8%BE%BA%E3%81%A4%E3%82%8A%E5%85%AC%E5%9C%92&amp;travelmode=driving","現在地からナビ開始")</x:f>
      </x:c>
      <x:c r="F16" s="27" t="str">
        <x:v>長い海沿い空間から東京湾の船を眺める横須賀らしいEnding。</x:v>
      </x:c>
      <x:c r="G16" s="27" t="str">
        <x:v>あり・有料</x:v>
      </x:c>
      <x:c r="H16" s="27" t="str">
        <x:v>公園 5:00～22:00／駐車場 24時間</x:v>
      </x:c>
      <x:c r="I16" s="27" t="n">
        <x:v>3</x:v>
      </x:c>
      <x:c r="J16" s="27" t="n">
        <x:v>3</x:v>
      </x:c>
      <x:c r="K16" s="27" t="str">
        <x:v>釣り利用者の邪魔をしない。22時以降は公園利用不可。</x:v>
      </x:c>
      <x:c r="L16" s="28" t="n">
        <x:v>46232</x:v>
      </x:c>
      <x:c r="M16" s="27" t="str">
        <x:v>一次確認済</x:v>
      </x:c>
      <x:c r="N16" s="27" t="str">
        <x:v>https://www.nicspark.com/yokosuka/umibetsuri/</x:v>
      </x:c>
      <x:c r="O16" s="27" t="str">
        <x:v>海辺つり公園の沖は浦賀水道へ向かう大型船の航路で、東京湾の物流量を体感できる場所である。</x:v>
      </x:c>
      <x:c r="P16" s="49" t="e">
        <x:f>HYPERLINK("https://ja.wikipedia.org/wiki/Special:Search?search=%E6%B5%B7%E8%BE%BA%E3%81%A4%E3%82%8A%E5%85%AC%E5%9C%92","Wikipedia・関連項目")</x:f>
      </x:c>
      <x:c r="R16" t="str">
        <x:v>35km超</x:v>
      </x:c>
      <x:c r="S16" t="str">
        <x:v>概ね35km超</x:v>
      </x:c>
      <x:c r="T16" t="str">
        <x:v>通常90分超</x:v>
      </x:c>
      <x:c r="U16" t="str">
        <x:v>海・港</x:v>
      </x:c>
      <x:c r="V16" t="str">
        <x:v>30〜60分</x:v>
      </x:c>
      <x:c r="W16" t="n">
        <x:v>1</x:v>
      </x:c>
      <x:c r="X16" t="n">
        <x:v>3</x:v>
      </x:c>
      <x:c r="Y16" t="str">
        <x:v>城南島海浜公園</x:v>
      </x:c>
      <x:c r="Z16" t="str">
        <x:v>潮風公園／晴海ふ頭公園</x:v>
      </x:c>
      <x:c r="AA16" s="22" t="str">
        <x:v>なし</x:v>
      </x:c>
      <x:c r="AB16" s="22" t="str">
        <x:v>-</x:v>
      </x:c>
      <x:c r="AC16" s="22" t="str"/>
      <x:c r="AD16" s="22" t="str">
        <x:v>専用・路外駐車を基本</x:v>
      </x:c>
      <x:c r="AE16" s="22" t="str"/>
    </x:row>
    <x:row r="17">
      <x:c r="A17" s="27" t="str">
        <x:v>D016</x:v>
      </x:c>
      <x:c r="B17" s="27" t="str">
        <x:v>観音崎公園</x:v>
      </x:c>
      <x:c r="C17" s="27" t="str">
        <x:v>横須賀市・観音崎</x:v>
      </x:c>
      <x:c r="D17" s="27" t="str">
        <x:v>灯台・砲台跡・浦賀水道</x:v>
      </x:c>
      <x:c r="E17" s="49" t="e">
        <x:f>HYPERLINK("https://www.google.com/maps/dir/?api=1&amp;destination=%E8%A6%B3%E9%9F%B3%E5%B4%8E%E5%85%AC%E5%9C%92&amp;travelmode=driving","現在地からナビ開始")</x:f>
      </x:c>
      <x:c r="F17" s="27" t="str">
        <x:v>東京湾入口で大型船の往来、灯台、明治期砲台跡を一体で体験でき、歴史と海のスケールが強いEnding。</x:v>
      </x:c>
      <x:c r="G17" s="27" t="str">
        <x:v>あり・全277台・有料日あり</x:v>
      </x:c>
      <x:c r="H17" s="27" t="str">
        <x:v>主駐車場 5:00～19:00</x:v>
      </x:c>
      <x:c r="I17" s="27" t="n">
        <x:v>2</x:v>
      </x:c>
      <x:c r="J17" s="27" t="n">
        <x:v>3</x:v>
      </x:c>
      <x:c r="K17" s="27" t="str">
        <x:v>夜間不向き。灯台参観は季節により16:00または16:30まで。強風時は海際と灯台を避ける。</x:v>
      </x:c>
      <x:c r="L17" s="28" t="n">
        <x:v>46232</x:v>
      </x:c>
      <x:c r="M17" s="27" t="str">
        <x:v>一次確認済</x:v>
      </x:c>
      <x:c r="N17" s="27" t="str">
        <x:v>https://www.kanagawa-park.or.jp/kannonzaki/access.html</x:v>
      </x:c>
      <x:c r="O17" s="27" t="str">
        <x:v>観音埼灯台は1868年起工の日本初の洋式灯台で、現在の塔は1925年完成の3代目。公園には東京湾要塞の砲台跡も残る。</x:v>
      </x:c>
      <x:c r="P17" s="49" t="e">
        <x:f>HYPERLINK("https://ja.wikipedia.org/wiki/Special:Search?search=%E8%A6%B3%E9%9F%B3%E5%B4%8E%E5%85%AC%E5%9C%92","Wikipedia・関連項目")</x:f>
      </x:c>
      <x:c r="Q17" t="str">
        <x:v>2026-07-29更新：駐車場277台・5:00～19:00、灯台と公園の利用時間を分離。</x:v>
      </x:c>
      <x:c r="R17" t="str">
        <x:v>35km超</x:v>
      </x:c>
      <x:c r="S17" t="str">
        <x:v>概ね35km超</x:v>
      </x:c>
      <x:c r="T17" t="str">
        <x:v>通常90分超</x:v>
      </x:c>
      <x:c r="U17" t="str">
        <x:v>休日半日</x:v>
      </x:c>
      <x:c r="V17" t="str">
        <x:v>30〜60分</x:v>
      </x:c>
      <x:c r="W17" t="n">
        <x:v>2</x:v>
      </x:c>
      <x:c r="X17" t="n">
        <x:v>1</x:v>
      </x:c>
      <x:c r="Y17" t="str">
        <x:v>羽田空港 第3ターミナル展望デッキ</x:v>
      </x:c>
      <x:c r="Z17" t="str">
        <x:v>城南島海浜公園／潮風公園</x:v>
      </x:c>
      <x:c r="AA17" s="22" t="str">
        <x:v>なし</x:v>
      </x:c>
      <x:c r="AB17" s="22" t="str">
        <x:v>-</x:v>
      </x:c>
      <x:c r="AC17" s="22" t="str"/>
      <x:c r="AD17" s="22" t="str">
        <x:v>専用・路外駐車を基本</x:v>
      </x:c>
      <x:c r="AE17" s="22" t="str"/>
    </x:row>
    <x:row r="18">
      <x:c r="A18" s="27" t="str">
        <x:v>D017</x:v>
      </x:c>
      <x:c r="B18" s="27" t="str">
        <x:v>走水水源地公園</x:v>
      </x:c>
      <x:c r="C18" s="27" t="str">
        <x:v>横須賀市・走水</x:v>
      </x:c>
      <x:c r="D18" s="27" t="str">
        <x:v>海・船・静かな休憩</x:v>
      </x:c>
      <x:c r="E18" s="49" t="e">
        <x:f>HYPERLINK("https://www.google.com/maps/dir/?api=1&amp;destination=%E8%B5%B0%E6%B0%B4%E6%B0%B4%E6%BA%90%E5%9C%B0%E5%85%AC%E5%9C%92&amp;travelmode=driving","現在地からナビ開始")</x:f>
      </x:c>
      <x:c r="F18" s="27" t="str">
        <x:v>対岸と大型船を横方向に眺める、落ち着いた海辺の夕方Ending。</x:v>
      </x:c>
      <x:c r="G18" s="27" t="str">
        <x:v>あり</x:v>
      </x:c>
      <x:c r="H18" s="27" t="str">
        <x:v>入庫 7:00～20:00／出庫 5:00～21:00</x:v>
      </x:c>
      <x:c r="I18" s="27" t="n">
        <x:v>1</x:v>
      </x:c>
      <x:c r="J18" s="27" t="n">
        <x:v>4</x:v>
      </x:c>
      <x:c r="K18" s="27" t="str">
        <x:v>夜間利用不可。生活道路への進入を避ける。</x:v>
      </x:c>
      <x:c r="L18" s="28" t="n">
        <x:v>46232</x:v>
      </x:c>
      <x:c r="M18" s="27" t="str">
        <x:v>一次確認済</x:v>
      </x:c>
      <x:c r="N18" s="27" t="str">
        <x:v>https://www.city.yokosuka.kanagawa.jp/5560/sisetu/hashirimizusuigenchi.html</x:v>
      </x:c>
      <x:c r="O18" s="27" t="str">
        <x:v>走水の湧水は明治期に横須賀軍港へ水を送る水道の水源となり、軍港都市の発展を支えた。</x:v>
      </x:c>
      <x:c r="P18" s="49" t="e">
        <x:f>HYPERLINK("https://ja.wikipedia.org/wiki/Special:Search?search=%E8%B5%B0%E6%B0%B4%E6%B0%B4%E6%BA%90%E5%9C%B0%E5%85%AC%E5%9C%92","Wikipedia・関連項目")</x:f>
      </x:c>
      <x:c r="R18" t="str">
        <x:v>35km超</x:v>
      </x:c>
      <x:c r="S18" t="str">
        <x:v>概ね35km超</x:v>
      </x:c>
      <x:c r="T18" t="str">
        <x:v>通常90分超</x:v>
      </x:c>
      <x:c r="U18" t="str">
        <x:v>海・港</x:v>
      </x:c>
      <x:c r="V18" t="str">
        <x:v>30〜60分</x:v>
      </x:c>
      <x:c r="W18" t="n">
        <x:v>1</x:v>
      </x:c>
      <x:c r="X18" t="n">
        <x:v>3</x:v>
      </x:c>
      <x:c r="Y18" t="str">
        <x:v>城南島海浜公園</x:v>
      </x:c>
      <x:c r="Z18" t="str">
        <x:v>潮風公園／晴海ふ頭公園</x:v>
      </x:c>
      <x:c r="AA18" s="22" t="str">
        <x:v>なし</x:v>
      </x:c>
      <x:c r="AB18" s="22" t="str">
        <x:v>-</x:v>
      </x:c>
      <x:c r="AC18" s="22" t="str"/>
      <x:c r="AD18" s="22" t="str">
        <x:v>専用・路外駐車を基本</x:v>
      </x:c>
      <x:c r="AE18" s="22" t="str"/>
    </x:row>
    <x:row r="19">
      <x:c r="A19" s="27" t="str">
        <x:v>D018</x:v>
      </x:c>
      <x:c r="B19" s="27" t="str">
        <x:v>湘南平</x:v>
      </x:c>
      <x:c r="C19" s="27" t="str">
        <x:v>平塚市・万田</x:v>
      </x:c>
      <x:c r="D19" s="27" t="str">
        <x:v>高台・夜景・富士山</x:v>
      </x:c>
      <x:c r="E19" s="49" t="e">
        <x:f>HYPERLINK("https://www.google.com/maps/dir/?api=1&amp;destination=%E6%B9%98%E5%8D%97%E5%B9%B3&amp;travelmode=driving","現在地からナビ開始")</x:f>
      </x:c>
      <x:c r="F19" s="27" t="str">
        <x:v>湘南、相模湾、富士山、市街地を一望できる山系Endingの代表。</x:v>
      </x:c>
      <x:c r="G19" s="27" t="str">
        <x:v>あり・無料</x:v>
      </x:c>
      <x:c r="H19" s="27" t="str">
        <x:v>展望台エリアは概ね21:30まで</x:v>
      </x:c>
      <x:c r="I19" s="27" t="n">
        <x:v>5</x:v>
      </x:c>
      <x:c r="J19" s="27" t="n">
        <x:v>2</x:v>
      </x:c>
      <x:c r="K19" s="27" t="str">
        <x:v>山道・野生動物・濃霧に注意。駐車場の一部閉鎖確認。</x:v>
      </x:c>
      <x:c r="L19" s="28" t="n">
        <x:v>46232</x:v>
      </x:c>
      <x:c r="M19" s="27" t="str">
        <x:v>当日再確認</x:v>
      </x:c>
      <x:c r="N19" s="27" t="str">
        <x:v>https://www.city.hiratsuka.kanagawa.jp/kanko/page-c_02820.html</x:v>
      </x:c>
      <x:c r="O19" s="27" t="str">
        <x:v>湘南平は高麗山公園の一部で、テレビ塔と展望台から相模湾・富士山・丹沢を一望できる。</x:v>
      </x:c>
      <x:c r="P19" s="49" t="e">
        <x:f>HYPERLINK("https://ja.wikipedia.org/wiki/Special:Search?search=%E6%B9%98%E5%8D%97%E5%B9%B3","Wikipedia・関連項目")</x:f>
      </x:c>
      <x:c r="R19" t="str">
        <x:v>35km超</x:v>
      </x:c>
      <x:c r="S19" t="str">
        <x:v>概ね35km超</x:v>
      </x:c>
      <x:c r="T19" t="str">
        <x:v>通常90分超</x:v>
      </x:c>
      <x:c r="U19" t="str">
        <x:v>平日夜・深夜</x:v>
      </x:c>
      <x:c r="V19" t="str">
        <x:v>30〜60分</x:v>
      </x:c>
      <x:c r="W19" t="n">
        <x:v>1</x:v>
      </x:c>
      <x:c r="X19" t="n">
        <x:v>3</x:v>
      </x:c>
      <x:c r="Y19" t="str">
        <x:v>羽田空港 第3ターミナル展望デッキ</x:v>
      </x:c>
      <x:c r="Z19" t="str">
        <x:v>城南島海浜公園／潮風公園</x:v>
      </x:c>
      <x:c r="AA19" s="22" t="str">
        <x:v>なし</x:v>
      </x:c>
      <x:c r="AB19" s="22" t="str">
        <x:v>-</x:v>
      </x:c>
      <x:c r="AC19" s="22" t="str"/>
      <x:c r="AD19" s="22" t="str">
        <x:v>専用・路外駐車を基本</x:v>
      </x:c>
      <x:c r="AE19" s="22" t="str"/>
    </x:row>
    <x:row r="20">
      <x:c r="A20" s="27" t="str">
        <x:v>D019</x:v>
      </x:c>
      <x:c r="B20" s="27" t="str">
        <x:v>海ほたるPA</x:v>
      </x:c>
      <x:c r="C20" s="27" t="str">
        <x:v>東京湾アクアライン</x:v>
      </x:c>
      <x:c r="D20" s="27" t="str">
        <x:v>海上・夜景・非日常</x:v>
      </x:c>
      <x:c r="E20" s="49" t="e">
        <x:f>HYPERLINK("https://www.google.com/maps/dir/?api=1&amp;destination=%E6%B5%B7%E3%81%BB%E3%81%9F%E3%82%8BPA&amp;travelmode=driving","現在地からナビ開始")</x:f>
      </x:c>
      <x:c r="F20" s="27" t="str">
        <x:v>東京湾中央を最終地点にする非日常性が圧倒的で、深夜にも成立。</x:v>
      </x:c>
      <x:c r="G20" s="27" t="str">
        <x:v>あり・PA</x:v>
      </x:c>
      <x:c r="H20" s="27" t="str">
        <x:v>24時間</x:v>
      </x:c>
      <x:c r="I20" s="27" t="n">
        <x:v>5</x:v>
      </x:c>
      <x:c r="J20" s="27" t="n">
        <x:v>1</x:v>
      </x:c>
      <x:c r="K20" s="27" t="str">
        <x:v>強風・事故・アクアライン規制と通行料金を確認。</x:v>
      </x:c>
      <x:c r="L20" s="28" t="n">
        <x:v>46232</x:v>
      </x:c>
      <x:c r="M20" s="27" t="str">
        <x:v>一次確認済</x:v>
      </x:c>
      <x:c r="N20" s="27" t="str">
        <x:v>https://www.umihotaru.com/</x:v>
      </x:c>
      <x:c r="O20" s="27" t="str">
        <x:v>海ほたるは東京湾上の人工島に造られたPAで、名称は東京湾にも生息する発光性の甲殻類『ウミホタル』に由来する。</x:v>
      </x:c>
      <x:c r="P20" s="49" t="e">
        <x:f>HYPERLINK("https://ja.wikipedia.org/wiki/Special:Search?search=%E6%B5%B7%E3%81%BB%E3%81%9F%E3%82%8BPA","Wikipedia・関連項目")</x:f>
      </x:c>
      <x:c r="R20" t="str">
        <x:v>35km超</x:v>
      </x:c>
      <x:c r="S20" t="str">
        <x:v>概ね35km超</x:v>
      </x:c>
      <x:c r="T20" t="str">
        <x:v>通常90分超</x:v>
      </x:c>
      <x:c r="U20" t="str">
        <x:v>海・港</x:v>
      </x:c>
      <x:c r="V20" t="str">
        <x:v>30〜60分</x:v>
      </x:c>
      <x:c r="W20" t="n">
        <x:v>1</x:v>
      </x:c>
      <x:c r="X20" t="n">
        <x:v>3</x:v>
      </x:c>
      <x:c r="Y20" t="str">
        <x:v>城南島海浜公園</x:v>
      </x:c>
      <x:c r="Z20" t="str">
        <x:v>潮風公園／晴海ふ頭公園</x:v>
      </x:c>
      <x:c r="AA20" s="22" t="str">
        <x:v>なし</x:v>
      </x:c>
      <x:c r="AB20" s="22" t="str">
        <x:v>-</x:v>
      </x:c>
      <x:c r="AC20" s="22" t="str"/>
      <x:c r="AD20" s="22" t="str">
        <x:v>専用・路外駐車を基本</x:v>
      </x:c>
      <x:c r="AE20" s="22" t="str"/>
    </x:row>
    <x:row r="21">
      <x:c r="A21" s="27" t="str">
        <x:v>D020</x:v>
      </x:c>
      <x:c r="B21" s="27" t="str">
        <x:v>富津岬 明治百年記念展望塔</x:v>
      </x:c>
      <x:c r="C21" s="27" t="str">
        <x:v>千葉県・富津市</x:v>
      </x:c>
      <x:c r="D21" s="27" t="str">
        <x:v>岬・展望・富士山</x:v>
      </x:c>
      <x:c r="E21" s="49" t="e">
        <x:f>HYPERLINK("https://www.google.com/maps/dir/?api=1&amp;destination=%E5%AF%8C%E6%B4%A5%E5%B2%AC%20%E6%98%8E%E6%B2%BB%E7%99%BE%E5%B9%B4%E8%A8%98%E5%BF%B5%E5%B1%95%E6%9C%9B%E5%A1%94&amp;travelmode=driving","現在地からナビ開始")</x:f>
      </x:c>
      <x:c r="F21" s="27" t="str">
        <x:v>東京湾へ突き出す岬先端で、夕日・富士山・海堡を望める。</x:v>
      </x:c>
      <x:c r="G21" s="27" t="str">
        <x:v>あり・無料</x:v>
      </x:c>
      <x:c r="H21" s="27" t="str">
        <x:v>常時利用可能区域あり、現地掲示優先</x:v>
      </x:c>
      <x:c r="I21" s="27" t="n">
        <x:v>3</x:v>
      </x:c>
      <x:c r="J21" s="27" t="n">
        <x:v>3</x:v>
      </x:c>
      <x:c r="K21" s="27" t="str">
        <x:v>強風時と夜間の展望塔階段・足元に注意。</x:v>
      </x:c>
      <x:c r="L21" s="28" t="n">
        <x:v>46232</x:v>
      </x:c>
      <x:c r="M21" s="27" t="str">
        <x:v>一次確認済</x:v>
      </x:c>
      <x:c r="N21" s="27" t="str">
        <x:v>https://www.city.futtsu.lg.jp/</x:v>
      </x:c>
      <x:c r="O21" s="27" t="str">
        <x:v>明治百年記念展望塔は1971年に建設され、富津岬の最先端で東京湾防衛の歴史を感じられる。</x:v>
      </x:c>
      <x:c r="P21" s="49" t="e">
        <x:f>HYPERLINK("https://ja.wikipedia.org/wiki/Special:Search?search=%E5%AF%8C%E6%B4%A5%E5%B2%AC%20%E6%98%8E%E6%B2%BB%E7%99%BE%E5%B9%B4%E8%A8%98%E5%BF%B5%E5%B1%95%E6%9C%9B%E5%A1%94","Wikipedia・関連項目")</x:f>
      </x:c>
      <x:c r="R21" t="str">
        <x:v>35km超</x:v>
      </x:c>
      <x:c r="S21" t="str">
        <x:v>概ね35km超</x:v>
      </x:c>
      <x:c r="T21" t="str">
        <x:v>通常90分超</x:v>
      </x:c>
      <x:c r="U21" t="str">
        <x:v>休日半日</x:v>
      </x:c>
      <x:c r="V21" t="str">
        <x:v>30〜60分</x:v>
      </x:c>
      <x:c r="W21" t="n">
        <x:v>2</x:v>
      </x:c>
      <x:c r="X21" t="n">
        <x:v>1</x:v>
      </x:c>
      <x:c r="Y21" t="str">
        <x:v>羽田空港 第3ターミナル展望デッキ</x:v>
      </x:c>
      <x:c r="Z21" t="str">
        <x:v>城南島海浜公園／潮風公園</x:v>
      </x:c>
      <x:c r="AA21" s="22" t="str">
        <x:v>なし</x:v>
      </x:c>
      <x:c r="AB21" s="22" t="str">
        <x:v>-</x:v>
      </x:c>
      <x:c r="AC21" s="22" t="str"/>
      <x:c r="AD21" s="22" t="str">
        <x:v>専用・路外駐車を基本</x:v>
      </x:c>
      <x:c r="AE21" s="22" t="str"/>
    </x:row>
    <x:row r="22">
      <x:c r="A22" s="27" t="str">
        <x:v>D021</x:v>
      </x:c>
      <x:c r="B22" s="27" t="str">
        <x:v>暁ふ頭公園</x:v>
      </x:c>
      <x:c r="C22" s="27" t="str">
        <x:v>江東区・青海</x:v>
      </x:c>
      <x:c r="D22" s="27" t="str">
        <x:v>港・行き止まり・静かな休憩</x:v>
      </x:c>
      <x:c r="E22" s="49" t="e">
        <x:f>HYPERLINK("https://www.google.com/maps/dir/?api=1&amp;destination=%E6%9A%81%E3%81%B5%E9%A0%AD%E5%85%AC%E5%9C%92&amp;travelmode=driving","現在地からナビ開始")</x:f>
      </x:c>
      <x:c r="F22" s="27" t="str">
        <x:v>東京港最奥まで走り切る感覚があり、船と海を近距離で眺める穴場Ending。</x:v>
      </x:c>
      <x:c r="G22" s="27" t="str">
        <x:v>あり・小規模有料</x:v>
      </x:c>
      <x:c r="H22" s="27" t="str">
        <x:v>駐車場運用時間は公式ページで再確認</x:v>
      </x:c>
      <x:c r="I22" s="27" t="n">
        <x:v>5</x:v>
      </x:c>
      <x:c r="J22" s="27" t="n">
        <x:v>5</x:v>
      </x:c>
      <x:c r="K22" s="27" t="str">
        <x:v>港湾部で風が強い。工事・駐車運用変更を当日確認。</x:v>
      </x:c>
      <x:c r="L22" s="28" t="n">
        <x:v>46232</x:v>
      </x:c>
      <x:c r="M22" s="27" t="str">
        <x:v>当日再確認</x:v>
      </x:c>
      <x:c r="N22" s="27" t="str">
        <x:v>https://www.tptc.co.jp/park/01_10</x:v>
      </x:c>
      <x:c r="O22" s="27" t="str">
        <x:v>暁ふ頭周辺は東京港の埋立地の最奥部にあり、都市のごみ処理・物流・港湾拡張の歴史とつながっている。</x:v>
      </x:c>
      <x:c r="P22" s="49" t="e">
        <x:f>HYPERLINK("https://ja.wikipedia.org/wiki/Special:Search?search=%E6%9A%81%E3%81%B5%E9%A0%AD%E5%85%AC%E5%9C%92","Wikipedia・関連項目")</x:f>
      </x:c>
      <x:c r="R22" t="str">
        <x:v>10〜20km</x:v>
      </x:c>
      <x:c r="S22" t="str">
        <x:v>概ね10〜20km</x:v>
      </x:c>
      <x:c r="T22" t="str">
        <x:v>通常25〜50分</x:v>
      </x:c>
      <x:c r="U22" t="str">
        <x:v>海・港</x:v>
      </x:c>
      <x:c r="V22" t="str">
        <x:v>30〜90分</x:v>
      </x:c>
      <x:c r="W22" t="n">
        <x:v>2</x:v>
      </x:c>
      <x:c r="X22" t="n">
        <x:v>3</x:v>
      </x:c>
      <x:c r="Y22" t="str">
        <x:v>城南島海浜公園</x:v>
      </x:c>
      <x:c r="Z22" t="str">
        <x:v>潮風公園／晴海ふ頭公園</x:v>
      </x:c>
      <x:c r="AA22" s="22" t="str">
        <x:v>なし</x:v>
      </x:c>
      <x:c r="AB22" s="22" t="str">
        <x:v>-</x:v>
      </x:c>
      <x:c r="AC22" s="22" t="str"/>
      <x:c r="AD22" s="22" t="str">
        <x:v>専用・路外駐車を基本</x:v>
      </x:c>
      <x:c r="AE22" s="22" t="str"/>
    </x:row>
    <x:row r="23">
      <x:c r="A23" s="27" t="str">
        <x:v>D022</x:v>
      </x:c>
      <x:c r="B23" s="27" t="str">
        <x:v>豊洲ぐるり公園</x:v>
      </x:c>
      <x:c r="C23" s="27" t="str">
        <x:v>江東区・豊洲</x:v>
      </x:c>
      <x:c r="D23" s="27" t="str">
        <x:v>都市夜景・水辺</x:v>
      </x:c>
      <x:c r="E23" s="49" t="e">
        <x:f>HYPERLINK("https://www.google.com/maps/dir/?api=1&amp;destination=%E8%B1%8A%E6%B4%B2%E3%81%90%E3%82%8B%E3%82%8A%E5%85%AC%E5%9C%92&amp;travelmode=driving","現在地からナビ開始")</x:f>
      </x:c>
      <x:c r="F23" s="27" t="str">
        <x:v>レインボーブリッジと都心の高層群を水辺越しに眺め、歩いて余韻を作れる。</x:v>
      </x:c>
      <x:c r="G23" s="27" t="str">
        <x:v>あり・有料</x:v>
      </x:c>
      <x:c r="H23" s="27" t="str">
        <x:v>駐車場 終日</x:v>
      </x:c>
      <x:c r="I23" s="27" t="n">
        <x:v>5</x:v>
      </x:c>
      <x:c r="J23" s="27" t="n">
        <x:v>3</x:v>
      </x:c>
      <x:c r="K23" s="27" t="str">
        <x:v>市場周辺イベント時は混雑。駐車位置と見たい景色の位置関係を確認。</x:v>
      </x:c>
      <x:c r="L23" s="28" t="n">
        <x:v>46232</x:v>
      </x:c>
      <x:c r="M23" s="27" t="str">
        <x:v>一次確認済</x:v>
      </x:c>
      <x:c r="N23" s="27" t="str">
        <x:v>https://www.city.koto.lg.jp/470705/kasenkouen/toyosugururipark.html</x:v>
      </x:c>
      <x:c r="O23" s="27" t="str">
        <x:v>豊洲は関東大震災の瓦礫なども利用して造成された埋立地で、工業地から住宅・市場地区へ大転換した。</x:v>
      </x:c>
      <x:c r="P23" s="49" t="e">
        <x:f>HYPERLINK("https://ja.wikipedia.org/wiki/Special:Search?search=%E8%B1%8A%E6%B4%B2%E3%81%90%E3%82%8B%E3%82%8A%E5%85%AC%E5%9C%92","Wikipedia・関連項目")</x:f>
      </x:c>
      <x:c r="R23" t="str">
        <x:v>10〜20km</x:v>
      </x:c>
      <x:c r="S23" t="str">
        <x:v>概ね10〜20km</x:v>
      </x:c>
      <x:c r="T23" t="str">
        <x:v>通常25〜50分</x:v>
      </x:c>
      <x:c r="U23" t="str">
        <x:v>平日夜・深夜</x:v>
      </x:c>
      <x:c r="V23" t="str">
        <x:v>30〜60分</x:v>
      </x:c>
      <x:c r="W23" t="n">
        <x:v>2</x:v>
      </x:c>
      <x:c r="X23" t="n">
        <x:v>3</x:v>
      </x:c>
      <x:c r="Y23" t="str">
        <x:v>羽田空港 第3ターミナル展望デッキ</x:v>
      </x:c>
      <x:c r="Z23" t="str">
        <x:v>城南島海浜公園／潮風公園</x:v>
      </x:c>
      <x:c r="AA23" s="22" t="str">
        <x:v>なし</x:v>
      </x:c>
      <x:c r="AB23" s="22" t="str">
        <x:v>-</x:v>
      </x:c>
      <x:c r="AC23" s="22" t="str"/>
      <x:c r="AD23" s="22" t="str">
        <x:v>専用・路外駐車を基本</x:v>
      </x:c>
      <x:c r="AE23" s="22" t="str"/>
    </x:row>
    <x:row r="24">
      <x:c r="A24" s="27" t="str">
        <x:v>D023</x:v>
      </x:c>
      <x:c r="B24" s="27" t="str">
        <x:v>晴海ふ頭公園</x:v>
      </x:c>
      <x:c r="C24" s="27" t="str">
        <x:v>中央区・晴海</x:v>
      </x:c>
      <x:c r="D24" s="27" t="str">
        <x:v>港・都市夜景・Story</x:v>
      </x:c>
      <x:c r="E24" s="49" t="e">
        <x:f>HYPERLINK("https://www.google.com/maps/dir/?api=1&amp;destination=%E6%99%B4%E6%B5%B7%E3%81%B5%E9%A0%AD%E5%85%AC%E5%9C%92&amp;travelmode=driving","現在地からナビ開始")</x:f>
      </x:c>
      <x:c r="F24" s="27" t="str">
        <x:v>東京港とTOKYOモニュメントが重なる都市型Ending。</x:v>
      </x:c>
      <x:c r="G24" s="27" t="str">
        <x:v>あり・小規模有料</x:v>
      </x:c>
      <x:c r="H24" s="27" t="str">
        <x:v>駐車場 24時間／点灯は日没～23時目安</x:v>
      </x:c>
      <x:c r="I24" s="27" t="n">
        <x:v>5</x:v>
      </x:c>
      <x:c r="J24" s="27" t="n">
        <x:v>4</x:v>
      </x:c>
      <x:c r="K24" s="27" t="str">
        <x:v>台数が少なくイベント時は入庫待ちに注意。</x:v>
      </x:c>
      <x:c r="L24" s="28" t="n">
        <x:v>46232</x:v>
      </x:c>
      <x:c r="M24" s="27" t="str">
        <x:v>一次確認済</x:v>
      </x:c>
      <x:c r="N24" s="27" t="str">
        <x:v>https://www.tptc.co.jp/park/02_01</x:v>
      </x:c>
      <x:c r="O24" s="27" t="str">
        <x:v>晴海は戦後の東京国際見本市会場として発展し、近年は東京2020大会の選手村が置かれた。</x:v>
      </x:c>
      <x:c r="P24" s="49" t="e">
        <x:f>HYPERLINK("https://ja.wikipedia.org/wiki/Special:Search?search=%E6%99%B4%E6%B5%B7%E3%81%B5%E9%A0%AD%E5%85%AC%E5%9C%92","Wikipedia・関連項目")</x:f>
      </x:c>
      <x:c r="R24" t="str">
        <x:v>10〜20km</x:v>
      </x:c>
      <x:c r="S24" t="str">
        <x:v>概ね10〜20km</x:v>
      </x:c>
      <x:c r="T24" t="str">
        <x:v>通常25〜50分</x:v>
      </x:c>
      <x:c r="U24" t="str">
        <x:v>海・港</x:v>
      </x:c>
      <x:c r="V24" t="str">
        <x:v>30〜60分</x:v>
      </x:c>
      <x:c r="W24" t="n">
        <x:v>2</x:v>
      </x:c>
      <x:c r="X24" t="n">
        <x:v>3</x:v>
      </x:c>
      <x:c r="Y24" t="str">
        <x:v>城南島海浜公園</x:v>
      </x:c>
      <x:c r="Z24" t="str">
        <x:v>潮風公園／晴海ふ頭公園</x:v>
      </x:c>
      <x:c r="AA24" s="22" t="str">
        <x:v>なし</x:v>
      </x:c>
      <x:c r="AB24" s="22" t="str">
        <x:v>-</x:v>
      </x:c>
      <x:c r="AC24" s="22" t="str"/>
      <x:c r="AD24" s="22" t="str">
        <x:v>専用・路外駐車を基本</x:v>
      </x:c>
      <x:c r="AE24" s="22" t="str"/>
    </x:row>
    <x:row r="25">
      <x:c r="A25" s="27" t="str">
        <x:v>D024</x:v>
      </x:c>
      <x:c r="B25" s="27" t="str">
        <x:v>東京港野鳥公園</x:v>
      </x:c>
      <x:c r="C25" s="27" t="str">
        <x:v>大田区・東海</x:v>
      </x:c>
      <x:c r="D25" s="27" t="str">
        <x:v>自然・水辺</x:v>
      </x:c>
      <x:c r="E25" s="49" t="e">
        <x:f>HYPERLINK("https://www.google.com/maps/dir/?api=1&amp;destination=%E6%9D%B1%E4%BA%AC%E6%B8%AF%E9%87%8E%E9%B3%A5%E5%85%AC%E5%9C%92&amp;travelmode=driving","現在地からナビ開始")</x:f>
      </x:c>
      <x:c r="F25" s="27" t="str">
        <x:v>物流・空港エリアの中に湿地が残り、昼の静かな終点になる。</x:v>
      </x:c>
      <x:c r="G25" s="27" t="str">
        <x:v>あり・無料</x:v>
      </x:c>
      <x:c r="H25" s="27" t="str">
        <x:v>開園 9:00～17:00前後</x:v>
      </x:c>
      <x:c r="I25" s="27" t="n">
        <x:v>1</x:v>
      </x:c>
      <x:c r="J25" s="27" t="n">
        <x:v>4</x:v>
      </x:c>
      <x:c r="K25" s="27" t="str">
        <x:v>休園日を確認。夕方以降は使用不可。</x:v>
      </x:c>
      <x:c r="L25" s="28" t="n">
        <x:v>46232</x:v>
      </x:c>
      <x:c r="M25" s="27" t="str">
        <x:v>当日再確認</x:v>
      </x:c>
      <x:c r="N25" s="27" t="str">
        <x:v>https://www.tptc.co.jp/park/03_08</x:v>
      </x:c>
      <x:c r="O25" s="27" t="str">
        <x:v>東京港野鳥公園は埋立地に自然発生した池や湿地へ鳥が集まったことから、その環境を保全して公園化された。</x:v>
      </x:c>
      <x:c r="P25" s="49" t="e">
        <x:f>HYPERLINK("https://ja.wikipedia.org/wiki/Special:Search?search=%E6%9D%B1%E4%BA%AC%E6%B8%AF%E9%87%8E%E9%B3%A5%E5%85%AC%E5%9C%92","Wikipedia・関連項目")</x:f>
      </x:c>
      <x:c r="R25" t="str">
        <x:v>0〜10km</x:v>
      </x:c>
      <x:c r="S25" t="str">
        <x:v>概ね0〜10km</x:v>
      </x:c>
      <x:c r="T25" t="str">
        <x:v>通常10〜30分</x:v>
      </x:c>
      <x:c r="U25" t="str">
        <x:v>休日半日</x:v>
      </x:c>
      <x:c r="V25" t="str">
        <x:v>30〜60分</x:v>
      </x:c>
      <x:c r="W25" t="n">
        <x:v>2</x:v>
      </x:c>
      <x:c r="X25" t="n">
        <x:v>1</x:v>
      </x:c>
      <x:c r="Y25" t="str">
        <x:v>羽田空港 第3ターミナル展望デッキ</x:v>
      </x:c>
      <x:c r="Z25" t="str">
        <x:v>城南島海浜公園／潮風公園</x:v>
      </x:c>
      <x:c r="AA25" s="22" t="str">
        <x:v>なし</x:v>
      </x:c>
      <x:c r="AB25" s="22" t="str">
        <x:v>-</x:v>
      </x:c>
      <x:c r="AC25" s="22" t="str"/>
      <x:c r="AD25" s="22" t="str">
        <x:v>専用・路外駐車を基本</x:v>
      </x:c>
      <x:c r="AE25" s="22" t="str"/>
    </x:row>
    <x:row r="26">
      <x:c r="A26" s="27" t="str">
        <x:v>D025</x:v>
      </x:c>
      <x:c r="B26" s="27" t="str">
        <x:v>海の森公園</x:v>
      </x:c>
      <x:c r="C26" s="27" t="str">
        <x:v>江東区・海の森</x:v>
      </x:c>
      <x:c r="D26" s="27" t="str">
        <x:v>高台・東京港・新景観</x:v>
      </x:c>
      <x:c r="E26" s="49" t="e">
        <x:f>HYPERLINK("https://www.google.com/maps/dir/?api=1&amp;destination=%E6%B5%B7%E3%81%AE%E6%A3%AE%E5%85%AC%E5%9C%92&amp;travelmode=driving","現在地からナビ開始")</x:f>
      </x:c>
      <x:c r="F26" s="27" t="str">
        <x:v>東京港の埋立地を高い視点から眺め、空の広さを体験できる。</x:v>
      </x:c>
      <x:c r="G26" s="27" t="str">
        <x:v>あり・普通車268台・有料</x:v>
      </x:c>
      <x:c r="H26" s="27" t="str">
        <x:v>閉園17:00／開園開始時刻は公式ページ間で7:00・9:00表記があるため当日確認</x:v>
      </x:c>
      <x:c r="I26" s="27" t="n">
        <x:v>1</x:v>
      </x:c>
      <x:c r="J26" s="27" t="n">
        <x:v>5</x:v>
      </x:c>
      <x:c r="K26" s="27" t="str">
        <x:v>時間外は出庫不可。イベント・団体利用・公式ページの当日案内を確認。</x:v>
      </x:c>
      <x:c r="L26" s="28" t="n">
        <x:v>46232</x:v>
      </x:c>
      <x:c r="M26" s="27" t="str">
        <x:v>一次確認済</x:v>
      </x:c>
      <x:c r="N26" s="27" t="str">
        <x:v>https://uminomoripark.com/faq/</x:v>
      </x:c>
      <x:c r="O26" s="27" t="str">
        <x:v>海の森は中央防波堤内側埋立地を森へ変える事業で、市民が育てた苗木も植えられている。</x:v>
      </x:c>
      <x:c r="P26" s="49" t="e">
        <x:f>HYPERLINK("https://ja.wikipedia.org/wiki/Special:Search?search=%E6%B5%B7%E3%81%AE%E6%A3%AE%E5%85%AC%E5%9C%92","Wikipedia・関連項目")</x:f>
      </x:c>
      <x:c r="Q26" t="str">
        <x:v>2026-07-29公式再確認：普通車268台、閉園17:00を反映。開始時刻は公式表記差があるため当日確認へ。</x:v>
      </x:c>
      <x:c r="R26" t="str">
        <x:v>10〜20km</x:v>
      </x:c>
      <x:c r="S26" t="str">
        <x:v>概ね10〜20km</x:v>
      </x:c>
      <x:c r="T26" t="str">
        <x:v>通常25〜50分</x:v>
      </x:c>
      <x:c r="U26" t="str">
        <x:v>海・港</x:v>
      </x:c>
      <x:c r="V26" t="str">
        <x:v>30〜90分</x:v>
      </x:c>
      <x:c r="W26" t="n">
        <x:v>1</x:v>
      </x:c>
      <x:c r="X26" t="n">
        <x:v>3</x:v>
      </x:c>
      <x:c r="Y26" t="str">
        <x:v>城南島海浜公園</x:v>
      </x:c>
      <x:c r="Z26" t="str">
        <x:v>潮風公園／晴海ふ頭公園</x:v>
      </x:c>
      <x:c r="AA26" s="22" t="str">
        <x:v>なし</x:v>
      </x:c>
      <x:c r="AB26" s="22" t="str">
        <x:v>-</x:v>
      </x:c>
      <x:c r="AC26" s="22" t="str"/>
      <x:c r="AD26" s="22" t="str">
        <x:v>専用・路外駐車を基本</x:v>
      </x:c>
      <x:c r="AE26" s="22" t="str"/>
    </x:row>
    <x:row r="27">
      <x:c r="A27" s="27" t="str">
        <x:v>D026</x:v>
      </x:c>
      <x:c r="B27" s="27" t="str">
        <x:v>港の見える丘公園</x:v>
      </x:c>
      <x:c r="C27" s="27" t="str">
        <x:v>横浜市・山手</x:v>
      </x:c>
      <x:c r="D27" s="27" t="str">
        <x:v>高台・港・都市夜景</x:v>
      </x:c>
      <x:c r="E27" s="49" t="e">
        <x:f>HYPERLINK("https://www.google.com/maps/dir/?api=1&amp;destination=%E6%B8%AF%E3%81%AE%E8%A6%8B%E3%81%88%E3%82%8B%E4%B8%98%E5%85%AC%E5%9C%92&amp;travelmode=driving","現在地からナビ開始")</x:f>
      </x:c>
      <x:c r="F27" s="27" t="str">
        <x:v>横浜港とベイブリッジを高台から眺め、街の物語性を残せる。</x:v>
      </x:c>
      <x:c r="G27" s="27" t="str">
        <x:v>あり・小規模有料</x:v>
      </x:c>
      <x:c r="H27" s="27" t="str">
        <x:v>駐車場 24時間</x:v>
      </x:c>
      <x:c r="I27" s="27" t="n">
        <x:v>5</x:v>
      </x:c>
      <x:c r="J27" s="27" t="n">
        <x:v>2</x:v>
      </x:c>
      <x:c r="K27" s="27" t="str">
        <x:v>台数が少ない。周辺住宅地で騒音を出さない。</x:v>
      </x:c>
      <x:c r="L27" s="28" t="n">
        <x:v>46232</x:v>
      </x:c>
      <x:c r="M27" s="27" t="str">
        <x:v>一次確認済</x:v>
      </x:c>
      <x:c r="N27" s="27" t="str">
        <x:v>https://www.hama-midorinokyokai.or.jp/park/parking/minato/minato/</x:v>
      </x:c>
      <x:c r="O27" s="27" t="str">
        <x:v>港の見える丘公園一帯は開港後に英仏軍が駐屯した高台で、横浜の外国人居留地史と深く結び付く。</x:v>
      </x:c>
      <x:c r="P27" s="49" t="e">
        <x:f>HYPERLINK("https://ja.wikipedia.org/wiki/Special:Search?search=%E6%B8%AF%E3%81%AE%E8%A6%8B%E3%81%88%E3%82%8B%E4%B8%98%E5%85%AC%E5%9C%92","Wikipedia・関連項目")</x:f>
      </x:c>
      <x:c r="R27" t="str">
        <x:v>35km超</x:v>
      </x:c>
      <x:c r="S27" t="str">
        <x:v>概ね35km超</x:v>
      </x:c>
      <x:c r="T27" t="str">
        <x:v>通常90分超</x:v>
      </x:c>
      <x:c r="U27" t="str">
        <x:v>海・港</x:v>
      </x:c>
      <x:c r="V27" t="str">
        <x:v>30〜60分</x:v>
      </x:c>
      <x:c r="W27" t="n">
        <x:v>1</x:v>
      </x:c>
      <x:c r="X27" t="n">
        <x:v>3</x:v>
      </x:c>
      <x:c r="Y27" t="str">
        <x:v>城南島海浜公園</x:v>
      </x:c>
      <x:c r="Z27" t="str">
        <x:v>潮風公園／晴海ふ頭公園</x:v>
      </x:c>
      <x:c r="AA27" s="22" t="str">
        <x:v>なし</x:v>
      </x:c>
      <x:c r="AB27" s="22" t="str">
        <x:v>-</x:v>
      </x:c>
      <x:c r="AC27" s="22" t="str"/>
      <x:c r="AD27" s="22" t="str">
        <x:v>専用・路外駐車を基本</x:v>
      </x:c>
      <x:c r="AE27" s="22" t="str"/>
    </x:row>
    <x:row r="28">
      <x:c r="A28" s="27" t="str">
        <x:v>D027</x:v>
      </x:c>
      <x:c r="B28" s="27" t="str">
        <x:v>本牧山頂公園</x:v>
      </x:c>
      <x:c r="C28" s="27" t="str">
        <x:v>横浜市・本牧</x:v>
      </x:c>
      <x:c r="D28" s="27" t="str">
        <x:v>高台・芝生・夜景</x:v>
      </x:c>
      <x:c r="E28" s="49" t="e">
        <x:f>HYPERLINK("https://www.google.com/maps/dir/?api=1&amp;destination=%E6%9C%AC%E7%89%A7%E5%B1%B1%E9%A0%82%E5%85%AC%E5%9C%92&amp;travelmode=driving","現在地からナビ開始")</x:f>
      </x:c>
      <x:c r="F28" s="27" t="str">
        <x:v>本牧の尾根上を歩き、港湾都市を静かな高台から眺められる。</x:v>
      </x:c>
      <x:c r="G28" s="27" t="str">
        <x:v>あり・有料</x:v>
      </x:c>
      <x:c r="H28" s="27" t="str">
        <x:v>駐車場 24時間</x:v>
      </x:c>
      <x:c r="I28" s="27" t="n">
        <x:v>4</x:v>
      </x:c>
      <x:c r="J28" s="27" t="n">
        <x:v>4</x:v>
      </x:c>
      <x:c r="K28" s="27" t="str">
        <x:v>園内が広く暗い区域もある。単独深夜は主要園路に限定。</x:v>
      </x:c>
      <x:c r="L28" s="28" t="n">
        <x:v>46232</x:v>
      </x:c>
      <x:c r="M28" s="27" t="str">
        <x:v>一次確認済</x:v>
      </x:c>
      <x:c r="N28" s="27" t="str">
        <x:v>https://sancho-yokohamaueki.com/guide/</x:v>
      </x:c>
      <x:c r="O28" s="27" t="str">
        <x:v>本牧は戦後長く米軍住宅地が置かれた地域で、返還後の再開発が現在の街並みを形作った。</x:v>
      </x:c>
      <x:c r="P28" s="49" t="e">
        <x:f>HYPERLINK("https://ja.wikipedia.org/wiki/Special:Search?search=%E6%9C%AC%E7%89%A7%E5%B1%B1%E9%A0%82%E5%85%AC%E5%9C%92","Wikipedia・関連項目")</x:f>
      </x:c>
      <x:c r="R28" t="str">
        <x:v>25〜35km</x:v>
      </x:c>
      <x:c r="S28" t="str">
        <x:v>概ね25〜35km</x:v>
      </x:c>
      <x:c r="T28" t="str">
        <x:v>通常55〜90分</x:v>
      </x:c>
      <x:c r="U28" t="str">
        <x:v>平日夜・深夜</x:v>
      </x:c>
      <x:c r="V28" t="str">
        <x:v>30〜60分</x:v>
      </x:c>
      <x:c r="W28" t="n">
        <x:v>1</x:v>
      </x:c>
      <x:c r="X28" t="n">
        <x:v>3</x:v>
      </x:c>
      <x:c r="Y28" t="str">
        <x:v>羽田空港 第3ターミナル展望デッキ</x:v>
      </x:c>
      <x:c r="Z28" t="str">
        <x:v>城南島海浜公園／潮風公園</x:v>
      </x:c>
      <x:c r="AA28" s="22" t="str">
        <x:v>なし</x:v>
      </x:c>
      <x:c r="AB28" s="22" t="str">
        <x:v>-</x:v>
      </x:c>
      <x:c r="AC28" s="22" t="str"/>
      <x:c r="AD28" s="22" t="str">
        <x:v>専用・路外駐車を基本</x:v>
      </x:c>
      <x:c r="AE28" s="22" t="str"/>
    </x:row>
    <x:row r="29">
      <x:c r="A29" s="27" t="str">
        <x:v>D028</x:v>
      </x:c>
      <x:c r="B29" s="27" t="str">
        <x:v>野島公園</x:v>
      </x:c>
      <x:c r="C29" s="27" t="str">
        <x:v>横浜市・金沢区</x:v>
      </x:c>
      <x:c r="D29" s="27" t="str">
        <x:v>海・展望台・島</x:v>
      </x:c>
      <x:c r="E29" s="49" t="e">
        <x:f>HYPERLINK("https://www.google.com/maps/dir/?api=1&amp;destination=%E9%87%8E%E5%B3%B6%E5%85%AC%E5%9C%92&amp;travelmode=driving","現在地からナビ開始")</x:f>
      </x:c>
      <x:c r="F29" s="27" t="str">
        <x:v>平潟湾、八景島、金沢の海を見渡し、島へ渡る小旅行感がある。</x:v>
      </x:c>
      <x:c r="G29" s="27" t="str">
        <x:v>あり・有料</x:v>
      </x:c>
      <x:c r="H29" s="27" t="str">
        <x:v>第1駐車場 7:00～23:00</x:v>
      </x:c>
      <x:c r="I29" s="27" t="n">
        <x:v>4</x:v>
      </x:c>
      <x:c r="J29" s="27" t="n">
        <x:v>4</x:v>
      </x:c>
      <x:c r="K29" s="27" t="str">
        <x:v>潮干狩り・夏休みは混雑。23時閉鎖前に出庫。</x:v>
      </x:c>
      <x:c r="L29" s="28" t="n">
        <x:v>46232</x:v>
      </x:c>
      <x:c r="M29" s="27" t="str">
        <x:v>一次確認済</x:v>
      </x:c>
      <x:c r="N29" s="27" t="str">
        <x:v>https://www.hama-midorinokyokai.or.jp/park/parking/nojima/nojima1/</x:v>
      </x:c>
      <x:c r="O29" s="27" t="str">
        <x:v>野島には横浜市内で数少ない自然海岸が残り、展望台周辺には旧軍施設の痕跡もある。</x:v>
      </x:c>
      <x:c r="P29" s="49" t="e">
        <x:f>HYPERLINK("https://ja.wikipedia.org/wiki/Special:Search?search=%E9%87%8E%E5%B3%B6%E5%85%AC%E5%9C%92","Wikipedia・関連項目")</x:f>
      </x:c>
      <x:c r="R29" t="str">
        <x:v>25〜35km</x:v>
      </x:c>
      <x:c r="S29" t="str">
        <x:v>概ね25〜35km</x:v>
      </x:c>
      <x:c r="T29" t="str">
        <x:v>通常55〜90分</x:v>
      </x:c>
      <x:c r="U29" t="str">
        <x:v>海・港</x:v>
      </x:c>
      <x:c r="V29" t="str">
        <x:v>30〜60分</x:v>
      </x:c>
      <x:c r="W29" t="n">
        <x:v>1</x:v>
      </x:c>
      <x:c r="X29" t="n">
        <x:v>3</x:v>
      </x:c>
      <x:c r="Y29" t="str">
        <x:v>城南島海浜公園</x:v>
      </x:c>
      <x:c r="Z29" t="str">
        <x:v>潮風公園／晴海ふ頭公園</x:v>
      </x:c>
      <x:c r="AA29" s="22" t="str">
        <x:v>なし</x:v>
      </x:c>
      <x:c r="AB29" s="22" t="str">
        <x:v>-</x:v>
      </x:c>
      <x:c r="AC29" s="22" t="str"/>
      <x:c r="AD29" s="22" t="str">
        <x:v>専用・路外駐車を基本</x:v>
      </x:c>
      <x:c r="AE29" s="22" t="str"/>
    </x:row>
    <x:row r="30">
      <x:c r="A30" s="27" t="str">
        <x:v>D029</x:v>
      </x:c>
      <x:c r="B30" s="27" t="str">
        <x:v>海の公園</x:v>
      </x:c>
      <x:c r="C30" s="27" t="str">
        <x:v>横浜市・金沢区</x:v>
      </x:c>
      <x:c r="D30" s="27" t="str">
        <x:v>人工海浜・静かな休憩</x:v>
      </x:c>
      <x:c r="E30" s="49" t="e">
        <x:f>HYPERLINK("https://www.google.com/maps/dir/?api=1&amp;destination=%E6%B5%B7%E3%81%AE%E5%85%AC%E5%9C%92&amp;travelmode=driving","現在地からナビ開始")</x:f>
      </x:c>
      <x:c r="F30" s="27" t="str">
        <x:v>横浜市内で砂浜に到達でき、夜の手前まで海辺でクールダウンできる。</x:v>
      </x:c>
      <x:c r="G30" s="27" t="str">
        <x:v>あり・大規模有料</x:v>
      </x:c>
      <x:c r="H30" s="27" t="str">
        <x:v>入庫 4:00～22:00／出庫 24時間</x:v>
      </x:c>
      <x:c r="I30" s="27" t="n">
        <x:v>3</x:v>
      </x:c>
      <x:c r="J30" s="27" t="n">
        <x:v>3</x:v>
      </x:c>
      <x:c r="K30" s="27" t="str">
        <x:v>潮干狩り・連休は大混雑。22時以降は新規入庫不可。</x:v>
      </x:c>
      <x:c r="L30" s="28" t="n">
        <x:v>46232</x:v>
      </x:c>
      <x:c r="M30" s="27" t="str">
        <x:v>一次確認済</x:v>
      </x:c>
      <x:c r="N30" s="27" t="str">
        <x:v>https://www.hama-midorinokyokai.or.jp/park/uminokouen/faq.php</x:v>
      </x:c>
      <x:c r="O30" s="27" t="str">
        <x:v>海の公園は横浜市内唯一の海水浴場で、砂浜は人工的に造成された。</x:v>
      </x:c>
      <x:c r="P30" s="49" t="e">
        <x:f>HYPERLINK("https://ja.wikipedia.org/wiki/Special:Search?search=%E6%B5%B7%E3%81%AE%E5%85%AC%E5%9C%92","Wikipedia・関連項目")</x:f>
      </x:c>
      <x:c r="R30" t="str">
        <x:v>25〜35km</x:v>
      </x:c>
      <x:c r="S30" t="str">
        <x:v>概ね25〜35km</x:v>
      </x:c>
      <x:c r="T30" t="str">
        <x:v>通常55〜90分</x:v>
      </x:c>
      <x:c r="U30" t="str">
        <x:v>海・港</x:v>
      </x:c>
      <x:c r="V30" t="str">
        <x:v>30〜60分</x:v>
      </x:c>
      <x:c r="W30" t="n">
        <x:v>1</x:v>
      </x:c>
      <x:c r="X30" t="n">
        <x:v>3</x:v>
      </x:c>
      <x:c r="Y30" t="str">
        <x:v>城南島海浜公園</x:v>
      </x:c>
      <x:c r="Z30" t="str">
        <x:v>潮風公園／晴海ふ頭公園</x:v>
      </x:c>
      <x:c r="AA30" s="22" t="str">
        <x:v>なし</x:v>
      </x:c>
      <x:c r="AB30" s="22" t="str">
        <x:v>-</x:v>
      </x:c>
      <x:c r="AC30" s="22" t="str"/>
      <x:c r="AD30" s="22" t="str">
        <x:v>専用・路外駐車を基本</x:v>
      </x:c>
      <x:c r="AE30" s="22" t="str"/>
    </x:row>
    <x:row r="31">
      <x:c r="A31" s="27" t="str">
        <x:v>D030</x:v>
      </x:c>
      <x:c r="B31" s="27" t="str">
        <x:v>舞岡公園</x:v>
      </x:c>
      <x:c r="C31" s="27" t="str">
        <x:v>横浜市・戸塚区</x:v>
      </x:c>
      <x:c r="D31" s="27" t="str">
        <x:v>谷戸・田園・静かな休憩</x:v>
      </x:c>
      <x:c r="E31" s="49" t="e">
        <x:f>HYPERLINK("https://www.google.com/maps/dir/?api=1&amp;destination=%E8%88%9E%E5%B2%A1%E5%85%AC%E5%9C%92&amp;travelmode=driving","現在地からナビ開始")</x:f>
      </x:c>
      <x:c r="F31" s="27" t="str">
        <x:v>都市圏で谷戸と田園風景に入り、走行後の気分を静かに落とせる。</x:v>
      </x:c>
      <x:c r="G31" s="27" t="str">
        <x:v>あり・有料</x:v>
      </x:c>
      <x:c r="H31" s="27" t="str">
        <x:v>駐車場 6:00～21:00</x:v>
      </x:c>
      <x:c r="I31" s="27" t="n">
        <x:v>2</x:v>
      </x:c>
      <x:c r="J31" s="27" t="n">
        <x:v>5</x:v>
      </x:c>
      <x:c r="K31" s="27" t="str">
        <x:v>夜は景観価値が下がる。自然観察と夕方Session向け。</x:v>
      </x:c>
      <x:c r="L31" s="28" t="n">
        <x:v>46232</x:v>
      </x:c>
      <x:c r="M31" s="27" t="str">
        <x:v>一次確認済</x:v>
      </x:c>
      <x:c r="N31" s="27" t="str">
        <x:v>https://www.hama-midorinokyokai.or.jp/park/parking/maioka/maioka/</x:v>
      </x:c>
      <x:c r="O31" s="27" t="str">
        <x:v>舞岡公園は横浜に残る『谷戸』の田園景観を保全し、水田・雑木林・古民家を一体で残している。</x:v>
      </x:c>
      <x:c r="P31" s="49" t="e">
        <x:f>HYPERLINK("https://ja.wikipedia.org/wiki/Special:Search?search=%E8%88%9E%E5%B2%A1%E5%85%AC%E5%9C%92","Wikipedia・関連項目")</x:f>
      </x:c>
      <x:c r="R31" t="str">
        <x:v>25〜35km</x:v>
      </x:c>
      <x:c r="S31" t="str">
        <x:v>概ね25〜35km</x:v>
      </x:c>
      <x:c r="T31" t="str">
        <x:v>通常55〜90分</x:v>
      </x:c>
      <x:c r="U31" t="str">
        <x:v>休日半日</x:v>
      </x:c>
      <x:c r="V31" t="str">
        <x:v>30〜60分</x:v>
      </x:c>
      <x:c r="W31" t="n">
        <x:v>2</x:v>
      </x:c>
      <x:c r="X31" t="n">
        <x:v>1</x:v>
      </x:c>
      <x:c r="Y31" t="str">
        <x:v>羽田空港 第3ターミナル展望デッキ</x:v>
      </x:c>
      <x:c r="Z31" t="str">
        <x:v>城南島海浜公園／潮風公園</x:v>
      </x:c>
      <x:c r="AA31" s="22" t="str">
        <x:v>なし</x:v>
      </x:c>
      <x:c r="AB31" s="22" t="str">
        <x:v>-</x:v>
      </x:c>
      <x:c r="AC31" s="22" t="str"/>
      <x:c r="AD31" s="22" t="str">
        <x:v>専用・路外駐車を基本</x:v>
      </x:c>
      <x:c r="AE31" s="22" t="str"/>
    </x:row>
    <x:row r="32">
      <x:c r="A32" s="27" t="str">
        <x:v>D031</x:v>
      </x:c>
      <x:c r="B32" s="27" t="str">
        <x:v>披露山公園</x:v>
      </x:c>
      <x:c r="C32" s="27" t="str">
        <x:v>逗子市・新宿</x:v>
      </x:c>
      <x:c r="D32" s="27" t="str">
        <x:v>高台・海・富士山</x:v>
      </x:c>
      <x:c r="E32" s="49" t="e">
        <x:f>HYPERLINK("https://www.google.com/maps/dir/?api=1&amp;destination=%E6%8A%AB%E9%9C%B2%E5%B1%B1%E5%85%AC%E5%9C%92&amp;travelmode=driving","現在地からナビ開始")</x:f>
      </x:c>
      <x:c r="F32" s="27" t="str">
        <x:v>逗子湾、江の島、富士山を高台から眺める昼の展望Ending。</x:v>
      </x:c>
      <x:c r="G32" s="27" t="str">
        <x:v>あり・無料</x:v>
      </x:c>
      <x:c r="H32" s="27" t="str">
        <x:v>駐車場 8:30～16:30</x:v>
      </x:c>
      <x:c r="I32" s="27" t="n">
        <x:v>1</x:v>
      </x:c>
      <x:c r="J32" s="27" t="n">
        <x:v>3</x:v>
      </x:c>
      <x:c r="K32" s="27" t="str">
        <x:v>時間外は閉鎖。夕暮れ前に必ず退出。</x:v>
      </x:c>
      <x:c r="L32" s="28" t="n">
        <x:v>46232</x:v>
      </x:c>
      <x:c r="M32" s="27" t="str">
        <x:v>一次確認済</x:v>
      </x:c>
      <x:c r="N32" s="27" t="str">
        <x:v>https://www.city.zushi.kanagawa.jp/kurashi/sumai/1002174/1002178/1002179/1002181.html</x:v>
      </x:c>
      <x:c r="O32" s="27" t="str">
        <x:v>披露山は明治以降に別荘地として発展した逗子の高台文化を象徴し、湾と富士山を同時に望める。</x:v>
      </x:c>
      <x:c r="P32" s="49" t="e">
        <x:f>HYPERLINK("https://ja.wikipedia.org/wiki/Special:Search?search=%E6%8A%AB%E9%9C%B2%E5%B1%B1%E5%85%AC%E5%9C%92","Wikipedia・関連項目")</x:f>
      </x:c>
      <x:c r="R32" t="str">
        <x:v>35km超</x:v>
      </x:c>
      <x:c r="S32" t="str">
        <x:v>概ね35km超</x:v>
      </x:c>
      <x:c r="T32" t="str">
        <x:v>通常90分超</x:v>
      </x:c>
      <x:c r="U32" t="str">
        <x:v>海・港</x:v>
      </x:c>
      <x:c r="V32" t="str">
        <x:v>30〜60分</x:v>
      </x:c>
      <x:c r="W32" t="n">
        <x:v>1</x:v>
      </x:c>
      <x:c r="X32" t="n">
        <x:v>3</x:v>
      </x:c>
      <x:c r="Y32" t="str">
        <x:v>城南島海浜公園</x:v>
      </x:c>
      <x:c r="Z32" t="str">
        <x:v>潮風公園／晴海ふ頭公園</x:v>
      </x:c>
      <x:c r="AA32" s="22" t="str">
        <x:v>なし</x:v>
      </x:c>
      <x:c r="AB32" s="22" t="str">
        <x:v>-</x:v>
      </x:c>
      <x:c r="AC32" s="22" t="str"/>
      <x:c r="AD32" s="22" t="str">
        <x:v>専用・路外駐車を基本</x:v>
      </x:c>
      <x:c r="AE32" s="22" t="str"/>
    </x:row>
    <x:row r="33">
      <x:c r="A33" s="27" t="str">
        <x:v>D032</x:v>
      </x:c>
      <x:c r="B33" s="27" t="str">
        <x:v>立石公園・県立立石駐車場</x:v>
      </x:c>
      <x:c r="C33" s="27" t="str">
        <x:v>横須賀市・秋谷</x:v>
      </x:c>
      <x:c r="D33" s="27" t="str">
        <x:v>海岸・夕日・富士山</x:v>
      </x:c>
      <x:c r="E33" s="49" t="e">
        <x:f>HYPERLINK("https://www.google.com/maps/dir/?api=1&amp;destination=%E7%AB%8B%E7%9F%B3%E5%85%AC%E5%9C%92%E3%83%BB%E7%9C%8C%E7%AB%8B%E7%AB%8B%E7%9F%B3%E9%A7%90%E8%BB%8A%E5%A0%B4&amp;travelmode=driving","現在地からナビ開始")</x:f>
      </x:c>
      <x:c r="F33" s="27" t="str">
        <x:v>立石、相模湾、夕日、富士山が一枚に収まる西岸ドライブの象徴。</x:v>
      </x:c>
      <x:c r="G33" s="27" t="str">
        <x:v>あり・無料</x:v>
      </x:c>
      <x:c r="H33" s="27" t="str">
        <x:v>原則24時間／7～8月は6:00～20:00</x:v>
      </x:c>
      <x:c r="I33" s="27" t="n">
        <x:v>4</x:v>
      </x:c>
      <x:c r="J33" s="27" t="n">
        <x:v>4</x:v>
      </x:c>
      <x:c r="K33" s="27" t="str">
        <x:v>夏季時間制限。満車時の路上待機は禁止。</x:v>
      </x:c>
      <x:c r="L33" s="28" t="n">
        <x:v>46232</x:v>
      </x:c>
      <x:c r="M33" s="27" t="str">
        <x:v>一次確認済</x:v>
      </x:c>
      <x:c r="N33" s="27" t="str">
        <x:v>https://www.city.yokosuka.kanagawa.jp/5560/sisetu/fc00000486.html</x:v>
      </x:c>
      <x:c r="O33" s="27" t="str">
        <x:v>秋谷の立石は江戸時代から名勝として知られ、歌川広重も相模湾越しの富士山とともに描いた。</x:v>
      </x:c>
      <x:c r="P33" s="49" t="e">
        <x:f>HYPERLINK("https://ja.wikipedia.org/wiki/Special:Search?search=%E7%AB%8B%E7%9F%B3%E5%85%AC%E5%9C%92%E3%83%BB%E7%9C%8C%E7%AB%8B%E7%AB%8B%E7%9F%B3%E9%A7%90%E8%BB%8A%E5%A0%B4","Wikipedia・関連項目")</x:f>
      </x:c>
      <x:c r="R33" t="str">
        <x:v>35km超</x:v>
      </x:c>
      <x:c r="S33" t="str">
        <x:v>概ね35km超</x:v>
      </x:c>
      <x:c r="T33" t="str">
        <x:v>通常90分超</x:v>
      </x:c>
      <x:c r="U33" t="str">
        <x:v>海・港</x:v>
      </x:c>
      <x:c r="V33" t="str">
        <x:v>30〜90分</x:v>
      </x:c>
      <x:c r="W33" t="n">
        <x:v>1</x:v>
      </x:c>
      <x:c r="X33" t="n">
        <x:v>3</x:v>
      </x:c>
      <x:c r="Y33" t="str">
        <x:v>城南島海浜公園</x:v>
      </x:c>
      <x:c r="Z33" t="str">
        <x:v>潮風公園／晴海ふ頭公園</x:v>
      </x:c>
      <x:c r="AA33" s="22" t="str">
        <x:v>なし</x:v>
      </x:c>
      <x:c r="AB33" s="22" t="str">
        <x:v>-</x:v>
      </x:c>
      <x:c r="AC33" s="22" t="str"/>
      <x:c r="AD33" s="22" t="str">
        <x:v>専用・路外駐車を基本</x:v>
      </x:c>
      <x:c r="AE33" s="22" t="str"/>
    </x:row>
    <x:row r="34">
      <x:c r="A34" s="27" t="str">
        <x:v>D033</x:v>
      </x:c>
      <x:c r="B34" s="27" t="str">
        <x:v>荒崎公園</x:v>
      </x:c>
      <x:c r="C34" s="27" t="str">
        <x:v>横須賀市・長井</x:v>
      </x:c>
      <x:c r="D34" s="27" t="str">
        <x:v>岩礁・海岸・行き止まり</x:v>
      </x:c>
      <x:c r="E34" s="49" t="e">
        <x:f>HYPERLINK("https://www.google.com/maps/dir/?api=1&amp;destination=%E8%8D%92%E5%B4%8E%E5%85%AC%E5%9C%92&amp;travelmode=driving","現在地からナビ開始")</x:f>
      </x:c>
      <x:c r="F34" s="27" t="str">
        <x:v>三浦半島西岸の岩礁と水平線に到達し、道の終わり感が強い。</x:v>
      </x:c>
      <x:c r="G34" s="27" t="str">
        <x:v>あり・季節により有料</x:v>
      </x:c>
      <x:c r="H34" s="27" t="str">
        <x:v>季節により夕方閉鎖</x:v>
      </x:c>
      <x:c r="I34" s="27" t="n">
        <x:v>1</x:v>
      </x:c>
      <x:c r="J34" s="27" t="n">
        <x:v>5</x:v>
      </x:c>
      <x:c r="K34" s="27" t="str">
        <x:v>夜間不可。岩場は滑りやすく、強風・高波時は避ける。</x:v>
      </x:c>
      <x:c r="L34" s="28" t="n">
        <x:v>46232</x:v>
      </x:c>
      <x:c r="M34" s="27" t="str">
        <x:v>当日再確認</x:v>
      </x:c>
      <x:c r="N34" s="27" t="str">
        <x:v>https://www.city.yokosuka.kanagawa.jp/5560/sisetu/fc00000433.html</x:v>
      </x:c>
      <x:c r="O34" s="27" t="str">
        <x:v>荒崎の複雑な岩礁は三浦半島の堆積岩が波に削られて生まれた海食地形である。</x:v>
      </x:c>
      <x:c r="P34" s="49" t="e">
        <x:f>HYPERLINK("https://ja.wikipedia.org/wiki/Special:Search?search=%E8%8D%92%E5%B4%8E%E5%85%AC%E5%9C%92","Wikipedia・関連項目")</x:f>
      </x:c>
      <x:c r="R34" t="str">
        <x:v>35km超</x:v>
      </x:c>
      <x:c r="S34" t="str">
        <x:v>概ね35km超</x:v>
      </x:c>
      <x:c r="T34" t="str">
        <x:v>通常90分超</x:v>
      </x:c>
      <x:c r="U34" t="str">
        <x:v>海・港</x:v>
      </x:c>
      <x:c r="V34" t="str">
        <x:v>30〜90分</x:v>
      </x:c>
      <x:c r="W34" t="n">
        <x:v>1</x:v>
      </x:c>
      <x:c r="X34" t="n">
        <x:v>3</x:v>
      </x:c>
      <x:c r="Y34" t="str">
        <x:v>城南島海浜公園</x:v>
      </x:c>
      <x:c r="Z34" t="str">
        <x:v>潮風公園／晴海ふ頭公園</x:v>
      </x:c>
      <x:c r="AA34" s="22" t="str">
        <x:v>なし</x:v>
      </x:c>
      <x:c r="AB34" s="22" t="str">
        <x:v>-</x:v>
      </x:c>
      <x:c r="AC34" s="22" t="str"/>
      <x:c r="AD34" s="22" t="str">
        <x:v>専用・路外駐車を基本</x:v>
      </x:c>
      <x:c r="AE34" s="22" t="str"/>
    </x:row>
    <x:row r="35">
      <x:c r="A35" s="27" t="str">
        <x:v>D034</x:v>
      </x:c>
      <x:c r="B35" s="27" t="str">
        <x:v>燈明堂緑地</x:v>
      </x:c>
      <x:c r="C35" s="27" t="str">
        <x:v>横須賀市・浦賀</x:v>
      </x:c>
      <x:c r="D35" s="27" t="str">
        <x:v>入り江・歴史・穴場</x:v>
      </x:c>
      <x:c r="E35" s="49" t="e">
        <x:f>HYPERLINK("https://www.google.com/maps/dir/?api=1&amp;destination=%E7%87%88%E6%98%8E%E5%A0%82%E7%B7%91%E5%9C%B0&amp;travelmode=driving","現在地からナビ開始")</x:f>
      </x:c>
      <x:c r="F35" s="27" t="str">
        <x:v>小さな入り江と復元燈明堂が、静かな秘密基地感を作る。</x:v>
      </x:c>
      <x:c r="G35" s="27" t="str">
        <x:v>あり・有料</x:v>
      </x:c>
      <x:c r="H35" s="27" t="str">
        <x:v>入庫 5:00～21:30／以後は出庫のみ</x:v>
      </x:c>
      <x:c r="I35" s="27" t="n">
        <x:v>4</x:v>
      </x:c>
      <x:c r="J35" s="27" t="n">
        <x:v>5</x:v>
      </x:c>
      <x:c r="K35" s="27" t="str">
        <x:v>夜は照明が少ない。生活地域に近いため静粛に。</x:v>
      </x:c>
      <x:c r="L35" s="28" t="n">
        <x:v>46232</x:v>
      </x:c>
      <x:c r="M35" s="27" t="str">
        <x:v>一次確認済</x:v>
      </x:c>
      <x:c r="N35" s="27" t="str">
        <x:v>https://www.city.yokosuka.kanagawa.jp/5560/toumyoudouryokuchi.html</x:v>
      </x:c>
      <x:c r="O35" s="27" t="str">
        <x:v>燈明堂は江戸幕府が1648年に建てた灯台で、菜種油の灯火で浦賀へ入る船を導いた。</x:v>
      </x:c>
      <x:c r="P35" s="49" t="e">
        <x:f>HYPERLINK("https://ja.wikipedia.org/wiki/Special:Search?search=%E7%87%88%E6%98%8E%E5%A0%82%E7%B7%91%E5%9C%B0","Wikipedia・関連項目")</x:f>
      </x:c>
      <x:c r="R35" t="str">
        <x:v>35km超</x:v>
      </x:c>
      <x:c r="S35" t="str">
        <x:v>概ね35km超</x:v>
      </x:c>
      <x:c r="T35" t="str">
        <x:v>通常90分超</x:v>
      </x:c>
      <x:c r="U35" t="str">
        <x:v>Story</x:v>
      </x:c>
      <x:c r="V35" t="str">
        <x:v>30〜60分</x:v>
      </x:c>
      <x:c r="W35" t="n">
        <x:v>2</x:v>
      </x:c>
      <x:c r="X35" t="n">
        <x:v>1</x:v>
      </x:c>
      <x:c r="Y35" t="str">
        <x:v>羽田空港 第3ターミナル展望デッキ</x:v>
      </x:c>
      <x:c r="Z35" t="str">
        <x:v>城南島海浜公園／潮風公園</x:v>
      </x:c>
      <x:c r="AA35" s="22" t="str">
        <x:v>なし</x:v>
      </x:c>
      <x:c r="AB35" s="22" t="str">
        <x:v>-</x:v>
      </x:c>
      <x:c r="AC35" s="22" t="str"/>
      <x:c r="AD35" s="22" t="str">
        <x:v>専用・路外駐車を基本</x:v>
      </x:c>
      <x:c r="AE35" s="22" t="str"/>
    </x:row>
    <x:row r="36">
      <x:c r="A36" s="27" t="str">
        <x:v>D035</x:v>
      </x:c>
      <x:c r="B36" s="27" t="str">
        <x:v>ヴェルニー公園</x:v>
      </x:c>
      <x:c r="C36" s="27" t="str">
        <x:v>横須賀市・汐入</x:v>
      </x:c>
      <x:c r="D36" s="27" t="str">
        <x:v>軍港・船・都市夜景</x:v>
      </x:c>
      <x:c r="E36" s="49" t="e">
        <x:f>HYPERLINK("https://www.google.com/maps/dir/?api=1&amp;destination=%E3%83%B4%E3%82%A7%E3%83%AB%E3%83%8B%E3%83%BC%E5%85%AC%E5%9C%92&amp;travelmode=driving","現在地からナビ開始")</x:f>
      </x:c>
      <x:c r="F36" s="27" t="str">
        <x:v>潜水艦や艦船、造船所の灯りを安全な公園から眺められる。</x:v>
      </x:c>
      <x:c r="G36" s="27" t="str">
        <x:v>あり・小規模有料</x:v>
      </x:c>
      <x:c r="H36" s="27" t="str">
        <x:v>普通車駐車場 24時間</x:v>
      </x:c>
      <x:c r="I36" s="27" t="n">
        <x:v>5</x:v>
      </x:c>
      <x:c r="J36" s="27" t="n">
        <x:v>3</x:v>
      </x:c>
      <x:c r="K36" s="27" t="str">
        <x:v>駐車台数が少ない。撮影時は通行を妨げない。</x:v>
      </x:c>
      <x:c r="L36" s="28" t="n">
        <x:v>46232</x:v>
      </x:c>
      <x:c r="M36" s="27" t="str">
        <x:v>一次確認済</x:v>
      </x:c>
      <x:c r="N36" s="27" t="str">
        <x:v>https://www.city.yokosuka.kanagawa.jp/faq/shisei/gaiyo/shisetsu/0744.html</x:v>
      </x:c>
      <x:c r="O36" s="27" t="str">
        <x:v>ヴェルニー公園の名は、横須賀製鉄所建設を指導したフランス人技師レオンス・ヴェルニーに由来する。</x:v>
      </x:c>
      <x:c r="P36" s="49" t="e">
        <x:f>HYPERLINK("https://ja.wikipedia.org/wiki/Special:Search?search=%E3%83%B4%E3%82%A7%E3%83%AB%E3%83%8B%E3%83%BC%E5%85%AC%E5%9C%92","Wikipedia・関連項目")</x:f>
      </x:c>
      <x:c r="R36" t="str">
        <x:v>35km超</x:v>
      </x:c>
      <x:c r="S36" t="str">
        <x:v>概ね35km超</x:v>
      </x:c>
      <x:c r="T36" t="str">
        <x:v>通常90分超</x:v>
      </x:c>
      <x:c r="U36" t="str">
        <x:v>海・港</x:v>
      </x:c>
      <x:c r="V36" t="str">
        <x:v>30〜60分</x:v>
      </x:c>
      <x:c r="W36" t="n">
        <x:v>2</x:v>
      </x:c>
      <x:c r="X36" t="n">
        <x:v>3</x:v>
      </x:c>
      <x:c r="Y36" t="str">
        <x:v>城南島海浜公園</x:v>
      </x:c>
      <x:c r="Z36" t="str">
        <x:v>潮風公園／晴海ふ頭公園</x:v>
      </x:c>
      <x:c r="AA36" s="22" t="str">
        <x:v>なし</x:v>
      </x:c>
      <x:c r="AB36" s="22" t="str">
        <x:v>-</x:v>
      </x:c>
      <x:c r="AC36" s="22" t="str"/>
      <x:c r="AD36" s="22" t="str">
        <x:v>専用・路外駐車を基本</x:v>
      </x:c>
      <x:c r="AE36" s="22" t="str"/>
    </x:row>
    <x:row r="37">
      <x:c r="A37" s="27" t="str">
        <x:v>D036</x:v>
      </x:c>
      <x:c r="B37" s="27" t="str">
        <x:v>衣笠山公園</x:v>
      </x:c>
      <x:c r="C37" s="27" t="str">
        <x:v>横須賀市・小矢部</x:v>
      </x:c>
      <x:c r="D37" s="27" t="str">
        <x:v>高台・桜・森</x:v>
      </x:c>
      <x:c r="E37" s="49" t="e">
        <x:f>HYPERLINK("https://www.google.com/maps/dir/?api=1&amp;destination=%E8%A1%A3%E7%AC%A0%E5%B1%B1%E5%85%AC%E5%9C%92&amp;travelmode=driving","現在地からナビ開始")</x:f>
      </x:c>
      <x:c r="F37" s="27" t="str">
        <x:v>横須賀市街を見下ろす森の高台で、短い山道の到達感がある。</x:v>
      </x:c>
      <x:c r="G37" s="27" t="str">
        <x:v>あり・小規模無料</x:v>
      </x:c>
      <x:c r="H37" s="27" t="str">
        <x:v>駐車場 8:30～17:00</x:v>
      </x:c>
      <x:c r="I37" s="27" t="n">
        <x:v>1</x:v>
      </x:c>
      <x:c r="J37" s="27" t="n">
        <x:v>5</x:v>
      </x:c>
      <x:c r="K37" s="27" t="str">
        <x:v>17時以降は翌日まで出庫不可。桜祭り期間は利用不可。</x:v>
      </x:c>
      <x:c r="L37" s="28" t="n">
        <x:v>46232</x:v>
      </x:c>
      <x:c r="M37" s="27" t="str">
        <x:v>一次確認済</x:v>
      </x:c>
      <x:c r="N37" s="27" t="str">
        <x:v>https://www.city.yokosuka.kanagawa.jp/5560/sisetu/fc00000432.html</x:v>
      </x:c>
      <x:c r="O37" s="27" t="str">
        <x:v>衣笠山公園は明治末期から桜の名所として整備され、『日本さくら名所100選』にも選ばれている。</x:v>
      </x:c>
      <x:c r="P37" s="49" t="e">
        <x:f>HYPERLINK("https://ja.wikipedia.org/wiki/Special:Search?search=%E8%A1%A3%E7%AC%A0%E5%B1%B1%E5%85%AC%E5%9C%92","Wikipedia・関連項目")</x:f>
      </x:c>
      <x:c r="R37" t="str">
        <x:v>35km超</x:v>
      </x:c>
      <x:c r="S37" t="str">
        <x:v>概ね35km超</x:v>
      </x:c>
      <x:c r="T37" t="str">
        <x:v>通常90分超</x:v>
      </x:c>
      <x:c r="U37" t="str">
        <x:v>休日半日</x:v>
      </x:c>
      <x:c r="V37" t="str">
        <x:v>30〜60分</x:v>
      </x:c>
      <x:c r="W37" t="n">
        <x:v>1</x:v>
      </x:c>
      <x:c r="X37" t="n">
        <x:v>1</x:v>
      </x:c>
      <x:c r="Y37" t="str">
        <x:v>羽田空港 第3ターミナル展望デッキ</x:v>
      </x:c>
      <x:c r="Z37" t="str">
        <x:v>城南島海浜公園／潮風公園</x:v>
      </x:c>
      <x:c r="AA37" s="22" t="str">
        <x:v>なし</x:v>
      </x:c>
      <x:c r="AB37" s="22" t="str">
        <x:v>-</x:v>
      </x:c>
      <x:c r="AC37" s="22" t="str"/>
      <x:c r="AD37" s="22" t="str">
        <x:v>専用・路外駐車を基本</x:v>
      </x:c>
      <x:c r="AE37" s="22" t="str"/>
    </x:row>
    <x:row r="38">
      <x:c r="A38" s="27" t="str">
        <x:v>D037</x:v>
      </x:c>
      <x:c r="B38" s="27" t="str">
        <x:v>県立城ヶ島公園</x:v>
      </x:c>
      <x:c r="C38" s="27" t="str">
        <x:v>三浦市・城ヶ島</x:v>
      </x:c>
      <x:c r="D38" s="27" t="str">
        <x:v>島・草原・海食崖</x:v>
      </x:c>
      <x:c r="E38" s="49" t="e">
        <x:f>HYPERLINK("https://www.google.com/maps/dir/?api=1&amp;destination=%E7%9C%8C%E7%AB%8B%E5%9F%8E%E3%83%B6%E5%B3%B6%E5%85%AC%E5%9C%92&amp;travelmode=driving","現在地からナビ開始")</x:f>
      </x:c>
      <x:c r="F38" s="27" t="str">
        <x:v>橋を渡り半島最南端の島へ入り、草原と太平洋で旅の終着感が最大化。</x:v>
      </x:c>
      <x:c r="G38" s="27" t="str">
        <x:v>あり・島内複数有料</x:v>
      </x:c>
      <x:c r="H38" s="27" t="str">
        <x:v>公園駐車場は季節別閉場</x:v>
      </x:c>
      <x:c r="I38" s="27" t="n">
        <x:v>3</x:v>
      </x:c>
      <x:c r="J38" s="27" t="n">
        <x:v>3</x:v>
      </x:c>
      <x:c r="K38" s="27" t="str">
        <x:v>強風・高波に注意。24時間駐車場との違いを確認。</x:v>
      </x:c>
      <x:c r="L38" s="28" t="n">
        <x:v>46232</x:v>
      </x:c>
      <x:c r="M38" s="27" t="str">
        <x:v>当日再確認</x:v>
      </x:c>
      <x:c r="N38" s="27" t="str">
        <x:v>https://www.pref.kanagawa.jp/docs/d2t/chiki/jyogashima1daypass.html</x:v>
      </x:c>
      <x:c r="O38" s="27" t="str">
        <x:v>城ヶ島は北原白秋作詞の『城ヶ島の雨』で広く知られ、三浦半島南端の文化的象徴でもある。</x:v>
      </x:c>
      <x:c r="P38" s="49" t="e">
        <x:f>HYPERLINK("https://ja.wikipedia.org/wiki/Special:Search?search=%E7%9C%8C%E7%AB%8B%E5%9F%8E%E3%83%B6%E5%B3%B6%E5%85%AC%E5%9C%92","Wikipedia・関連項目")</x:f>
      </x:c>
      <x:c r="R38" t="str">
        <x:v>35km超</x:v>
      </x:c>
      <x:c r="S38" t="str">
        <x:v>概ね35km超</x:v>
      </x:c>
      <x:c r="T38" t="str">
        <x:v>通常90分超</x:v>
      </x:c>
      <x:c r="U38" t="str">
        <x:v>海・港</x:v>
      </x:c>
      <x:c r="V38" t="str">
        <x:v>30〜60分</x:v>
      </x:c>
      <x:c r="W38" t="n">
        <x:v>1</x:v>
      </x:c>
      <x:c r="X38" t="n">
        <x:v>3</x:v>
      </x:c>
      <x:c r="Y38" t="str">
        <x:v>城南島海浜公園</x:v>
      </x:c>
      <x:c r="Z38" t="str">
        <x:v>潮風公園／晴海ふ頭公園</x:v>
      </x:c>
      <x:c r="AA38" s="22" t="str">
        <x:v>なし</x:v>
      </x:c>
      <x:c r="AB38" s="22" t="str">
        <x:v>-</x:v>
      </x:c>
      <x:c r="AC38" s="22" t="str"/>
      <x:c r="AD38" s="22" t="str">
        <x:v>専用・路外駐車を基本</x:v>
      </x:c>
      <x:c r="AE38" s="22" t="str"/>
    </x:row>
    <x:row r="39">
      <x:c r="A39" s="27" t="str">
        <x:v>D038</x:v>
      </x:c>
      <x:c r="B39" s="27" t="str">
        <x:v>宮川公園</x:v>
      </x:c>
      <x:c r="C39" s="27" t="str">
        <x:v>三浦市・宮川</x:v>
      </x:c>
      <x:c r="D39" s="27" t="str">
        <x:v>風車・漁港・高台</x:v>
      </x:c>
      <x:c r="E39" s="49" t="e">
        <x:f>HYPERLINK("https://www.google.com/maps/dir/?api=1&amp;destination=%E5%AE%AE%E5%B7%9D%E5%85%AC%E5%9C%92&amp;travelmode=driving","現在地からナビ開始")</x:f>
      </x:c>
      <x:c r="F39" s="27" t="str">
        <x:v>風力発電機と宮川湾を見下ろし、三浦の農漁村景観を象徴する。</x:v>
      </x:c>
      <x:c r="G39" s="27" t="str">
        <x:v>あり・無料</x:v>
      </x:c>
      <x:c r="H39" s="27" t="str">
        <x:v>公式明記が乏しいため昼～夕方推奨</x:v>
      </x:c>
      <x:c r="I39" s="27" t="n">
        <x:v>2</x:v>
      </x:c>
      <x:c r="J39" s="27" t="n">
        <x:v>5</x:v>
      </x:c>
      <x:c r="K39" s="27" t="str">
        <x:v>夜は暗く風が強い。現地掲示と閉鎖状況を確認。</x:v>
      </x:c>
      <x:c r="L39" s="28" t="n">
        <x:v>46232</x:v>
      </x:c>
      <x:c r="M39" s="27" t="str">
        <x:v>当日再確認</x:v>
      </x:c>
      <x:c r="N39" s="27" t="str">
        <x:v>https://www.city.miura.kanagawa.jp/soshiki/toshikeikakuka/6/2/2256.html</x:v>
      </x:c>
      <x:c r="O39" s="27" t="str">
        <x:v>宮川公園周辺は三浦半島特有の台地農業地帯で、ダイコンやキャベツ畑と漁港が近接する。</x:v>
      </x:c>
      <x:c r="P39" s="49" t="e">
        <x:f>HYPERLINK("https://ja.wikipedia.org/wiki/Special:Search?search=%E5%AE%AE%E5%B7%9D%E5%85%AC%E5%9C%92","Wikipedia・関連項目")</x:f>
      </x:c>
      <x:c r="R39" t="str">
        <x:v>35km超</x:v>
      </x:c>
      <x:c r="S39" t="str">
        <x:v>概ね35km超</x:v>
      </x:c>
      <x:c r="T39" t="str">
        <x:v>通常90分超</x:v>
      </x:c>
      <x:c r="U39" t="str">
        <x:v>海・港</x:v>
      </x:c>
      <x:c r="V39" t="str">
        <x:v>30〜90分</x:v>
      </x:c>
      <x:c r="W39" t="n">
        <x:v>1</x:v>
      </x:c>
      <x:c r="X39" t="n">
        <x:v>3</x:v>
      </x:c>
      <x:c r="Y39" t="str">
        <x:v>城南島海浜公園</x:v>
      </x:c>
      <x:c r="Z39" t="str">
        <x:v>潮風公園／晴海ふ頭公園</x:v>
      </x:c>
      <x:c r="AA39" s="22" t="str">
        <x:v>なし</x:v>
      </x:c>
      <x:c r="AB39" s="22" t="str">
        <x:v>-</x:v>
      </x:c>
      <x:c r="AC39" s="22" t="str"/>
      <x:c r="AD39" s="22" t="str">
        <x:v>専用・路外駐車を基本</x:v>
      </x:c>
      <x:c r="AE39" s="22" t="str"/>
    </x:row>
    <x:row r="40">
      <x:c r="A40" s="27" t="str">
        <x:v>D039</x:v>
      </x:c>
      <x:c r="B40" s="27" t="str">
        <x:v>三崎港 うらり駐車場周辺</x:v>
      </x:c>
      <x:c r="C40" s="27" t="str">
        <x:v>三浦市・三崎</x:v>
      </x:c>
      <x:c r="D40" s="27" t="str">
        <x:v>漁港・市場・夜の港</x:v>
      </x:c>
      <x:c r="E40" s="49" t="e">
        <x:f>HYPERLINK("https://www.google.com/maps/dir/?api=1&amp;destination=%E4%B8%89%E5%B4%8E%E6%B8%AF%20%E3%81%86%E3%82%89%E3%82%8A%E9%A7%90%E8%BB%8A%E5%A0%B4%E5%91%A8%E8%BE%BA&amp;travelmode=driving","現在地からナビ開始")</x:f>
      </x:c>
      <x:c r="F40" s="27" t="str">
        <x:v>マグロの港と停泊船を眺め、港町Endingとして使える。</x:v>
      </x:c>
      <x:c r="G40" s="27" t="str">
        <x:v>あり・有料</x:v>
      </x:c>
      <x:c r="H40" s="27" t="str">
        <x:v>駐車場 24時間</x:v>
      </x:c>
      <x:c r="I40" s="27" t="n">
        <x:v>4</x:v>
      </x:c>
      <x:c r="J40" s="27" t="n">
        <x:v>3</x:v>
      </x:c>
      <x:c r="K40" s="27" t="str">
        <x:v>漁業作業区域や岸壁へ立ち入らない。</x:v>
      </x:c>
      <x:c r="L40" s="28" t="n">
        <x:v>46232</x:v>
      </x:c>
      <x:c r="M40" s="27" t="str">
        <x:v>一次確認済</x:v>
      </x:c>
      <x:c r="N40" s="27" t="str">
        <x:v>https://miura-info.ne.jp/access/parking/</x:v>
      </x:c>
      <x:c r="O40" s="27" t="str">
        <x:v>三崎港は遠洋マグロ漁業の基地として発展し、冷凍マグロ流通の中心地の一つとなった。</x:v>
      </x:c>
      <x:c r="P40" s="49" t="e">
        <x:f>HYPERLINK("https://ja.wikipedia.org/wiki/Special:Search?search=%E4%B8%89%E5%B4%8E%E6%B8%AF%20%E3%81%86%E3%82%89%E3%82%8A%E9%A7%90%E8%BB%8A%E5%A0%B4%E5%91%A8%E8%BE%BA","Wikipedia・関連項目")</x:f>
      </x:c>
      <x:c r="R40" t="str">
        <x:v>35km超</x:v>
      </x:c>
      <x:c r="S40" t="str">
        <x:v>概ね35km超</x:v>
      </x:c>
      <x:c r="T40" t="str">
        <x:v>通常90分超</x:v>
      </x:c>
      <x:c r="U40" t="str">
        <x:v>海・港</x:v>
      </x:c>
      <x:c r="V40" t="str">
        <x:v>30〜90分</x:v>
      </x:c>
      <x:c r="W40" t="n">
        <x:v>4</x:v>
      </x:c>
      <x:c r="X40" t="n">
        <x:v>3</x:v>
      </x:c>
      <x:c r="Y40" t="str">
        <x:v>城南島海浜公園</x:v>
      </x:c>
      <x:c r="Z40" t="str">
        <x:v>潮風公園／晴海ふ頭公園</x:v>
      </x:c>
      <x:c r="AA40" s="22" t="str">
        <x:v>なし</x:v>
      </x:c>
      <x:c r="AB40" s="22" t="str">
        <x:v>-</x:v>
      </x:c>
      <x:c r="AC40" s="22" t="str"/>
      <x:c r="AD40" s="22" t="str">
        <x:v>専用・路外駐車を基本</x:v>
      </x:c>
      <x:c r="AE40" s="22" t="str"/>
    </x:row>
    <x:row r="41">
      <x:c r="A41" s="27" t="str">
        <x:v>D040</x:v>
      </x:c>
      <x:c r="B41" s="27" t="str">
        <x:v>湘南港・江の島ヨットハーバー</x:v>
      </x:c>
      <x:c r="C41" s="27" t="str">
        <x:v>藤沢市・江の島</x:v>
      </x:c>
      <x:c r="D41" s="27" t="str">
        <x:v>港・島・海</x:v>
      </x:c>
      <x:c r="E41" s="49" t="e">
        <x:f>HYPERLINK("https://www.google.com/maps/dir/?api=1&amp;destination=%E6%B9%98%E5%8D%97%E6%B8%AF%E3%83%BB%E6%B1%9F%E3%81%AE%E5%B3%B6%E3%83%A8%E3%83%83%E3%83%88%E3%83%8F%E3%83%BC%E3%83%90%E3%83%BC&amp;travelmode=driving","現在地からナビ開始")</x:f>
      </x:c>
      <x:c r="F41" s="27" t="str">
        <x:v>橋を渡って島の奥へ入り、ヨットと相模湾を見て終える到達感がある。</x:v>
      </x:c>
      <x:c r="G41" s="27" t="str">
        <x:v>あり・有料</x:v>
      </x:c>
      <x:c r="H41" s="27" t="str">
        <x:v>駐車場 5:00～21:30</x:v>
      </x:c>
      <x:c r="I41" s="27" t="n">
        <x:v>4</x:v>
      </x:c>
      <x:c r="J41" s="27" t="n">
        <x:v>2</x:v>
      </x:c>
      <x:c r="K41" s="27" t="str">
        <x:v>休日・夏季は渋滞。閉場前に余裕を持って出庫。</x:v>
      </x:c>
      <x:c r="L41" s="28" t="n">
        <x:v>46232</x:v>
      </x:c>
      <x:c r="M41" s="27" t="str">
        <x:v>一次確認済</x:v>
      </x:c>
      <x:c r="N41" s="27" t="str">
        <x:v>https://www.pref.kanagawa.jp/docs/f4i/cnt/f7377/siteikanri.html</x:v>
      </x:c>
      <x:c r="O41" s="27" t="str">
        <x:v>江の島は弁才天信仰の島として栄え、源頼朝や北条氏にまつわる伝承も多い。</x:v>
      </x:c>
      <x:c r="P41" s="49" t="e">
        <x:f>HYPERLINK("https://ja.wikipedia.org/wiki/Special:Search?search=%E6%B9%98%E5%8D%97%E6%B8%AF%E3%83%BB%E6%B1%9F%E3%81%AE%E5%B3%B6%E3%83%A8%E3%83%83%E3%83%88%E3%83%8F%E3%83%BC%E3%83%90%E3%83%BC","Wikipedia・関連項目")</x:f>
      </x:c>
      <x:c r="R41" t="str">
        <x:v>35km超</x:v>
      </x:c>
      <x:c r="S41" t="str">
        <x:v>概ね35km超</x:v>
      </x:c>
      <x:c r="T41" t="str">
        <x:v>通常90分超</x:v>
      </x:c>
      <x:c r="U41" t="str">
        <x:v>海・港</x:v>
      </x:c>
      <x:c r="V41" t="str">
        <x:v>30〜90分</x:v>
      </x:c>
      <x:c r="W41" t="n">
        <x:v>1</x:v>
      </x:c>
      <x:c r="X41" t="n">
        <x:v>3</x:v>
      </x:c>
      <x:c r="Y41" t="str">
        <x:v>城南島海浜公園</x:v>
      </x:c>
      <x:c r="Z41" t="str">
        <x:v>潮風公園／晴海ふ頭公園</x:v>
      </x:c>
      <x:c r="AA41" s="22" t="str">
        <x:v>なし</x:v>
      </x:c>
      <x:c r="AB41" s="22" t="str">
        <x:v>-</x:v>
      </x:c>
      <x:c r="AC41" s="22" t="str"/>
      <x:c r="AD41" s="22" t="str">
        <x:v>専用・路外駐車を基本</x:v>
      </x:c>
      <x:c r="AE41" s="22" t="str"/>
    </x:row>
    <x:row r="42">
      <x:c r="A42" s="27" t="str">
        <x:v>D041</x:v>
      </x:c>
      <x:c r="B42" s="27" t="str">
        <x:v>水元公園</x:v>
      </x:c>
      <x:c r="C42" s="27" t="str">
        <x:v>葛飾区・水元</x:v>
      </x:c>
      <x:c r="D42" s="27" t="str">
        <x:v>湖沼・水辺・公園</x:v>
      </x:c>
      <x:c r="E42" s="49" t="e">
        <x:f>HYPERLINK("https://www.google.com/maps/dir/?api=1&amp;destination=%E6%B0%B4%E5%85%83%E5%85%AC%E5%9C%92&amp;travelmode=driving","現在地からナビ開始")</x:f>
      </x:c>
      <x:c r="F42" s="27" t="str">
        <x:v>都内最大級の水郷景観と広い水面があり、都市ドライブの最後を静かに落とせる。</x:v>
      </x:c>
      <x:c r="G42" s="27" t="str">
        <x:v>あり・有料</x:v>
      </x:c>
      <x:c r="H42" s="27" t="str">
        <x:v>駐車場 24時間</x:v>
      </x:c>
      <x:c r="I42" s="27" t="n">
        <x:v>4</x:v>
      </x:c>
      <x:c r="J42" s="27" t="n">
        <x:v>3</x:v>
      </x:c>
      <x:c r="K42" s="27" t="str">
        <x:v>夜は園内が広く暗い。駐車場周辺と主要園路に限定し、夏季の虫にも注意。</x:v>
      </x:c>
      <x:c r="L42" s="28" t="n">
        <x:v>46232</x:v>
      </x:c>
      <x:c r="M42" s="27" t="str">
        <x:v>一次確認済</x:v>
      </x:c>
      <x:c r="N42" s="27" t="str">
        <x:v>https://www.tokyo-park.or.jp/park/mizumoto/index.html</x:v>
      </x:c>
      <x:c r="O42" s="27" t="str">
        <x:v>水元公園は都内では珍しい水郷景観を持ち、かつての遊水地・ため池の環境を生かしている。</x:v>
      </x:c>
      <x:c r="P42" s="49" t="e">
        <x:f>HYPERLINK("https://ja.wikipedia.org/wiki/Special:Search?search=%E6%B0%B4%E5%85%83%E5%85%AC%E5%9C%92","Wikipedia・関連項目")</x:f>
      </x:c>
      <x:c r="R42" t="str">
        <x:v>35km超</x:v>
      </x:c>
      <x:c r="S42" t="str">
        <x:v>概ね35km超</x:v>
      </x:c>
      <x:c r="T42" t="str">
        <x:v>通常90分超</x:v>
      </x:c>
      <x:c r="U42" t="str">
        <x:v>水辺</x:v>
      </x:c>
      <x:c r="V42" t="str">
        <x:v>30〜90分</x:v>
      </x:c>
      <x:c r="W42" t="n">
        <x:v>1</x:v>
      </x:c>
      <x:c r="X42" t="n">
        <x:v>1</x:v>
      </x:c>
      <x:c r="Y42" t="str">
        <x:v>多摩川浅間神社</x:v>
      </x:c>
      <x:c r="Z42" t="str">
        <x:v>多摩川六郷橋緑地／多摩川ガス橋緑地</x:v>
      </x:c>
      <x:c r="AA42" s="22" t="str">
        <x:v>なし</x:v>
      </x:c>
      <x:c r="AB42" s="22" t="str">
        <x:v>-</x:v>
      </x:c>
      <x:c r="AC42" s="22" t="str"/>
      <x:c r="AD42" s="22" t="str">
        <x:v>専用・路外駐車を基本</x:v>
      </x:c>
      <x:c r="AE42" s="22" t="str"/>
    </x:row>
    <x:row r="43">
      <x:c r="A43" s="27" t="str">
        <x:v>D042</x:v>
      </x:c>
      <x:c r="B43" s="27" t="str">
        <x:v>舎人公園</x:v>
      </x:c>
      <x:c r="C43" s="27" t="str">
        <x:v>足立区・舎人</x:v>
      </x:c>
      <x:c r="D43" s="27" t="str">
        <x:v>池・公園・夜間休憩</x:v>
      </x:c>
      <x:c r="E43" s="49" t="e">
        <x:f>HYPERLINK("https://www.google.com/maps/dir/?api=1&amp;destination=%E8%88%8E%E4%BA%BA%E5%85%AC%E5%9C%92&amp;travelmode=driving","現在地からナビ開始")</x:f>
      </x:c>
      <x:c r="F43" s="27" t="str">
        <x:v>広い公園と池、複数の24時間駐車場があり、北東京方面の夜間Endingとして安定する。</x:v>
      </x:c>
      <x:c r="G43" s="27" t="str">
        <x:v>あり・有料</x:v>
      </x:c>
      <x:c r="H43" s="27" t="str">
        <x:v>第一～第三駐車場 24時間</x:v>
      </x:c>
      <x:c r="I43" s="27" t="n">
        <x:v>4</x:v>
      </x:c>
      <x:c r="J43" s="27" t="n">
        <x:v>3</x:v>
      </x:c>
      <x:c r="K43" s="27" t="str">
        <x:v>イベント時と週末は混雑。満車時の路上入庫待ちは不可。</x:v>
      </x:c>
      <x:c r="L43" s="28" t="n">
        <x:v>46232</x:v>
      </x:c>
      <x:c r="M43" s="27" t="str">
        <x:v>一次確認済</x:v>
      </x:c>
      <x:c r="N43" s="27" t="str">
        <x:v>https://www.tokyo-park.or.jp/park/toneri/index.html</x:v>
      </x:c>
      <x:c r="O43" s="27" t="str">
        <x:v>舎人公園は大規模な防災公園として計画され、震災時には避難・救援活動の拠点となる。</x:v>
      </x:c>
      <x:c r="P43" s="49" t="e">
        <x:f>HYPERLINK("https://ja.wikipedia.org/wiki/Special:Search?search=%E8%88%8E%E4%BA%BA%E5%85%AC%E5%9C%92","Wikipedia・関連項目")</x:f>
      </x:c>
      <x:c r="R43" t="str">
        <x:v>35km超</x:v>
      </x:c>
      <x:c r="S43" t="str">
        <x:v>概ね35km超</x:v>
      </x:c>
      <x:c r="T43" t="str">
        <x:v>通常90分超</x:v>
      </x:c>
      <x:c r="U43" t="str">
        <x:v>水辺</x:v>
      </x:c>
      <x:c r="V43" t="str">
        <x:v>30〜90分</x:v>
      </x:c>
      <x:c r="W43" t="n">
        <x:v>1</x:v>
      </x:c>
      <x:c r="X43" t="n">
        <x:v>1</x:v>
      </x:c>
      <x:c r="Y43" t="str">
        <x:v>多摩川浅間神社</x:v>
      </x:c>
      <x:c r="Z43" t="str">
        <x:v>多摩川六郷橋緑地／多摩川ガス橋緑地</x:v>
      </x:c>
      <x:c r="AA43" s="22" t="str">
        <x:v>なし</x:v>
      </x:c>
      <x:c r="AB43" s="22" t="str">
        <x:v>-</x:v>
      </x:c>
      <x:c r="AC43" s="22" t="str"/>
      <x:c r="AD43" s="22" t="str">
        <x:v>専用・路外駐車を基本</x:v>
      </x:c>
      <x:c r="AE43" s="22" t="str"/>
    </x:row>
    <x:row r="44">
      <x:c r="A44" s="27" t="str">
        <x:v>D043</x:v>
      </x:c>
      <x:c r="B44" s="27" t="str">
        <x:v>浮間公園</x:v>
      </x:c>
      <x:c r="C44" s="27" t="str">
        <x:v>板橋区・北区</x:v>
      </x:c>
      <x:c r="D44" s="27" t="str">
        <x:v>池・風車・夜間休憩</x:v>
      </x:c>
      <x:c r="E44" s="49" t="e">
        <x:f>HYPERLINK("https://www.google.com/maps/dir/?api=1&amp;destination=%E6%B5%AE%E9%96%93%E5%85%AC%E5%9C%92&amp;travelmode=driving","現在地からナビ開始")</x:f>
      </x:c>
      <x:c r="F44" s="27" t="str">
        <x:v>大きな池と風車のある景観がコンパクトにまとまり、短時間の静かな終点に向く。</x:v>
      </x:c>
      <x:c r="G44" s="27" t="str">
        <x:v>あり・35台・有料</x:v>
      </x:c>
      <x:c r="H44" s="27" t="str">
        <x:v>駐車場 24時間</x:v>
      </x:c>
      <x:c r="I44" s="27" t="n">
        <x:v>4</x:v>
      </x:c>
      <x:c r="J44" s="27" t="n">
        <x:v>4</x:v>
      </x:c>
      <x:c r="K44" s="27" t="str">
        <x:v>駐車台数が少ない。大型車不可。住宅地に近いため静粛に。</x:v>
      </x:c>
      <x:c r="L44" s="28" t="n">
        <x:v>46232</x:v>
      </x:c>
      <x:c r="M44" s="27" t="str">
        <x:v>一次確認済</x:v>
      </x:c>
      <x:c r="N44" s="27" t="str">
        <x:v>https://www.tokyo-park.or.jp/park/ukima/index.html</x:v>
      </x:c>
      <x:c r="O44" s="27" t="str">
        <x:v>浮間ヶ池は荒川の旧流路の一部で、公園の風車はオランダ風の景観をつくる象徴になっている。</x:v>
      </x:c>
      <x:c r="P44" s="49" t="e">
        <x:f>HYPERLINK("https://ja.wikipedia.org/wiki/Special:Search?search=%E6%B5%AE%E9%96%93%E5%85%AC%E5%9C%92","Wikipedia・関連項目")</x:f>
      </x:c>
      <x:c r="R44" t="str">
        <x:v>35km超</x:v>
      </x:c>
      <x:c r="S44" t="str">
        <x:v>概ね35km超</x:v>
      </x:c>
      <x:c r="T44" t="str">
        <x:v>通常90分超</x:v>
      </x:c>
      <x:c r="U44" t="str">
        <x:v>水辺</x:v>
      </x:c>
      <x:c r="V44" t="str">
        <x:v>30〜60分</x:v>
      </x:c>
      <x:c r="W44" t="n">
        <x:v>2</x:v>
      </x:c>
      <x:c r="X44" t="n">
        <x:v>1</x:v>
      </x:c>
      <x:c r="Y44" t="str">
        <x:v>多摩川浅間神社</x:v>
      </x:c>
      <x:c r="Z44" t="str">
        <x:v>多摩川六郷橋緑地／多摩川ガス橋緑地</x:v>
      </x:c>
      <x:c r="AA44" s="22" t="str">
        <x:v>なし</x:v>
      </x:c>
      <x:c r="AB44" s="22" t="str">
        <x:v>-</x:v>
      </x:c>
      <x:c r="AC44" s="22" t="str"/>
      <x:c r="AD44" s="22" t="str">
        <x:v>専用・路外駐車を基本</x:v>
      </x:c>
      <x:c r="AE44" s="22" t="str"/>
    </x:row>
    <x:row r="45">
      <x:c r="A45" s="27" t="str">
        <x:v>D044</x:v>
      </x:c>
      <x:c r="B45" s="27" t="str">
        <x:v>桜ヶ丘公園 ゆうひの丘</x:v>
      </x:c>
      <x:c r="C45" s="27" t="str">
        <x:v>多摩市・連光寺</x:v>
      </x:c>
      <x:c r="D45" s="27" t="str">
        <x:v>高台・夕景・夜景</x:v>
      </x:c>
      <x:c r="E45" s="49" t="e">
        <x:f>HYPERLINK("https://www.google.com/maps/dir/?api=1&amp;destination=%E6%A1%9C%E3%83%B6%E4%B8%98%E5%85%AC%E5%9C%92%20%E3%82%86%E3%81%86%E3%81%B2%E3%81%AE%E4%B8%98&amp;travelmode=driving","現在地からナビ開始")</x:f>
      </x:c>
      <x:c r="F45" s="27" t="str">
        <x:v>多摩丘陵から市街地を見下ろす夕景が強く、都心湾岸とは別系統の高台Endingになる。</x:v>
      </x:c>
      <x:c r="G45" s="27" t="str">
        <x:v>あり・無料・約38台</x:v>
      </x:c>
      <x:c r="H45" s="27" t="str">
        <x:v>ゆうひの丘側 8:45～20:00</x:v>
      </x:c>
      <x:c r="I45" s="27" t="n">
        <x:v>4</x:v>
      </x:c>
      <x:c r="J45" s="27" t="n">
        <x:v>4</x:v>
      </x:c>
      <x:c r="K45" s="27" t="str">
        <x:v>20時に夜間閉鎖。台数が少なく、公道での入庫待ちは不可。</x:v>
      </x:c>
      <x:c r="L45" s="28" t="n">
        <x:v>46232</x:v>
      </x:c>
      <x:c r="M45" s="27" t="str">
        <x:v>一次確認済</x:v>
      </x:c>
      <x:c r="N45" s="27" t="str">
        <x:v>https://www.tokyo-park.or.jp/park/sakuragaoka/index.html</x:v>
      </x:c>
      <x:c r="O45" s="27" t="str">
        <x:v>ゆうひの丘は多摩丘陵の高低差を生かした展望地で、テレビドラマや映像作品のロケ地としても使われてきた。</x:v>
      </x:c>
      <x:c r="P45" s="49" t="e">
        <x:f>HYPERLINK("https://ja.wikipedia.org/wiki/Special:Search?search=%E6%A1%9C%E3%83%B6%E4%B8%98%E5%85%AC%E5%9C%92%20%E3%82%86%E3%81%86%E3%81%B2%E3%81%AE%E4%B8%98","Wikipedia・関連項目")</x:f>
      </x:c>
      <x:c r="R45" t="str">
        <x:v>20〜25km</x:v>
      </x:c>
      <x:c r="S45" t="str">
        <x:v>概ね20〜25km</x:v>
      </x:c>
      <x:c r="T45" t="str">
        <x:v>通常40〜70分</x:v>
      </x:c>
      <x:c r="U45" t="str">
        <x:v>平日夜・深夜</x:v>
      </x:c>
      <x:c r="V45" t="str">
        <x:v>30〜60分</x:v>
      </x:c>
      <x:c r="W45" t="n">
        <x:v>1</x:v>
      </x:c>
      <x:c r="X45" t="n">
        <x:v>3</x:v>
      </x:c>
      <x:c r="Y45" t="str">
        <x:v>羽田空港 第3ターミナル展望デッキ</x:v>
      </x:c>
      <x:c r="Z45" t="str">
        <x:v>城南島海浜公園／潮風公園</x:v>
      </x:c>
      <x:c r="AA45" s="22" t="str">
        <x:v>なし</x:v>
      </x:c>
      <x:c r="AB45" s="22" t="str">
        <x:v>-</x:v>
      </x:c>
      <x:c r="AC45" s="22" t="str"/>
      <x:c r="AD45" s="22" t="str">
        <x:v>専用・路外駐車を基本</x:v>
      </x:c>
      <x:c r="AE45" s="22" t="str"/>
    </x:row>
    <x:row r="46">
      <x:c r="A46" s="27" t="str">
        <x:v>D045</x:v>
      </x:c>
      <x:c r="B46" s="27" t="str">
        <x:v>汐入公園</x:v>
      </x:c>
      <x:c r="C46" s="27" t="str">
        <x:v>荒川区・南千住</x:v>
      </x:c>
      <x:c r="D46" s="27" t="str">
        <x:v>河川・橋・都市夜景</x:v>
      </x:c>
      <x:c r="E46" s="49" t="e">
        <x:f>HYPERLINK("https://www.google.com/maps/dir/?api=1&amp;destination=%E6%B1%90%E5%85%A5%E5%85%AC%E5%9C%92&amp;travelmode=driving","現在地からナビ開始")</x:f>
      </x:c>
      <x:c r="F46" s="27" t="str">
        <x:v>隅田川沿いの開放感と橋・高層住宅の灯りがあり、都心北東側の河川Endingになる。</x:v>
      </x:c>
      <x:c r="G46" s="27" t="str">
        <x:v>あり・有料</x:v>
      </x:c>
      <x:c r="H46" s="27" t="str">
        <x:v>第二駐車場 24時間</x:v>
      </x:c>
      <x:c r="I46" s="27" t="n">
        <x:v>4</x:v>
      </x:c>
      <x:c r="J46" s="27" t="n">
        <x:v>4</x:v>
      </x:c>
      <x:c r="K46" s="27" t="str">
        <x:v>住宅地に近い。深夜の騒音や長時間滞在を避ける。</x:v>
      </x:c>
      <x:c r="L46" s="28" t="n">
        <x:v>46232</x:v>
      </x:c>
      <x:c r="M46" s="27" t="str">
        <x:v>一次確認済</x:v>
      </x:c>
      <x:c r="N46" s="27" t="str">
        <x:v>https://www.tokyo-park.or.jp/park/shioiri/index.html</x:v>
      </x:c>
      <x:c r="O46" s="27" t="str">
        <x:v>汐入地区は隅田川沿いの工場地帯から大規模住宅地・公園へ再開発された地域である。</x:v>
      </x:c>
      <x:c r="P46" s="49" t="e">
        <x:f>HYPERLINK("https://ja.wikipedia.org/wiki/Special:Search?search=%E6%B1%90%E5%85%A5%E5%85%AC%E5%9C%92","Wikipedia・関連項目")</x:f>
      </x:c>
      <x:c r="R46" t="str">
        <x:v>35km超</x:v>
      </x:c>
      <x:c r="S46" t="str">
        <x:v>概ね35km超</x:v>
      </x:c>
      <x:c r="T46" t="str">
        <x:v>通常90分超</x:v>
      </x:c>
      <x:c r="U46" t="str">
        <x:v>水辺</x:v>
      </x:c>
      <x:c r="V46" t="str">
        <x:v>30〜60分</x:v>
      </x:c>
      <x:c r="W46" t="n">
        <x:v>1</x:v>
      </x:c>
      <x:c r="X46" t="n">
        <x:v>3</x:v>
      </x:c>
      <x:c r="Y46" t="str">
        <x:v>多摩川浅間神社</x:v>
      </x:c>
      <x:c r="Z46" t="str">
        <x:v>多摩川六郷橋緑地／多摩川ガス橋緑地</x:v>
      </x:c>
      <x:c r="AA46" s="22" t="str">
        <x:v>なし</x:v>
      </x:c>
      <x:c r="AB46" s="22" t="str">
        <x:v>-</x:v>
      </x:c>
      <x:c r="AC46" s="22" t="str"/>
      <x:c r="AD46" s="22" t="str">
        <x:v>専用・路外駐車を基本</x:v>
      </x:c>
      <x:c r="AE46" s="22" t="str"/>
    </x:row>
    <x:row r="47">
      <x:c r="A47" s="27" t="str">
        <x:v>D046</x:v>
      </x:c>
      <x:c r="B47" s="27" t="str">
        <x:v>彩湖・道満グリーンパーク</x:v>
      </x:c>
      <x:c r="C47" s="27" t="str">
        <x:v>戸田市・彩湖</x:v>
      </x:c>
      <x:c r="D47" s="27" t="str">
        <x:v>湖・河川敷・空の広さ</x:v>
      </x:c>
      <x:c r="E47" s="49" t="e">
        <x:f>HYPERLINK("https://www.google.com/maps/dir/?api=1&amp;destination=%E5%BD%A9%E6%B9%96%E3%83%BB%E9%81%93%E6%BA%80%E3%82%B0%E3%83%AA%E3%83%BC%E3%83%B3%E3%83%91%E3%83%BC%E3%82%AF&amp;travelmode=driving","現在地からナビ開始")</x:f>
      </x:c>
      <x:c r="F47" s="27" t="str">
        <x:v>荒川調節池の大きな水面と空の広さがあり、首都圏で非都市的な余白を味わえる。</x:v>
      </x:c>
      <x:c r="G47" s="27" t="str">
        <x:v>あり・有料</x:v>
      </x:c>
      <x:c r="H47" s="27" t="str">
        <x:v>4～10月 7:30～18:30／11～3月 7:30～17:30</x:v>
      </x:c>
      <x:c r="I47" s="27" t="n">
        <x:v>2</x:v>
      </x:c>
      <x:c r="J47" s="27" t="n">
        <x:v>4</x:v>
      </x:c>
      <x:c r="K47" s="27" t="str">
        <x:v>閉門後は出庫できない可能性がある。洪水・強風・イベント時の閉鎖に注意。</x:v>
      </x:c>
      <x:c r="L47" s="28" t="n">
        <x:v>46232</x:v>
      </x:c>
      <x:c r="M47" s="27" t="str">
        <x:v>一次確認済</x:v>
      </x:c>
      <x:c r="N47" s="27" t="str">
        <x:v>https://saikobase.com/park/</x:v>
      </x:c>
      <x:c r="O47" s="27" t="str">
        <x:v>彩湖は荒川第一調節池の中に造られた人工湖で、洪水時には首都圏を守る治水施設として働く。</x:v>
      </x:c>
      <x:c r="P47" s="49" t="e">
        <x:f>HYPERLINK("https://ja.wikipedia.org/wiki/Special:Search?search=%E5%BD%A9%E6%B9%96%E3%83%BB%E9%81%93%E6%BA%80%E3%82%B0%E3%83%AA%E3%83%BC%E3%83%B3%E3%83%91%E3%83%BC%E3%82%AF","Wikipedia・関連項目")</x:f>
      </x:c>
      <x:c r="R47" t="str">
        <x:v>35km超</x:v>
      </x:c>
      <x:c r="S47" t="str">
        <x:v>概ね35km超</x:v>
      </x:c>
      <x:c r="T47" t="str">
        <x:v>通常90分超</x:v>
      </x:c>
      <x:c r="U47" t="str">
        <x:v>水辺</x:v>
      </x:c>
      <x:c r="V47" t="str">
        <x:v>30〜90分</x:v>
      </x:c>
      <x:c r="W47" t="n">
        <x:v>1</x:v>
      </x:c>
      <x:c r="X47" t="n">
        <x:v>1</x:v>
      </x:c>
      <x:c r="Y47" t="str">
        <x:v>多摩川浅間神社</x:v>
      </x:c>
      <x:c r="Z47" t="str">
        <x:v>多摩川六郷橋緑地／多摩川ガス橋緑地</x:v>
      </x:c>
      <x:c r="AA47" s="22" t="str">
        <x:v>なし</x:v>
      </x:c>
      <x:c r="AB47" s="22" t="str">
        <x:v>-</x:v>
      </x:c>
      <x:c r="AC47" s="22" t="str"/>
      <x:c r="AD47" s="22" t="str">
        <x:v>専用・路外駐車を基本</x:v>
      </x:c>
      <x:c r="AE47" s="22" t="str"/>
    </x:row>
    <x:row r="48">
      <x:c r="A48" s="27" t="str">
        <x:v>D047</x:v>
      </x:c>
      <x:c r="B48" s="27" t="str">
        <x:v>秋ヶ瀬公園</x:v>
      </x:c>
      <x:c r="C48" s="27" t="str">
        <x:v>さいたま市・桜区</x:v>
      </x:c>
      <x:c r="D48" s="27" t="str">
        <x:v>河川敷・森林・広大公園</x:v>
      </x:c>
      <x:c r="E48" s="49" t="e">
        <x:f>HYPERLINK("https://www.google.com/maps/dir/?api=1&amp;destination=%E7%A7%8B%E3%83%B6%E7%80%AC%E5%85%AC%E5%9C%92&amp;travelmode=driving","現在地からナビ開始")</x:f>
      </x:c>
      <x:c r="F48" s="27" t="str">
        <x:v>荒川河川敷の広大な平地と林があり、昼のロングドライブを静かに終えられる。</x:v>
      </x:c>
      <x:c r="G48" s="27" t="str">
        <x:v>あり・977台・無料</x:v>
      </x:c>
      <x:c r="H48" s="27" t="str">
        <x:v>開園 5:00～19:00</x:v>
      </x:c>
      <x:c r="I48" s="27" t="n">
        <x:v>2</x:v>
      </x:c>
      <x:c r="J48" s="27" t="n">
        <x:v>4</x:v>
      </x:c>
      <x:c r="K48" s="27" t="str">
        <x:v>洪水・積雪等で閉鎖あり。19時閉門。車の撮影・整備目的での占有は不可。</x:v>
      </x:c>
      <x:c r="L48" s="28" t="n">
        <x:v>46232</x:v>
      </x:c>
      <x:c r="M48" s="27" t="str">
        <x:v>一次確認済</x:v>
      </x:c>
      <x:c r="N48" s="27" t="str">
        <x:v>https://www.parks.or.jp/akigase/guide/002/002868.html</x:v>
      </x:c>
      <x:c r="O48" s="27" t="str">
        <x:v>秋ヶ瀬公園は荒川の広大な河川敷に造られ、普段は公園、増水時は洪水を受け止める空間になる。</x:v>
      </x:c>
      <x:c r="P48" s="49" t="e">
        <x:f>HYPERLINK("https://ja.wikipedia.org/wiki/Special:Search?search=%E7%A7%8B%E3%83%B6%E7%80%AC%E5%85%AC%E5%9C%92","Wikipedia・関連項目")</x:f>
      </x:c>
      <x:c r="R48" t="str">
        <x:v>35km超</x:v>
      </x:c>
      <x:c r="S48" t="str">
        <x:v>概ね35km超</x:v>
      </x:c>
      <x:c r="T48" t="str">
        <x:v>通常90分超</x:v>
      </x:c>
      <x:c r="U48" t="str">
        <x:v>水辺</x:v>
      </x:c>
      <x:c r="V48" t="str">
        <x:v>30〜90分</x:v>
      </x:c>
      <x:c r="W48" t="n">
        <x:v>1</x:v>
      </x:c>
      <x:c r="X48" t="n">
        <x:v>1</x:v>
      </x:c>
      <x:c r="Y48" t="str">
        <x:v>多摩川浅間神社</x:v>
      </x:c>
      <x:c r="Z48" t="str">
        <x:v>多摩川六郷橋緑地／多摩川ガス橋緑地</x:v>
      </x:c>
      <x:c r="AA48" s="22" t="str">
        <x:v>なし</x:v>
      </x:c>
      <x:c r="AB48" s="22" t="str">
        <x:v>-</x:v>
      </x:c>
      <x:c r="AC48" s="22" t="str"/>
      <x:c r="AD48" s="22" t="str">
        <x:v>専用・路外駐車を基本</x:v>
      </x:c>
      <x:c r="AE48" s="22" t="str"/>
    </x:row>
    <x:row r="49">
      <x:c r="A49" s="27" t="str">
        <x:v>D048</x:v>
      </x:c>
      <x:c r="B49" s="27" t="str">
        <x:v>みさと公園</x:v>
      </x:c>
      <x:c r="C49" s="27" t="str">
        <x:v>三郷市・高州</x:v>
      </x:c>
      <x:c r="D49" s="27" t="str">
        <x:v>水辺・公園・展望</x:v>
      </x:c>
      <x:c r="E49" s="49" t="e">
        <x:f>HYPERLINK("https://www.google.com/maps/dir/?api=1&amp;destination=%E3%81%BF%E3%81%95%E3%81%A8%E5%85%AC%E5%9C%92&amp;travelmode=driving","現在地からナビ開始")</x:f>
      </x:c>
      <x:c r="F49" s="27" t="str">
        <x:v>水元公園と向かい合う水辺空間で、池越しの緑と展望台を楽しめる。</x:v>
      </x:c>
      <x:c r="G49" s="27" t="str">
        <x:v>あり・有料</x:v>
      </x:c>
      <x:c r="H49" s="27" t="str">
        <x:v>第2駐車場 24時間</x:v>
      </x:c>
      <x:c r="I49" s="27" t="n">
        <x:v>4</x:v>
      </x:c>
      <x:c r="J49" s="27" t="n">
        <x:v>4</x:v>
      </x:c>
      <x:c r="K49" s="27" t="str">
        <x:v>第1駐車場は季節時間制。夜は第2駐車場利用を前提にする。</x:v>
      </x:c>
      <x:c r="L49" s="28" t="n">
        <x:v>46232</x:v>
      </x:c>
      <x:c r="M49" s="27" t="str">
        <x:v>一次確認済</x:v>
      </x:c>
      <x:c r="N49" s="27" t="str">
        <x:v>https://www.seibu-la.co.jp/misato-yoshikawa/facility/misato.html</x:v>
      </x:c>
      <x:c r="O49" s="27" t="str">
        <x:v>みさと公園と水元公園は小合溜を挟んで向かい合い、県境を越えて一つの水郷景観を形成する。</x:v>
      </x:c>
      <x:c r="P49" s="49" t="e">
        <x:f>HYPERLINK("https://ja.wikipedia.org/wiki/Special:Search?search=%E3%81%BF%E3%81%95%E3%81%A8%E5%85%AC%E5%9C%92","Wikipedia・関連項目")</x:f>
      </x:c>
      <x:c r="R49" t="str">
        <x:v>35km超</x:v>
      </x:c>
      <x:c r="S49" t="str">
        <x:v>概ね35km超</x:v>
      </x:c>
      <x:c r="T49" t="str">
        <x:v>通常90分超</x:v>
      </x:c>
      <x:c r="U49" t="str">
        <x:v>平日夜・深夜</x:v>
      </x:c>
      <x:c r="V49" t="str">
        <x:v>30〜60分</x:v>
      </x:c>
      <x:c r="W49" t="n">
        <x:v>1</x:v>
      </x:c>
      <x:c r="X49" t="n">
        <x:v>1</x:v>
      </x:c>
      <x:c r="Y49" t="str">
        <x:v>平和の森公園</x:v>
      </x:c>
      <x:c r="Z49" t="str">
        <x:v>大森ふるさとの浜辺公園／森ケ崎公園</x:v>
      </x:c>
      <x:c r="AA49" s="22" t="str">
        <x:v>なし</x:v>
      </x:c>
      <x:c r="AB49" s="22" t="str">
        <x:v>-</x:v>
      </x:c>
      <x:c r="AC49" s="22" t="str"/>
      <x:c r="AD49" s="22" t="str">
        <x:v>専用・路外駐車を基本</x:v>
      </x:c>
      <x:c r="AE49" s="22" t="str"/>
    </x:row>
    <x:row r="50">
      <x:c r="A50" s="27" t="str">
        <x:v>D049</x:v>
      </x:c>
      <x:c r="B50" s="27" t="str">
        <x:v>県営権現堂公園・権現堂桜堤</x:v>
      </x:c>
      <x:c r="C50" s="27" t="str">
        <x:v>幸手市・内国府間</x:v>
      </x:c>
      <x:c r="D50" s="27" t="str">
        <x:v>堤・花・河川景観</x:v>
      </x:c>
      <x:c r="E50" s="49" t="e">
        <x:f>HYPERLINK("https://www.google.com/maps/dir/?api=1&amp;destination=%E7%9C%8C%E5%96%B6%E6%A8%A9%E7%8F%BE%E5%A0%82%E5%85%AC%E5%9C%92%E3%83%BB%E6%A8%A9%E7%8F%BE%E5%A0%82%E6%A1%9C%E5%A0%A4&amp;travelmode=driving","現在地からナビ開始")</x:f>
      </x:c>
      <x:c r="F50" s="27" t="str">
        <x:v>長い堤と季節の花が作る明確な到達景観があり、春以外も河川沿いの終点になる。</x:v>
      </x:c>
      <x:c r="G50" s="27" t="str">
        <x:v>あり・通常無料</x:v>
      </x:c>
      <x:c r="H50" s="27" t="str">
        <x:v>4～8月 8:30～19:00／3・9月 ～18:00／10～2月 ～17:00</x:v>
      </x:c>
      <x:c r="I50" s="27" t="n">
        <x:v>1</x:v>
      </x:c>
      <x:c r="J50" s="27" t="n">
        <x:v>3</x:v>
      </x:c>
      <x:c r="K50" s="27" t="str">
        <x:v>桜まつり時は有料・大混雑。季節別閉鎖時刻を厳守。</x:v>
      </x:c>
      <x:c r="L50" s="28" t="n">
        <x:v>46232</x:v>
      </x:c>
      <x:c r="M50" s="27" t="str">
        <x:v>一次確認済</x:v>
      </x:c>
      <x:c r="N50" s="27" t="str">
        <x:v>https://gongendo.jp/access/</x:v>
      </x:c>
      <x:c r="O50" s="27" t="str">
        <x:v>権現堂堤は利根川水系の治水史と結び付く堤防で、現在は桜と菜の花の名所として知られる。</x:v>
      </x:c>
      <x:c r="P50" s="49" t="e">
        <x:f>HYPERLINK("https://ja.wikipedia.org/wiki/Special:Search?search=%E7%9C%8C%E5%96%B6%E6%A8%A9%E7%8F%BE%E5%A0%82%E5%85%AC%E5%9C%92%E3%83%BB%E6%A8%A9%E7%8F%BE%E5%A0%82%E6%A1%9C%E5%A0%A4","Wikipedia・関連項目")</x:f>
      </x:c>
      <x:c r="R50" t="str">
        <x:v>35km超</x:v>
      </x:c>
      <x:c r="S50" t="str">
        <x:v>概ね35km超</x:v>
      </x:c>
      <x:c r="T50" t="str">
        <x:v>通常90分超</x:v>
      </x:c>
      <x:c r="U50" t="str">
        <x:v>水辺</x:v>
      </x:c>
      <x:c r="V50" t="str">
        <x:v>30〜90分</x:v>
      </x:c>
      <x:c r="W50" t="n">
        <x:v>1</x:v>
      </x:c>
      <x:c r="X50" t="n">
        <x:v>1</x:v>
      </x:c>
      <x:c r="Y50" t="str">
        <x:v>多摩川浅間神社</x:v>
      </x:c>
      <x:c r="Z50" t="str">
        <x:v>多摩川六郷橋緑地／多摩川ガス橋緑地</x:v>
      </x:c>
      <x:c r="AA50" s="22" t="str">
        <x:v>なし</x:v>
      </x:c>
      <x:c r="AB50" s="22" t="str">
        <x:v>-</x:v>
      </x:c>
      <x:c r="AC50" s="22" t="str"/>
      <x:c r="AD50" s="22" t="str">
        <x:v>専用・路外駐車を基本</x:v>
      </x:c>
      <x:c r="AE50" s="22" t="str"/>
    </x:row>
    <x:row r="51">
      <x:c r="A51" s="27" t="str">
        <x:v>D050</x:v>
      </x:c>
      <x:c r="B51" s="27" t="str">
        <x:v>千葉ポートパーク</x:v>
      </x:c>
      <x:c r="C51" s="27" t="str">
        <x:v>千葉市・中央港</x:v>
      </x:c>
      <x:c r="D51" s="27" t="str">
        <x:v>港・人工海浜・展望塔</x:v>
      </x:c>
      <x:c r="E51" s="49" t="e">
        <x:f>HYPERLINK("https://www.google.com/maps/dir/?api=1&amp;destination=%E5%8D%83%E8%91%89%E3%83%9D%E3%83%BC%E3%83%88%E3%83%91%E3%83%BC%E3%82%AF&amp;travelmode=driving","現在地からナビ開始")</x:f>
      </x:c>
      <x:c r="F51" s="27" t="str">
        <x:v>人工海浜と港、ポートタワーを組み合わせ、千葉湾岸の象徴的Endingになる。</x:v>
      </x:c>
      <x:c r="G51" s="27" t="str">
        <x:v>あり・約250台・無料</x:v>
      </x:c>
      <x:c r="H51" s="27" t="str">
        <x:v>6～9月 9:00～21:00／10～5月 9:00～19:00</x:v>
      </x:c>
      <x:c r="I51" s="27" t="n">
        <x:v>4</x:v>
      </x:c>
      <x:c r="J51" s="27" t="n">
        <x:v>2</x:v>
      </x:c>
      <x:c r="K51" s="27" t="str">
        <x:v>施錠30分前が入場目安。イベント時は時間変更や規制あり。</x:v>
      </x:c>
      <x:c r="L51" s="28" t="n">
        <x:v>46232</x:v>
      </x:c>
      <x:c r="M51" s="27" t="str">
        <x:v>一次確認済</x:v>
      </x:c>
      <x:c r="N51" s="27" t="str">
        <x:v>https://www.pref.chiba.lg.jp/cs-chiba-k/kankou/chiba.html</x:v>
      </x:c>
      <x:c r="O51" s="27" t="str">
        <x:v>千葉ポートタワーは千葉県人口500万人突破を記念して1986年に建設された。</x:v>
      </x:c>
      <x:c r="P51" s="49" t="e">
        <x:f>HYPERLINK("https://ja.wikipedia.org/wiki/Special:Search?search=%E5%8D%83%E8%91%89%E3%83%9D%E3%83%BC%E3%83%88%E3%83%91%E3%83%BC%E3%82%AF","Wikipedia・関連項目")</x:f>
      </x:c>
      <x:c r="R51" t="str">
        <x:v>35km超</x:v>
      </x:c>
      <x:c r="S51" t="str">
        <x:v>概ね35km超</x:v>
      </x:c>
      <x:c r="T51" t="str">
        <x:v>通常90分超</x:v>
      </x:c>
      <x:c r="U51" t="str">
        <x:v>海・港</x:v>
      </x:c>
      <x:c r="V51" t="str">
        <x:v>30〜60分</x:v>
      </x:c>
      <x:c r="W51" t="n">
        <x:v>1</x:v>
      </x:c>
      <x:c r="X51" t="n">
        <x:v>3</x:v>
      </x:c>
      <x:c r="Y51" t="str">
        <x:v>城南島海浜公園</x:v>
      </x:c>
      <x:c r="Z51" t="str">
        <x:v>潮風公園／晴海ふ頭公園</x:v>
      </x:c>
      <x:c r="AA51" s="22" t="str">
        <x:v>なし</x:v>
      </x:c>
      <x:c r="AB51" s="22" t="str">
        <x:v>-</x:v>
      </x:c>
      <x:c r="AC51" s="22" t="str"/>
      <x:c r="AD51" s="22" t="str">
        <x:v>専用・路外駐車を基本</x:v>
      </x:c>
      <x:c r="AE51" s="22" t="str"/>
    </x:row>
    <x:row r="52">
      <x:c r="A52" s="27" t="str">
        <x:v>D051</x:v>
      </x:c>
      <x:c r="B52" s="27" t="str">
        <x:v>稲毛海浜公園・いなげの浜</x:v>
      </x:c>
      <x:c r="C52" s="27" t="str">
        <x:v>千葉市・美浜区</x:v>
      </x:c>
      <x:c r="D52" s="27" t="str">
        <x:v>人工海浜・夕日・都市海岸</x:v>
      </x:c>
      <x:c r="E52" s="49" t="e">
        <x:f>HYPERLINK("https://www.google.com/maps/dir/?api=1&amp;destination=%E7%A8%B2%E6%AF%9B%E6%B5%B7%E6%B5%9C%E5%85%AC%E5%9C%92%E3%83%BB%E3%81%84%E3%81%AA%E3%81%92%E3%81%AE%E6%B5%9C&amp;travelmode=driving","現在地からナビ開始")</x:f>
      </x:c>
      <x:c r="F52" s="27" t="str">
        <x:v>白い砂浜と東京湾の夕日があり、湾岸道路の先に海辺へ抜ける体験を作れる。</x:v>
      </x:c>
      <x:c r="G52" s="27" t="str">
        <x:v>あり・大規模有料</x:v>
      </x:c>
      <x:c r="H52" s="27" t="str">
        <x:v>第1・第2駐車場 6:00～23:00</x:v>
      </x:c>
      <x:c r="I52" s="27" t="n">
        <x:v>4</x:v>
      </x:c>
      <x:c r="J52" s="27" t="n">
        <x:v>2</x:v>
      </x:c>
      <x:c r="K52" s="27" t="str">
        <x:v>夏季・イベント日は料金体系と混雑が変わる。23時閉鎖。</x:v>
      </x:c>
      <x:c r="L52" s="28" t="n">
        <x:v>46232</x:v>
      </x:c>
      <x:c r="M52" s="27" t="str">
        <x:v>一次確認済</x:v>
      </x:c>
      <x:c r="N52" s="27" t="str">
        <x:v>https://sunsetbeachpark.jp/access/</x:v>
      </x:c>
      <x:c r="O52" s="27" t="str">
        <x:v>いなげの浜は1976年に開設された、日本初の人工海浜とされる。</x:v>
      </x:c>
      <x:c r="P52" s="49" t="e">
        <x:f>HYPERLINK("https://ja.wikipedia.org/wiki/Special:Search?search=%E7%A8%B2%E6%AF%9B%E6%B5%B7%E6%B5%9C%E5%85%AC%E5%9C%92%E3%83%BB%E3%81%84%E3%81%AA%E3%81%92%E3%81%AE%E6%B5%9C","Wikipedia・関連項目")</x:f>
      </x:c>
      <x:c r="R52" t="str">
        <x:v>35km超</x:v>
      </x:c>
      <x:c r="S52" t="str">
        <x:v>概ね35km超</x:v>
      </x:c>
      <x:c r="T52" t="str">
        <x:v>通常90分超</x:v>
      </x:c>
      <x:c r="U52" t="str">
        <x:v>海・港</x:v>
      </x:c>
      <x:c r="V52" t="str">
        <x:v>30〜90分</x:v>
      </x:c>
      <x:c r="W52" t="n">
        <x:v>1</x:v>
      </x:c>
      <x:c r="X52" t="n">
        <x:v>3</x:v>
      </x:c>
      <x:c r="Y52" t="str">
        <x:v>城南島海浜公園</x:v>
      </x:c>
      <x:c r="Z52" t="str">
        <x:v>潮風公園／晴海ふ頭公園</x:v>
      </x:c>
      <x:c r="AA52" s="22" t="str">
        <x:v>なし</x:v>
      </x:c>
      <x:c r="AB52" s="22" t="str">
        <x:v>-</x:v>
      </x:c>
      <x:c r="AC52" s="22" t="str"/>
      <x:c r="AD52" s="22" t="str">
        <x:v>専用・路外駐車を基本</x:v>
      </x:c>
      <x:c r="AE52" s="22" t="str"/>
    </x:row>
    <x:row r="53">
      <x:c r="A53" s="27" t="str">
        <x:v>D052</x:v>
      </x:c>
      <x:c r="B53" s="27" t="str">
        <x:v>袖ケ浦海浜公園</x:v>
      </x:c>
      <x:c r="C53" s="27" t="str">
        <x:v>袖ケ浦市・南袖</x:v>
      </x:c>
      <x:c r="D53" s="27" t="str">
        <x:v>工場夜景・海・展望塔</x:v>
      </x:c>
      <x:c r="E53" s="49" t="e">
        <x:f>HYPERLINK("https://www.google.com/maps/dir/?api=1&amp;destination=%E8%A2%96%E3%82%B1%E6%B5%A6%E6%B5%B7%E6%B5%9C%E5%85%AC%E5%9C%92&amp;travelmode=driving","現在地からナビ開始")</x:f>
      </x:c>
      <x:c r="F53" s="27" t="str">
        <x:v>海沿いの展望塔から東京湾と対岸、工業地帯を見渡せる房総側の工場夜景Ending。</x:v>
      </x:c>
      <x:c r="G53" s="27" t="str">
        <x:v>あり・無料</x:v>
      </x:c>
      <x:c r="H53" s="27" t="str">
        <x:v>駐車場利用時間は当日公式・現地掲示で確認</x:v>
      </x:c>
      <x:c r="I53" s="27" t="n">
        <x:v>4</x:v>
      </x:c>
      <x:c r="J53" s="27" t="n">
        <x:v>5</x:v>
      </x:c>
      <x:c r="K53" s="27" t="str">
        <x:v>公式ページで恒常的な駐車時間が明瞭でない。強風時と夜間の展望塔に注意。</x:v>
      </x:c>
      <x:c r="L53" s="28" t="n">
        <x:v>46232</x:v>
      </x:c>
      <x:c r="M53" s="27" t="str">
        <x:v>当日再確認</x:v>
      </x:c>
      <x:c r="N53" s="27" t="str">
        <x:v>https://www.city.sodegaura.lg.jp/soshiki/toshi/kaihinkouen.html</x:v>
      </x:c>
      <x:c r="O53" s="27" t="str">
        <x:v>袖ケ浦の海岸部は京葉工業地域の一角で、石油・化学・エネルギー施設が東京湾岸に連続する。</x:v>
      </x:c>
      <x:c r="P53" s="49" t="e">
        <x:f>HYPERLINK("https://ja.wikipedia.org/wiki/Special:Search?search=%E8%A2%96%E3%82%B1%E6%B5%A6%E6%B5%B7%E6%B5%9C%E5%85%AC%E5%9C%92","Wikipedia・関連項目")</x:f>
      </x:c>
      <x:c r="R53" t="str">
        <x:v>35km超</x:v>
      </x:c>
      <x:c r="S53" t="str">
        <x:v>概ね35km超</x:v>
      </x:c>
      <x:c r="T53" t="str">
        <x:v>通常90分超</x:v>
      </x:c>
      <x:c r="U53" t="str">
        <x:v>工場夜景</x:v>
      </x:c>
      <x:c r="V53" t="str">
        <x:v>30〜60分</x:v>
      </x:c>
      <x:c r="W53" t="n">
        <x:v>1</x:v>
      </x:c>
      <x:c r="X53" t="n">
        <x:v>4</x:v>
      </x:c>
      <x:c r="Y53" t="str">
        <x:v>川崎マリエン</x:v>
      </x:c>
      <x:c r="Z53" t="str">
        <x:v>東扇島東公園／ちどり公園</x:v>
      </x:c>
      <x:c r="AA53" s="22" t="str">
        <x:v>なし</x:v>
      </x:c>
      <x:c r="AB53" s="22" t="str">
        <x:v>-</x:v>
      </x:c>
      <x:c r="AC53" s="22" t="str"/>
      <x:c r="AD53" s="22" t="str">
        <x:v>専用・路外駐車を基本</x:v>
      </x:c>
      <x:c r="AE53" s="22" t="str"/>
    </x:row>
    <x:row r="54">
      <x:c r="A54" s="27" t="str">
        <x:v>D053</x:v>
      </x:c>
      <x:c r="B54" s="27" t="str">
        <x:v>袖ケ浦公園</x:v>
      </x:c>
      <x:c r="C54" s="27" t="str">
        <x:v>袖ケ浦市・飯富</x:v>
      </x:c>
      <x:c r="D54" s="27" t="str">
        <x:v>池・高台・静かな公園</x:v>
      </x:c>
      <x:c r="E54" s="49" t="e">
        <x:f>HYPERLINK("https://www.google.com/maps/dir/?api=1&amp;destination=%E8%A2%96%E3%82%B1%E6%B5%A6%E5%85%AC%E5%9C%92&amp;travelmode=driving","現在地からナビ開始")</x:f>
      </x:c>
      <x:c r="F54" s="27" t="str">
        <x:v>池と高台、花木があり、アクアライン後の興奮を静かに落とす内陸Endingになる。</x:v>
      </x:c>
      <x:c r="G54" s="27" t="str">
        <x:v>あり・無料</x:v>
      </x:c>
      <x:c r="H54" s="27" t="str">
        <x:v>第1・第2駐車場 24時間</x:v>
      </x:c>
      <x:c r="I54" s="27" t="n">
        <x:v>4</x:v>
      </x:c>
      <x:c r="J54" s="27" t="n">
        <x:v>4</x:v>
      </x:c>
      <x:c r="K54" s="27" t="str">
        <x:v>夜は暗い区域を避ける。駐車場ではアイドリング・騒音禁止。</x:v>
      </x:c>
      <x:c r="L54" s="28" t="n">
        <x:v>46232</x:v>
      </x:c>
      <x:c r="M54" s="27" t="str">
        <x:v>一次確認済</x:v>
      </x:c>
      <x:c r="N54" s="27" t="str">
        <x:v>https://www.park-sodegaura.or.jp/faq_category/faq_category4/</x:v>
      </x:c>
      <x:c r="O54" s="27" t="str">
        <x:v>袖ケ浦公園周辺には郷土博物館や復元住居があり、縄文時代からの地域史に触れられる。</x:v>
      </x:c>
      <x:c r="P54" s="49" t="e">
        <x:f>HYPERLINK("https://ja.wikipedia.org/wiki/Special:Search?search=%E8%A2%96%E3%82%B1%E6%B5%A6%E5%85%AC%E5%9C%92","Wikipedia・関連項目")</x:f>
      </x:c>
      <x:c r="R54" t="str">
        <x:v>35km超</x:v>
      </x:c>
      <x:c r="S54" t="str">
        <x:v>概ね35km超</x:v>
      </x:c>
      <x:c r="T54" t="str">
        <x:v>通常90分超</x:v>
      </x:c>
      <x:c r="U54" t="str">
        <x:v>水辺</x:v>
      </x:c>
      <x:c r="V54" t="str">
        <x:v>30〜90分</x:v>
      </x:c>
      <x:c r="W54" t="n">
        <x:v>1</x:v>
      </x:c>
      <x:c r="X54" t="n">
        <x:v>1</x:v>
      </x:c>
      <x:c r="Y54" t="str">
        <x:v>多摩川浅間神社</x:v>
      </x:c>
      <x:c r="Z54" t="str">
        <x:v>多摩川六郷橋緑地／多摩川ガス橋緑地</x:v>
      </x:c>
      <x:c r="AA54" s="22" t="str">
        <x:v>なし</x:v>
      </x:c>
      <x:c r="AB54" s="22" t="str">
        <x:v>-</x:v>
      </x:c>
      <x:c r="AC54" s="22" t="str"/>
      <x:c r="AD54" s="22" t="str">
        <x:v>専用・路外駐車を基本</x:v>
      </x:c>
      <x:c r="AE54" s="22" t="str"/>
    </x:row>
    <x:row r="55">
      <x:c r="A55" s="27" t="str">
        <x:v>D054</x:v>
      </x:c>
      <x:c r="B55" s="27" t="str">
        <x:v>津久井湖城山公園 水の苑地</x:v>
      </x:c>
      <x:c r="C55" s="27" t="str">
        <x:v>相模原市・緑区</x:v>
      </x:c>
      <x:c r="D55" s="27" t="str">
        <x:v>湖・ダム・高台</x:v>
      </x:c>
      <x:c r="E55" s="49" t="e">
        <x:f>HYPERLINK("https://www.google.com/maps/dir/?api=1&amp;destination=%E6%B4%A5%E4%B9%85%E4%BA%95%E6%B9%96%E5%9F%8E%E5%B1%B1%E5%85%AC%E5%9C%92%20%E6%B0%B4%E3%81%AE%E8%8B%91%E5%9C%B0&amp;travelmode=driving","現在地からナビ開始")</x:f>
      </x:c>
      <x:c r="F55" s="27" t="str">
        <x:v>湖面と山並み、ダム湖沿いの道が一体になり、西側の水辺Endingとして完成度が高い。</x:v>
      </x:c>
      <x:c r="G55" s="27" t="str">
        <x:v>あり・無料</x:v>
      </x:c>
      <x:c r="H55" s="27" t="str">
        <x:v>駐車場 8:00～19:00</x:v>
      </x:c>
      <x:c r="I55" s="27" t="n">
        <x:v>2</x:v>
      </x:c>
      <x:c r="J55" s="27" t="n">
        <x:v>4</x:v>
      </x:c>
      <x:c r="K55" s="27" t="str">
        <x:v>19時閉門。夕方到着では滞在時間を短く見積もる。</x:v>
      </x:c>
      <x:c r="L55" s="28" t="n">
        <x:v>46232</x:v>
      </x:c>
      <x:c r="M55" s="27" t="str">
        <x:v>一次確認済</x:v>
      </x:c>
      <x:c r="N55" s="27" t="str">
        <x:v>https://www.kanagawa-park.or.jp/tsukuikoshiroyama/access.html</x:v>
      </x:c>
      <x:c r="O55" s="27" t="str">
        <x:v>津久井湖は城山ダムの建設で生まれた人造湖で、1965年の完成後、横浜・川崎方面の水源も担ってきた。</x:v>
      </x:c>
      <x:c r="P55" s="49" t="e">
        <x:f>HYPERLINK("https://ja.wikipedia.org/wiki/Special:Search?search=%E6%B4%A5%E4%B9%85%E4%BA%95%E6%B9%96%E5%9F%8E%E5%B1%B1%E5%85%AC%E5%9C%92%20%E6%B0%B4%E3%81%AE%E8%8B%91%E5%9C%B0","Wikipedia・関連項目")</x:f>
      </x:c>
      <x:c r="R55" t="str">
        <x:v>35km超</x:v>
      </x:c>
      <x:c r="S55" t="str">
        <x:v>概ね35km超</x:v>
      </x:c>
      <x:c r="T55" t="str">
        <x:v>通常90分超</x:v>
      </x:c>
      <x:c r="U55" t="str">
        <x:v>水辺</x:v>
      </x:c>
      <x:c r="V55" t="str">
        <x:v>30〜60分</x:v>
      </x:c>
      <x:c r="W55" t="n">
        <x:v>1</x:v>
      </x:c>
      <x:c r="X55" t="n">
        <x:v>1</x:v>
      </x:c>
      <x:c r="Y55" t="str">
        <x:v>多摩川浅間神社</x:v>
      </x:c>
      <x:c r="Z55" t="str">
        <x:v>多摩川六郷橋緑地／多摩川ガス橋緑地</x:v>
      </x:c>
      <x:c r="AA55" s="22" t="str">
        <x:v>なし</x:v>
      </x:c>
      <x:c r="AB55" s="22" t="str">
        <x:v>-</x:v>
      </x:c>
      <x:c r="AC55" s="22" t="str"/>
      <x:c r="AD55" s="22" t="str">
        <x:v>専用・路外駐車を基本</x:v>
      </x:c>
      <x:c r="AE55" s="22" t="str"/>
    </x:row>
    <x:row r="56">
      <x:c r="A56" s="27" t="str">
        <x:v>D055</x:v>
      </x:c>
      <x:c r="B56" s="27" t="str">
        <x:v>七沢森林公園</x:v>
      </x:c>
      <x:c r="C56" s="27" t="str">
        <x:v>厚木市・七沢</x:v>
      </x:c>
      <x:c r="D56" s="27" t="str">
        <x:v>森林・丘陵・橋</x:v>
      </x:c>
      <x:c r="E56" s="49" t="e">
        <x:f>HYPERLINK("https://www.google.com/maps/dir/?api=1&amp;destination=%E4%B8%83%E6%B2%A2%E6%A3%AE%E6%9E%97%E5%85%AC%E5%9C%92&amp;travelmode=driving","現在地からナビ開始")</x:f>
      </x:c>
      <x:c r="F56" s="27" t="str">
        <x:v>都市圏から近いのに深い森と起伏があり、昼のリカバリー系Endingに向く。</x:v>
      </x:c>
      <x:c r="G56" s="27" t="str">
        <x:v>あり・複数</x:v>
      </x:c>
      <x:c r="H56" s="27" t="str">
        <x:v>3～11月 8:30～18:00／12～2月 8:30～17:00</x:v>
      </x:c>
      <x:c r="I56" s="27" t="n">
        <x:v>1</x:v>
      </x:c>
      <x:c r="J56" s="27" t="n">
        <x:v>4</x:v>
      </x:c>
      <x:c r="K56" s="27" t="str">
        <x:v>季節により有料。閉場後は出庫不可。夜間向けではない。</x:v>
      </x:c>
      <x:c r="L56" s="28" t="n">
        <x:v>46232</x:v>
      </x:c>
      <x:c r="M56" s="27" t="str">
        <x:v>一次確認済</x:v>
      </x:c>
      <x:c r="N56" s="27" t="str">
        <x:v>https://www.kanagawa-park.or.jp/nanasawa/access.html</x:v>
      </x:c>
      <x:c r="O56" s="27" t="str">
        <x:v>七沢森林公園の『森のかけはし』は谷を跨ぐ長大なアーチ橋で、公園の象徴になっている。</x:v>
      </x:c>
      <x:c r="P56" s="49" t="e">
        <x:f>HYPERLINK("https://ja.wikipedia.org/wiki/Special:Search?search=%E4%B8%83%E6%B2%A2%E6%A3%AE%E6%9E%97%E5%85%AC%E5%9C%92","Wikipedia・関連項目")</x:f>
      </x:c>
      <x:c r="R56" t="str">
        <x:v>35km超</x:v>
      </x:c>
      <x:c r="S56" t="str">
        <x:v>概ね35km超</x:v>
      </x:c>
      <x:c r="T56" t="str">
        <x:v>通常90分超</x:v>
      </x:c>
      <x:c r="U56" t="str">
        <x:v>休日半日</x:v>
      </x:c>
      <x:c r="V56" t="str">
        <x:v>30〜90分</x:v>
      </x:c>
      <x:c r="W56" t="n">
        <x:v>1</x:v>
      </x:c>
      <x:c r="X56" t="n">
        <x:v>1</x:v>
      </x:c>
      <x:c r="Y56" t="str">
        <x:v>平和の森公園</x:v>
      </x:c>
      <x:c r="Z56" t="str">
        <x:v>大森ふるさとの浜辺公園／森ケ崎公園</x:v>
      </x:c>
      <x:c r="AA56" s="22" t="str">
        <x:v>なし</x:v>
      </x:c>
      <x:c r="AB56" s="22" t="str">
        <x:v>-</x:v>
      </x:c>
      <x:c r="AC56" s="22" t="str"/>
      <x:c r="AD56" s="22" t="str">
        <x:v>専用・路外駐車を基本</x:v>
      </x:c>
      <x:c r="AE56" s="22" t="str"/>
    </x:row>
    <x:row r="57">
      <x:c r="A57" s="27" t="str">
        <x:v>D056</x:v>
      </x:c>
      <x:c r="B57" s="27" t="str">
        <x:v>宮ヶ瀬湖畔園地</x:v>
      </x:c>
      <x:c r="C57" s="27" t="str">
        <x:v>清川村・宮ヶ瀬</x:v>
      </x:c>
      <x:c r="D57" s="27" t="str">
        <x:v>湖・吊り橋・山</x:v>
      </x:c>
      <x:c r="E57" s="49" t="e">
        <x:f>HYPERLINK("https://www.google.com/maps/dir/?api=1&amp;destination=%E5%AE%AE%E3%83%B6%E7%80%AC%E6%B9%96%E7%95%94%E5%9C%92%E5%9C%B0&amp;travelmode=driving","現在地からナビ開始")</x:f>
      </x:c>
      <x:c r="F57" s="27" t="str">
        <x:v>湖、山、吊り橋が揃い、近郊ながら明確な旅行感を得られる。</x:v>
      </x:c>
      <x:c r="G57" s="27" t="str">
        <x:v>あり・普通車334台</x:v>
      </x:c>
      <x:c r="H57" s="27" t="str">
        <x:v>施設・駐車場は概ね 9:00～17:00</x:v>
      </x:c>
      <x:c r="I57" s="27" t="n">
        <x:v>2</x:v>
      </x:c>
      <x:c r="J57" s="27" t="n">
        <x:v>2</x:v>
      </x:c>
      <x:c r="K57" s="27" t="str">
        <x:v>休日・繁忙期は有料。17時前に余裕を持って退出。</x:v>
      </x:c>
      <x:c r="L57" s="28" t="n">
        <x:v>46232</x:v>
      </x:c>
      <x:c r="M57" s="27" t="str">
        <x:v>一次確認済</x:v>
      </x:c>
      <x:c r="N57" s="27" t="str">
        <x:v>https://www.kanagawa-kankou.or.jp/kanagawayokohamadc/spot/7387</x:v>
      </x:c>
      <x:c r="O57" s="27" t="str">
        <x:v>宮ヶ瀬湖は宮ヶ瀬ダムの建設で誕生した人造湖で、首都圏の水道・洪水調節・発電を担う。</x:v>
      </x:c>
      <x:c r="P57" s="49" t="e">
        <x:f>HYPERLINK("https://ja.wikipedia.org/wiki/Special:Search?search=%E5%AE%AE%E3%83%B6%E7%80%AC%E6%B9%96%E7%95%94%E5%9C%92%E5%9C%B0","Wikipedia・関連項目")</x:f>
      </x:c>
      <x:c r="R57" t="str">
        <x:v>35km超</x:v>
      </x:c>
      <x:c r="S57" t="str">
        <x:v>概ね35km超</x:v>
      </x:c>
      <x:c r="T57" t="str">
        <x:v>通常90分超</x:v>
      </x:c>
      <x:c r="U57" t="str">
        <x:v>水辺</x:v>
      </x:c>
      <x:c r="V57" t="str">
        <x:v>30〜60分</x:v>
      </x:c>
      <x:c r="W57" t="n">
        <x:v>2</x:v>
      </x:c>
      <x:c r="X57" t="n">
        <x:v>1</x:v>
      </x:c>
      <x:c r="Y57" t="str">
        <x:v>多摩川浅間神社</x:v>
      </x:c>
      <x:c r="Z57" t="str">
        <x:v>多摩川六郷橋緑地／多摩川ガス橋緑地</x:v>
      </x:c>
      <x:c r="AA57" s="22" t="str">
        <x:v>なし</x:v>
      </x:c>
      <x:c r="AB57" s="22" t="str">
        <x:v>-</x:v>
      </x:c>
      <x:c r="AC57" s="22" t="str"/>
      <x:c r="AD57" s="22" t="str">
        <x:v>専用・路外駐車を基本</x:v>
      </x:c>
      <x:c r="AE57" s="22" t="str"/>
    </x:row>
    <x:row r="58">
      <x:c r="A58" s="27" t="str">
        <x:v>D057</x:v>
      </x:c>
      <x:c r="B58" s="27" t="str">
        <x:v>鳥居原園地</x:v>
      </x:c>
      <x:c r="C58" s="27" t="str">
        <x:v>相模原市・鳥屋</x:v>
      </x:c>
      <x:c r="D58" s="27" t="str">
        <x:v>湖・高台・ワインディング</x:v>
      </x:c>
      <x:c r="E58" s="49" t="e">
        <x:f>HYPERLINK("https://www.google.com/maps/dir/?api=1&amp;destination=%E9%B3%A5%E5%B1%85%E5%8E%9F%E5%9C%92%E5%9C%B0&amp;travelmode=driving","現在地からナビ開始")</x:f>
      </x:c>
      <x:c r="F58" s="27" t="str">
        <x:v>宮ヶ瀬湖と虹の大橋を高台から望み、山道ドライブの最終地点として強い。</x:v>
      </x:c>
      <x:c r="G58" s="27" t="str">
        <x:v>あり・無料</x:v>
      </x:c>
      <x:c r="H58" s="27" t="str">
        <x:v>駐車場 9:00～17:00</x:v>
      </x:c>
      <x:c r="I58" s="27" t="n">
        <x:v>2</x:v>
      </x:c>
      <x:c r="J58" s="27" t="n">
        <x:v>3</x:v>
      </x:c>
      <x:c r="K58" s="27" t="str">
        <x:v>17時閉鎖。二輪・車の集まりで混雑することがあり、騒音に注意。</x:v>
      </x:c>
      <x:c r="L58" s="28" t="n">
        <x:v>46232</x:v>
      </x:c>
      <x:c r="M58" s="27" t="str">
        <x:v>一次確認済</x:v>
      </x:c>
      <x:c r="N58" s="27" t="str">
        <x:v>https://www.kanagawa-kankou.or.jp/kanagawayokohamadc/spot/6337</x:v>
      </x:c>
      <x:c r="O58" s="27" t="str">
        <x:v>鳥居原園地から見える虹の大橋は宮ヶ瀬湖の代表的景観で、湖誕生後に新たに造られた道路橋である。</x:v>
      </x:c>
      <x:c r="P58" s="49" t="e">
        <x:f>HYPERLINK("https://ja.wikipedia.org/wiki/Special:Search?search=%E9%B3%A5%E5%B1%85%E5%8E%9F%E5%9C%92%E5%9C%B0","Wikipedia・関連項目")</x:f>
      </x:c>
      <x:c r="R58" t="str">
        <x:v>35km超</x:v>
      </x:c>
      <x:c r="S58" t="str">
        <x:v>概ね35km超</x:v>
      </x:c>
      <x:c r="T58" t="str">
        <x:v>通常90分超</x:v>
      </x:c>
      <x:c r="U58" t="str">
        <x:v>水辺</x:v>
      </x:c>
      <x:c r="V58" t="str">
        <x:v>30〜60分</x:v>
      </x:c>
      <x:c r="W58" t="n">
        <x:v>1</x:v>
      </x:c>
      <x:c r="X58" t="n">
        <x:v>1</x:v>
      </x:c>
      <x:c r="Y58" t="str">
        <x:v>多摩川浅間神社</x:v>
      </x:c>
      <x:c r="Z58" t="str">
        <x:v>多摩川六郷橋緑地／多摩川ガス橋緑地</x:v>
      </x:c>
      <x:c r="AA58" s="22" t="str">
        <x:v>なし</x:v>
      </x:c>
      <x:c r="AB58" s="22" t="str">
        <x:v>-</x:v>
      </x:c>
      <x:c r="AC58" s="22" t="str"/>
      <x:c r="AD58" s="22" t="str">
        <x:v>専用・路外駐車を基本</x:v>
      </x:c>
      <x:c r="AE58" s="22" t="str"/>
    </x:row>
    <x:row r="59">
      <x:c r="A59" s="27" t="str">
        <x:v>D058</x:v>
      </x:c>
      <x:c r="B59" s="27" t="str">
        <x:v>浦安市総合公園</x:v>
      </x:c>
      <x:c r="C59" s="27" t="str">
        <x:v>浦安市・明海</x:v>
      </x:c>
      <x:c r="D59" s="27" t="str">
        <x:v>海・芝生・夜間公園</x:v>
      </x:c>
      <x:c r="E59" s="49" t="e">
        <x:f>HYPERLINK("https://www.google.com/maps/dir/?api=1&amp;destination=%E6%B5%A6%E5%AE%89%E5%B8%82%E7%B7%8F%E5%90%88%E5%85%AC%E5%9C%92&amp;travelmode=driving","現在地からナビ開始")</x:f>
      </x:c>
      <x:c r="F59" s="27" t="str">
        <x:v>海沿いの広い芝生と新浦安の灯りがあり、深夜にも使える穏やかな湾岸Ending。</x:v>
      </x:c>
      <x:c r="G59" s="27" t="str">
        <x:v>あり・251台・有料</x:v>
      </x:c>
      <x:c r="H59" s="27" t="str">
        <x:v>駐車場 終日利用可</x:v>
      </x:c>
      <x:c r="I59" s="27" t="n">
        <x:v>5</x:v>
      </x:c>
      <x:c r="J59" s="27" t="n">
        <x:v>4</x:v>
      </x:c>
      <x:c r="K59" s="27" t="str">
        <x:v>海側は風が強い。住宅・ホテルに近いため静粛に。</x:v>
      </x:c>
      <x:c r="L59" s="28" t="n">
        <x:v>46232</x:v>
      </x:c>
      <x:c r="M59" s="27" t="str">
        <x:v>一次確認済</x:v>
      </x:c>
      <x:c r="N59" s="27" t="str">
        <x:v>https://www.city.urayasu.lg.jp/shisetsu/kouen/1005625.html</x:v>
      </x:c>
      <x:c r="O59" s="27" t="str">
        <x:v>浦安の海側は大規模埋立地で、漁村だった浦安が住宅・リゾート都市へ変わった歴史を象徴する。</x:v>
      </x:c>
      <x:c r="P59" s="49" t="e">
        <x:f>HYPERLINK("https://ja.wikipedia.org/wiki/Special:Search?search=%E6%B5%A6%E5%AE%89%E5%B8%82%E7%B7%8F%E5%90%88%E5%85%AC%E5%9C%92","Wikipedia・関連項目")</x:f>
      </x:c>
      <x:c r="R59" t="str">
        <x:v>20〜25km</x:v>
      </x:c>
      <x:c r="S59" t="str">
        <x:v>概ね20〜25km</x:v>
      </x:c>
      <x:c r="T59" t="str">
        <x:v>通常40〜70分</x:v>
      </x:c>
      <x:c r="U59" t="str">
        <x:v>海・港</x:v>
      </x:c>
      <x:c r="V59" t="str">
        <x:v>30〜90分</x:v>
      </x:c>
      <x:c r="W59" t="n">
        <x:v>1</x:v>
      </x:c>
      <x:c r="X59" t="n">
        <x:v>3</x:v>
      </x:c>
      <x:c r="Y59" t="str">
        <x:v>城南島海浜公園</x:v>
      </x:c>
      <x:c r="Z59" t="str">
        <x:v>潮風公園／晴海ふ頭公園</x:v>
      </x:c>
      <x:c r="AA59" s="22" t="str">
        <x:v>なし</x:v>
      </x:c>
      <x:c r="AB59" s="22" t="str">
        <x:v>-</x:v>
      </x:c>
      <x:c r="AC59" s="22" t="str"/>
      <x:c r="AD59" s="22" t="str">
        <x:v>専用・路外駐車を基本</x:v>
      </x:c>
      <x:c r="AE59" s="22" t="str"/>
    </x:row>
    <x:row r="60">
      <x:c r="A60" s="27" t="str">
        <x:v>D059</x:v>
      </x:c>
      <x:c r="B60" s="27" t="str">
        <x:v>ふなばし三番瀬海浜公園</x:v>
      </x:c>
      <x:c r="C60" s="27" t="str">
        <x:v>船橋市・潮見町</x:v>
      </x:c>
      <x:c r="D60" s="27" t="str">
        <x:v>干潟・海・行き止まり</x:v>
      </x:c>
      <x:c r="E60" s="49" t="e">
        <x:f>HYPERLINK("https://www.google.com/maps/dir/?api=1&amp;destination=%E3%81%B5%E3%81%AA%E3%81%B0%E3%81%97%E4%B8%89%E7%95%AA%E7%80%AC%E6%B5%B7%E6%B5%9C%E5%85%AC%E5%9C%92&amp;travelmode=driving","現在地からナビ開始")</x:f>
      </x:c>
      <x:c r="F60" s="27" t="str">
        <x:v>工業地帯の先に広大な干潟が現れ、道の終端と海の開放感を同時に味わえる。</x:v>
      </x:c>
      <x:c r="G60" s="27" t="str">
        <x:v>あり・有料</x:v>
      </x:c>
      <x:c r="H60" s="27" t="str">
        <x:v>通常は概ね 9:00～19:00、潮干狩り日は変動</x:v>
      </x:c>
      <x:c r="I60" s="27" t="n">
        <x:v>2</x:v>
      </x:c>
      <x:c r="J60" s="27" t="n">
        <x:v>4</x:v>
      </x:c>
      <x:c r="K60" s="27" t="str">
        <x:v>潮干狩り期は大混雑。周辺道路は駐車禁止で、時間は当日公式確認。</x:v>
      </x:c>
      <x:c r="L60" s="28" t="n">
        <x:v>46232</x:v>
      </x:c>
      <x:c r="M60" s="27" t="str">
        <x:v>当日再確認</x:v>
      </x:c>
      <x:c r="N60" s="27" t="str">
        <x:v>https://www.sambanze.jp/information/access.html</x:v>
      </x:c>
      <x:c r="O60" s="27" t="str">
        <x:v>三番瀬は東京湾奥部に残る貴重な干潟・浅海域で、渡り鳥や魚介類の重要な生息地である。</x:v>
      </x:c>
      <x:c r="P60" s="49" t="e">
        <x:f>HYPERLINK("https://ja.wikipedia.org/wiki/Special:Search?search=%E3%81%B5%E3%81%AA%E3%81%B0%E3%81%97%E4%B8%89%E7%95%AA%E7%80%AC%E6%B5%B7%E6%B5%9C%E5%85%AC%E5%9C%92","Wikipedia・関連項目")</x:f>
      </x:c>
      <x:c r="R60" t="str">
        <x:v>25〜35km</x:v>
      </x:c>
      <x:c r="S60" t="str">
        <x:v>概ね25〜35km</x:v>
      </x:c>
      <x:c r="T60" t="str">
        <x:v>通常55〜90分</x:v>
      </x:c>
      <x:c r="U60" t="str">
        <x:v>海・港</x:v>
      </x:c>
      <x:c r="V60" t="str">
        <x:v>30〜60分</x:v>
      </x:c>
      <x:c r="W60" t="n">
        <x:v>1</x:v>
      </x:c>
      <x:c r="X60" t="n">
        <x:v>3</x:v>
      </x:c>
      <x:c r="Y60" t="str">
        <x:v>城南島海浜公園</x:v>
      </x:c>
      <x:c r="Z60" t="str">
        <x:v>潮風公園／晴海ふ頭公園</x:v>
      </x:c>
      <x:c r="AA60" s="22" t="str">
        <x:v>なし</x:v>
      </x:c>
      <x:c r="AB60" s="22" t="str">
        <x:v>-</x:v>
      </x:c>
      <x:c r="AC60" s="22" t="str"/>
      <x:c r="AD60" s="22" t="str">
        <x:v>専用・路外駐車を基本</x:v>
      </x:c>
      <x:c r="AE60" s="22" t="str"/>
    </x:row>
    <x:row r="61">
      <x:c r="A61" s="27" t="str">
        <x:v>D060</x:v>
      </x:c>
      <x:c r="B61" s="27" t="str">
        <x:v>幕張海浜公園 Cブロック</x:v>
      </x:c>
      <x:c r="C61" s="27" t="str">
        <x:v>千葉市・美浜区</x:v>
      </x:c>
      <x:c r="D61" s="27" t="str">
        <x:v>都市海岸・日本庭園・夜間公園</x:v>
      </x:c>
      <x:c r="E61" s="49" t="e">
        <x:f>HYPERLINK("https://www.google.com/maps/dir/?api=1&amp;destination=%E5%B9%95%E5%BC%B5%E6%B5%B7%E6%B5%9C%E5%85%AC%E5%9C%92%20C%E3%83%96%E3%83%AD%E3%83%83%E3%82%AF&amp;travelmode=driving","現在地からナビ開始")</x:f>
      </x:c>
      <x:c r="F61" s="27" t="str">
        <x:v>幕張の都市景観と広い公園を組み合わせ、千葉湾岸の夜間中継・Endingに使える。</x:v>
      </x:c>
      <x:c r="G61" s="27" t="str">
        <x:v>あり・46台・有料</x:v>
      </x:c>
      <x:c r="H61" s="27" t="str">
        <x:v>Cブロック駐車場 24時間</x:v>
      </x:c>
      <x:c r="I61" s="27" t="n">
        <x:v>4</x:v>
      </x:c>
      <x:c r="J61" s="27" t="n">
        <x:v>3</x:v>
      </x:c>
      <x:c r="K61" s="27" t="str">
        <x:v>大規模イベント・花火・野球開催日は規制と混雑を確認。</x:v>
      </x:c>
      <x:c r="L61" s="28" t="n">
        <x:v>46232</x:v>
      </x:c>
      <x:c r="M61" s="27" t="str">
        <x:v>一次確認済</x:v>
      </x:c>
      <x:c r="N61" s="27" t="str">
        <x:v>https://www.seibu-la.co.jp/makuhari/news/202506111502328159.html</x:v>
      </x:c>
      <x:c r="O61" s="27" t="str">
        <x:v>幕張海浜公園は幕張新都心の都市計画と一体で整備され、日本庭園『見浜園』は山・川・海を凝縮して表現する。</x:v>
      </x:c>
      <x:c r="P61" s="49" t="e">
        <x:f>HYPERLINK("https://ja.wikipedia.org/wiki/Special:Search?search=%E5%B9%95%E5%BC%B5%E6%B5%B7%E6%B5%9C%E5%85%AC%E5%9C%92%20C%E3%83%96%E3%83%AD%E3%83%83%E3%82%AF","Wikipedia・関連項目")</x:f>
      </x:c>
      <x:c r="R61" t="str">
        <x:v>35km超</x:v>
      </x:c>
      <x:c r="S61" t="str">
        <x:v>概ね35km超</x:v>
      </x:c>
      <x:c r="T61" t="str">
        <x:v>通常90分超</x:v>
      </x:c>
      <x:c r="U61" t="str">
        <x:v>海・港</x:v>
      </x:c>
      <x:c r="V61" t="str">
        <x:v>30〜90分</x:v>
      </x:c>
      <x:c r="W61" t="n">
        <x:v>1</x:v>
      </x:c>
      <x:c r="X61" t="n">
        <x:v>3</x:v>
      </x:c>
      <x:c r="Y61" t="str">
        <x:v>城南島海浜公園</x:v>
      </x:c>
      <x:c r="Z61" t="str">
        <x:v>潮風公園／晴海ふ頭公園</x:v>
      </x:c>
      <x:c r="AA61" s="22" t="str">
        <x:v>なし</x:v>
      </x:c>
      <x:c r="AB61" s="22" t="str">
        <x:v>-</x:v>
      </x:c>
      <x:c r="AC61" s="22" t="str"/>
      <x:c r="AD61" s="22" t="str">
        <x:v>専用・路外駐車を基本</x:v>
      </x:c>
      <x:c r="AE61" s="22" t="str"/>
    </x:row>
    <x:row r="62">
      <x:c r="A62" s="27" t="str">
        <x:v>D061</x:v>
      </x:c>
      <x:c r="B62" s="27" t="str">
        <x:v>大黒PA</x:v>
      </x:c>
      <x:c r="C62" s="27" t="str">
        <x:v>横浜市・大黒ふ頭</x:v>
      </x:c>
      <x:c r="D62" s="27" t="str">
        <x:v>PA・湾岸・車文化</x:v>
      </x:c>
      <x:c r="E62" s="49" t="e">
        <x:f>HYPERLINK("https://www.google.com/maps/dir/?api=1&amp;destination=%E5%A4%A7%E9%BB%92PA&amp;travelmode=driving","現在地からナビ開始")</x:f>
      </x:c>
      <x:c r="F62" s="27" t="str">
        <x:v>湾岸線とベイブリッジの走行後に到達し、車で来た実感そのものが最終体験になる。</x:v>
      </x:c>
      <x:c r="G62" s="27" t="str">
        <x:v>あり・普通車335台</x:v>
      </x:c>
      <x:c r="H62" s="27" t="str">
        <x:v>原則24時間、工事・混雑対策で臨時閉鎖あり</x:v>
      </x:c>
      <x:c r="I62" s="27" t="n">
        <x:v>5</x:v>
      </x:c>
      <x:c r="J62" s="27" t="n">
        <x:v>2</x:v>
      </x:c>
      <x:c r="K62" s="27" t="str">
        <x:v>閉鎖情報を出発直前に確認。集会・空ぶかし・長時間占有は禁止。</x:v>
      </x:c>
      <x:c r="L62" s="28" t="n">
        <x:v>46232</x:v>
      </x:c>
      <x:c r="M62" s="27" t="str">
        <x:v>当日再確認</x:v>
      </x:c>
      <x:c r="N62" s="27" t="str">
        <x:v>https://www.shutoko-sv.jp/pa/daikoku</x:v>
      </x:c>
      <x:c r="O62" s="27" t="str">
        <x:v>大黒PAは大黒ふ頭の巨大なループ状ランプに囲まれ、首都高の立体構造を間近に感じられる。</x:v>
      </x:c>
      <x:c r="P62" s="49" t="e">
        <x:f>HYPERLINK("https://ja.wikipedia.org/wiki/Special:Search?search=%E5%A4%A7%E9%BB%92PA","Wikipedia・関連項目")</x:f>
      </x:c>
      <x:c r="R62" t="str">
        <x:v>35km超</x:v>
      </x:c>
      <x:c r="S62" t="str">
        <x:v>概ね35km超</x:v>
      </x:c>
      <x:c r="T62" t="str">
        <x:v>通常90分超</x:v>
      </x:c>
      <x:c r="U62" t="str">
        <x:v>平日夜・深夜</x:v>
      </x:c>
      <x:c r="V62" t="str">
        <x:v>15〜30分</x:v>
      </x:c>
      <x:c r="W62" t="n">
        <x:v>4</x:v>
      </x:c>
      <x:c r="X62" t="n">
        <x:v>4</x:v>
      </x:c>
      <x:c r="Y62" t="str">
        <x:v>羽田空港 第3ターミナル展望デッキ</x:v>
      </x:c>
      <x:c r="Z62" t="str">
        <x:v>城南島海浜公園／潮風公園</x:v>
      </x:c>
      <x:c r="AA62" s="22" t="str">
        <x:v>なし</x:v>
      </x:c>
      <x:c r="AB62" s="22" t="str">
        <x:v>-</x:v>
      </x:c>
      <x:c r="AC62" s="22" t="str"/>
      <x:c r="AD62" s="22" t="str">
        <x:v>専用・路外駐車を基本</x:v>
      </x:c>
      <x:c r="AE62" s="22" t="str"/>
    </x:row>
    <x:row r="63">
      <x:c r="A63" s="27" t="str">
        <x:v>D062</x:v>
      </x:c>
      <x:c r="B63" s="27" t="str">
        <x:v>辰巳第一PA</x:v>
      </x:c>
      <x:c r="C63" s="27" t="str">
        <x:v>江東区・辰巳</x:v>
      </x:c>
      <x:c r="D63" s="27" t="str">
        <x:v>PA・高層夜景・首都高</x:v>
      </x:c>
      <x:c r="E63" s="49" t="e">
        <x:f>HYPERLINK("https://www.google.com/maps/dir/?api=1&amp;destination=%E8%BE%B0%E5%B7%B3%E7%AC%AC%E4%B8%80PA&amp;travelmode=driving","現在地からナビ開始")</x:f>
      </x:c>
      <x:c r="F63" s="27" t="str">
        <x:v>湾岸線から都心高層群を見渡せ、短時間で首都高ドライブを締められる。</x:v>
      </x:c>
      <x:c r="G63" s="27" t="str">
        <x:v>あり・普通車29台</x:v>
      </x:c>
      <x:c r="H63" s="27" t="str">
        <x:v>原則24時間、夜間・工事閉鎖あり</x:v>
      </x:c>
      <x:c r="I63" s="27" t="n">
        <x:v>5</x:v>
      </x:c>
      <x:c r="J63" s="27" t="n">
        <x:v>3</x:v>
      </x:c>
      <x:c r="K63" s="27" t="str">
        <x:v>夜間閉鎖や入口規制を確認。撮影・滞留・騒音行為は避ける。</x:v>
      </x:c>
      <x:c r="L63" s="28" t="n">
        <x:v>46232</x:v>
      </x:c>
      <x:c r="M63" s="27" t="str">
        <x:v>当日再確認</x:v>
      </x:c>
      <x:c r="N63" s="27" t="str">
        <x:v>https://www.shutoko-sv.jp/pa/tatsumi-1</x:v>
      </x:c>
      <x:c r="O63" s="27" t="str">
        <x:v>辰巳は東京湾の埋立地で、PAから見える高層住宅群は湾岸部の都市化を象徴する景観である。</x:v>
      </x:c>
      <x:c r="P63" s="49" t="e">
        <x:f>HYPERLINK("https://ja.wikipedia.org/wiki/Special:Search?search=%E8%BE%B0%E5%B7%B3%E7%AC%AC%E4%B8%80PA","Wikipedia・関連項目")</x:f>
      </x:c>
      <x:c r="R63" t="str">
        <x:v>10〜20km</x:v>
      </x:c>
      <x:c r="S63" t="str">
        <x:v>概ね10〜20km</x:v>
      </x:c>
      <x:c r="T63" t="str">
        <x:v>通常25〜50分</x:v>
      </x:c>
      <x:c r="U63" t="str">
        <x:v>平日夜・深夜</x:v>
      </x:c>
      <x:c r="V63" t="str">
        <x:v>15〜30分</x:v>
      </x:c>
      <x:c r="W63" t="n">
        <x:v>4</x:v>
      </x:c>
      <x:c r="X63" t="n">
        <x:v>4</x:v>
      </x:c>
      <x:c r="Y63" t="str">
        <x:v>羽田空港 第3ターミナル展望デッキ</x:v>
      </x:c>
      <x:c r="Z63" t="str">
        <x:v>城南島海浜公園／潮風公園</x:v>
      </x:c>
      <x:c r="AA63" s="22" t="str">
        <x:v>なし</x:v>
      </x:c>
      <x:c r="AB63" s="22" t="str">
        <x:v>-</x:v>
      </x:c>
      <x:c r="AC63" s="22" t="str"/>
      <x:c r="AD63" s="22" t="str">
        <x:v>専用・路外駐車を基本</x:v>
      </x:c>
      <x:c r="AE63" s="22" t="str"/>
    </x:row>
    <x:row r="64">
      <x:c r="A64" s="27" t="str">
        <x:v>D063</x:v>
      </x:c>
      <x:c r="B64" s="27" t="str">
        <x:v>芝浦PA</x:v>
      </x:c>
      <x:c r="C64" s="27" t="str">
        <x:v>港区・海岸</x:v>
      </x:c>
      <x:c r="D64" s="27" t="str">
        <x:v>PA・高架・都市夜景</x:v>
      </x:c>
      <x:c r="E64" s="49" t="e">
        <x:f>HYPERLINK("https://www.google.com/maps/dir/?api=1&amp;destination=%E8%8A%9D%E6%B5%A6PA&amp;travelmode=driving","現在地からナビ開始")</x:f>
      </x:c>
      <x:c r="F64" s="27" t="str">
        <x:v>レインボーブリッジ手前の高架空間で、都心湾岸ルートの余韻を短く残せる。</x:v>
      </x:c>
      <x:c r="G64" s="27" t="str">
        <x:v>あり・小規模</x:v>
      </x:c>
      <x:c r="H64" s="27" t="str">
        <x:v>原則24時間、夜間・工事閉鎖あり</x:v>
      </x:c>
      <x:c r="I64" s="27" t="n">
        <x:v>4</x:v>
      </x:c>
      <x:c r="J64" s="27" t="n">
        <x:v>3</x:v>
      </x:c>
      <x:c r="K64" s="27" t="str">
        <x:v>閉鎖措置が入りやすい。満車時は通過し、待機しない。</x:v>
      </x:c>
      <x:c r="L64" s="28" t="n">
        <x:v>46232</x:v>
      </x:c>
      <x:c r="M64" s="27" t="str">
        <x:v>当日再確認</x:v>
      </x:c>
      <x:c r="N64" s="27" t="str">
        <x:v>https://www.shutoko-sv.jp/pa/shibaura</x:v>
      </x:c>
      <x:c r="O64" s="27" t="str">
        <x:v>芝浦PAはレインボーブリッジへ続く11号台場線上にあり、都心高架と港湾景観が交差する。</x:v>
      </x:c>
      <x:c r="P64" s="49" t="e">
        <x:f>HYPERLINK("https://ja.wikipedia.org/wiki/Special:Search?search=%E8%8A%9D%E6%B5%A6PA","Wikipedia・関連項目")</x:f>
      </x:c>
      <x:c r="R64" t="str">
        <x:v>10〜20km</x:v>
      </x:c>
      <x:c r="S64" t="str">
        <x:v>概ね10〜20km</x:v>
      </x:c>
      <x:c r="T64" t="str">
        <x:v>通常25〜50分</x:v>
      </x:c>
      <x:c r="U64" t="str">
        <x:v>平日夜・深夜</x:v>
      </x:c>
      <x:c r="V64" t="str">
        <x:v>15〜30分</x:v>
      </x:c>
      <x:c r="W64" t="n">
        <x:v>4</x:v>
      </x:c>
      <x:c r="X64" t="n">
        <x:v>4</x:v>
      </x:c>
      <x:c r="Y64" t="str">
        <x:v>羽田空港 第3ターミナル展望デッキ</x:v>
      </x:c>
      <x:c r="Z64" t="str">
        <x:v>城南島海浜公園／潮風公園</x:v>
      </x:c>
      <x:c r="AA64" s="22" t="str">
        <x:v>なし</x:v>
      </x:c>
      <x:c r="AB64" s="22" t="str">
        <x:v>-</x:v>
      </x:c>
      <x:c r="AC64" s="22" t="str"/>
      <x:c r="AD64" s="22" t="str">
        <x:v>専用・路外駐車を基本</x:v>
      </x:c>
      <x:c r="AE64" s="22" t="str"/>
    </x:row>
    <x:row r="65">
      <x:c r="A65" s="27" t="str">
        <x:v>D064</x:v>
      </x:c>
      <x:c r="B65" s="27" t="str">
        <x:v>大井PA（東行き）</x:v>
      </x:c>
      <x:c r="C65" s="27" t="str">
        <x:v>品川区・八潮</x:v>
      </x:c>
      <x:c r="D65" s="27" t="str">
        <x:v>PA・湾岸・近距離休憩</x:v>
      </x:c>
      <x:c r="E65" s="49" t="e">
        <x:f>HYPERLINK("https://www.google.com/maps/dir/?api=1&amp;destination=%E5%A4%A7%E4%BA%95PA%EF%BC%88%E6%9D%B1%E8%A1%8C%E3%81%8D%EF%BC%89&amp;travelmode=driving","現在地からナビ開始")</x:f>
      </x:c>
      <x:c r="F65" s="27" t="str">
        <x:v>大田区から近く、短時間だけ湾岸を走りたい夜のミニマムEndingになる。</x:v>
      </x:c>
      <x:c r="G65" s="27" t="str">
        <x:v>あり・普通車19台</x:v>
      </x:c>
      <x:c r="H65" s="27" t="str">
        <x:v>原則24時間、工事閉鎖あり</x:v>
      </x:c>
      <x:c r="I65" s="27" t="n">
        <x:v>4</x:v>
      </x:c>
      <x:c r="J65" s="27" t="n">
        <x:v>4</x:v>
      </x:c>
      <x:c r="K65" s="27" t="str">
        <x:v>東行き専用で進行方向制約あり。工事情報を確認。</x:v>
      </x:c>
      <x:c r="L65" s="28" t="n">
        <x:v>46232</x:v>
      </x:c>
      <x:c r="M65" s="27" t="str">
        <x:v>当日再確認</x:v>
      </x:c>
      <x:c r="N65" s="27" t="str">
        <x:v>https://www.shutoko-sv.jp/pa/oi-eastbound</x:v>
      </x:c>
      <x:c r="O65" s="27" t="str">
        <x:v>大井PA周辺の八潮・大井ふ頭は東京港の主要物流拠点で、巨大な倉庫・コンテナ施設が集まる。</x:v>
      </x:c>
      <x:c r="P65" s="49" t="e">
        <x:f>HYPERLINK("https://ja.wikipedia.org/wiki/Special:Search?search=%E5%A4%A7%E4%BA%95PA%EF%BC%88%E6%9D%B1%E8%A1%8C%E3%81%8D%EF%BC%89","Wikipedia・関連項目")</x:f>
      </x:c>
      <x:c r="R65" t="str">
        <x:v>0〜10km</x:v>
      </x:c>
      <x:c r="S65" t="str">
        <x:v>概ね0〜10km</x:v>
      </x:c>
      <x:c r="T65" t="str">
        <x:v>通常10〜30分</x:v>
      </x:c>
      <x:c r="U65" t="str">
        <x:v>平日夜・深夜</x:v>
      </x:c>
      <x:c r="V65" t="str">
        <x:v>15〜30分</x:v>
      </x:c>
      <x:c r="W65" t="n">
        <x:v>4</x:v>
      </x:c>
      <x:c r="X65" t="n">
        <x:v>4</x:v>
      </x:c>
      <x:c r="Y65" t="str">
        <x:v>羽田空港 第3ターミナル展望デッキ</x:v>
      </x:c>
      <x:c r="Z65" t="str">
        <x:v>城南島海浜公園／潮風公園</x:v>
      </x:c>
      <x:c r="AA65" s="22" t="str">
        <x:v>なし</x:v>
      </x:c>
      <x:c r="AB65" s="22" t="str">
        <x:v>-</x:v>
      </x:c>
      <x:c r="AC65" s="22" t="str"/>
      <x:c r="AD65" s="22" t="str">
        <x:v>専用・路外駐車を基本</x:v>
      </x:c>
      <x:c r="AE65" s="22" t="str"/>
    </x:row>
    <x:row r="66">
      <x:c r="A66" s="27" t="str">
        <x:v>D065</x:v>
      </x:c>
      <x:c r="B66" s="27" t="str">
        <x:v>平和島PA（上り）</x:v>
      </x:c>
      <x:c r="C66" s="27" t="str">
        <x:v>大田区・平和島</x:v>
      </x:c>
      <x:c r="D66" s="27" t="str">
        <x:v>PA・近距離・夜間休憩</x:v>
      </x:c>
      <x:c r="E66" s="49" t="e">
        <x:f>HYPERLINK("https://www.google.com/maps/dir/?api=1&amp;destination=%E5%B9%B3%E5%92%8C%E5%B3%B6PA%EF%BC%88%E4%B8%8A%E3%82%8A%EF%BC%89&amp;travelmode=driving","現在地からナビ開始")</x:f>
      </x:c>
      <x:c r="F66" s="27" t="str">
        <x:v>大田区内で最短の首都高体験を作れ、出発後すぐに気分転換したい夜に使える。</x:v>
      </x:c>
      <x:c r="G66" s="27" t="str">
        <x:v>あり・首都高PA</x:v>
      </x:c>
      <x:c r="H66" s="27" t="str">
        <x:v>原則24時間、工事閉鎖あり</x:v>
      </x:c>
      <x:c r="I66" s="27" t="n">
        <x:v>4</x:v>
      </x:c>
      <x:c r="J66" s="27" t="n">
        <x:v>4</x:v>
      </x:c>
      <x:c r="K66" s="27" t="str">
        <x:v>上り線専用。短時間休憩に限定し、周回目的の走行はしない。</x:v>
      </x:c>
      <x:c r="L66" s="28" t="n">
        <x:v>46232</x:v>
      </x:c>
      <x:c r="M66" s="27" t="str">
        <x:v>当日再確認</x:v>
      </x:c>
      <x:c r="N66" s="27" t="str">
        <x:v>https://www.shutoko-sv.jp/pa/heiwajima-up</x:v>
      </x:c>
      <x:c r="O66" s="27" t="str">
        <x:v>平和島は昭和期に造成された人工島で、『平和』を願う名称が町名として採用された。</x:v>
      </x:c>
      <x:c r="P66" s="49" t="e">
        <x:f>HYPERLINK("https://ja.wikipedia.org/wiki/Special:Search?search=%E5%B9%B3%E5%92%8C%E5%B3%B6PA%EF%BC%88%E4%B8%8A%E3%82%8A%EF%BC%89","Wikipedia・関連項目")</x:f>
      </x:c>
      <x:c r="R66" t="str">
        <x:v>0〜10km</x:v>
      </x:c>
      <x:c r="S66" t="str">
        <x:v>概ね0〜10km</x:v>
      </x:c>
      <x:c r="T66" t="str">
        <x:v>通常10〜30分</x:v>
      </x:c>
      <x:c r="U66" t="str">
        <x:v>平日夜・深夜</x:v>
      </x:c>
      <x:c r="V66" t="str">
        <x:v>15〜30分</x:v>
      </x:c>
      <x:c r="W66" t="n">
        <x:v>4</x:v>
      </x:c>
      <x:c r="X66" t="n">
        <x:v>4</x:v>
      </x:c>
      <x:c r="Y66" t="str">
        <x:v>羽田空港 第3ターミナル展望デッキ</x:v>
      </x:c>
      <x:c r="Z66" t="str">
        <x:v>城南島海浜公園／潮風公園</x:v>
      </x:c>
      <x:c r="AA66" s="22" t="str">
        <x:v>なし</x:v>
      </x:c>
      <x:c r="AB66" s="22" t="str">
        <x:v>-</x:v>
      </x:c>
      <x:c r="AC66" s="22" t="str"/>
      <x:c r="AD66" s="22" t="str">
        <x:v>専用・路外駐車を基本</x:v>
      </x:c>
      <x:c r="AE66" s="22" t="str"/>
    </x:row>
    <x:row r="67">
      <x:c r="A67" s="27" t="str">
        <x:v>D066</x:v>
      </x:c>
      <x:c r="B67" s="27" t="str">
        <x:v>太田山公園</x:v>
      </x:c>
      <x:c r="C67" s="27" t="str">
        <x:v>木更津市・太田</x:v>
      </x:c>
      <x:c r="D67" s="27" t="str">
        <x:v>高台・港町・展望塔</x:v>
      </x:c>
      <x:c r="E67" s="49" t="e">
        <x:f>HYPERLINK("https://www.google.com/maps/dir/?api=1&amp;destination=%E5%A4%AA%E7%94%B0%E5%B1%B1%E5%85%AC%E5%9C%92&amp;travelmode=driving","現在地からナビ開始")</x:f>
      </x:c>
      <x:c r="F67" s="27" t="str">
        <x:v>きみさらずタワーから木更津市街と東京湾方向を見渡し、アクアライン後の高台Endingになる。</x:v>
      </x:c>
      <x:c r="G67" s="27" t="str">
        <x:v>あり・68台</x:v>
      </x:c>
      <x:c r="H67" s="27" t="str">
        <x:v>公園 常時開設</x:v>
      </x:c>
      <x:c r="I67" s="27" t="n">
        <x:v>4</x:v>
      </x:c>
      <x:c r="J67" s="27" t="n">
        <x:v>4</x:v>
      </x:c>
      <x:c r="K67" s="27" t="str">
        <x:v>夜は園内照明と展望塔利用状況を現地確認。住宅地に配慮。</x:v>
      </x:c>
      <x:c r="L67" s="28" t="n">
        <x:v>46232</x:v>
      </x:c>
      <x:c r="M67" s="27" t="str">
        <x:v>一次確認済</x:v>
      </x:c>
      <x:c r="N67" s="27" t="str">
        <x:v>https://www.city.kisarazu.lg.jp/soshiki/toshiseibi/shigaichiseibi/1/park/2596.html</x:v>
      </x:c>
      <x:c r="O67" s="27" t="str">
        <x:v>太田山の『きみさらずタワー』は日本武尊と弟橘媛の伝説を表し、木更津の地名伝承にもつながる。</x:v>
      </x:c>
      <x:c r="P67" s="49" t="e">
        <x:f>HYPERLINK("https://ja.wikipedia.org/wiki/Special:Search?search=%E5%A4%AA%E7%94%B0%E5%B1%B1%E5%85%AC%E5%9C%92","Wikipedia・関連項目")</x:f>
      </x:c>
      <x:c r="R67" t="str">
        <x:v>35km超</x:v>
      </x:c>
      <x:c r="S67" t="str">
        <x:v>概ね35km超</x:v>
      </x:c>
      <x:c r="T67" t="str">
        <x:v>通常90分超</x:v>
      </x:c>
      <x:c r="U67" t="str">
        <x:v>海・港</x:v>
      </x:c>
      <x:c r="V67" t="str">
        <x:v>30〜60分</x:v>
      </x:c>
      <x:c r="W67" t="n">
        <x:v>1</x:v>
      </x:c>
      <x:c r="X67" t="n">
        <x:v>3</x:v>
      </x:c>
      <x:c r="Y67" t="str">
        <x:v>城南島海浜公園</x:v>
      </x:c>
      <x:c r="Z67" t="str">
        <x:v>潮風公園／晴海ふ頭公園</x:v>
      </x:c>
      <x:c r="AA67" s="22" t="str">
        <x:v>なし</x:v>
      </x:c>
      <x:c r="AB67" s="22" t="str">
        <x:v>-</x:v>
      </x:c>
      <x:c r="AC67" s="22" t="str"/>
      <x:c r="AD67" s="22" t="str">
        <x:v>専用・路外駐車を基本</x:v>
      </x:c>
      <x:c r="AE67" s="22" t="str"/>
    </x:row>
    <x:row r="68">
      <x:c r="A68" s="27" t="str">
        <x:v>D067</x:v>
      </x:c>
      <x:c r="B68" s="27" t="str">
        <x:v>鳥居崎海浜公園</x:v>
      </x:c>
      <x:c r="C68" s="27" t="str">
        <x:v>木更津市・富士見</x:v>
      </x:c>
      <x:c r="D68" s="27" t="str">
        <x:v>港・海浜・橋</x:v>
      </x:c>
      <x:c r="E68" s="49" t="e">
        <x:f>HYPERLINK("https://www.google.com/maps/dir/?api=1&amp;destination=%E9%B3%A5%E5%B1%85%E5%B4%8E%E6%B5%B7%E6%B5%9C%E5%85%AC%E5%9C%92&amp;travelmode=driving","現在地からナビ開始")</x:f>
      </x:c>
      <x:c r="F68" s="27" t="str">
        <x:v>木更津港と中の島大橋を近くに感じ、港町らしい海辺のEndingを作れる。</x:v>
      </x:c>
      <x:c r="G68" s="27" t="str">
        <x:v>あり・215台</x:v>
      </x:c>
      <x:c r="H68" s="27" t="str">
        <x:v>公園利用時間は現地掲示、駐車場は当日確認</x:v>
      </x:c>
      <x:c r="I68" s="27" t="n">
        <x:v>4</x:v>
      </x:c>
      <x:c r="J68" s="27" t="n">
        <x:v>3</x:v>
      </x:c>
      <x:c r="K68" s="27" t="str">
        <x:v>イベント時は駐車規制あり。岸壁・作業区域へ入らない。</x:v>
      </x:c>
      <x:c r="L68" s="28" t="n">
        <x:v>46232</x:v>
      </x:c>
      <x:c r="M68" s="27" t="str">
        <x:v>当日再確認</x:v>
      </x:c>
      <x:c r="N68" s="27" t="str">
        <x:v>https://www.city.kisarazu.lg.jp/soshiki/toshiseibi/shigaichiseibi/1/park/2599.html</x:v>
      </x:c>
      <x:c r="O68" s="27" t="str">
        <x:v>木更津という地名は、日本武尊が弟橘媛を偲んで『君去らず』と言ったという伝説に結び付けられる。</x:v>
      </x:c>
      <x:c r="P68" s="49" t="e">
        <x:f>HYPERLINK("https://ja.wikipedia.org/wiki/Special:Search?search=%E9%B3%A5%E5%B1%85%E5%B4%8E%E6%B5%B7%E6%B5%9C%E5%85%AC%E5%9C%92","Wikipedia・関連項目")</x:f>
      </x:c>
      <x:c r="R68" t="str">
        <x:v>35km超</x:v>
      </x:c>
      <x:c r="S68" t="str">
        <x:v>概ね35km超</x:v>
      </x:c>
      <x:c r="T68" t="str">
        <x:v>通常90分超</x:v>
      </x:c>
      <x:c r="U68" t="str">
        <x:v>海・港</x:v>
      </x:c>
      <x:c r="V68" t="str">
        <x:v>30〜90分</x:v>
      </x:c>
      <x:c r="W68" t="n">
        <x:v>1</x:v>
      </x:c>
      <x:c r="X68" t="n">
        <x:v>3</x:v>
      </x:c>
      <x:c r="Y68" t="str">
        <x:v>城南島海浜公園</x:v>
      </x:c>
      <x:c r="Z68" t="str">
        <x:v>潮風公園／晴海ふ頭公園</x:v>
      </x:c>
      <x:c r="AA68" s="22" t="str">
        <x:v>なし</x:v>
      </x:c>
      <x:c r="AB68" s="22" t="str">
        <x:v>-</x:v>
      </x:c>
      <x:c r="AC68" s="22" t="str"/>
      <x:c r="AD68" s="22" t="str">
        <x:v>専用・路外駐車を基本</x:v>
      </x:c>
      <x:c r="AE68" s="22" t="str"/>
    </x:row>
    <x:row r="69">
      <x:c r="A69" s="27" t="str">
        <x:v>D068</x:v>
      </x:c>
      <x:c r="B69" s="27" t="str">
        <x:v>中の島公園</x:v>
      </x:c>
      <x:c r="C69" s="27" t="str">
        <x:v>木更津市・中の島</x:v>
      </x:c>
      <x:c r="D69" s="27" t="str">
        <x:v>橋・港・夕景</x:v>
      </x:c>
      <x:c r="E69" s="49" t="e">
        <x:f>HYPERLINK("https://www.google.com/maps/dir/?api=1&amp;destination=%E4%B8%AD%E3%81%AE%E5%B3%B6%E5%85%AC%E5%9C%92&amp;travelmode=driving","現在地からナビ開始")</x:f>
      </x:c>
      <x:c r="F69" s="27" t="str">
        <x:v>中の島大橋を徒歩で渡った先にあり、車を降りて短い冒険を加えられる。</x:v>
      </x:c>
      <x:c r="G69" s="27" t="str">
        <x:v>鳥居崎海浜公園駐車場を利用・約100台案内</x:v>
      </x:c>
      <x:c r="H69" s="27" t="str">
        <x:v>公園 常時利用、駐車場は当日確認</x:v>
      </x:c>
      <x:c r="I69" s="27" t="n">
        <x:v>3</x:v>
      </x:c>
      <x:c r="J69" s="27" t="n">
        <x:v>4</x:v>
      </x:c>
      <x:c r="K69" s="27" t="str">
        <x:v>橋は徒歩移動。転落防止柵を越えない。強風時は避ける。</x:v>
      </x:c>
      <x:c r="L69" s="28" t="n">
        <x:v>46232</x:v>
      </x:c>
      <x:c r="M69" s="27" t="str">
        <x:v>当日再確認</x:v>
      </x:c>
      <x:c r="N69" s="27" t="str">
        <x:v>https://www.city.kisarazu.lg.jp/soshiki/toshiseibi/shigaichiseibi/1/park/2597.html</x:v>
      </x:c>
      <x:c r="O69" s="27" t="str">
        <x:v>中の島大橋は日本有数の高さを持つ歩道橋で、ドラマ『木更津キャッツアイ』の舞台として有名になった。</x:v>
      </x:c>
      <x:c r="P69" s="49" t="e">
        <x:f>HYPERLINK("https://ja.wikipedia.org/wiki/Special:Search?search=%E4%B8%AD%E3%81%AE%E5%B3%B6%E5%85%AC%E5%9C%92","Wikipedia・関連項目")</x:f>
      </x:c>
      <x:c r="R69" t="str">
        <x:v>35km超</x:v>
      </x:c>
      <x:c r="S69" t="str">
        <x:v>概ね35km超</x:v>
      </x:c>
      <x:c r="T69" t="str">
        <x:v>通常90分超</x:v>
      </x:c>
      <x:c r="U69" t="str">
        <x:v>海・港</x:v>
      </x:c>
      <x:c r="V69" t="str">
        <x:v>30〜90分</x:v>
      </x:c>
      <x:c r="W69" t="n">
        <x:v>2</x:v>
      </x:c>
      <x:c r="X69" t="n">
        <x:v>3</x:v>
      </x:c>
      <x:c r="Y69" t="str">
        <x:v>城南島海浜公園</x:v>
      </x:c>
      <x:c r="Z69" t="str">
        <x:v>潮風公園／晴海ふ頭公園</x:v>
      </x:c>
      <x:c r="AA69" s="22" t="str">
        <x:v>なし</x:v>
      </x:c>
      <x:c r="AB69" s="22" t="str">
        <x:v>-</x:v>
      </x:c>
      <x:c r="AC69" s="22" t="str"/>
      <x:c r="AD69" s="22" t="str">
        <x:v>専用・路外駐車を基本</x:v>
      </x:c>
      <x:c r="AE69" s="22" t="str"/>
    </x:row>
    <x:row r="70">
      <x:c r="A70" s="27" t="str">
        <x:v>D069</x:v>
      </x:c>
      <x:c r="B70" s="27" t="str">
        <x:v>小櫃堰公園</x:v>
      </x:c>
      <x:c r="C70" s="27" t="str">
        <x:v>木更津市・祇園</x:v>
      </x:c>
      <x:c r="D70" s="27" t="str">
        <x:v>川・桜並木・静かな公園</x:v>
      </x:c>
      <x:c r="E70" s="49" t="e">
        <x:f>HYPERLINK("https://www.google.com/maps/dir/?api=1&amp;destination=%E5%B0%8F%E6%AB%83%E5%A0%B0%E5%85%AC%E5%9C%92&amp;travelmode=driving","現在地からナビ開始")</x:f>
      </x:c>
      <x:c r="F70" s="27" t="str">
        <x:v>小櫃川沿いの緑と桜並木があり、海側ルートの最後を落ち着かせる内陸Endingになる。</x:v>
      </x:c>
      <x:c r="G70" s="27" t="str">
        <x:v>あり・69台</x:v>
      </x:c>
      <x:c r="H70" s="27" t="str">
        <x:v>公園 常時開設、駐車場は現地掲示優先</x:v>
      </x:c>
      <x:c r="I70" s="27" t="n">
        <x:v>3</x:v>
      </x:c>
      <x:c r="J70" s="27" t="n">
        <x:v>4</x:v>
      </x:c>
      <x:c r="K70" s="27" t="str">
        <x:v>夜間は景観価値が下がる。春・夕方向け。</x:v>
      </x:c>
      <x:c r="L70" s="28" t="n">
        <x:v>46232</x:v>
      </x:c>
      <x:c r="M70" s="27" t="str">
        <x:v>一次確認済</x:v>
      </x:c>
      <x:c r="N70" s="27" t="str">
        <x:v>https://www.city.kisarazu.lg.jp/soshiki/toshiseibi/shigaichiseibi/1/park/3025.html</x:v>
      </x:c>
      <x:c r="O70" s="27" t="str">
        <x:v>小櫃川は房総丘陵から東京湾へ流れる千葉県有数の河川で、流域には水田地帯が広がる。</x:v>
      </x:c>
      <x:c r="P70" s="49" t="e">
        <x:f>HYPERLINK("https://ja.wikipedia.org/wiki/Special:Search?search=%E5%B0%8F%E6%AB%83%E5%A0%B0%E5%85%AC%E5%9C%92","Wikipedia・関連項目")</x:f>
      </x:c>
      <x:c r="R70" t="str">
        <x:v>35km超</x:v>
      </x:c>
      <x:c r="S70" t="str">
        <x:v>概ね35km超</x:v>
      </x:c>
      <x:c r="T70" t="str">
        <x:v>通常90分超</x:v>
      </x:c>
      <x:c r="U70" t="str">
        <x:v>休日半日</x:v>
      </x:c>
      <x:c r="V70" t="str">
        <x:v>30〜90分</x:v>
      </x:c>
      <x:c r="W70" t="n">
        <x:v>1</x:v>
      </x:c>
      <x:c r="X70" t="n">
        <x:v>1</x:v>
      </x:c>
      <x:c r="Y70" t="str">
        <x:v>平和の森公園</x:v>
      </x:c>
      <x:c r="Z70" t="str">
        <x:v>大森ふるさとの浜辺公園／森ケ崎公園</x:v>
      </x:c>
      <x:c r="AA70" s="22" t="str">
        <x:v>なし</x:v>
      </x:c>
      <x:c r="AB70" s="22" t="str">
        <x:v>-</x:v>
      </x:c>
      <x:c r="AC70" s="22" t="str"/>
      <x:c r="AD70" s="22" t="str">
        <x:v>専用・路外駐車を基本</x:v>
      </x:c>
      <x:c r="AE70" s="22" t="str"/>
    </x:row>
    <x:row r="71">
      <x:c r="A71" s="27" t="str">
        <x:v>D070</x:v>
      </x:c>
      <x:c r="B71" s="27" t="str">
        <x:v>鹿野山 九十九谷展望公園</x:v>
      </x:c>
      <x:c r="C71" s="27" t="str">
        <x:v>君津市・鹿野山</x:v>
      </x:c>
      <x:c r="D71" s="27" t="str">
        <x:v>高台・山並み・雲海</x:v>
      </x:c>
      <x:c r="E71" s="49" t="e">
        <x:f>HYPERLINK("https://www.google.com/maps/dir/?api=1&amp;destination=%E9%B9%BF%E9%87%8E%E5%B1%B1%20%E4%B9%9D%E5%8D%81%E4%B9%9D%E8%B0%B7%E5%B1%95%E6%9C%9B%E5%85%AC%E5%9C%92&amp;travelmode=driving","現在地からナビ開始")</x:f>
      </x:c>
      <x:c r="F71" s="27" t="str">
        <x:v>房総丘陵の幾重もの尾根を見渡し、海とは別種の遠景Endingを作れる。</x:v>
      </x:c>
      <x:c r="G71" s="27" t="str">
        <x:v>あり・無料</x:v>
      </x:c>
      <x:c r="H71" s="27" t="str">
        <x:v>常時利用可能の案内あり、現地掲示優先</x:v>
      </x:c>
      <x:c r="I71" s="27" t="n">
        <x:v>3</x:v>
      </x:c>
      <x:c r="J71" s="27" t="n">
        <x:v>5</x:v>
      </x:c>
      <x:c r="K71" s="27" t="str">
        <x:v>濃霧・夜間の山道・野生動物に注意。単独深夜は推奨しない。</x:v>
      </x:c>
      <x:c r="L71" s="28" t="n">
        <x:v>46232</x:v>
      </x:c>
      <x:c r="M71" s="27" t="str">
        <x:v>当日再確認</x:v>
      </x:c>
      <x:c r="N71" s="27" t="str">
        <x:v>https://maruchiba.jp/spot/detail_10352.html</x:v>
      </x:c>
      <x:c r="O71" s="27" t="str">
        <x:v>九十九谷の眺望は日本画家・東山魁夷の代表作『残照』の着想地として知られる。</x:v>
      </x:c>
      <x:c r="P71" s="49" t="e">
        <x:f>HYPERLINK("https://ja.wikipedia.org/wiki/Special:Search?search=%E9%B9%BF%E9%87%8E%E5%B1%B1%20%E4%B9%9D%E5%8D%81%E4%B9%9D%E8%B0%B7%E5%B1%95%E6%9C%9B%E5%85%AC%E5%9C%92","Wikipedia・関連項目")</x:f>
      </x:c>
      <x:c r="R71" t="str">
        <x:v>35km超</x:v>
      </x:c>
      <x:c r="S71" t="str">
        <x:v>概ね35km超</x:v>
      </x:c>
      <x:c r="T71" t="str">
        <x:v>通常90分超</x:v>
      </x:c>
      <x:c r="U71" t="str">
        <x:v>海・港</x:v>
      </x:c>
      <x:c r="V71" t="str">
        <x:v>30〜60分</x:v>
      </x:c>
      <x:c r="W71" t="n">
        <x:v>1</x:v>
      </x:c>
      <x:c r="X71" t="n">
        <x:v>3</x:v>
      </x:c>
      <x:c r="Y71" t="str">
        <x:v>城南島海浜公園</x:v>
      </x:c>
      <x:c r="Z71" t="str">
        <x:v>潮風公園／晴海ふ頭公園</x:v>
      </x:c>
      <x:c r="AA71" s="22" t="str">
        <x:v>なし</x:v>
      </x:c>
      <x:c r="AB71" s="22" t="str">
        <x:v>-</x:v>
      </x:c>
      <x:c r="AC71" s="22" t="str"/>
      <x:c r="AD71" s="22" t="str">
        <x:v>専用・路外駐車を基本</x:v>
      </x:c>
      <x:c r="AE71" s="22" t="str"/>
    </x:row>
    <x:row r="72">
      <x:c r="A72" s="27" t="str">
        <x:v>D071</x:v>
      </x:c>
      <x:c r="B72" s="27" t="str">
        <x:v>亀山湖・亀山ダム周辺</x:v>
      </x:c>
      <x:c r="C72" s="27" t="str">
        <x:v>君津市・川俣</x:v>
      </x:c>
      <x:c r="D72" s="27" t="str">
        <x:v>湖・ダム・橋</x:v>
      </x:c>
      <x:c r="E72" s="49" t="e">
        <x:f>HYPERLINK("https://www.google.com/maps/dir/?api=1&amp;destination=%E4%BA%80%E5%B1%B1%E6%B9%96%E3%83%BB%E4%BA%80%E5%B1%B1%E3%83%80%E3%83%A0%E5%91%A8%E8%BE%BA&amp;travelmode=driving","現在地からナビ開始")</x:f>
      </x:c>
      <x:c r="F72" s="27" t="str">
        <x:v>湖面、橋、房総の山道が一体になり、内陸ロングドライブの終着感が強い。</x:v>
      </x:c>
      <x:c r="G72" s="27" t="str">
        <x:v>観光用駐車場あり・地点ごとに異なる</x:v>
      </x:c>
      <x:c r="H72" s="27" t="str">
        <x:v>施設・駐車場は地点ごとに異なる</x:v>
      </x:c>
      <x:c r="I72" s="27" t="n">
        <x:v>2</x:v>
      </x:c>
      <x:c r="J72" s="27" t="n">
        <x:v>4</x:v>
      </x:c>
      <x:c r="K72" s="27" t="str">
        <x:v>一括した24時間駐車場ではない。利用地点と閉鎖時刻を当日確認。</x:v>
      </x:c>
      <x:c r="L72" s="28" t="n">
        <x:v>46232</x:v>
      </x:c>
      <x:c r="M72" s="27" t="str">
        <x:v>当日再確認</x:v>
      </x:c>
      <x:c r="N72" s="27" t="str">
        <x:v>https://maruchiba.jp/spot/detail_10378.html</x:v>
      </x:c>
      <x:c r="O72" s="27" t="str">
        <x:v>亀山ダムは千葉県初の多目的ダムで、完成によって県内最大級の人造湖が生まれた。</x:v>
      </x:c>
      <x:c r="P72" s="49" t="e">
        <x:f>HYPERLINK("https://ja.wikipedia.org/wiki/Special:Search?search=%E4%BA%80%E5%B1%B1%E6%B9%96%E3%83%BB%E4%BA%80%E5%B1%B1%E3%83%80%E3%83%A0%E5%91%A8%E8%BE%BA","Wikipedia・関連項目")</x:f>
      </x:c>
      <x:c r="R72" t="str">
        <x:v>35km超</x:v>
      </x:c>
      <x:c r="S72" t="str">
        <x:v>概ね35km超</x:v>
      </x:c>
      <x:c r="T72" t="str">
        <x:v>通常90分超</x:v>
      </x:c>
      <x:c r="U72" t="str">
        <x:v>水辺</x:v>
      </x:c>
      <x:c r="V72" t="str">
        <x:v>30〜60分</x:v>
      </x:c>
      <x:c r="W72" t="n">
        <x:v>2</x:v>
      </x:c>
      <x:c r="X72" t="n">
        <x:v>1</x:v>
      </x:c>
      <x:c r="Y72" t="str">
        <x:v>多摩川浅間神社</x:v>
      </x:c>
      <x:c r="Z72" t="str">
        <x:v>多摩川六郷橋緑地／多摩川ガス橋緑地</x:v>
      </x:c>
      <x:c r="AA72" s="22" t="str">
        <x:v>なし</x:v>
      </x:c>
      <x:c r="AB72" s="22" t="str">
        <x:v>-</x:v>
      </x:c>
      <x:c r="AC72" s="22" t="str"/>
      <x:c r="AD72" s="22" t="str">
        <x:v>専用・路外駐車を基本</x:v>
      </x:c>
      <x:c r="AE72" s="22" t="str"/>
    </x:row>
    <x:row r="73">
      <x:c r="A73" s="27" t="str">
        <x:v>D072</x:v>
      </x:c>
      <x:c r="B73" s="27" t="str">
        <x:v>濃溝の滝・亀岩の洞窟</x:v>
      </x:c>
      <x:c r="C73" s="27" t="str">
        <x:v>君津市・笹</x:v>
      </x:c>
      <x:c r="D73" s="27" t="str">
        <x:v>渓谷・洞窟・森林</x:v>
      </x:c>
      <x:c r="E73" s="49" t="e">
        <x:f>HYPERLINK("https://www.google.com/maps/dir/?api=1&amp;destination=%E6%BF%83%E6%BA%9D%E3%81%AE%E6%BB%9D%E3%83%BB%E4%BA%80%E5%B2%A9%E3%81%AE%E6%B4%9E%E7%AA%9F&amp;travelmode=driving","現在地からナビ開始")</x:f>
      </x:c>
      <x:c r="F73" s="27" t="str">
        <x:v>短い散策で洞窟と渓流へ到達し、房総内陸の非日常Endingになる。</x:v>
      </x:c>
      <x:c r="G73" s="27" t="str">
        <x:v>あり・無料駐車場</x:v>
      </x:c>
      <x:c r="H73" s="27" t="str">
        <x:v>遊歩道は日中利用推奨</x:v>
      </x:c>
      <x:c r="I73" s="27" t="n">
        <x:v>1</x:v>
      </x:c>
      <x:c r="J73" s="27" t="n">
        <x:v>3</x:v>
      </x:c>
      <x:c r="K73" s="27" t="str">
        <x:v>夜間不可。雨後の滑りやすい遊歩道と混雑に注意。</x:v>
      </x:c>
      <x:c r="L73" s="28" t="n">
        <x:v>46232</x:v>
      </x:c>
      <x:c r="M73" s="27" t="str">
        <x:v>一次確認済</x:v>
      </x:c>
      <x:c r="N73" s="27" t="str">
        <x:v>https://maruchiba.jp/spot/detail_10394.html</x:v>
      </x:c>
      <x:c r="O73" s="27" t="str">
        <x:v>亀岩の洞窟は自然洞窟ではなく、江戸時代に川の流れを変えるため掘られた人工の川廻しトンネルである。</x:v>
      </x:c>
      <x:c r="P73" s="49" t="e">
        <x:f>HYPERLINK("https://ja.wikipedia.org/wiki/Special:Search?search=%E6%BF%83%E6%BA%9D%E3%81%AE%E6%BB%9D%E3%83%BB%E4%BA%80%E5%B2%A9%E3%81%AE%E6%B4%9E%E7%AA%9F","Wikipedia・関連項目")</x:f>
      </x:c>
      <x:c r="R73" t="str">
        <x:v>35km超</x:v>
      </x:c>
      <x:c r="S73" t="str">
        <x:v>概ね35km超</x:v>
      </x:c>
      <x:c r="T73" t="str">
        <x:v>通常90分超</x:v>
      </x:c>
      <x:c r="U73" t="str">
        <x:v>休日半日</x:v>
      </x:c>
      <x:c r="V73" t="str">
        <x:v>30〜90分</x:v>
      </x:c>
      <x:c r="W73" t="n">
        <x:v>1</x:v>
      </x:c>
      <x:c r="X73" t="n">
        <x:v>1</x:v>
      </x:c>
      <x:c r="Y73" t="str">
        <x:v>平和の森公園</x:v>
      </x:c>
      <x:c r="Z73" t="str">
        <x:v>大森ふるさとの浜辺公園／森ケ崎公園</x:v>
      </x:c>
      <x:c r="AA73" s="22" t="str">
        <x:v>なし</x:v>
      </x:c>
      <x:c r="AB73" s="22" t="str">
        <x:v>-</x:v>
      </x:c>
      <x:c r="AC73" s="22" t="str"/>
      <x:c r="AD73" s="22" t="str">
        <x:v>専用・路外駐車を基本</x:v>
      </x:c>
      <x:c r="AE73" s="22" t="str"/>
    </x:row>
    <x:row r="74">
      <x:c r="A74" s="27" t="str">
        <x:v>D073</x:v>
      </x:c>
      <x:c r="B74" s="27" t="str">
        <x:v>昭和の森</x:v>
      </x:c>
      <x:c r="C74" s="27" t="str">
        <x:v>千葉市・緑区</x:v>
      </x:c>
      <x:c r="D74" s="27" t="str">
        <x:v>高台・森林・展望</x:v>
      </x:c>
      <x:c r="E74" s="49" t="e">
        <x:f>HYPERLINK("https://www.google.com/maps/dir/?api=1&amp;destination=%E6%98%AD%E5%92%8C%E3%81%AE%E6%A3%AE&amp;travelmode=driving","現在地からナビ開始")</x:f>
      </x:c>
      <x:c r="F74" s="27" t="str">
        <x:v>広大な森と展望地点があり、千葉内陸の空の広さを感じる昼Endingになる。</x:v>
      </x:c>
      <x:c r="G74" s="27" t="str">
        <x:v>あり・有料</x:v>
      </x:c>
      <x:c r="H74" s="27" t="str">
        <x:v>駐車場は季節・区域別、当日公式確認</x:v>
      </x:c>
      <x:c r="I74" s="27" t="n">
        <x:v>2</x:v>
      </x:c>
      <x:c r="J74" s="27" t="n">
        <x:v>4</x:v>
      </x:c>
      <x:c r="K74" s="27" t="str">
        <x:v>路上駐車禁止。閉場時刻を確認し、夜間利用は避ける。</x:v>
      </x:c>
      <x:c r="L74" s="28" t="n">
        <x:v>46232</x:v>
      </x:c>
      <x:c r="M74" s="27" t="str">
        <x:v>当日再確認</x:v>
      </x:c>
      <x:c r="N74" s="27" t="str">
        <x:v>https://www.city.chiba.jp/toshi/koenryokuchi/kanri/midori/top.html</x:v>
      </x:c>
      <x:c r="O74" s="27" t="str">
        <x:v>昭和の森は下総台地の高所に位置し、千葉市内でも特に標高差の大きい展望公園である。</x:v>
      </x:c>
      <x:c r="P74" s="49" t="e">
        <x:f>HYPERLINK("https://ja.wikipedia.org/wiki/Special:Search?search=%E6%98%AD%E5%92%8C%E3%81%AE%E6%A3%AE","Wikipedia・関連項目")</x:f>
      </x:c>
      <x:c r="R74" t="str">
        <x:v>35km超</x:v>
      </x:c>
      <x:c r="S74" t="str">
        <x:v>概ね35km超</x:v>
      </x:c>
      <x:c r="T74" t="str">
        <x:v>通常90分超</x:v>
      </x:c>
      <x:c r="U74" t="str">
        <x:v>休日半日</x:v>
      </x:c>
      <x:c r="V74" t="str">
        <x:v>30〜60分</x:v>
      </x:c>
      <x:c r="W74" t="n">
        <x:v>1</x:v>
      </x:c>
      <x:c r="X74" t="n">
        <x:v>1</x:v>
      </x:c>
      <x:c r="Y74" t="str">
        <x:v>平和の森公園</x:v>
      </x:c>
      <x:c r="Z74" t="str">
        <x:v>大森ふるさとの浜辺公園／森ケ崎公園</x:v>
      </x:c>
      <x:c r="AA74" s="22" t="str">
        <x:v>なし</x:v>
      </x:c>
      <x:c r="AB74" s="22" t="str">
        <x:v>-</x:v>
      </x:c>
      <x:c r="AC74" s="22" t="str"/>
      <x:c r="AD74" s="22" t="str">
        <x:v>専用・路外駐車を基本</x:v>
      </x:c>
      <x:c r="AE74" s="22" t="str"/>
    </x:row>
    <x:row r="75">
      <x:c r="A75" s="27" t="str">
        <x:v>D074</x:v>
      </x:c>
      <x:c r="B75" s="27" t="str">
        <x:v>泉自然公園</x:v>
      </x:c>
      <x:c r="C75" s="27" t="str">
        <x:v>千葉市・若葉区</x:v>
      </x:c>
      <x:c r="D75" s="27" t="str">
        <x:v>森林・池・谷津</x:v>
      </x:c>
      <x:c r="E75" s="49" t="e">
        <x:f>HYPERLINK("https://www.google.com/maps/dir/?api=1&amp;destination=%E6%B3%89%E8%87%AA%E7%84%B6%E5%85%AC%E5%9C%92&amp;travelmode=driving","現在地からナビ開始")</x:f>
      </x:c>
      <x:c r="F75" s="27" t="str">
        <x:v>池と谷津地形、深い森があり、都市圏から自然へ切り替わる終点になる。</x:v>
      </x:c>
      <x:c r="G75" s="27" t="str">
        <x:v>あり・有料</x:v>
      </x:c>
      <x:c r="H75" s="27" t="str">
        <x:v>駐車場利用時間は公式案内で当日確認</x:v>
      </x:c>
      <x:c r="I75" s="27" t="n">
        <x:v>1</x:v>
      </x:c>
      <x:c r="J75" s="27" t="n">
        <x:v>4</x:v>
      </x:c>
      <x:c r="K75" s="27" t="str">
        <x:v>夜間不可。季節によって虫・落枝・ぬかるみに注意。</x:v>
      </x:c>
      <x:c r="L75" s="28" t="n">
        <x:v>46232</x:v>
      </x:c>
      <x:c r="M75" s="27" t="str">
        <x:v>当日再確認</x:v>
      </x:c>
      <x:c r="N75" s="27" t="str">
        <x:v>https://izumi-park.city.chiba.jp/</x:v>
      </x:c>
      <x:c r="O75" s="27" t="str">
        <x:v>泉自然公園には湧水で刻まれた『谷津』地形が残り、台地と湿地が近接する房総らしい環境を見られる。</x:v>
      </x:c>
      <x:c r="P75" s="49" t="e">
        <x:f>HYPERLINK("https://ja.wikipedia.org/wiki/Special:Search?search=%E6%B3%89%E8%87%AA%E7%84%B6%E5%85%AC%E5%9C%92","Wikipedia・関連項目")</x:f>
      </x:c>
      <x:c r="R75" t="str">
        <x:v>35km超</x:v>
      </x:c>
      <x:c r="S75" t="str">
        <x:v>概ね35km超</x:v>
      </x:c>
      <x:c r="T75" t="str">
        <x:v>通常90分超</x:v>
      </x:c>
      <x:c r="U75" t="str">
        <x:v>水辺</x:v>
      </x:c>
      <x:c r="V75" t="str">
        <x:v>30〜90分</x:v>
      </x:c>
      <x:c r="W75" t="n">
        <x:v>1</x:v>
      </x:c>
      <x:c r="X75" t="n">
        <x:v>1</x:v>
      </x:c>
      <x:c r="Y75" t="str">
        <x:v>多摩川浅間神社</x:v>
      </x:c>
      <x:c r="Z75" t="str">
        <x:v>多摩川六郷橋緑地／多摩川ガス橋緑地</x:v>
      </x:c>
      <x:c r="AA75" s="22" t="str">
        <x:v>なし</x:v>
      </x:c>
      <x:c r="AB75" s="22" t="str">
        <x:v>-</x:v>
      </x:c>
      <x:c r="AC75" s="22" t="str"/>
      <x:c r="AD75" s="22" t="str">
        <x:v>専用・路外駐車を基本</x:v>
      </x:c>
      <x:c r="AE75" s="22" t="str"/>
    </x:row>
    <x:row r="76">
      <x:c r="A76" s="27" t="str">
        <x:v>D075</x:v>
      </x:c>
      <x:c r="B76" s="27" t="str">
        <x:v>県立四季の森公園</x:v>
      </x:c>
      <x:c r="C76" s="27" t="str">
        <x:v>横浜市・緑区</x:v>
      </x:c>
      <x:c r="D76" s="27" t="str">
        <x:v>谷戸・池・森林</x:v>
      </x:c>
      <x:c r="E76" s="49" t="e">
        <x:f>HYPERLINK("https://www.google.com/maps/dir/?api=1&amp;destination=%E7%9C%8C%E7%AB%8B%E5%9B%9B%E5%AD%A3%E3%81%AE%E6%A3%AE%E5%85%AC%E5%9C%92&amp;travelmode=driving","現在地からナビ開始")</x:f>
      </x:c>
      <x:c r="F76" s="27" t="str">
        <x:v>横浜市内ながら谷戸と水田、森が残り、昼の回復系Endingに向く。</x:v>
      </x:c>
      <x:c r="G76" s="27" t="str">
        <x:v>あり・有料</x:v>
      </x:c>
      <x:c r="H76" s="27" t="str">
        <x:v>駐車場時間は季節・公式案内を確認</x:v>
      </x:c>
      <x:c r="I76" s="27" t="n">
        <x:v>2</x:v>
      </x:c>
      <x:c r="J76" s="27" t="n">
        <x:v>4</x:v>
      </x:c>
      <x:c r="K76" s="27" t="str">
        <x:v>イベント・工事情報と閉場時刻を確認。夜は暗い。</x:v>
      </x:c>
      <x:c r="L76" s="28" t="n">
        <x:v>46232</x:v>
      </x:c>
      <x:c r="M76" s="27" t="str">
        <x:v>当日再確認</x:v>
      </x:c>
      <x:c r="N76" s="27" t="str">
        <x:v>https://www.kanagawa-park.or.jp/shikinomori/</x:v>
      </x:c>
      <x:c r="O76" s="27" t="str">
        <x:v>四季の森公園は横浜に残る谷戸の地形と雑木林を保全し、水田や炭焼きの里山文化を伝える。</x:v>
      </x:c>
      <x:c r="P76" s="49" t="e">
        <x:f>HYPERLINK("https://ja.wikipedia.org/wiki/Special:Search?search=%E7%9C%8C%E7%AB%8B%E5%9B%9B%E5%AD%A3%E3%81%AE%E6%A3%AE%E5%85%AC%E5%9C%92","Wikipedia・関連項目")</x:f>
      </x:c>
      <x:c r="R76" t="str">
        <x:v>20〜25km</x:v>
      </x:c>
      <x:c r="S76" t="str">
        <x:v>概ね20〜25km</x:v>
      </x:c>
      <x:c r="T76" t="str">
        <x:v>通常40〜70分</x:v>
      </x:c>
      <x:c r="U76" t="str">
        <x:v>水辺</x:v>
      </x:c>
      <x:c r="V76" t="str">
        <x:v>30〜90分</x:v>
      </x:c>
      <x:c r="W76" t="n">
        <x:v>1</x:v>
      </x:c>
      <x:c r="X76" t="n">
        <x:v>1</x:v>
      </x:c>
      <x:c r="Y76" t="str">
        <x:v>多摩川浅間神社</x:v>
      </x:c>
      <x:c r="Z76" t="str">
        <x:v>多摩川六郷橋緑地／多摩川ガス橋緑地</x:v>
      </x:c>
      <x:c r="AA76" s="22" t="str">
        <x:v>なし</x:v>
      </x:c>
      <x:c r="AB76" s="22" t="str">
        <x:v>-</x:v>
      </x:c>
      <x:c r="AC76" s="22" t="str"/>
      <x:c r="AD76" s="22" t="str">
        <x:v>専用・路外駐車を基本</x:v>
      </x:c>
      <x:c r="AE76" s="22" t="str"/>
    </x:row>
    <x:row r="77">
      <x:c r="A77" s="27" t="str">
        <x:v>D076</x:v>
      </x:c>
      <x:c r="B77" s="27" t="str">
        <x:v>県立秦野戸川公園</x:v>
      </x:c>
      <x:c r="C77" s="27" t="str">
        <x:v>秦野市・堀山下</x:v>
      </x:c>
      <x:c r="D77" s="27" t="str">
        <x:v>吊り橋・丹沢・河川</x:v>
      </x:c>
      <x:c r="E77" s="49" t="e">
        <x:f>HYPERLINK("https://www.google.com/maps/dir/?api=1&amp;destination=%E7%9C%8C%E7%AB%8B%E7%A7%A6%E9%87%8E%E6%88%B8%E5%B7%9D%E5%85%AC%E5%9C%92&amp;travelmode=driving","現在地からナビ開始")</x:f>
      </x:c>
      <x:c r="F77" s="27" t="str">
        <x:v>丹沢の山並みと大きな吊り橋、河川敷が揃い、西側ロングドライブの強い終点になる。</x:v>
      </x:c>
      <x:c r="G77" s="27" t="str">
        <x:v>あり・複数有料</x:v>
      </x:c>
      <x:c r="H77" s="27" t="str">
        <x:v>駐車場は季節・区域別、当日公式確認</x:v>
      </x:c>
      <x:c r="I77" s="27" t="n">
        <x:v>2</x:v>
      </x:c>
      <x:c r="J77" s="27" t="n">
        <x:v>3</x:v>
      </x:c>
      <x:c r="K77" s="27" t="str">
        <x:v>休日は混雑。夕方の閉場と山間部の天候変化に注意。</x:v>
      </x:c>
      <x:c r="L77" s="28" t="n">
        <x:v>46232</x:v>
      </x:c>
      <x:c r="M77" s="27" t="str">
        <x:v>当日再確認</x:v>
      </x:c>
      <x:c r="N77" s="27" t="str">
        <x:v>https://www.kanagawa-park.or.jp/hadanotokawa/</x:v>
      </x:c>
      <x:c r="O77" s="27" t="str">
        <x:v>秦野戸川公園の『風の吊り橋』は全長267mで、丹沢の山並みを背景にした公園の象徴である。</x:v>
      </x:c>
      <x:c r="P77" s="49" t="e">
        <x:f>HYPERLINK("https://ja.wikipedia.org/wiki/Special:Search?search=%E7%9C%8C%E7%AB%8B%E7%A7%A6%E9%87%8E%E6%88%B8%E5%B7%9D%E5%85%AC%E5%9C%92","Wikipedia・関連項目")</x:f>
      </x:c>
      <x:c r="R77" t="str">
        <x:v>35km超</x:v>
      </x:c>
      <x:c r="S77" t="str">
        <x:v>概ね35km超</x:v>
      </x:c>
      <x:c r="T77" t="str">
        <x:v>通常90分超</x:v>
      </x:c>
      <x:c r="U77" t="str">
        <x:v>水辺</x:v>
      </x:c>
      <x:c r="V77" t="str">
        <x:v>30〜90分</x:v>
      </x:c>
      <x:c r="W77" t="n">
        <x:v>1</x:v>
      </x:c>
      <x:c r="X77" t="n">
        <x:v>1</x:v>
      </x:c>
      <x:c r="Y77" t="str">
        <x:v>多摩川浅間神社</x:v>
      </x:c>
      <x:c r="Z77" t="str">
        <x:v>多摩川六郷橋緑地／多摩川ガス橋緑地</x:v>
      </x:c>
      <x:c r="AA77" s="22" t="str">
        <x:v>なし</x:v>
      </x:c>
      <x:c r="AB77" s="22" t="str">
        <x:v>-</x:v>
      </x:c>
      <x:c r="AC77" s="22" t="str"/>
      <x:c r="AD77" s="22" t="str">
        <x:v>専用・路外駐車を基本</x:v>
      </x:c>
      <x:c r="AE77" s="22" t="str"/>
    </x:row>
    <x:row r="78">
      <x:c r="A78" s="27" t="str">
        <x:v>D077</x:v>
      </x:c>
      <x:c r="B78" s="27" t="str">
        <x:v>茅ケ崎里山公園</x:v>
      </x:c>
      <x:c r="C78" s="27" t="str">
        <x:v>茅ヶ崎市・芹沢</x:v>
      </x:c>
      <x:c r="D78" s="27" t="str">
        <x:v>里山・高台・田園</x:v>
      </x:c>
      <x:c r="E78" s="49" t="e">
        <x:f>HYPERLINK("https://www.google.com/maps/dir/?api=1&amp;destination=%E8%8C%85%E3%82%B1%E5%B4%8E%E9%87%8C%E5%B1%B1%E5%85%AC%E5%9C%92&amp;travelmode=driving","現在地からナビ開始")</x:f>
      </x:c>
      <x:c r="F78" s="27" t="str">
        <x:v>湘南海岸とは逆方向の里山景観で、静かな昼Endingを作れる。</x:v>
      </x:c>
      <x:c r="G78" s="27" t="str">
        <x:v>あり・北駐車場無料、他有料</x:v>
      </x:c>
      <x:c r="H78" s="27" t="str">
        <x:v>駐車場時間は公式案内を確認</x:v>
      </x:c>
      <x:c r="I78" s="27" t="n">
        <x:v>2</x:v>
      </x:c>
      <x:c r="J78" s="27" t="n">
        <x:v>4</x:v>
      </x:c>
      <x:c r="K78" s="27" t="str">
        <x:v>夜間向きではない。農地・生活道路へ入り込まない。</x:v>
      </x:c>
      <x:c r="L78" s="28" t="n">
        <x:v>46232</x:v>
      </x:c>
      <x:c r="M78" s="27" t="str">
        <x:v>当日再確認</x:v>
      </x:c>
      <x:c r="N78" s="27" t="str">
        <x:v>https://kanagawa-park.or.jp/satoyama/</x:v>
      </x:c>
      <x:c r="O78" s="27" t="str">
        <x:v>茅ケ崎里山公園は湘南の海側イメージとは対照的に、谷戸田・雑木林・農村景観を再現している。</x:v>
      </x:c>
      <x:c r="P78" s="49" t="e">
        <x:f>HYPERLINK("https://ja.wikipedia.org/wiki/Special:Search?search=%E8%8C%85%E3%82%B1%E5%B4%8E%E9%87%8C%E5%B1%B1%E5%85%AC%E5%9C%92","Wikipedia・関連項目")</x:f>
      </x:c>
      <x:c r="R78" t="str">
        <x:v>35km超</x:v>
      </x:c>
      <x:c r="S78" t="str">
        <x:v>概ね35km超</x:v>
      </x:c>
      <x:c r="T78" t="str">
        <x:v>通常90分超</x:v>
      </x:c>
      <x:c r="U78" t="str">
        <x:v>休日半日</x:v>
      </x:c>
      <x:c r="V78" t="str">
        <x:v>30〜60分</x:v>
      </x:c>
      <x:c r="W78" t="n">
        <x:v>1</x:v>
      </x:c>
      <x:c r="X78" t="n">
        <x:v>1</x:v>
      </x:c>
      <x:c r="Y78" t="str">
        <x:v>羽田空港 第3ターミナル展望デッキ</x:v>
      </x:c>
      <x:c r="Z78" t="str">
        <x:v>城南島海浜公園／潮風公園</x:v>
      </x:c>
      <x:c r="AA78" s="22" t="str">
        <x:v>なし</x:v>
      </x:c>
      <x:c r="AB78" s="22" t="str">
        <x:v>-</x:v>
      </x:c>
      <x:c r="AC78" s="22" t="str"/>
      <x:c r="AD78" s="22" t="str">
        <x:v>専用・路外駐車を基本</x:v>
      </x:c>
      <x:c r="AE78" s="22" t="str"/>
    </x:row>
    <x:row r="79">
      <x:c r="A79" s="27" t="str">
        <x:v>D078</x:v>
      </x:c>
      <x:c r="B79" s="27" t="str">
        <x:v>狭山公園</x:v>
      </x:c>
      <x:c r="C79" s="27" t="str">
        <x:v>東村山市・多摩湖町</x:v>
      </x:c>
      <x:c r="D79" s="27" t="str">
        <x:v>湖・堤防・夕景</x:v>
      </x:c>
      <x:c r="E79" s="49" t="e">
        <x:f>HYPERLINK("https://www.google.com/maps/dir/?api=1&amp;destination=%E7%8B%AD%E5%B1%B1%E5%85%AC%E5%9C%92&amp;travelmode=driving","現在地からナビ開始")</x:f>
      </x:c>
      <x:c r="F79" s="27" t="str">
        <x:v>多摩湖の堤防と広い空があり、西東京方面の水辺Endingとして使える。</x:v>
      </x:c>
      <x:c r="G79" s="27" t="str">
        <x:v>あり・無料</x:v>
      </x:c>
      <x:c r="H79" s="27" t="str">
        <x:v>駐車場 9:00～17:00目安、季節確認</x:v>
      </x:c>
      <x:c r="I79" s="27" t="n">
        <x:v>2</x:v>
      </x:c>
      <x:c r="J79" s="27" t="n">
        <x:v>3</x:v>
      </x:c>
      <x:c r="K79" s="27" t="str">
        <x:v>閉場が早い。湖周辺道路の通行規制と自転車に注意。</x:v>
      </x:c>
      <x:c r="L79" s="28" t="n">
        <x:v>46232</x:v>
      </x:c>
      <x:c r="M79" s="27" t="str">
        <x:v>当日再確認</x:v>
      </x:c>
      <x:c r="N79" s="27" t="str">
        <x:v>https://www.sayamaparks.com/sayama/</x:v>
      </x:c>
      <x:c r="O79" s="27" t="str">
        <x:v>多摩湖を囲む狭山丘陵は『トトロの森』の活動で知られ、武蔵野の雑木林景観を残している。</x:v>
      </x:c>
      <x:c r="P79" s="49" t="e">
        <x:f>HYPERLINK("https://ja.wikipedia.org/wiki/Special:Search?search=%E7%8B%AD%E5%B1%B1%E5%85%AC%E5%9C%92","Wikipedia・関連項目")</x:f>
      </x:c>
      <x:c r="R79" t="str">
        <x:v>35km超</x:v>
      </x:c>
      <x:c r="S79" t="str">
        <x:v>概ね35km超</x:v>
      </x:c>
      <x:c r="T79" t="str">
        <x:v>通常90分超</x:v>
      </x:c>
      <x:c r="U79" t="str">
        <x:v>水辺</x:v>
      </x:c>
      <x:c r="V79" t="str">
        <x:v>30〜60分</x:v>
      </x:c>
      <x:c r="W79" t="n">
        <x:v>2</x:v>
      </x:c>
      <x:c r="X79" t="n">
        <x:v>1</x:v>
      </x:c>
      <x:c r="Y79" t="str">
        <x:v>多摩川浅間神社</x:v>
      </x:c>
      <x:c r="Z79" t="str">
        <x:v>多摩川六郷橋緑地／多摩川ガス橋緑地</x:v>
      </x:c>
      <x:c r="AA79" s="22" t="str">
        <x:v>なし</x:v>
      </x:c>
      <x:c r="AB79" s="22" t="str">
        <x:v>-</x:v>
      </x:c>
      <x:c r="AC79" s="22" t="str"/>
      <x:c r="AD79" s="22" t="str">
        <x:v>専用・路外駐車を基本</x:v>
      </x:c>
      <x:c r="AE79" s="22" t="str"/>
    </x:row>
    <x:row r="80">
      <x:c r="A80" s="27" t="str">
        <x:v>D079</x:v>
      </x:c>
      <x:c r="B80" s="27" t="str">
        <x:v>野山北・六道山公園</x:v>
      </x:c>
      <x:c r="C80" s="27" t="str">
        <x:v>武蔵村山市・瑞穂町</x:v>
      </x:c>
      <x:c r="D80" s="27" t="str">
        <x:v>丘陵・展望・里山</x:v>
      </x:c>
      <x:c r="E80" s="49" t="e">
        <x:f>HYPERLINK("https://www.google.com/maps/dir/?api=1&amp;destination=%E9%87%8E%E5%B1%B1%E5%8C%97%E3%83%BB%E5%85%AD%E9%81%93%E5%B1%B1%E5%85%AC%E5%9C%92&amp;travelmode=driving","現在地からナビ開始")</x:f>
      </x:c>
      <x:c r="F80" s="27" t="str">
        <x:v>狭山丘陵の尾根と里山景観があり、都市部から森へ抜ける到達感がある。</x:v>
      </x:c>
      <x:c r="G80" s="27" t="str">
        <x:v>あり・複数無料</x:v>
      </x:c>
      <x:c r="H80" s="27" t="str">
        <x:v>駐車場は区域別・夕方閉鎖</x:v>
      </x:c>
      <x:c r="I80" s="27" t="n">
        <x:v>1</x:v>
      </x:c>
      <x:c r="J80" s="27" t="n">
        <x:v>5</x:v>
      </x:c>
      <x:c r="K80" s="27" t="str">
        <x:v>夜間不可。駐車場ごとの閉鎖時刻と歩行距離を確認。</x:v>
      </x:c>
      <x:c r="L80" s="28" t="n">
        <x:v>46232</x:v>
      </x:c>
      <x:c r="M80" s="27" t="str">
        <x:v>当日再確認</x:v>
      </x:c>
      <x:c r="N80" s="27" t="str">
        <x:v>https://www.sayamaparks.com/noyama/</x:v>
      </x:c>
      <x:c r="O80" s="27" t="str">
        <x:v>野山北・六道山公園は狭山丘陵の里山を広く保全し、東京都立公園でも最大級の面積を持つ。</x:v>
      </x:c>
      <x:c r="P80" s="49" t="e">
        <x:f>HYPERLINK("https://ja.wikipedia.org/wiki/Special:Search?search=%E9%87%8E%E5%B1%B1%E5%8C%97%E3%83%BB%E5%85%AD%E9%81%93%E5%B1%B1%E5%85%AC%E5%9C%92","Wikipedia・関連項目")</x:f>
      </x:c>
      <x:c r="R80" t="str">
        <x:v>35km超</x:v>
      </x:c>
      <x:c r="S80" t="str">
        <x:v>概ね35km超</x:v>
      </x:c>
      <x:c r="T80" t="str">
        <x:v>通常90分超</x:v>
      </x:c>
      <x:c r="U80" t="str">
        <x:v>休日半日</x:v>
      </x:c>
      <x:c r="V80" t="str">
        <x:v>30〜60分</x:v>
      </x:c>
      <x:c r="W80" t="n">
        <x:v>2</x:v>
      </x:c>
      <x:c r="X80" t="n">
        <x:v>1</x:v>
      </x:c>
      <x:c r="Y80" t="str">
        <x:v>羽田空港 第3ターミナル展望デッキ</x:v>
      </x:c>
      <x:c r="Z80" t="str">
        <x:v>城南島海浜公園／潮風公園</x:v>
      </x:c>
      <x:c r="AA80" s="22" t="str">
        <x:v>なし</x:v>
      </x:c>
      <x:c r="AB80" s="22" t="str">
        <x:v>-</x:v>
      </x:c>
      <x:c r="AC80" s="22" t="str"/>
      <x:c r="AD80" s="22" t="str">
        <x:v>専用・路外駐車を基本</x:v>
      </x:c>
      <x:c r="AE80" s="22" t="str"/>
    </x:row>
    <x:row r="81">
      <x:c r="A81" s="27" t="str">
        <x:v>D080</x:v>
      </x:c>
      <x:c r="B81" s="27" t="str">
        <x:v>根岸森林公園</x:v>
      </x:c>
      <x:c r="C81" s="27" t="str">
        <x:v>横浜市・中区</x:v>
      </x:c>
      <x:c r="D81" s="27" t="str">
        <x:v>高台・芝生・都市近郊</x:v>
      </x:c>
      <x:c r="E81" s="49" t="e">
        <x:f>HYPERLINK("https://www.google.com/maps/dir/?api=1&amp;destination=%E6%A0%B9%E5%B2%B8%E6%A3%AE%E6%9E%97%E5%85%AC%E5%9C%92&amp;travelmode=driving","現在地からナビ開始")</x:f>
      </x:c>
      <x:c r="F81" s="27" t="str">
        <x:v>広い芝生と旧競馬場の高台景観があり、横浜中心部の後に静けさを作れる。</x:v>
      </x:c>
      <x:c r="G81" s="27" t="str">
        <x:v>第1・第2駐車場 各約100台・有料</x:v>
      </x:c>
      <x:c r="H81" s="27" t="str">
        <x:v>公園常時／駐車場は運営案内・現地表示を確認</x:v>
      </x:c>
      <x:c r="I81" s="27" t="n">
        <x:v>4</x:v>
      </x:c>
      <x:c r="J81" s="27" t="n">
        <x:v>3</x:v>
      </x:c>
      <x:c r="K81" s="27" t="str">
        <x:v>桜期・休日は満車と周辺渋滞。路上待機禁止。閉場時刻は当日表示を優先。</x:v>
      </x:c>
      <x:c r="L81" s="28" t="n">
        <x:v>46232</x:v>
      </x:c>
      <x:c r="M81" s="27" t="str">
        <x:v>一次確認済</x:v>
      </x:c>
      <x:c r="N81" s="27" t="str">
        <x:v>https://www.city.yokohama.lg.jp/kurashi/machizukuri-kankyo/midori-koen/koen/koen/daihyoteki/negishi/kouen010.html</x:v>
      </x:c>
      <x:c r="O81" s="27" t="str">
        <x:v>根岸森林公園は日本初の本格的な洋式競馬場・横浜競馬場の跡地で、旧一等馬見所が今も残る。</x:v>
      </x:c>
      <x:c r="P81" s="49" t="e">
        <x:f>HYPERLINK("https://ja.wikipedia.org/wiki/Special:Search?search=%E6%A0%B9%E5%B2%B8%E6%A3%AE%E6%9E%97%E5%85%AC%E5%9C%92","Wikipedia・関連項目")</x:f>
      </x:c>
      <x:c r="Q81" t="str">
        <x:v>2026-07-29公式再確認：駐車場合計約200台と競馬場跡Storyを経由地設計へ反映。</x:v>
      </x:c>
      <x:c r="R81" t="str">
        <x:v>20〜25km</x:v>
      </x:c>
      <x:c r="S81" t="str">
        <x:v>概ね20〜25km</x:v>
      </x:c>
      <x:c r="T81" t="str">
        <x:v>通常40〜70分</x:v>
      </x:c>
      <x:c r="U81" t="str">
        <x:v>平日夜・深夜</x:v>
      </x:c>
      <x:c r="V81" t="str">
        <x:v>30〜60分</x:v>
      </x:c>
      <x:c r="W81" t="n">
        <x:v>1</x:v>
      </x:c>
      <x:c r="X81" t="n">
        <x:v>1</x:v>
      </x:c>
      <x:c r="Y81" t="str">
        <x:v>羽田空港 第3ターミナル展望デッキ</x:v>
      </x:c>
      <x:c r="Z81" t="str">
        <x:v>城南島海浜公園／潮風公園</x:v>
      </x:c>
      <x:c r="AA81" s="22" t="str">
        <x:v>なし</x:v>
      </x:c>
      <x:c r="AB81" s="22" t="str">
        <x:v>-</x:v>
      </x:c>
      <x:c r="AC81" s="22" t="str"/>
      <x:c r="AD81" s="22" t="str">
        <x:v>専用・路外駐車を基本</x:v>
      </x:c>
      <x:c r="AE81" s="22" t="str"/>
    </x:row>
    <x:row r="82">
      <x:c r="A82" s="27" t="str">
        <x:v>D081</x:v>
      </x:c>
      <x:c r="B82" s="27" t="str">
        <x:v>道の駅 いちかわ</x:v>
      </x:c>
      <x:c r="C82" s="27" t="str">
        <x:v>市川市・国分</x:v>
      </x:c>
      <x:c r="D82" s="27" t="str">
        <x:v>道の駅・都市型休憩</x:v>
      </x:c>
      <x:c r="E82" s="49" t="e">
        <x:f>HYPERLINK("https://www.google.com/maps/dir/?api=1&amp;destination=%E9%81%93%E3%81%AE%E9%A7%85%20%E3%81%84%E3%81%A1%E3%81%8B%E3%82%8F&amp;travelmode=driving","現在地からナビ開始")</x:f>
      </x:c>
      <x:c r="F82" s="27" t="str">
        <x:v>外環道と都心近郊道路の節目で、食事・トイレ・短い休憩を確実に組み込める都市型Ending。</x:v>
      </x:c>
      <x:c r="G82" s="27" t="str">
        <x:v>あり・24時間利用可</x:v>
      </x:c>
      <x:c r="H82" s="27" t="str">
        <x:v>駐車場・トイレ 24時間／店舗は個別営業時間</x:v>
      </x:c>
      <x:c r="I82" s="27" t="n">
        <x:v>4</x:v>
      </x:c>
      <x:c r="J82" s="27" t="n">
        <x:v>3</x:v>
      </x:c>
      <x:c r="K82" s="27" t="str">
        <x:v>住宅地に近く夜間騒音が課題となっているため、アイドリング・長時間滞在を避ける。</x:v>
      </x:c>
      <x:c r="L82" s="28" t="n">
        <x:v>46232</x:v>
      </x:c>
      <x:c r="M82" s="27" t="str">
        <x:v>一次確認済</x:v>
      </x:c>
      <x:c r="N82" s="27" t="str">
        <x:v>https://www.michinoeki-ichikawa.jp/access/</x:v>
      </x:c>
      <x:c r="O82" s="27" t="str">
        <x:v>道の駅いちかわは農村部ではなく市街地に造られた『都市型道の駅』として珍しい。</x:v>
      </x:c>
      <x:c r="P82" s="49" t="e">
        <x:f>HYPERLINK("https://ja.wikipedia.org/wiki/Special:Search?search=%E9%81%93%E3%81%AE%E9%A7%85%20%E3%81%84%E3%81%A1%E3%81%8B%E3%82%8F","Wikipedia・関連項目")</x:f>
      </x:c>
      <x:c r="R82" t="str">
        <x:v>25〜35km</x:v>
      </x:c>
      <x:c r="S82" t="str">
        <x:v>概ね25〜35km</x:v>
      </x:c>
      <x:c r="T82" t="str">
        <x:v>通常55〜90分</x:v>
      </x:c>
      <x:c r="U82" t="str">
        <x:v>平日夜・深夜</x:v>
      </x:c>
      <x:c r="V82" t="str">
        <x:v>30〜60分</x:v>
      </x:c>
      <x:c r="W82" t="n">
        <x:v>4</x:v>
      </x:c>
      <x:c r="X82" t="n">
        <x:v>1</x:v>
      </x:c>
      <x:c r="Y82" t="str">
        <x:v>羽田空港 第3ターミナル展望デッキ</x:v>
      </x:c>
      <x:c r="Z82" t="str">
        <x:v>城南島海浜公園／潮風公園</x:v>
      </x:c>
      <x:c r="AA82" s="22" t="str">
        <x:v>なし</x:v>
      </x:c>
      <x:c r="AB82" s="22" t="str">
        <x:v>-</x:v>
      </x:c>
      <x:c r="AC82" s="22" t="str"/>
      <x:c r="AD82" s="22" t="str">
        <x:v>専用・路外駐車を基本</x:v>
      </x:c>
      <x:c r="AE82" s="22" t="str"/>
    </x:row>
    <x:row r="83">
      <x:c r="A83" s="27" t="str">
        <x:v>D082</x:v>
      </x:c>
      <x:c r="B83" s="27" t="str">
        <x:v>道の駅 しょうなん</x:v>
      </x:c>
      <x:c r="C83" s="27" t="str">
        <x:v>柏市・箕輪新田</x:v>
      </x:c>
      <x:c r="D83" s="27" t="str">
        <x:v>道の駅・湖・農地</x:v>
      </x:c>
      <x:c r="E83" s="49" t="e">
        <x:f>HYPERLINK("https://www.google.com/maps/dir/?api=1&amp;destination=%E9%81%93%E3%81%AE%E9%A7%85%20%E3%81%97%E3%82%87%E3%81%86%E3%81%AA%E3%82%93&amp;travelmode=driving","現在地からナビ開始")</x:f>
      </x:c>
      <x:c r="F83" s="27" t="str">
        <x:v>手賀沼と農地の広がりに接し、東葛方面のドライブを安全な休憩拠点で締められる。</x:v>
      </x:c>
      <x:c r="G83" s="27" t="str">
        <x:v>あり・第1・第2は24時間</x:v>
      </x:c>
      <x:c r="H83" s="27" t="str">
        <x:v>駐車場 24時間／店舗 9:00～18:00</x:v>
      </x:c>
      <x:c r="I83" s="27" t="n">
        <x:v>4</x:v>
      </x:c>
      <x:c r="J83" s="27" t="n">
        <x:v>3</x:v>
      </x:c>
      <x:c r="K83" s="27" t="str">
        <x:v>花火・マラソン等で交通規制や出庫制限がある。イベント日を当日確認。</x:v>
      </x:c>
      <x:c r="L83" s="28" t="n">
        <x:v>46232</x:v>
      </x:c>
      <x:c r="M83" s="27" t="str">
        <x:v>一次確認済</x:v>
      </x:c>
      <x:c r="N83" s="27" t="str">
        <x:v>https://www.michinoeki-shonan.jp/access/</x:v>
      </x:c>
      <x:c r="O83" s="27" t="str">
        <x:v>『しょうなん』は神奈川の湘南ではなく、合併前の千葉県沼南町という地名に由来する。</x:v>
      </x:c>
      <x:c r="P83" s="49" t="e">
        <x:f>HYPERLINK("https://ja.wikipedia.org/wiki/Special:Search?search=%E9%81%93%E3%81%AE%E9%A7%85%20%E3%81%97%E3%82%87%E3%81%86%E3%81%AA%E3%82%93","Wikipedia・関連項目")</x:f>
      </x:c>
      <x:c r="R83" t="str">
        <x:v>35km超</x:v>
      </x:c>
      <x:c r="S83" t="str">
        <x:v>概ね35km超</x:v>
      </x:c>
      <x:c r="T83" t="str">
        <x:v>通常90分超</x:v>
      </x:c>
      <x:c r="U83" t="str">
        <x:v>水辺</x:v>
      </x:c>
      <x:c r="V83" t="str">
        <x:v>30〜60分</x:v>
      </x:c>
      <x:c r="W83" t="n">
        <x:v>4</x:v>
      </x:c>
      <x:c r="X83" t="n">
        <x:v>1</x:v>
      </x:c>
      <x:c r="Y83" t="str">
        <x:v>多摩川浅間神社</x:v>
      </x:c>
      <x:c r="Z83" t="str">
        <x:v>多摩川六郷橋緑地／多摩川ガス橋緑地</x:v>
      </x:c>
      <x:c r="AA83" s="22" t="str">
        <x:v>なし</x:v>
      </x:c>
      <x:c r="AB83" s="22" t="str">
        <x:v>-</x:v>
      </x:c>
      <x:c r="AC83" s="22" t="str"/>
      <x:c r="AD83" s="22" t="str">
        <x:v>専用・路外駐車を基本</x:v>
      </x:c>
      <x:c r="AE83" s="22" t="str"/>
    </x:row>
    <x:row r="84">
      <x:c r="A84" s="27" t="str">
        <x:v>D083</x:v>
      </x:c>
      <x:c r="B84" s="27" t="str">
        <x:v>手賀沼公園</x:v>
      </x:c>
      <x:c r="C84" s="27" t="str">
        <x:v>我孫子市・若松</x:v>
      </x:c>
      <x:c r="D84" s="27" t="str">
        <x:v>湖・水辺・夕景</x:v>
      </x:c>
      <x:c r="E84" s="49" t="e">
        <x:f>HYPERLINK("https://www.google.com/maps/dir/?api=1&amp;destination=%E6%89%8B%E8%B3%80%E6%B2%BC%E5%85%AC%E5%9C%92&amp;travelmode=driving","現在地からナビ開始")</x:f>
      </x:c>
      <x:c r="F84" s="27" t="str">
        <x:v>手賀沼の大きな水面と遊歩道があり、湖畔を眺めながら静かに終われる。</x:v>
      </x:c>
      <x:c r="G84" s="27" t="str">
        <x:v>あり・50台・有料</x:v>
      </x:c>
      <x:c r="H84" s="27" t="str">
        <x:v>入庫 6:00～21:30／出庫24時間</x:v>
      </x:c>
      <x:c r="I84" s="27" t="n">
        <x:v>4</x:v>
      </x:c>
      <x:c r="J84" s="27" t="n">
        <x:v>3</x:v>
      </x:c>
      <x:c r="K84" s="27" t="str">
        <x:v>花火大会等は周辺規制あり。21時30分以降は新規入庫不可。</x:v>
      </x:c>
      <x:c r="L84" s="28" t="n">
        <x:v>46232</x:v>
      </x:c>
      <x:c r="M84" s="27" t="str">
        <x:v>一次確認済</x:v>
      </x:c>
      <x:c r="N84" s="27" t="str">
        <x:v>https://www.city.abiko.chiba.jp/event/shizennonaka/kouenryokuchi/park/citypark/teganuma.html</x:v>
      </x:c>
      <x:c r="O84" s="27" t="str">
        <x:v>手賀沼周辺には志賀直哉・武者小路実篤ら白樺派の文人が暮らし、我孫子は文学の町として知られる。</x:v>
      </x:c>
      <x:c r="P84" s="49" t="e">
        <x:f>HYPERLINK("https://ja.wikipedia.org/wiki/Special:Search?search=%E6%89%8B%E8%B3%80%E6%B2%BC%E5%85%AC%E5%9C%92","Wikipedia・関連項目")</x:f>
      </x:c>
      <x:c r="R84" t="str">
        <x:v>35km超</x:v>
      </x:c>
      <x:c r="S84" t="str">
        <x:v>概ね35km超</x:v>
      </x:c>
      <x:c r="T84" t="str">
        <x:v>通常90分超</x:v>
      </x:c>
      <x:c r="U84" t="str">
        <x:v>水辺</x:v>
      </x:c>
      <x:c r="V84" t="str">
        <x:v>30〜60分</x:v>
      </x:c>
      <x:c r="W84" t="n">
        <x:v>2</x:v>
      </x:c>
      <x:c r="X84" t="n">
        <x:v>1</x:v>
      </x:c>
      <x:c r="Y84" t="str">
        <x:v>多摩川浅間神社</x:v>
      </x:c>
      <x:c r="Z84" t="str">
        <x:v>多摩川六郷橋緑地／多摩川ガス橋緑地</x:v>
      </x:c>
      <x:c r="AA84" s="22" t="str">
        <x:v>なし</x:v>
      </x:c>
      <x:c r="AB84" s="22" t="str">
        <x:v>-</x:v>
      </x:c>
      <x:c r="AC84" s="22" t="str"/>
      <x:c r="AD84" s="22" t="str">
        <x:v>専用・路外駐車を基本</x:v>
      </x:c>
      <x:c r="AE84" s="22" t="str"/>
    </x:row>
    <x:row r="85">
      <x:c r="A85" s="27" t="str">
        <x:v>D084</x:v>
      </x:c>
      <x:c r="B85" s="27" t="str">
        <x:v>佐倉ふるさと広場</x:v>
      </x:c>
      <x:c r="C85" s="27" t="str">
        <x:v>佐倉市・臼井田</x:v>
      </x:c>
      <x:c r="D85" s="27" t="str">
        <x:v>風車・印旛沼・季節景観</x:v>
      </x:c>
      <x:c r="E85" s="49" t="e">
        <x:f>HYPERLINK("https://www.google.com/maps/dir/?api=1&amp;destination=%E4%BD%90%E5%80%89%E3%81%B5%E3%82%8B%E3%81%95%E3%81%A8%E5%BA%83%E5%A0%B4&amp;travelmode=driving","現在地からナビ開始")</x:f>
      </x:c>
      <x:c r="F85" s="27" t="str">
        <x:v>オランダ風車、印旛沼、広い空が揃い、都市圏とは異なる農水辺Endingになる。</x:v>
      </x:c>
      <x:c r="G85" s="27" t="str">
        <x:v>あり・約20台</x:v>
      </x:c>
      <x:c r="H85" s="27" t="str">
        <x:v>公園利用時間は現地掲示優先</x:v>
      </x:c>
      <x:c r="I85" s="27" t="n">
        <x:v>2</x:v>
      </x:c>
      <x:c r="J85" s="27" t="n">
        <x:v>4</x:v>
      </x:c>
      <x:c r="K85" s="27" t="str">
        <x:v>拡張整備事業中。花イベントは休止・変更の可能性があり、駐車場と工事を当日確認。</x:v>
      </x:c>
      <x:c r="L85" s="28" t="n">
        <x:v>46232</x:v>
      </x:c>
      <x:c r="M85" s="27" t="str">
        <x:v>当日再確認</x:v>
      </x:c>
      <x:c r="N85" s="27" t="str">
        <x:v>https://www.city.sakura.lg.jp/tourism/2/15396.html</x:v>
      </x:c>
      <x:c r="O85" s="27" t="str">
        <x:v>広場の本格風車『リーフデ』は、佐倉とオランダの歴史的交流を象徴している。</x:v>
      </x:c>
      <x:c r="P85" s="49" t="e">
        <x:f>HYPERLINK("https://ja.wikipedia.org/wiki/Special:Search?search=%E4%BD%90%E5%80%89%E3%81%B5%E3%82%8B%E3%81%95%E3%81%A8%E5%BA%83%E5%A0%B4","Wikipedia・関連項目")</x:f>
      </x:c>
      <x:c r="Q85" t="str">
        <x:v>2026-07-29再点検：拡張整備中のため、駐車場・イベント・立入範囲は引き続き当日確認。</x:v>
      </x:c>
      <x:c r="R85" t="str">
        <x:v>35km超</x:v>
      </x:c>
      <x:c r="S85" t="str">
        <x:v>概ね35km超</x:v>
      </x:c>
      <x:c r="T85" t="str">
        <x:v>通常90分超</x:v>
      </x:c>
      <x:c r="U85" t="str">
        <x:v>休日半日</x:v>
      </x:c>
      <x:c r="V85" t="str">
        <x:v>30〜60分</x:v>
      </x:c>
      <x:c r="W85" t="n">
        <x:v>2</x:v>
      </x:c>
      <x:c r="X85" t="n">
        <x:v>1</x:v>
      </x:c>
      <x:c r="Y85" t="str">
        <x:v>羽田空港 第3ターミナル展望デッキ</x:v>
      </x:c>
      <x:c r="Z85" t="str">
        <x:v>城南島海浜公園／潮風公園</x:v>
      </x:c>
      <x:c r="AA85" s="22" t="str">
        <x:v>なし</x:v>
      </x:c>
      <x:c r="AB85" s="22" t="str">
        <x:v>-</x:v>
      </x:c>
      <x:c r="AC85" s="22" t="str"/>
      <x:c r="AD85" s="22" t="str">
        <x:v>専用・路外駐車を基本</x:v>
      </x:c>
      <x:c r="AE85" s="22" t="str"/>
    </x:row>
    <x:row r="86">
      <x:c r="A86" s="27" t="str">
        <x:v>D085</x:v>
      </x:c>
      <x:c r="B86" s="27" t="str">
        <x:v>成田市さくらの山</x:v>
      </x:c>
      <x:c r="C86" s="27" t="str">
        <x:v>成田市・駒井野</x:v>
      </x:c>
      <x:c r="D86" s="27" t="str">
        <x:v>飛行機・高台・桜</x:v>
      </x:c>
      <x:c r="E86" s="49" t="e">
        <x:f>HYPERLINK("https://www.google.com/maps/dir/?api=1&amp;destination=%E6%88%90%E7%94%B0%E5%B8%82%E3%81%95%E3%81%8F%E3%82%89%E3%81%AE%E5%B1%B1&amp;travelmode=driving","現在地からナビ開始")</x:f>
      </x:c>
      <x:c r="F86" s="27" t="str">
        <x:v>成田空港の離着陸機を小高い丘から望み、羽田とは異なる航空機Endingを作れる。</x:v>
      </x:c>
      <x:c r="G86" s="27" t="str">
        <x:v>あり・無料</x:v>
      </x:c>
      <x:c r="H86" s="27" t="str">
        <x:v>6:00～23:00</x:v>
      </x:c>
      <x:c r="I86" s="27" t="n">
        <x:v>4</x:v>
      </x:c>
      <x:c r="J86" s="27" t="n">
        <x:v>3</x:v>
      </x:c>
      <x:c r="K86" s="27" t="str">
        <x:v>桜期は大混雑。脚立・騒音・指定外への車両進入は禁止。</x:v>
      </x:c>
      <x:c r="L86" s="28" t="n">
        <x:v>46232</x:v>
      </x:c>
      <x:c r="M86" s="27" t="str">
        <x:v>一次確認済</x:v>
      </x:c>
      <x:c r="N86" s="27" t="str">
        <x:v>https://www.city.narita.chiba.jp/kanko/page151300.html</x:v>
      </x:c>
      <x:c r="O86" s="27" t="str">
        <x:v>さくらの山は成田空港A滑走路北側の代表的な航空機観賞地で、風向きにより着陸・離陸の表情が変わる。</x:v>
      </x:c>
      <x:c r="P86" s="49" t="e">
        <x:f>HYPERLINK("https://ja.wikipedia.org/wiki/Special:Search?search=%E6%88%90%E7%94%B0%E5%B8%82%E3%81%95%E3%81%8F%E3%82%89%E3%81%AE%E5%B1%B1","Wikipedia・関連項目")</x:f>
      </x:c>
      <x:c r="Q86" t="str">
        <x:v>2026-07-29品質補足：風向きで離着陸方向が変わるため、当日の滑走路運用で価値が変動。</x:v>
      </x:c>
      <x:c r="R86" t="str">
        <x:v>35km超</x:v>
      </x:c>
      <x:c r="S86" t="str">
        <x:v>概ね35km超</x:v>
      </x:c>
      <x:c r="T86" t="str">
        <x:v>通常90分超</x:v>
      </x:c>
      <x:c r="U86" t="str">
        <x:v>飛行機</x:v>
      </x:c>
      <x:c r="V86" t="str">
        <x:v>30〜60分</x:v>
      </x:c>
      <x:c r="W86" t="n">
        <x:v>1</x:v>
      </x:c>
      <x:c r="X86" t="n">
        <x:v>4</x:v>
      </x:c>
      <x:c r="Y86" t="str">
        <x:v>城南島海浜公園</x:v>
      </x:c>
      <x:c r="Z86" t="str">
        <x:v>京浜島つばさ公園／羽田空港 第3ターミナル展望デッキ</x:v>
      </x:c>
      <x:c r="AA86" s="22" t="str">
        <x:v>なし</x:v>
      </x:c>
      <x:c r="AB86" s="22" t="str">
        <x:v>-</x:v>
      </x:c>
      <x:c r="AC86" s="22" t="str"/>
      <x:c r="AD86" s="22" t="str">
        <x:v>専用・路外駐車を基本</x:v>
      </x:c>
      <x:c r="AE86" s="22" t="str"/>
    </x:row>
    <x:row r="87">
      <x:c r="A87" s="27" t="str">
        <x:v>D086</x:v>
      </x:c>
      <x:c r="B87" s="27" t="str">
        <x:v>道の駅 木更津うまくたの里</x:v>
      </x:c>
      <x:c r="C87" s="27" t="str">
        <x:v>木更津市・下郡</x:v>
      </x:c>
      <x:c r="D87" s="27" t="str">
        <x:v>道の駅・房総内陸</x:v>
      </x:c>
      <x:c r="E87" s="49" t="e">
        <x:f>HYPERLINK("https://www.google.com/maps/dir/?api=1&amp;destination=%E9%81%93%E3%81%AE%E9%A7%85%20%E6%9C%A8%E6%9B%B4%E6%B4%A5%E3%81%86%E3%81%BE%E3%81%8F%E3%81%9F%E3%81%AE%E9%87%8C&amp;travelmode=driving","現在地からナビ開始")</x:f>
      </x:c>
      <x:c r="F87" s="27" t="str">
        <x:v>アクアラインから房総内陸へ入った実感があり、食と里山を伴う休憩型Endingになる。</x:v>
      </x:c>
      <x:c r="G87" s="27" t="str">
        <x:v>あり・24時間利用可</x:v>
      </x:c>
      <x:c r="H87" s="27" t="str">
        <x:v>駐車場 24時間／店舗は個別営業時間</x:v>
      </x:c>
      <x:c r="I87" s="27" t="n">
        <x:v>4</x:v>
      </x:c>
      <x:c r="J87" s="27" t="n">
        <x:v>3</x:v>
      </x:c>
      <x:c r="K87" s="27" t="str">
        <x:v>夜間は休憩目的に限定し、車中泊・長時間占有と騒音を避ける。</x:v>
      </x:c>
      <x:c r="L87" s="28" t="n">
        <x:v>46232</x:v>
      </x:c>
      <x:c r="M87" s="27" t="str">
        <x:v>一次確認済</x:v>
      </x:c>
      <x:c r="N87" s="27" t="str">
        <x:v>https://chiba-kisarazu.com/access/</x:v>
      </x:c>
      <x:c r="O87" s="27" t="str">
        <x:v>『うまくた』は木更津周辺の古い地域名・馬来田に由来し、古代の地名を現代の施設名に残している。</x:v>
      </x:c>
      <x:c r="P87" s="49" t="e">
        <x:f>HYPERLINK("https://ja.wikipedia.org/wiki/Special:Search?search=%E9%81%93%E3%81%AE%E9%A7%85%20%E6%9C%A8%E6%9B%B4%E6%B4%A5%E3%81%86%E3%81%BE%E3%81%8F%E3%81%9F%E3%81%AE%E9%87%8C","Wikipedia・関連項目")</x:f>
      </x:c>
      <x:c r="R87" t="str">
        <x:v>35km超</x:v>
      </x:c>
      <x:c r="S87" t="str">
        <x:v>概ね35km超</x:v>
      </x:c>
      <x:c r="T87" t="str">
        <x:v>通常90分超</x:v>
      </x:c>
      <x:c r="U87" t="str">
        <x:v>平日夜・深夜</x:v>
      </x:c>
      <x:c r="V87" t="str">
        <x:v>30〜60分</x:v>
      </x:c>
      <x:c r="W87" t="n">
        <x:v>4</x:v>
      </x:c>
      <x:c r="X87" t="n">
        <x:v>1</x:v>
      </x:c>
      <x:c r="Y87" t="str">
        <x:v>羽田空港 第3ターミナル展望デッキ</x:v>
      </x:c>
      <x:c r="Z87" t="str">
        <x:v>城南島海浜公園／潮風公園</x:v>
      </x:c>
      <x:c r="AA87" s="22" t="str">
        <x:v>なし</x:v>
      </x:c>
      <x:c r="AB87" s="22" t="str">
        <x:v>-</x:v>
      </x:c>
      <x:c r="AC87" s="22" t="str"/>
      <x:c r="AD87" s="22" t="str">
        <x:v>専用・路外駐車を基本</x:v>
      </x:c>
      <x:c r="AE87" s="22" t="str"/>
    </x:row>
    <x:row r="88">
      <x:c r="A88" s="27" t="str">
        <x:v>D087</x:v>
      </x:c>
      <x:c r="B88" s="27" t="str">
        <x:v>中の島公園・中の島大橋</x:v>
      </x:c>
      <x:c r="C88" s="27" t="str">
        <x:v>木更津市・中の島</x:v>
      </x:c>
      <x:c r="D88" s="27" t="str">
        <x:v>港・橋・夕景</x:v>
      </x:c>
      <x:c r="E88" s="49" t="e">
        <x:f>HYPERLINK("https://www.google.com/maps/dir/?api=1&amp;destination=%E4%B8%AD%E3%81%AE%E5%B3%B6%E5%85%AC%E5%9C%92%E3%83%BB%E4%B8%AD%E3%81%AE%E5%B3%B6%E5%A4%A7%E6%A9%8B&amp;travelmode=driving","現在地からナビ開始")</x:f>
      </x:c>
      <x:c r="F88" s="27" t="str">
        <x:v>木更津港の歩道橋を渡る到達感があり、夕焼けと港を眺める海辺Endingになる。</x:v>
      </x:c>
      <x:c r="G88" s="27" t="str">
        <x:v>あり・海浜公園約100台</x:v>
      </x:c>
      <x:c r="H88" s="27" t="str">
        <x:v>公園 常時開設／橋は工事による期間閉鎖あり</x:v>
      </x:c>
      <x:c r="I88" s="27" t="n">
        <x:v>4</x:v>
      </x:c>
      <x:c r="J88" s="27" t="n">
        <x:v>4</x:v>
      </x:c>
      <x:c r="K88" s="27" t="str">
        <x:v>中の島大橋は2026-02-21に通行再開。2026年10月頃～2027年2月頃に再度通行止め予定。出発前に確認。</x:v>
      </x:c>
      <x:c r="L88" s="28" t="n">
        <x:v>46232</x:v>
      </x:c>
      <x:c r="M88" s="27" t="str">
        <x:v>当日再確認</x:v>
      </x:c>
      <x:c r="N88" s="27" t="str">
        <x:v>https://www.city.kisarazu.lg.jp/kurashi/shisetsuannai/koen/6616.html</x:v>
      </x:c>
      <x:c r="O88" s="27" t="str">
        <x:v>中の島大橋は高さ27m・長さ236mの歩道橋で、木更津港の象徴。恋人を背負って渡る物語も地域観光に定着した。</x:v>
      </x:c>
      <x:c r="P88" s="49" t="e">
        <x:f>HYPERLINK("https://ja.wikipedia.org/wiki/Special:Search?search=%E4%B8%AD%E3%81%AE%E5%B3%B6%E5%85%AC%E5%9C%92%E3%83%BB%E4%B8%AD%E3%81%AE%E5%B3%B6%E5%A4%A7%E6%A9%8B","Wikipedia・関連項目")</x:f>
      </x:c>
      <x:c r="Q88" t="str">
        <x:v>2026-07-29更新：橋の再開と次期工事予定を反映。</x:v>
      </x:c>
      <x:c r="R88" t="str">
        <x:v>35km超</x:v>
      </x:c>
      <x:c r="S88" t="str">
        <x:v>概ね35km超</x:v>
      </x:c>
      <x:c r="T88" t="str">
        <x:v>通常90分超</x:v>
      </x:c>
      <x:c r="U88" t="str">
        <x:v>海・港</x:v>
      </x:c>
      <x:c r="V88" t="str">
        <x:v>30〜90分</x:v>
      </x:c>
      <x:c r="W88" t="n">
        <x:v>2</x:v>
      </x:c>
      <x:c r="X88" t="n">
        <x:v>3</x:v>
      </x:c>
      <x:c r="Y88" t="str">
        <x:v>城南島海浜公園</x:v>
      </x:c>
      <x:c r="Z88" t="str">
        <x:v>潮風公園／晴海ふ頭公園</x:v>
      </x:c>
      <x:c r="AA88" s="22" t="str">
        <x:v>なし</x:v>
      </x:c>
      <x:c r="AB88" s="22" t="str">
        <x:v>-</x:v>
      </x:c>
      <x:c r="AC88" s="22" t="str"/>
      <x:c r="AD88" s="22" t="str">
        <x:v>専用・路外駐車を基本</x:v>
      </x:c>
      <x:c r="AE88" s="22" t="str"/>
    </x:row>
    <x:row r="89">
      <x:c r="A89" s="27" t="str">
        <x:v>D088</x:v>
      </x:c>
      <x:c r="B89" s="27" t="str">
        <x:v>東京ドイツ村</x:v>
      </x:c>
      <x:c r="C89" s="27" t="str">
        <x:v>袖ケ浦市・永吉</x:v>
      </x:c>
      <x:c r="D89" s="27" t="str">
        <x:v>丘陵・花・イルミネーション</x:v>
      </x:c>
      <x:c r="E89" s="49" t="e">
        <x:f>HYPERLINK("https://www.google.com/maps/dir/?api=1&amp;destination=%E6%9D%B1%E4%BA%AC%E3%83%89%E3%82%A4%E3%83%84%E6%9D%91&amp;travelmode=driving","現在地からナビ開始")</x:f>
      </x:c>
      <x:c r="F89" s="27" t="str">
        <x:v>車で園内を移動でき、季節の花やイルミネーションを明確な特別日Endingにできる。</x:v>
      </x:c>
      <x:c r="G89" s="27" t="str">
        <x:v>あり・約3,000台・有料</x:v>
      </x:c>
      <x:c r="H89" s="27" t="str">
        <x:v>2026年7月確認時 9:30～17:00、最終入園16:00／季節変動</x:v>
      </x:c>
      <x:c r="I89" s="27" t="n">
        <x:v>3</x:v>
      </x:c>
      <x:c r="J89" s="27" t="n">
        <x:v>1</x:v>
      </x:c>
      <x:c r="K89" s="27" t="str">
        <x:v>入園料・駐車料金あり。季節・天候で営業時間変更。イルミネーション期は渋滞。</x:v>
      </x:c>
      <x:c r="L89" s="28" t="n">
        <x:v>46232</x:v>
      </x:c>
      <x:c r="M89" s="27" t="str">
        <x:v>一次確認済</x:v>
      </x:c>
      <x:c r="N89" s="27" t="str">
        <x:v>https://t-doitsumura.co.jp/hour-fee/</x:v>
      </x:c>
      <x:c r="O89" s="27" t="str">
        <x:v>東京ドイツ村は実際には千葉県袖ケ浦市にあり、『東京』は首都圏向け観光施設としての名称である。</x:v>
      </x:c>
      <x:c r="P89" s="49" t="e">
        <x:f>HYPERLINK("https://ja.wikipedia.org/wiki/Special:Search?search=%E6%9D%B1%E4%BA%AC%E3%83%89%E3%82%A4%E3%83%84%E6%9D%91","Wikipedia・関連項目")</x:f>
      </x:c>
      <x:c r="R89" t="str">
        <x:v>35km超</x:v>
      </x:c>
      <x:c r="S89" t="str">
        <x:v>概ね35km超</x:v>
      </x:c>
      <x:c r="T89" t="str">
        <x:v>通常90分超</x:v>
      </x:c>
      <x:c r="U89" t="str">
        <x:v>休日半日</x:v>
      </x:c>
      <x:c r="V89" t="str">
        <x:v>30〜60分</x:v>
      </x:c>
      <x:c r="W89" t="n">
        <x:v>2</x:v>
      </x:c>
      <x:c r="X89" t="n">
        <x:v>1</x:v>
      </x:c>
      <x:c r="Y89" t="str">
        <x:v>羽田空港 第3ターミナル展望デッキ</x:v>
      </x:c>
      <x:c r="Z89" t="str">
        <x:v>城南島海浜公園／潮風公園</x:v>
      </x:c>
      <x:c r="AA89" s="22" t="str">
        <x:v>なし</x:v>
      </x:c>
      <x:c r="AB89" s="22" t="str">
        <x:v>-</x:v>
      </x:c>
      <x:c r="AC89" s="22" t="str"/>
      <x:c r="AD89" s="22" t="str">
        <x:v>専用・路外駐車を基本</x:v>
      </x:c>
      <x:c r="AE89" s="22" t="str"/>
    </x:row>
    <x:row r="90">
      <x:c r="A90" s="27" t="str">
        <x:v>D089</x:v>
      </x:c>
      <x:c r="B90" s="27" t="str">
        <x:v>大磯港</x:v>
      </x:c>
      <x:c r="C90" s="27" t="str">
        <x:v>大磯町・大磯</x:v>
      </x:c>
      <x:c r="D90" s="27" t="str">
        <x:v>港・防波堤・相模湾</x:v>
      </x:c>
      <x:c r="E90" s="49" t="e">
        <x:f>HYPERLINK("https://www.google.com/maps/dir/?api=1&amp;destination=%E5%A4%A7%E7%A3%AF%E6%B8%AF&amp;travelmode=driving","現在地からナビ開始")</x:f>
      </x:c>
      <x:c r="F90" s="27" t="str">
        <x:v>港、遊歩道、防波堤から富士山・湘南平方面を望み、海沿いドライブを締められる。</x:v>
      </x:c>
      <x:c r="G90" s="27" t="str">
        <x:v>あり・最大約353台・有料</x:v>
      </x:c>
      <x:c r="H90" s="27" t="str">
        <x:v>入庫時間は季節・イベントで変動／出庫24時間の運用情報あり</x:v>
      </x:c>
      <x:c r="I90" s="27" t="n">
        <x:v>4</x:v>
      </x:c>
      <x:c r="J90" s="27" t="n">
        <x:v>3</x:v>
      </x:c>
      <x:c r="K90" s="27" t="str">
        <x:v>漁業区域へ立ち入らない。荒天時や利用時間外は防波堤門扉が施錠される。</x:v>
      </x:c>
      <x:c r="L90" s="28" t="n">
        <x:v>46232</x:v>
      </x:c>
      <x:c r="M90" s="27" t="str">
        <x:v>当日再確認</x:v>
      </x:c>
      <x:c r="N90" s="27" t="str">
        <x:v>https://www.town.oiso.kanagawa.jp/sangyo/doro/1359443393477.html</x:v>
      </x:c>
      <x:c r="O90" s="27" t="str">
        <x:v>大磯は明治期に海水浴場と政財界人の別荘地として発展し、日本の近代リゾート文化の先駆けとなった。</x:v>
      </x:c>
      <x:c r="P90" s="49" t="e">
        <x:f>HYPERLINK("https://ja.wikipedia.org/wiki/Special:Search?search=%E5%A4%A7%E7%A3%AF%E6%B8%AF","Wikipedia・関連項目")</x:f>
      </x:c>
      <x:c r="R90" t="str">
        <x:v>35km超</x:v>
      </x:c>
      <x:c r="S90" t="str">
        <x:v>概ね35km超</x:v>
      </x:c>
      <x:c r="T90" t="str">
        <x:v>通常90分超</x:v>
      </x:c>
      <x:c r="U90" t="str">
        <x:v>海・港</x:v>
      </x:c>
      <x:c r="V90" t="str">
        <x:v>30〜90分</x:v>
      </x:c>
      <x:c r="W90" t="n">
        <x:v>2</x:v>
      </x:c>
      <x:c r="X90" t="n">
        <x:v>3</x:v>
      </x:c>
      <x:c r="Y90" t="str">
        <x:v>城南島海浜公園</x:v>
      </x:c>
      <x:c r="Z90" t="str">
        <x:v>潮風公園／晴海ふ頭公園</x:v>
      </x:c>
      <x:c r="AA90" s="22" t="str">
        <x:v>なし</x:v>
      </x:c>
      <x:c r="AB90" s="22" t="str">
        <x:v>-</x:v>
      </x:c>
      <x:c r="AC90" s="22" t="str"/>
      <x:c r="AD90" s="22" t="str">
        <x:v>専用・路外駐車を基本</x:v>
      </x:c>
      <x:c r="AE90" s="22" t="str"/>
    </x:row>
    <x:row r="91">
      <x:c r="A91" s="27" t="str">
        <x:v>D090</x:v>
      </x:c>
      <x:c r="B91" s="27" t="str">
        <x:v>菜の花台展望台</x:v>
      </x:c>
      <x:c r="C91" s="27" t="str">
        <x:v>秦野市・羽根</x:v>
      </x:c>
      <x:c r="D91" s="27" t="str">
        <x:v>高台・富士山・ワインディング</x:v>
      </x:c>
      <x:c r="E91" s="49" t="e">
        <x:f>HYPERLINK("https://www.google.com/maps/dir/?api=1&amp;destination=%E8%8F%9C%E3%81%AE%E8%8A%B1%E5%8F%B0%E5%B1%95%E6%9C%9B%E5%8F%B0&amp;travelmode=driving","現在地からナビ開始")</x:f>
      </x:c>
      <x:c r="F91" s="27" t="str">
        <x:v>ヤビツ峠へ向かう山道の途中で秦野盆地・相模湾・富士山を望め、道路型Endingとして強い。</x:v>
      </x:c>
      <x:c r="G91" s="27" t="str">
        <x:v>あり・無料・小規模</x:v>
      </x:c>
      <x:c r="H91" s="27" t="str">
        <x:v>利用時間の明記なし／現地掲示優先</x:v>
      </x:c>
      <x:c r="I91" s="27" t="n">
        <x:v>4</x:v>
      </x:c>
      <x:c r="J91" s="27" t="n">
        <x:v>4</x:v>
      </x:c>
      <x:c r="K91" s="27" t="str">
        <x:v>夜は暗く、霧・凍結・野生動物に注意。満車時の路上駐車は禁止。</x:v>
      </x:c>
      <x:c r="L91" s="28" t="n">
        <x:v>46232</x:v>
      </x:c>
      <x:c r="M91" s="27" t="str">
        <x:v>当日再確認</x:v>
      </x:c>
      <x:c r="N91" s="27" t="str">
        <x:v>https://www.city.hadano.kanagawa.jp/soshiki/7/1051/2/2204.html</x:v>
      </x:c>
      <x:c r="O91" s="27" t="str">
        <x:v>ヤビツ峠の『ヤビツ』は、戦国期の矢を入れる櫃が見つかったという伝承に由来するとされる。</x:v>
      </x:c>
      <x:c r="P91" s="49" t="e">
        <x:f>HYPERLINK("https://ja.wikipedia.org/wiki/Special:Search?search=%E8%8F%9C%E3%81%AE%E8%8A%B1%E5%8F%B0%E5%B1%95%E6%9C%9B%E5%8F%B0","Wikipedia・関連項目")</x:f>
      </x:c>
      <x:c r="R91" t="str">
        <x:v>35km超</x:v>
      </x:c>
      <x:c r="S91" t="str">
        <x:v>概ね35km超</x:v>
      </x:c>
      <x:c r="T91" t="str">
        <x:v>通常90分超</x:v>
      </x:c>
      <x:c r="U91" t="str">
        <x:v>平日夜・深夜</x:v>
      </x:c>
      <x:c r="V91" t="str">
        <x:v>30〜60分</x:v>
      </x:c>
      <x:c r="W91" t="n">
        <x:v>1</x:v>
      </x:c>
      <x:c r="X91" t="n">
        <x:v>1</x:v>
      </x:c>
      <x:c r="Y91" t="str">
        <x:v>羽田空港 第3ターミナル展望デッキ</x:v>
      </x:c>
      <x:c r="Z91" t="str">
        <x:v>城南島海浜公園／潮風公園</x:v>
      </x:c>
      <x:c r="AA91" s="22" t="str">
        <x:v>なし</x:v>
      </x:c>
      <x:c r="AB91" s="22" t="str">
        <x:v>-</x:v>
      </x:c>
      <x:c r="AC91" s="22" t="str"/>
      <x:c r="AD91" s="22" t="str">
        <x:v>専用・路外駐車を基本</x:v>
      </x:c>
      <x:c r="AE91" s="22" t="str"/>
    </x:row>
    <x:row r="92">
      <x:c r="A92" s="27" t="str">
        <x:v>D091</x:v>
      </x:c>
      <x:c r="B92" s="27" t="str">
        <x:v>道の駅 清川</x:v>
      </x:c>
      <x:c r="C92" s="27" t="str">
        <x:v>清川村・煤ヶ谷</x:v>
      </x:c>
      <x:c r="D92" s="27" t="str">
        <x:v>道の駅・山・静かな休憩</x:v>
      </x:c>
      <x:c r="E92" s="49" t="e">
        <x:f>HYPERLINK("https://www.google.com/maps/dir/?api=1&amp;destination=%E9%81%93%E3%81%AE%E9%A7%85%20%E6%B8%85%E5%B7%9D&amp;travelmode=driving","現在地からナビ開始")</x:f>
      </x:c>
      <x:c r="F92" s="27" t="str">
        <x:v>丹沢・宮ヶ瀬方面から戻る際、山間の静けさを保ったまま安全に休憩できる。</x:v>
      </x:c>
      <x:c r="G92" s="27" t="str">
        <x:v>あり・24時間利用可</x:v>
      </x:c>
      <x:c r="H92" s="27" t="str">
        <x:v>駐車場・トイレ 24時間／店舗 10:00～18:00</x:v>
      </x:c>
      <x:c r="I92" s="27" t="n">
        <x:v>4</x:v>
      </x:c>
      <x:c r="J92" s="27" t="n">
        <x:v>3</x:v>
      </x:c>
      <x:c r="K92" s="27" t="str">
        <x:v>村中心部に位置するため深夜の騒音・長時間占有を避ける。</x:v>
      </x:c>
      <x:c r="L92" s="28" t="n">
        <x:v>46232</x:v>
      </x:c>
      <x:c r="M92" s="27" t="str">
        <x:v>一次確認済</x:v>
      </x:c>
      <x:c r="N92" s="27" t="str">
        <x:v>https://michinoeki-kiyokawa.jp/</x:v>
      </x:c>
      <x:c r="O92" s="27" t="str">
        <x:v>清川村は神奈川県で唯一の『村』で、丹沢山地と宮ヶ瀬湖に囲まれている。</x:v>
      </x:c>
      <x:c r="P92" s="49" t="e">
        <x:f>HYPERLINK("https://ja.wikipedia.org/wiki/Special:Search?search=%E9%81%93%E3%81%AE%E9%A7%85%20%E6%B8%85%E5%B7%9D","Wikipedia・関連項目")</x:f>
      </x:c>
      <x:c r="R92" t="str">
        <x:v>35km超</x:v>
      </x:c>
      <x:c r="S92" t="str">
        <x:v>概ね35km超</x:v>
      </x:c>
      <x:c r="T92" t="str">
        <x:v>通常90分超</x:v>
      </x:c>
      <x:c r="U92" t="str">
        <x:v>平日夜・深夜</x:v>
      </x:c>
      <x:c r="V92" t="str">
        <x:v>30〜60分</x:v>
      </x:c>
      <x:c r="W92" t="n">
        <x:v>4</x:v>
      </x:c>
      <x:c r="X92" t="n">
        <x:v>1</x:v>
      </x:c>
      <x:c r="Y92" t="str">
        <x:v>羽田空港 第3ターミナル展望デッキ</x:v>
      </x:c>
      <x:c r="Z92" t="str">
        <x:v>城南島海浜公園／潮風公園</x:v>
      </x:c>
      <x:c r="AA92" s="22" t="str">
        <x:v>なし</x:v>
      </x:c>
      <x:c r="AB92" s="22" t="str">
        <x:v>-</x:v>
      </x:c>
      <x:c r="AC92" s="22" t="str"/>
      <x:c r="AD92" s="22" t="str">
        <x:v>専用・路外駐車を基本</x:v>
      </x:c>
      <x:c r="AE92" s="22" t="str"/>
    </x:row>
    <x:row r="93">
      <x:c r="A93" s="27" t="str">
        <x:v>D092</x:v>
      </x:c>
      <x:c r="B93" s="27" t="str">
        <x:v>道の駅 八王子滝山</x:v>
      </x:c>
      <x:c r="C93" s="27" t="str">
        <x:v>八王子市・滝山町</x:v>
      </x:c>
      <x:c r="D93" s="27" t="str">
        <x:v>道の駅・東京西部・夜間休憩</x:v>
      </x:c>
      <x:c r="E93" s="49" t="e">
        <x:f>HYPERLINK("https://www.google.com/maps/dir/?api=1&amp;destination=%E9%81%93%E3%81%AE%E9%A7%85%20%E5%85%AB%E7%8E%8B%E5%AD%90%E6%BB%9D%E5%B1%B1&amp;travelmode=driving","現在地からナビ開始")</x:f>
      </x:c>
      <x:c r="F93" s="27" t="str">
        <x:v>東京西部の山・城址Sessionの帰路に、24時間の駐車とトイレで確実なEndingを作れる。</x:v>
      </x:c>
      <x:c r="G93" s="27" t="str">
        <x:v>あり・P1普通車55台ほか</x:v>
      </x:c>
      <x:c r="H93" s="27" t="str">
        <x:v>P1 24時間／P2 8:00～18:00</x:v>
      </x:c>
      <x:c r="I93" s="27" t="n">
        <x:v>4</x:v>
      </x:c>
      <x:c r="J93" s="27" t="n">
        <x:v>3</x:v>
      </x:c>
      <x:c r="K93" s="27" t="str">
        <x:v>北側道路は狭く通り抜け非推奨。繁忙時は誘導に従う。</x:v>
      </x:c>
      <x:c r="L93" s="28" t="n">
        <x:v>46232</x:v>
      </x:c>
      <x:c r="M93" s="27" t="str">
        <x:v>一次確認済</x:v>
      </x:c>
      <x:c r="N93" s="27" t="str">
        <x:v>https://www.michinoeki-hachioji.net/</x:v>
      </x:c>
      <x:c r="O93" s="27" t="str">
        <x:v>道の駅八王子滝山は東京都で最初に登録され、現在も都内唯一の道の駅として知られる。</x:v>
      </x:c>
      <x:c r="P93" s="49" t="e">
        <x:f>HYPERLINK("https://ja.wikipedia.org/wiki/Special:Search?search=%E9%81%93%E3%81%AE%E9%A7%85%20%E5%85%AB%E7%8E%8B%E5%AD%90%E6%BB%9D%E5%B1%B1","Wikipedia・関連項目")</x:f>
      </x:c>
      <x:c r="R93" t="str">
        <x:v>35km超</x:v>
      </x:c>
      <x:c r="S93" t="str">
        <x:v>概ね35km超</x:v>
      </x:c>
      <x:c r="T93" t="str">
        <x:v>通常90分超</x:v>
      </x:c>
      <x:c r="U93" t="str">
        <x:v>平日夜・深夜</x:v>
      </x:c>
      <x:c r="V93" t="str">
        <x:v>30〜60分</x:v>
      </x:c>
      <x:c r="W93" t="n">
        <x:v>4</x:v>
      </x:c>
      <x:c r="X93" t="n">
        <x:v>1</x:v>
      </x:c>
      <x:c r="Y93" t="str">
        <x:v>羽田空港 第3ターミナル展望デッキ</x:v>
      </x:c>
      <x:c r="Z93" t="str">
        <x:v>城南島海浜公園／潮風公園</x:v>
      </x:c>
      <x:c r="AA93" s="22" t="str">
        <x:v>なし</x:v>
      </x:c>
      <x:c r="AB93" s="22" t="str">
        <x:v>-</x:v>
      </x:c>
      <x:c r="AC93" s="22" t="str"/>
      <x:c r="AD93" s="22" t="str">
        <x:v>専用・路外駐車を基本</x:v>
      </x:c>
      <x:c r="AE93" s="22" t="str"/>
    </x:row>
    <x:row r="94">
      <x:c r="A94" s="27" t="str">
        <x:v>D093</x:v>
      </x:c>
      <x:c r="B94" s="27" t="str">
        <x:v>八王子城跡</x:v>
      </x:c>
      <x:c r="C94" s="27" t="str">
        <x:v>八王子市・元八王子町</x:v>
      </x:c>
      <x:c r="D94" s="27" t="str">
        <x:v>城跡・山・歴史</x:v>
      </x:c>
      <x:c r="E94" s="49" t="e">
        <x:f>HYPERLINK("https://www.google.com/maps/dir/?api=1&amp;destination=%E5%85%AB%E7%8E%8B%E5%AD%90%E5%9F%8E%E8%B7%A1&amp;travelmode=driving","現在地からナビ開始")</x:f>
      </x:c>
      <x:c r="F94" s="27" t="str">
        <x:v>山城の地形と深い森があり、歴史を伴う昼の到達型Endingとして成立する。</x:v>
      </x:c>
      <x:c r="G94" s="27" t="str">
        <x:v>あり・無料</x:v>
      </x:c>
      <x:c r="H94" s="27" t="str">
        <x:v>駐車場 9:00～17:00</x:v>
      </x:c>
      <x:c r="I94" s="27" t="n">
        <x:v>1</x:v>
      </x:c>
      <x:c r="J94" s="27" t="n">
        <x:v>4</x:v>
      </x:c>
      <x:c r="K94" s="27" t="str">
        <x:v>夜間不可。山道・遺構で足元注意。年末年始の施設閉鎖を確認。</x:v>
      </x:c>
      <x:c r="L94" s="28" t="n">
        <x:v>46232</x:v>
      </x:c>
      <x:c r="M94" s="27" t="str">
        <x:v>一次確認済</x:v>
      </x:c>
      <x:c r="N94" s="27" t="str">
        <x:v>https://www.city.hachioji.tokyo.jp/kurashi/kyoiku/005/bunkazaikanrenshisetsu/p005201.html</x:v>
      </x:c>
      <x:c r="O94" s="27" t="str">
        <x:v>八王子城は北条氏照が築いた山城で、1590年の豊臣秀吉による小田原攻めの中で落城した。</x:v>
      </x:c>
      <x:c r="P94" s="49" t="e">
        <x:f>HYPERLINK("https://ja.wikipedia.org/wiki/Special:Search?search=%E5%85%AB%E7%8E%8B%E5%AD%90%E5%9F%8E%E8%B7%A1","Wikipedia・関連項目")</x:f>
      </x:c>
      <x:c r="R94" t="str">
        <x:v>35km超</x:v>
      </x:c>
      <x:c r="S94" t="str">
        <x:v>概ね35km超</x:v>
      </x:c>
      <x:c r="T94" t="str">
        <x:v>通常90分超</x:v>
      </x:c>
      <x:c r="U94" t="str">
        <x:v>Story</x:v>
      </x:c>
      <x:c r="V94" t="str">
        <x:v>30〜60分</x:v>
      </x:c>
      <x:c r="W94" t="n">
        <x:v>2</x:v>
      </x:c>
      <x:c r="X94" t="n">
        <x:v>1</x:v>
      </x:c>
      <x:c r="Y94" t="str">
        <x:v>羽田空港 第3ターミナル展望デッキ</x:v>
      </x:c>
      <x:c r="Z94" t="str">
        <x:v>城南島海浜公園／潮風公園</x:v>
      </x:c>
      <x:c r="AA94" s="22" t="str">
        <x:v>なし</x:v>
      </x:c>
      <x:c r="AB94" s="22" t="str">
        <x:v>-</x:v>
      </x:c>
      <x:c r="AC94" s="22" t="str"/>
      <x:c r="AD94" s="22" t="str">
        <x:v>専用・路外駐車を基本</x:v>
      </x:c>
      <x:c r="AE94" s="22" t="str"/>
    </x:row>
    <x:row r="95">
      <x:c r="A95" s="27" t="str">
        <x:v>D094</x:v>
      </x:c>
      <x:c r="B95" s="27" t="str">
        <x:v>秋川渓谷 瀬音の湯</x:v>
      </x:c>
      <x:c r="C95" s="27" t="str">
        <x:v>あきる野市・乙津</x:v>
      </x:c>
      <x:c r="D95" s="27" t="str">
        <x:v>温泉・渓谷・夜間休憩</x:v>
      </x:c>
      <x:c r="E95" s="49" t="e">
        <x:f>HYPERLINK("https://www.google.com/maps/dir/?api=1&amp;destination=%E7%A7%8B%E5%B7%9D%E6%B8%93%E8%B0%B7%20%E7%80%AC%E9%9F%B3%E3%81%AE%E6%B9%AF&amp;travelmode=driving","現在地からナビ開始")</x:f>
      </x:c>
      <x:c r="F95" s="27" t="str">
        <x:v>秋川渓谷の山道を走った後、温泉と森の静けさで体験を完結できる。</x:v>
      </x:c>
      <x:c r="G95" s="27" t="str">
        <x:v>あり</x:v>
      </x:c>
      <x:c r="H95" s="27" t="str">
        <x:v>通常 10:00～22:00／季節短縮・休館あり</x:v>
      </x:c>
      <x:c r="I95" s="27" t="n">
        <x:v>4</x:v>
      </x:c>
      <x:c r="J95" s="27" t="n">
        <x:v>2</x:v>
      </x:c>
      <x:c r="K95" s="27" t="str">
        <x:v>最終受付・休館日を当日確認。疲労・飲酒後の運転は禁止。</x:v>
      </x:c>
      <x:c r="L95" s="28" t="n">
        <x:v>46232</x:v>
      </x:c>
      <x:c r="M95" s="27" t="str">
        <x:v>当日再確認</x:v>
      </x:c>
      <x:c r="N95" s="27" t="str">
        <x:v>https://www.city.akiruno.tokyo.jp/kanko/0000008755.html</x:v>
      </x:c>
      <x:c r="O95" s="27" t="str">
        <x:v>秋川渓谷は多摩川支流・秋川が刻んだ渓谷で、東京とは思えない岩場と清流景観が続く。</x:v>
      </x:c>
      <x:c r="P95" s="49" t="e">
        <x:f>HYPERLINK("https://ja.wikipedia.org/wiki/Special:Search?search=%E7%A7%8B%E5%B7%9D%E6%B8%93%E8%B0%B7%20%E7%80%AC%E9%9F%B3%E3%81%AE%E6%B9%AF","Wikipedia・関連項目")</x:f>
      </x:c>
      <x:c r="R95" t="str">
        <x:v>35km超</x:v>
      </x:c>
      <x:c r="S95" t="str">
        <x:v>概ね35km超</x:v>
      </x:c>
      <x:c r="T95" t="str">
        <x:v>通常90分超</x:v>
      </x:c>
      <x:c r="U95" t="str">
        <x:v>平日夜・深夜</x:v>
      </x:c>
      <x:c r="V95" t="str">
        <x:v>30〜60分</x:v>
      </x:c>
      <x:c r="W95" t="n">
        <x:v>2</x:v>
      </x:c>
      <x:c r="X95" t="n">
        <x:v>1</x:v>
      </x:c>
      <x:c r="Y95" t="str">
        <x:v>羽田空港 第3ターミナル展望デッキ</x:v>
      </x:c>
      <x:c r="Z95" t="str">
        <x:v>城南島海浜公園／潮風公園</x:v>
      </x:c>
      <x:c r="AA95" s="22" t="str">
        <x:v>なし</x:v>
      </x:c>
      <x:c r="AB95" s="22" t="str">
        <x:v>-</x:v>
      </x:c>
      <x:c r="AC95" s="22" t="str"/>
      <x:c r="AD95" s="22" t="str">
        <x:v>専用・路外駐車を基本</x:v>
      </x:c>
      <x:c r="AE95" s="22" t="str"/>
    </x:row>
    <x:row r="96">
      <x:c r="A96" s="27" t="str">
        <x:v>D095</x:v>
      </x:c>
      <x:c r="B96" s="27" t="str">
        <x:v>払沢の滝</x:v>
      </x:c>
      <x:c r="C96" s="27" t="str">
        <x:v>檜原村・本宿</x:v>
      </x:c>
      <x:c r="D96" s="27" t="str">
        <x:v>滝・森林・行き止まり</x:v>
      </x:c>
      <x:c r="E96" s="49" t="e">
        <x:f>HYPERLINK("https://www.google.com/maps/dir/?api=1&amp;destination=%E6%89%95%E6%B2%A2%E3%81%AE%E6%BB%9D&amp;travelmode=driving","現在地からナビ開始")</x:f>
      </x:c>
      <x:c r="F96" s="27" t="str">
        <x:v>駐車場から森を歩き、東京唯一の日本の滝百選へ到達する明確な終着体験がある。</x:v>
      </x:c>
      <x:c r="G96" s="27" t="str">
        <x:v>あり・約28台・無料</x:v>
      </x:c>
      <x:c r="H96" s="27" t="str">
        <x:v>駐車場時間の明記なし／昼間利用推奨</x:v>
      </x:c>
      <x:c r="I96" s="27" t="n">
        <x:v>1</x:v>
      </x:c>
      <x:c r="J96" s="27" t="n">
        <x:v>4</x:v>
      </x:c>
      <x:c r="K96" s="27" t="str">
        <x:v>徒歩約15分。夜間・凍結・大雨時は不向き。繁忙期は早朝から満車。</x:v>
      </x:c>
      <x:c r="L96" s="28" t="n">
        <x:v>46232</x:v>
      </x:c>
      <x:c r="M96" s="27" t="str">
        <x:v>当日再確認</x:v>
      </x:c>
      <x:c r="N96" s="27" t="str">
        <x:v>https://www.vill.hinohara.tokyo.jp/0000000023.html</x:v>
      </x:c>
      <x:c r="O96" s="27" t="str">
        <x:v>払沢の滝は東京都で唯一『日本の滝百選』に選ばれた滝で、冬には氷瀑となることがある。</x:v>
      </x:c>
      <x:c r="P96" s="49" t="e">
        <x:f>HYPERLINK("https://ja.wikipedia.org/wiki/Special:Search?search=%E6%89%95%E6%B2%A2%E3%81%AE%E6%BB%9D","Wikipedia・関連項目")</x:f>
      </x:c>
      <x:c r="R96" t="str">
        <x:v>35km超</x:v>
      </x:c>
      <x:c r="S96" t="str">
        <x:v>概ね35km超</x:v>
      </x:c>
      <x:c r="T96" t="str">
        <x:v>通常90分超</x:v>
      </x:c>
      <x:c r="U96" t="str">
        <x:v>休日半日</x:v>
      </x:c>
      <x:c r="V96" t="str">
        <x:v>30〜90分</x:v>
      </x:c>
      <x:c r="W96" t="n">
        <x:v>1</x:v>
      </x:c>
      <x:c r="X96" t="n">
        <x:v>1</x:v>
      </x:c>
      <x:c r="Y96" t="str">
        <x:v>平和の森公園</x:v>
      </x:c>
      <x:c r="Z96" t="str">
        <x:v>大森ふるさとの浜辺公園／森ケ崎公園</x:v>
      </x:c>
      <x:c r="AA96" s="22" t="str">
        <x:v>なし</x:v>
      </x:c>
      <x:c r="AB96" s="22" t="str">
        <x:v>-</x:v>
      </x:c>
      <x:c r="AC96" s="22" t="str"/>
      <x:c r="AD96" s="22" t="str">
        <x:v>専用・路外駐車を基本</x:v>
      </x:c>
      <x:c r="AE96" s="22" t="str"/>
    </x:row>
    <x:row r="97">
      <x:c r="A97" s="27" t="str">
        <x:v>D096</x:v>
      </x:c>
      <x:c r="B97" s="27" t="str">
        <x:v>大島小松川公園</x:v>
      </x:c>
      <x:c r="C97" s="27" t="str">
        <x:v>江戸川区・小松川</x:v>
      </x:c>
      <x:c r="D97" s="27" t="str">
        <x:v>河川・高台・夜間公園</x:v>
      </x:c>
      <x:c r="E97" s="49" t="e">
        <x:f>HYPERLINK("https://www.google.com/maps/dir/?api=1&amp;destination=%E5%A4%A7%E5%B3%B6%E5%B0%8F%E6%9D%BE%E5%B7%9D%E5%85%AC%E5%9C%92&amp;travelmode=driving","現在地からナビ開始")</x:f>
      </x:c>
      <x:c r="F97" s="27" t="str">
        <x:v>旧中川と荒川に挟まれた高台公園で、都心東側を静かに終える24時間候補になる。</x:v>
      </x:c>
      <x:c r="G97" s="27" t="str">
        <x:v>あり・97台・有料</x:v>
      </x:c>
      <x:c r="H97" s="27" t="str">
        <x:v>駐車場 24時間</x:v>
      </x:c>
      <x:c r="I97" s="27" t="n">
        <x:v>4</x:v>
      </x:c>
      <x:c r="J97" s="27" t="n">
        <x:v>4</x:v>
      </x:c>
      <x:c r="K97" s="27" t="str">
        <x:v>夜は暗い区域を避ける。公道での入庫待ち・騒音行為は禁止。</x:v>
      </x:c>
      <x:c r="L97" s="28" t="n">
        <x:v>46232</x:v>
      </x:c>
      <x:c r="M97" s="27" t="str">
        <x:v>一次確認済</x:v>
      </x:c>
      <x:c r="N97" s="27" t="str">
        <x:v>https://www.tokyo-park.or.jp/park/ojima-komatsugawa/index.html</x:v>
      </x:c>
      <x:c r="O97" s="27" t="str">
        <x:v>大島小松川公園は荒川と旧中川に挟まれた防災拠点で、災害時には避難・救援空間として機能する。</x:v>
      </x:c>
      <x:c r="P97" s="49" t="e">
        <x:f>HYPERLINK("https://ja.wikipedia.org/wiki/Special:Search?search=%E5%A4%A7%E5%B3%B6%E5%B0%8F%E6%9D%BE%E5%B7%9D%E5%85%AC%E5%9C%92","Wikipedia・関連項目")</x:f>
      </x:c>
      <x:c r="R97" t="str">
        <x:v>20〜25km</x:v>
      </x:c>
      <x:c r="S97" t="str">
        <x:v>概ね20〜25km</x:v>
      </x:c>
      <x:c r="T97" t="str">
        <x:v>通常40〜70分</x:v>
      </x:c>
      <x:c r="U97" t="str">
        <x:v>水辺</x:v>
      </x:c>
      <x:c r="V97" t="str">
        <x:v>30〜90分</x:v>
      </x:c>
      <x:c r="W97" t="n">
        <x:v>1</x:v>
      </x:c>
      <x:c r="X97" t="n">
        <x:v>1</x:v>
      </x:c>
      <x:c r="Y97" t="str">
        <x:v>多摩川浅間神社</x:v>
      </x:c>
      <x:c r="Z97" t="str">
        <x:v>多摩川六郷橋緑地／多摩川ガス橋緑地</x:v>
      </x:c>
      <x:c r="AA97" s="22" t="str">
        <x:v>なし</x:v>
      </x:c>
      <x:c r="AB97" s="22" t="str">
        <x:v>-</x:v>
      </x:c>
      <x:c r="AC97" s="22" t="str"/>
      <x:c r="AD97" s="22" t="str">
        <x:v>専用・路外駐車を基本</x:v>
      </x:c>
      <x:c r="AE97" s="22" t="str"/>
    </x:row>
    <x:row r="98">
      <x:c r="A98" s="27" t="str">
        <x:v>D097</x:v>
      </x:c>
      <x:c r="B98" s="27" t="str">
        <x:v>篠崎公園</x:v>
      </x:c>
      <x:c r="C98" s="27" t="str">
        <x:v>江戸川区・上篠崎</x:v>
      </x:c>
      <x:c r="D98" s="27" t="str">
        <x:v>河川敷・公園・夜間休憩</x:v>
      </x:c>
      <x:c r="E98" s="49" t="e">
        <x:f>HYPERLINK("https://www.google.com/maps/dir/?api=1&amp;destination=%E7%AF%A0%E5%B4%8E%E5%85%AC%E5%9C%92&amp;travelmode=driving","現在地からナビ開始")</x:f>
      </x:c>
      <x:c r="F98" s="27" t="str">
        <x:v>江戸川に近い広い公園で、東東京方面の長い一般道ドライブを落ち着かせられる。</x:v>
      </x:c>
      <x:c r="G98" s="27" t="str">
        <x:v>あり・第一駐車場有料</x:v>
      </x:c>
      <x:c r="H98" s="27" t="str">
        <x:v>駐車場 24時間</x:v>
      </x:c>
      <x:c r="I98" s="27" t="n">
        <x:v>4</x:v>
      </x:c>
      <x:c r="J98" s="27" t="n">
        <x:v>4</x:v>
      </x:c>
      <x:c r="K98" s="27" t="str">
        <x:v>花火大会日は駐車場利用制限あり。夜間は外灯のある区域に限定。</x:v>
      </x:c>
      <x:c r="L98" s="28" t="n">
        <x:v>46232</x:v>
      </x:c>
      <x:c r="M98" s="27" t="str">
        <x:v>一次確認済</x:v>
      </x:c>
      <x:c r="N98" s="27" t="str">
        <x:v>https://www.tokyo-park.or.jp/park/shinozaki/index.html</x:v>
      </x:c>
      <x:c r="O98" s="27" t="str">
        <x:v>篠崎公園は江戸川沿いの防災公園として計画され、広いオープンスペースを確保している。</x:v>
      </x:c>
      <x:c r="P98" s="49" t="e">
        <x:f>HYPERLINK("https://ja.wikipedia.org/wiki/Special:Search?search=%E7%AF%A0%E5%B4%8E%E5%85%AC%E5%9C%92","Wikipedia・関連項目")</x:f>
      </x:c>
      <x:c r="R98" t="str">
        <x:v>20〜25km</x:v>
      </x:c>
      <x:c r="S98" t="str">
        <x:v>概ね20〜25km</x:v>
      </x:c>
      <x:c r="T98" t="str">
        <x:v>通常40〜70分</x:v>
      </x:c>
      <x:c r="U98" t="str">
        <x:v>水辺</x:v>
      </x:c>
      <x:c r="V98" t="str">
        <x:v>30〜90分</x:v>
      </x:c>
      <x:c r="W98" t="n">
        <x:v>1</x:v>
      </x:c>
      <x:c r="X98" t="n">
        <x:v>1</x:v>
      </x:c>
      <x:c r="Y98" t="str">
        <x:v>多摩川浅間神社</x:v>
      </x:c>
      <x:c r="Z98" t="str">
        <x:v>多摩川六郷橋緑地／多摩川ガス橋緑地</x:v>
      </x:c>
      <x:c r="AA98" s="22" t="str">
        <x:v>なし</x:v>
      </x:c>
      <x:c r="AB98" s="22" t="str">
        <x:v>-</x:v>
      </x:c>
      <x:c r="AC98" s="22" t="str"/>
      <x:c r="AD98" s="22" t="str">
        <x:v>専用・路外駐車を基本</x:v>
      </x:c>
      <x:c r="AE98" s="22" t="str"/>
    </x:row>
    <x:row r="99">
      <x:c r="A99" s="27" t="str">
        <x:v>D098</x:v>
      </x:c>
      <x:c r="B99" s="27" t="str">
        <x:v>木場公園</x:v>
      </x:c>
      <x:c r="C99" s="27" t="str">
        <x:v>江東区・木場</x:v>
      </x:c>
      <x:c r="D99" s="27" t="str">
        <x:v>都市公園・橋・夜間休憩</x:v>
      </x:c>
      <x:c r="E99" s="49" t="e">
        <x:f>HYPERLINK("https://www.google.com/maps/dir/?api=1&amp;destination=%E6%9C%A8%E5%A0%B4%E5%85%AC%E5%9C%92&amp;travelmode=driving","現在地からナビ開始")</x:f>
      </x:c>
      <x:c r="F99" s="27" t="str">
        <x:v>木場公園大橋と広い芝生があり、湾岸・都心走行を緑の空間で終えられる。</x:v>
      </x:c>
      <x:c r="G99" s="27" t="str">
        <x:v>あり・有料</x:v>
      </x:c>
      <x:c r="H99" s="27" t="str">
        <x:v>駐車場 24時間</x:v>
      </x:c>
      <x:c r="I99" s="27" t="n">
        <x:v>4</x:v>
      </x:c>
      <x:c r="J99" s="27" t="n">
        <x:v>3</x:v>
      </x:c>
      <x:c r="K99" s="27" t="str">
        <x:v>イベント時は混雑。公道での入庫待ち禁止。商用撮影は申請が必要。</x:v>
      </x:c>
      <x:c r="L99" s="28" t="n">
        <x:v>46232</x:v>
      </x:c>
      <x:c r="M99" s="27" t="str">
        <x:v>一次確認済</x:v>
      </x:c>
      <x:c r="N99" s="27" t="str">
        <x:v>https://www.tokyo-park.or.jp/park/kiba/index.html</x:v>
      </x:c>
      <x:c r="O99" s="27" t="str">
        <x:v>木場という地名は、江戸時代に材木を保管・取引した『木場』が置かれたことに由来する。</x:v>
      </x:c>
      <x:c r="P99" s="49" t="e">
        <x:f>HYPERLINK("https://ja.wikipedia.org/wiki/Special:Search?search=%E6%9C%A8%E5%A0%B4%E5%85%AC%E5%9C%92","Wikipedia・関連項目")</x:f>
      </x:c>
      <x:c r="R99" t="str">
        <x:v>10〜20km</x:v>
      </x:c>
      <x:c r="S99" t="str">
        <x:v>概ね10〜20km</x:v>
      </x:c>
      <x:c r="T99" t="str">
        <x:v>通常25〜50分</x:v>
      </x:c>
      <x:c r="U99" t="str">
        <x:v>平日夜・深夜</x:v>
      </x:c>
      <x:c r="V99" t="str">
        <x:v>30〜90分</x:v>
      </x:c>
      <x:c r="W99" t="n">
        <x:v>1</x:v>
      </x:c>
      <x:c r="X99" t="n">
        <x:v>1</x:v>
      </x:c>
      <x:c r="Y99" t="str">
        <x:v>平和の森公園</x:v>
      </x:c>
      <x:c r="Z99" t="str">
        <x:v>大森ふるさとの浜辺公園／森ケ崎公園</x:v>
      </x:c>
      <x:c r="AA99" s="22" t="str">
        <x:v>なし</x:v>
      </x:c>
      <x:c r="AB99" s="22" t="str">
        <x:v>-</x:v>
      </x:c>
      <x:c r="AC99" s="22" t="str"/>
      <x:c r="AD99" s="22" t="str">
        <x:v>専用・路外駐車を基本</x:v>
      </x:c>
      <x:c r="AE99" s="22" t="str"/>
    </x:row>
    <x:row r="100">
      <x:c r="A100" s="27" t="str">
        <x:v>D099</x:v>
      </x:c>
      <x:c r="B100" s="27" t="str">
        <x:v>小金井公園</x:v>
      </x:c>
      <x:c r="C100" s="27" t="str">
        <x:v>小金井市・関野町</x:v>
      </x:c>
      <x:c r="D100" s="27" t="str">
        <x:v>大規模公園・並木・夜間休憩</x:v>
      </x:c>
      <x:c r="E100" s="49" t="e">
        <x:f>HYPERLINK("https://www.google.com/maps/dir/?api=1&amp;destination=%E5%B0%8F%E9%87%91%E4%BA%95%E5%85%AC%E5%9C%92&amp;travelmode=driving","現在地からナビ開始")</x:f>
      </x:c>
      <x:c r="F100" s="27" t="str">
        <x:v>東京西部で広い公園と並木に到達し、夜間でも安全な駐車場を利用できる。</x:v>
      </x:c>
      <x:c r="G100" s="27" t="str">
        <x:v>あり・557台・有料</x:v>
      </x:c>
      <x:c r="H100" s="27" t="str">
        <x:v>第一・第二駐車場 24時間</x:v>
      </x:c>
      <x:c r="I100" s="27" t="n">
        <x:v>4</x:v>
      </x:c>
      <x:c r="J100" s="27" t="n">
        <x:v>3</x:v>
      </x:c>
      <x:c r="K100" s="27" t="str">
        <x:v>休日は五日市街道が渋滞。入庫規制時の路上待機は禁止。</x:v>
      </x:c>
      <x:c r="L100" s="28" t="n">
        <x:v>46232</x:v>
      </x:c>
      <x:c r="M100" s="27" t="str">
        <x:v>一次確認済</x:v>
      </x:c>
      <x:c r="N100" s="27" t="str">
        <x:v>https://www.tokyo-park.or.jp/park/koganei/</x:v>
      </x:c>
      <x:c r="O100" s="27" t="str">
        <x:v>小金井公園内には江戸東京たてもの園があり、江戸から昭和の建築を移築保存している。</x:v>
      </x:c>
      <x:c r="P100" s="49" t="e">
        <x:f>HYPERLINK("https://ja.wikipedia.org/wiki/Special:Search?search=%E5%B0%8F%E9%87%91%E4%BA%95%E5%85%AC%E5%9C%92","Wikipedia・関連項目")</x:f>
      </x:c>
      <x:c r="R100" t="str">
        <x:v>35km超</x:v>
      </x:c>
      <x:c r="S100" t="str">
        <x:v>概ね35km超</x:v>
      </x:c>
      <x:c r="T100" t="str">
        <x:v>通常90分超</x:v>
      </x:c>
      <x:c r="U100" t="str">
        <x:v>平日夜・深夜</x:v>
      </x:c>
      <x:c r="V100" t="str">
        <x:v>30〜90分</x:v>
      </x:c>
      <x:c r="W100" t="n">
        <x:v>1</x:v>
      </x:c>
      <x:c r="X100" t="n">
        <x:v>1</x:v>
      </x:c>
      <x:c r="Y100" t="str">
        <x:v>平和の森公園</x:v>
      </x:c>
      <x:c r="Z100" t="str">
        <x:v>大森ふるさとの浜辺公園／森ケ崎公園</x:v>
      </x:c>
      <x:c r="AA100" s="22" t="str">
        <x:v>なし</x:v>
      </x:c>
      <x:c r="AB100" s="22" t="str">
        <x:v>-</x:v>
      </x:c>
      <x:c r="AC100" s="22" t="str"/>
      <x:c r="AD100" s="22" t="str">
        <x:v>専用・路外駐車を基本</x:v>
      </x:c>
      <x:c r="AE100" s="22" t="str"/>
    </x:row>
    <x:row r="101">
      <x:c r="A101" s="27" t="str">
        <x:v>D100</x:v>
      </x:c>
      <x:c r="B101" s="27" t="str">
        <x:v>石垣山一夜城歴史公園</x:v>
      </x:c>
      <x:c r="C101" s="27" t="str">
        <x:v>小田原市・早川</x:v>
      </x:c>
      <x:c r="D101" s="27" t="str">
        <x:v>城跡・高台・相模湾</x:v>
      </x:c>
      <x:c r="E101" s="49" t="e">
        <x:f>HYPERLINK("https://www.google.com/maps/dir/?api=1&amp;destination=%E7%9F%B3%E5%9E%A3%E5%B1%B1%E4%B8%80%E5%A4%9C%E5%9F%8E%E6%AD%B4%E5%8F%B2%E5%85%AC%E5%9C%92&amp;travelmode=driving","現在地からナビ開始")</x:f>
      </x:c>
      <x:c r="F101" s="27" t="str">
        <x:v>相模湾と小田原市街を見下ろす歴史的高台で、遠出した日の強い昼Endingになる。</x:v>
      </x:c>
      <x:c r="G101" s="27" t="str">
        <x:v>あり・無料</x:v>
      </x:c>
      <x:c r="H101" s="27" t="str">
        <x:v>駐車場・公園利用時間は当日現地掲示を確認</x:v>
      </x:c>
      <x:c r="I101" s="27" t="n">
        <x:v>1</x:v>
      </x:c>
      <x:c r="J101" s="27" t="n">
        <x:v>4</x:v>
      </x:c>
      <x:c r="K101" s="27" t="str">
        <x:v>農道が狭い区間あり。冬季凍結、イベント時の混雑、営業時間外の進入に注意。</x:v>
      </x:c>
      <x:c r="L101" s="28" t="n">
        <x:v>46232</x:v>
      </x:c>
      <x:c r="M101" s="27" t="str">
        <x:v>当日再確認</x:v>
      </x:c>
      <x:c r="N101" s="27" t="str">
        <x:v>https://www.city.odawara.kanagawa.jp/kanko/spot/ishigakiyama.html</x:v>
      </x:c>
      <x:c r="O101" s="27" t="str">
        <x:v>石垣山城は豊臣秀吉が小田原攻めの際に築き、周囲の木を一斉に伐って突然城が現れたように見せたため『一夜城』と呼ばれる。</x:v>
      </x:c>
      <x:c r="P101" s="49" t="e">
        <x:f>HYPERLINK("https://ja.wikipedia.org/wiki/Special:Search?search=%E7%9F%B3%E5%9E%A3%E5%B1%B1%E4%B8%80%E5%A4%9C%E5%9F%8E%E6%AD%B4%E5%8F%B2%E5%85%AC%E5%9C%92","Wikipedia・関連項目")</x:f>
      </x:c>
      <x:c r="R101" t="str">
        <x:v>35km超</x:v>
      </x:c>
      <x:c r="S101" t="str">
        <x:v>概ね35km超</x:v>
      </x:c>
      <x:c r="T101" t="str">
        <x:v>通常90分超</x:v>
      </x:c>
      <x:c r="U101" t="str">
        <x:v>Story</x:v>
      </x:c>
      <x:c r="V101" t="str">
        <x:v>30〜60分</x:v>
      </x:c>
      <x:c r="W101" t="n">
        <x:v>1</x:v>
      </x:c>
      <x:c r="X101" t="n">
        <x:v>1</x:v>
      </x:c>
      <x:c r="Y101" t="str">
        <x:v>羽田空港 第3ターミナル展望デッキ</x:v>
      </x:c>
      <x:c r="Z101" t="str">
        <x:v>城南島海浜公園／潮風公園</x:v>
      </x:c>
      <x:c r="AA101" s="22" t="str">
        <x:v>なし</x:v>
      </x:c>
      <x:c r="AB101" s="22" t="str">
        <x:v>-</x:v>
      </x:c>
      <x:c r="AC101" s="22" t="str"/>
      <x:c r="AD101" s="22" t="str">
        <x:v>専用・路外駐車を基本</x:v>
      </x:c>
      <x:c r="AE101" s="22" t="str"/>
    </x:row>
    <x:row r="102">
      <x:c r="A102" t="str">
        <x:v>D101</x:v>
      </x:c>
      <x:c r="B102" t="str">
        <x:v>武蔵野公園</x:v>
      </x:c>
      <x:c r="C102" t="str">
        <x:v>府中市・小金井市</x:v>
      </x:c>
      <x:c r="D102" t="str">
        <x:v>河川・草地・夜間公園</x:v>
      </x:c>
      <x:c r="E102" s="68" t="e">
        <x:f>HYPERLINK("https://www.google.com/maps/dir/?api=1&amp;destination=%E6%AD%A6%E8%94%B5%E9%87%8E%E5%85%AC%E5%9C%92&amp;travelmode=driving","現在地からナビ開始")</x:f>
      </x:c>
      <x:c r="F102" t="str">
        <x:v>野川沿いの広い草地と樹林があり、西東京方面の長い一般道ドライブを静かに終えられる。</x:v>
      </x:c>
      <x:c r="G102" t="str">
        <x:v>あり・122台・有料</x:v>
      </x:c>
      <x:c r="H102" t="str">
        <x:v>駐車場 24時間</x:v>
      </x:c>
      <x:c r="I102" t="n">
        <x:v>4</x:v>
      </x:c>
      <x:c r="J102" t="n">
        <x:v>4</x:v>
      </x:c>
      <x:c r="K102" t="str">
        <x:v>夜間は照明のある主要園路に限定。大型車不可。</x:v>
      </x:c>
      <x:c r="L102" s="20" t="n">
        <x:v>46232</x:v>
      </x:c>
      <x:c r="M102" t="str">
        <x:v>一次確認済</x:v>
      </x:c>
      <x:c r="N102" t="str">
        <x:v>https://www.s-park.jp/map/996</x:v>
      </x:c>
      <x:c r="O102" s="27" t="str">
        <x:v>武蔵野公園には東京都の街路樹を育てる苗圃があり、園内に多様な樹種が並ぶ理由になっている。</x:v>
      </x:c>
      <x:c r="P102" s="49" t="e">
        <x:f>HYPERLINK("https://ja.wikipedia.org/wiki/Special:Search?search=%E6%AD%A6%E8%94%B5%E9%87%8E%E5%85%AC%E5%9C%92","Wikipedia・関連項目")</x:f>
      </x:c>
      <x:c r="R102" t="str">
        <x:v>20〜25km</x:v>
      </x:c>
      <x:c r="S102" t="str">
        <x:v>概ね20〜25km</x:v>
      </x:c>
      <x:c r="T102" t="str">
        <x:v>通常40〜70分</x:v>
      </x:c>
      <x:c r="U102" t="str">
        <x:v>水辺</x:v>
      </x:c>
      <x:c r="V102" t="str">
        <x:v>30〜90分</x:v>
      </x:c>
      <x:c r="W102" t="n">
        <x:v>1</x:v>
      </x:c>
      <x:c r="X102" t="n">
        <x:v>1</x:v>
      </x:c>
      <x:c r="Y102" t="str">
        <x:v>多摩川浅間神社</x:v>
      </x:c>
      <x:c r="Z102" t="str">
        <x:v>多摩川六郷橋緑地／多摩川ガス橋緑地</x:v>
      </x:c>
      <x:c r="AA102" s="22" t="str">
        <x:v>なし</x:v>
      </x:c>
      <x:c r="AB102" s="22" t="str">
        <x:v>-</x:v>
      </x:c>
      <x:c r="AC102" s="22" t="str"/>
      <x:c r="AD102" s="22" t="str">
        <x:v>専用・路外駐車を基本</x:v>
      </x:c>
      <x:c r="AE102" s="22" t="str"/>
    </x:row>
    <x:row r="103">
      <x:c r="A103" t="str">
        <x:v>D102</x:v>
      </x:c>
      <x:c r="B103" t="str">
        <x:v>砧公園</x:v>
      </x:c>
      <x:c r="C103" t="str">
        <x:v>世田谷区・砧公園</x:v>
      </x:c>
      <x:c r="D103" t="str">
        <x:v>芝生・樹林・近距離</x:v>
      </x:c>
      <x:c r="E103" s="68" t="e">
        <x:f>HYPERLINK("https://www.google.com/maps/dir/?api=1&amp;destination=%E7%A0%A7%E5%85%AC%E5%9C%92&amp;travelmode=driving","現在地からナビ開始")</x:f>
      </x:c>
      <x:c r="F103" t="str">
        <x:v>大田区から短距離で到達でき、広い芝生と樹林で都市走行の緊張を落とせる。</x:v>
      </x:c>
      <x:c r="G103" t="str">
        <x:v>あり・有料</x:v>
      </x:c>
      <x:c r="H103" t="str">
        <x:v>駐車場時間は公式確認</x:v>
      </x:c>
      <x:c r="I103" t="n">
        <x:v>3</x:v>
      </x:c>
      <x:c r="J103" t="n">
        <x:v>3</x:v>
      </x:c>
      <x:c r="K103" t="str">
        <x:v>2026年は一部立入制限情報あり。当日公式確認。</x:v>
      </x:c>
      <x:c r="L103" s="20" t="n">
        <x:v>46232</x:v>
      </x:c>
      <x:c r="M103" t="str">
        <x:v>一次確認済</x:v>
      </x:c>
      <x:c r="N103" t="str">
        <x:v>https://www.tokyo-park.or.jp/park/kinuta/news/2026/park_info_42.html</x:v>
      </x:c>
      <x:c r="O103" s="27" t="str">
        <x:v>砧公園は紀元2600年記念事業の都市計画緑地を起源とし、戦後はゴルフ場を経て家族向け公園へ転換した。</x:v>
      </x:c>
      <x:c r="P103" s="49" t="e">
        <x:f>HYPERLINK("https://ja.wikipedia.org/wiki/Special:Search?search=%E7%A0%A7%E5%85%AC%E5%9C%92","Wikipedia・関連項目")</x:f>
      </x:c>
      <x:c r="Q103" t="str">
        <x:v>2026-07-29再点検：駐車場は利用再開済み。桜期・イベント時の満車と周辺渋滞を主注意へ維持。</x:v>
      </x:c>
      <x:c r="R103" t="str">
        <x:v>10〜20km</x:v>
      </x:c>
      <x:c r="S103" t="str">
        <x:v>概ね10〜20km</x:v>
      </x:c>
      <x:c r="T103" t="str">
        <x:v>通常25〜50分</x:v>
      </x:c>
      <x:c r="U103" t="str">
        <x:v>休日半日</x:v>
      </x:c>
      <x:c r="V103" t="str">
        <x:v>30〜60分</x:v>
      </x:c>
      <x:c r="W103" t="n">
        <x:v>2</x:v>
      </x:c>
      <x:c r="X103" t="n">
        <x:v>1</x:v>
      </x:c>
      <x:c r="Y103" t="str">
        <x:v>羽田空港 第3ターミナル展望デッキ</x:v>
      </x:c>
      <x:c r="Z103" t="str">
        <x:v>城南島海浜公園／潮風公園</x:v>
      </x:c>
      <x:c r="AA103" s="22" t="str">
        <x:v>なし</x:v>
      </x:c>
      <x:c r="AB103" s="22" t="str">
        <x:v>-</x:v>
      </x:c>
      <x:c r="AC103" s="22" t="str"/>
      <x:c r="AD103" s="22" t="str">
        <x:v>専用・路外駐車を基本</x:v>
      </x:c>
      <x:c r="AE103" s="22" t="str"/>
    </x:row>
    <x:row r="104">
      <x:c r="A104" t="str">
        <x:v>D103</x:v>
      </x:c>
      <x:c r="B104" t="str">
        <x:v>夢見ヶ崎動物公園</x:v>
      </x:c>
      <x:c r="C104" t="str">
        <x:v>川崎市・幸区</x:v>
      </x:c>
      <x:c r="D104" t="str">
        <x:v>高台・動物公園・夜景</x:v>
      </x:c>
      <x:c r="E104" s="68" t="e">
        <x:f>HYPERLINK("https://www.google.com/maps/dir/?api=1&amp;destination=%E5%A4%A2%E8%A6%8B%E3%83%B6%E5%B4%8E%E5%8B%95%E7%89%A9%E5%85%AC%E5%9C%92&amp;travelmode=driving","現在地からナビ開始")</x:f>
      </x:c>
      <x:c r="F104" t="str">
        <x:v>小高い丘の展望広場から住宅地の灯りを眺められ、近距離の静かな夜景Endingになる。</x:v>
      </x:c>
      <x:c r="G104" t="str">
        <x:v>あり・小規模</x:v>
      </x:c>
      <x:c r="H104" t="str">
        <x:v>公園は常時利用可、駐車場は現地掲示優先</x:v>
      </x:c>
      <x:c r="I104" t="n">
        <x:v>4</x:v>
      </x:c>
      <x:c r="J104" t="n">
        <x:v>4</x:v>
      </x:c>
      <x:c r="K104" t="str">
        <x:v>夜間は動物舎周辺へ近づかず、近隣住宅へ配慮。</x:v>
      </x:c>
      <x:c r="L104" s="20" t="n">
        <x:v>46232</x:v>
      </x:c>
      <x:c r="M104" t="str">
        <x:v>当日再確認</x:v>
      </x:c>
      <x:c r="N104" t="str">
        <x:v>https://www.city.kawasaki.jp/530/page/0000063423.html</x:v>
      </x:c>
      <x:c r="O104" s="27" t="str">
        <x:v>夢見ヶ崎の名は、太田道灌が城を築こうとした際に不吉な夢を見て断念したという伝説に由来する。</x:v>
      </x:c>
      <x:c r="P104" s="49" t="e">
        <x:f>HYPERLINK("https://ja.wikipedia.org/wiki/Special:Search?search=%E5%A4%A2%E8%A6%8B%E3%83%B6%E5%B4%8E%E5%8B%95%E7%89%A9%E5%85%AC%E5%9C%92","Wikipedia・関連項目")</x:f>
      </x:c>
      <x:c r="R104" t="str">
        <x:v>0〜10km</x:v>
      </x:c>
      <x:c r="S104" t="str">
        <x:v>概ね0〜10km</x:v>
      </x:c>
      <x:c r="T104" t="str">
        <x:v>通常10〜30分</x:v>
      </x:c>
      <x:c r="U104" t="str">
        <x:v>平日夜・深夜</x:v>
      </x:c>
      <x:c r="V104" t="str">
        <x:v>60〜150分</x:v>
      </x:c>
      <x:c r="W104" t="n">
        <x:v>1</x:v>
      </x:c>
      <x:c r="X104" t="n">
        <x:v>3</x:v>
      </x:c>
      <x:c r="Y104" t="str">
        <x:v>平和の森公園</x:v>
      </x:c>
      <x:c r="Z104" t="str">
        <x:v>大森ふるさとの浜辺公園／森ケ崎公園</x:v>
      </x:c>
      <x:c r="AA104" s="22" t="str">
        <x:v>なし</x:v>
      </x:c>
      <x:c r="AB104" s="22" t="str">
        <x:v>-</x:v>
      </x:c>
      <x:c r="AC104" s="22" t="str"/>
      <x:c r="AD104" s="22" t="str">
        <x:v>専用・路外駐車を基本</x:v>
      </x:c>
      <x:c r="AE104" s="22" t="str"/>
    </x:row>
    <x:row r="105">
      <x:c r="A105" t="str">
        <x:v>D104</x:v>
      </x:c>
      <x:c r="B105" t="str">
        <x:v>殿町緑地</x:v>
      </x:c>
      <x:c r="C105" t="str">
        <x:v>川崎市・川崎区</x:v>
      </x:c>
      <x:c r="D105" t="str">
        <x:v>多摩川・飛行機・河川敷</x:v>
      </x:c>
      <x:c r="E105" s="68" t="e">
        <x:f>HYPERLINK("https://www.google.com/maps/dir/?api=1&amp;destination=%E6%AE%BF%E7%94%BA%E7%B7%91%E5%9C%B0&amp;travelmode=driving","現在地からナビ開始")</x:f>
      </x:c>
      <x:c r="F105" t="str">
        <x:v>羽田空港対岸の多摩川沿いで、橋・航空機・広い空を近距離で味わえる。</x:v>
      </x:c>
      <x:c r="G105" t="str">
        <x:v>あり・河川敷駐車場</x:v>
      </x:c>
      <x:c r="H105" t="str">
        <x:v>駐車時間は河川敷駐車場案内を当日確認</x:v>
      </x:c>
      <x:c r="I105" t="n">
        <x:v>4</x:v>
      </x:c>
      <x:c r="J105" t="n">
        <x:v>5</x:v>
      </x:c>
      <x:c r="K105" t="str">
        <x:v>増水・工事・閉鎖時は利用不可。緑地外や堤防上への駐車禁止。</x:v>
      </x:c>
      <x:c r="L105" s="20" t="n">
        <x:v>46232</x:v>
      </x:c>
      <x:c r="M105" t="str">
        <x:v>当日再確認</x:v>
      </x:c>
      <x:c r="N105" t="str">
        <x:v>https://www.city.kawasaki.jp/530/page/0000020718.html</x:v>
      </x:c>
      <x:c r="O105" s="27" t="str">
        <x:v>殿町周辺は現在『キングスカイフロント』と呼ばれる研究開発拠点へ変貌し、羽田対岸の国際戦略地区となった。</x:v>
      </x:c>
      <x:c r="P105" s="49" t="e">
        <x:f>HYPERLINK("https://ja.wikipedia.org/wiki/Special:Search?search=%E6%AE%BF%E7%94%BA%E7%B7%91%E5%9C%B0","Wikipedia・関連項目")</x:f>
      </x:c>
      <x:c r="R105" t="str">
        <x:v>0〜10km</x:v>
      </x:c>
      <x:c r="S105" t="str">
        <x:v>概ね0〜10km</x:v>
      </x:c>
      <x:c r="T105" t="str">
        <x:v>通常10〜30分</x:v>
      </x:c>
      <x:c r="U105" t="str">
        <x:v>飛行機</x:v>
      </x:c>
      <x:c r="V105" t="str">
        <x:v>30〜60分</x:v>
      </x:c>
      <x:c r="W105" t="n">
        <x:v>1</x:v>
      </x:c>
      <x:c r="X105" t="n">
        <x:v>4</x:v>
      </x:c>
      <x:c r="Y105" t="str">
        <x:v>城南島海浜公園</x:v>
      </x:c>
      <x:c r="Z105" t="str">
        <x:v>京浜島つばさ公園／羽田空港 第3ターミナル展望デッキ</x:v>
      </x:c>
      <x:c r="AA105" s="22" t="str">
        <x:v>なし</x:v>
      </x:c>
      <x:c r="AB105" s="22" t="str">
        <x:v>-</x:v>
      </x:c>
      <x:c r="AC105" s="22" t="str"/>
      <x:c r="AD105" s="22" t="str">
        <x:v>専用・路外駐車を基本</x:v>
      </x:c>
      <x:c r="AE105" s="22" t="str"/>
    </x:row>
    <x:row r="106">
      <x:c r="A106" t="str">
        <x:v>D105</x:v>
      </x:c>
      <x:c r="B106" t="str">
        <x:v>鷺沼北公園</x:v>
      </x:c>
      <x:c r="C106" t="str">
        <x:v>川崎市・宮前区</x:v>
      </x:c>
      <x:c r="D106" t="str">
        <x:v>高台・都市展望</x:v>
      </x:c>
      <x:c r="E106" s="68" t="e">
        <x:f>HYPERLINK("https://www.google.com/maps/dir/?api=1&amp;destination=%E9%B7%BA%E6%B2%BC%E5%8C%97%E5%85%AC%E5%9C%92&amp;travelmode=driving","現在地からナビ開始")</x:f>
      </x:c>
      <x:c r="F106" t="str">
        <x:v>東京タワーやスカイツリー方面を望める小規模な展望公園で、近隣型穴場Endingになる。</x:v>
      </x:c>
      <x:c r="G106" t="str">
        <x:v>専用駐車場なし</x:v>
      </x:c>
      <x:c r="H106" t="str">
        <x:v>周辺の合法駐車場利用を前提</x:v>
      </x:c>
      <x:c r="I106" t="n">
        <x:v>2</x:v>
      </x:c>
      <x:c r="J106" t="n">
        <x:v>5</x:v>
      </x:c>
      <x:c r="K106" t="str">
        <x:v>路上駐車禁止。徒歩移動を伴うため最終目的地より経由地向き。</x:v>
      </x:c>
      <x:c r="L106" s="20" t="n">
        <x:v>46232</x:v>
      </x:c>
      <x:c r="M106" t="str">
        <x:v>当日再確認</x:v>
      </x:c>
      <x:c r="N106" t="str">
        <x:v>https://www.city.kawasaki.jp/530/page/0000063423.html</x:v>
      </x:c>
      <x:c r="O106" s="27" t="str">
        <x:v>鷺沼という地名は、かつてサギが集まる沼地だったという説に結び付けられている。</x:v>
      </x:c>
      <x:c r="P106" s="49" t="e">
        <x:f>HYPERLINK("https://ja.wikipedia.org/wiki/Special:Search?search=%E9%B7%BA%E6%B2%BC%E5%8C%97%E5%85%AC%E5%9C%92","Wikipedia・関連項目")</x:f>
      </x:c>
      <x:c r="R106" t="str">
        <x:v>10〜20km</x:v>
      </x:c>
      <x:c r="S106" t="str">
        <x:v>概ね10〜20km</x:v>
      </x:c>
      <x:c r="T106" t="str">
        <x:v>通常25〜50分</x:v>
      </x:c>
      <x:c r="U106" t="str">
        <x:v>休日半日</x:v>
      </x:c>
      <x:c r="V106" t="str">
        <x:v>30〜60分</x:v>
      </x:c>
      <x:c r="W106" t="n">
        <x:v>1</x:v>
      </x:c>
      <x:c r="X106" t="n">
        <x:v>1</x:v>
      </x:c>
      <x:c r="Y106" t="str">
        <x:v>羽田空港 第3ターミナル展望デッキ</x:v>
      </x:c>
      <x:c r="Z106" t="str">
        <x:v>城南島海浜公園／潮風公園</x:v>
      </x:c>
      <x:c r="AA106" s="22" t="str">
        <x:v>なし</x:v>
      </x:c>
      <x:c r="AB106" s="22" t="str">
        <x:v>-</x:v>
      </x:c>
      <x:c r="AC106" s="22" t="str"/>
      <x:c r="AD106" s="22" t="str">
        <x:v>専用・路外駐車を基本</x:v>
      </x:c>
      <x:c r="AE106" s="22" t="str"/>
    </x:row>
    <x:row r="107">
      <x:c r="A107" t="str">
        <x:v>D106</x:v>
      </x:c>
      <x:c r="B107" t="str">
        <x:v>菅生緑地</x:v>
      </x:c>
      <x:c r="C107" t="str">
        <x:v>川崎市・宮前区</x:v>
      </x:c>
      <x:c r="D107" t="str">
        <x:v>高台・展望・里山</x:v>
      </x:c>
      <x:c r="E107" s="68" t="e">
        <x:f>HYPERLINK("https://www.google.com/maps/dir/?api=1&amp;destination=%E8%8F%85%E7%94%9F%E7%B7%91%E5%9C%B0&amp;travelmode=driving","現在地からナビ開始")</x:f>
      </x:c>
      <x:c r="F107" t="str">
        <x:v>高台の展望デッキと里山的な緑があり、川崎北部で静かな昼Endingになる。</x:v>
      </x:c>
      <x:c r="G107" t="str">
        <x:v>駐車場は区域ごとに要確認</x:v>
      </x:c>
      <x:c r="H107" t="str">
        <x:v>昼間利用推奨</x:v>
      </x:c>
      <x:c r="I107" t="n">
        <x:v>2</x:v>
      </x:c>
      <x:c r="J107" t="n">
        <x:v>4</x:v>
      </x:c>
      <x:c r="K107" t="str">
        <x:v>夜間不向き。駐車場所と閉鎖時刻を当日確認。</x:v>
      </x:c>
      <x:c r="L107" s="20" t="n">
        <x:v>46232</x:v>
      </x:c>
      <x:c r="M107" t="str">
        <x:v>当日再確認</x:v>
      </x:c>
      <x:c r="N107" t="str">
        <x:v>https://www.city.kawasaki.jp/530/page/0000063423.html</x:v>
      </x:c>
      <x:c r="O107" s="27" t="str">
        <x:v>菅生は多摩丘陵の谷戸と雑木林が残る地域で、都市化した川崎北部の中に里山景観を保つ。</x:v>
      </x:c>
      <x:c r="P107" s="49" t="e">
        <x:f>HYPERLINK("https://ja.wikipedia.org/wiki/Special:Search?search=%E8%8F%85%E7%94%9F%E7%B7%91%E5%9C%B0","Wikipedia・関連項目")</x:f>
      </x:c>
      <x:c r="R107" t="str">
        <x:v>10〜20km</x:v>
      </x:c>
      <x:c r="S107" t="str">
        <x:v>概ね10〜20km</x:v>
      </x:c>
      <x:c r="T107" t="str">
        <x:v>通常25〜50分</x:v>
      </x:c>
      <x:c r="U107" t="str">
        <x:v>休日半日</x:v>
      </x:c>
      <x:c r="V107" t="str">
        <x:v>30〜60分</x:v>
      </x:c>
      <x:c r="W107" t="n">
        <x:v>1</x:v>
      </x:c>
      <x:c r="X107" t="n">
        <x:v>1</x:v>
      </x:c>
      <x:c r="Y107" t="str">
        <x:v>羽田空港 第3ターミナル展望デッキ</x:v>
      </x:c>
      <x:c r="Z107" t="str">
        <x:v>城南島海浜公園／潮風公園</x:v>
      </x:c>
      <x:c r="AA107" s="22" t="str">
        <x:v>なし</x:v>
      </x:c>
      <x:c r="AB107" s="22" t="str">
        <x:v>-</x:v>
      </x:c>
      <x:c r="AC107" s="22" t="str"/>
      <x:c r="AD107" s="22" t="str">
        <x:v>専用・路外駐車を基本</x:v>
      </x:c>
      <x:c r="AE107" s="22" t="str"/>
    </x:row>
    <x:row r="108">
      <x:c r="A108" t="str">
        <x:v>D107</x:v>
      </x:c>
      <x:c r="B108" t="str">
        <x:v>海浜大通り展望駐車場</x:v>
      </x:c>
      <x:c r="C108" t="str">
        <x:v>千葉市・美浜区</x:v>
      </x:c>
      <x:c r="D108" t="str">
        <x:v>海・展望駐車場・車内鑑賞</x:v>
      </x:c>
      <x:c r="E108" s="68" t="e">
        <x:f>HYPERLINK("https://www.google.com/maps/dir/?api=1&amp;destination=%E6%B5%B7%E6%B5%9C%E5%A4%A7%E9%80%9A%E3%82%8A%E5%B1%95%E6%9C%9B%E9%A7%90%E8%BB%8A%E5%A0%B4&amp;travelmode=driving","現在地からナビ開始")</x:f>
      </x:c>
      <x:c r="F108" t="str">
        <x:v>車に乗ったまま東京湾、富士山、スカイツリー方面を眺められる希少な車中心Ending。</x:v>
      </x:c>
      <x:c r="G108" t="str">
        <x:v>あり・13台・有料</x:v>
      </x:c>
      <x:c r="H108" t="str">
        <x:v>利用時間は公式ページの最新案内確認</x:v>
      </x:c>
      <x:c r="I108" t="n">
        <x:v>5</x:v>
      </x:c>
      <x:c r="J108" t="n">
        <x:v>5</x:v>
      </x:c>
      <x:c r="K108" t="str">
        <x:v>台数が少ない。満車時の路上待機禁止。強風時は短時間利用。</x:v>
      </x:c>
      <x:c r="L108" s="20" t="n">
        <x:v>46232</x:v>
      </x:c>
      <x:c r="M108" t="str">
        <x:v>当日再確認</x:v>
      </x:c>
      <x:c r="N108" t="str">
        <x:v>https://www.city.chiba.jp/toshi/koenryokuchi/kanri/chuo-mihama/tennbou-chuushajou.html</x:v>
      </x:c>
      <x:c r="O108" s="27" t="str">
        <x:v>海浜大通り一帯は幕張新都心の埋立地で、直線道路と人工海岸は戦後の大規模都市計画の産物である。</x:v>
      </x:c>
      <x:c r="P108" s="49" t="e">
        <x:f>HYPERLINK("https://ja.wikipedia.org/wiki/Special:Search?search=%E6%B5%B7%E6%B5%9C%E5%A4%A7%E9%80%9A%E3%82%8A%E5%B1%95%E6%9C%9B%E9%A7%90%E8%BB%8A%E5%A0%B4","Wikipedia・関連項目")</x:f>
      </x:c>
      <x:c r="Q108" t="str">
        <x:v>2026-07-29品質補足：13台のみ。満車時は稲毛海浜公園・検見川の浜へ差替え。</x:v>
      </x:c>
      <x:c r="R108" t="str">
        <x:v>35km超</x:v>
      </x:c>
      <x:c r="S108" t="str">
        <x:v>概ね35km超</x:v>
      </x:c>
      <x:c r="T108" t="str">
        <x:v>通常90分超</x:v>
      </x:c>
      <x:c r="U108" t="str">
        <x:v>海・港</x:v>
      </x:c>
      <x:c r="V108" t="str">
        <x:v>30〜60分</x:v>
      </x:c>
      <x:c r="W108" t="n">
        <x:v>1</x:v>
      </x:c>
      <x:c r="X108" t="n">
        <x:v>4</x:v>
      </x:c>
      <x:c r="Y108" t="str">
        <x:v>城南島海浜公園</x:v>
      </x:c>
      <x:c r="Z108" t="str">
        <x:v>潮風公園／晴海ふ頭公園</x:v>
      </x:c>
      <x:c r="AA108" s="22" t="str">
        <x:v>なし</x:v>
      </x:c>
      <x:c r="AB108" s="22" t="str">
        <x:v>-</x:v>
      </x:c>
      <x:c r="AC108" s="22" t="str"/>
      <x:c r="AD108" s="22" t="str">
        <x:v>専用・路外駐車を基本</x:v>
      </x:c>
      <x:c r="AE108" s="22" t="str"/>
    </x:row>
    <x:row r="109">
      <x:c r="A109" t="str">
        <x:v>D108</x:v>
      </x:c>
      <x:c r="B109" t="str">
        <x:v>千葉公園</x:v>
      </x:c>
      <x:c r="C109" t="str">
        <x:v>千葉市・中央区</x:v>
      </x:c>
      <x:c r="D109" t="str">
        <x:v>池・都市公園・夜間散歩</x:v>
      </x:c>
      <x:c r="E109" s="68" t="e">
        <x:f>HYPERLINK("https://www.google.com/maps/dir/?api=1&amp;destination=%E5%8D%83%E8%91%89%E5%85%AC%E5%9C%92&amp;travelmode=driving","現在地からナビ開始")</x:f>
      </x:c>
      <x:c r="F109" t="str">
        <x:v>池とモノレール、市街地の灯りが重なり、千葉市中心部の落ち着いたEndingになる。</x:v>
      </x:c>
      <x:c r="G109" t="str">
        <x:v>あり・有料</x:v>
      </x:c>
      <x:c r="H109" t="str">
        <x:v>公園は常時開園、駐車場は最新案内確認</x:v>
      </x:c>
      <x:c r="I109" t="n">
        <x:v>4</x:v>
      </x:c>
      <x:c r="J109" t="n">
        <x:v>3</x:v>
      </x:c>
      <x:c r="K109" t="str">
        <x:v>イベント・ボート営業日で混雑。夜は主要園路のみ。</x:v>
      </x:c>
      <x:c r="L109" s="20" t="n">
        <x:v>46232</x:v>
      </x:c>
      <x:c r="M109" t="str">
        <x:v>当日再確認</x:v>
      </x:c>
      <x:c r="N109" t="str">
        <x:v>https://www.city.chiba.jp/toshi/koenryokuchi/kanri/chuo-inage/chibap02acces.html</x:v>
      </x:c>
      <x:c r="O109" s="27" t="str">
        <x:v>千葉公園の大賀ハスは、植物学者・大賀一郎が約2000年前とされる種子から発芽させた古代ハスである。</x:v>
      </x:c>
      <x:c r="P109" s="49" t="e">
        <x:f>HYPERLINK("https://ja.wikipedia.org/wiki/Special:Search?search=%E5%8D%83%E8%91%89%E5%85%AC%E5%9C%92","Wikipedia・関連項目")</x:f>
      </x:c>
      <x:c r="R109" t="str">
        <x:v>10〜20km</x:v>
      </x:c>
      <x:c r="S109" t="str">
        <x:v>概ね10〜20km</x:v>
      </x:c>
      <x:c r="T109" t="str">
        <x:v>通常25〜50分</x:v>
      </x:c>
      <x:c r="U109" t="str">
        <x:v>水辺</x:v>
      </x:c>
      <x:c r="V109" t="str">
        <x:v>30〜90分</x:v>
      </x:c>
      <x:c r="W109" t="n">
        <x:v>1</x:v>
      </x:c>
      <x:c r="X109" t="n">
        <x:v>1</x:v>
      </x:c>
      <x:c r="Y109" t="str">
        <x:v>多摩川浅間神社</x:v>
      </x:c>
      <x:c r="Z109" t="str">
        <x:v>多摩川六郷橋緑地／多摩川ガス橋緑地</x:v>
      </x:c>
      <x:c r="AA109" s="22" t="str">
        <x:v>なし</x:v>
      </x:c>
      <x:c r="AB109" s="22" t="str">
        <x:v>-</x:v>
      </x:c>
      <x:c r="AC109" s="22" t="str"/>
      <x:c r="AD109" s="22" t="str">
        <x:v>専用・路外駐車を基本</x:v>
      </x:c>
      <x:c r="AE109" s="22" t="str"/>
    </x:row>
    <x:row r="110">
      <x:c r="A110" t="str">
        <x:v>D109</x:v>
      </x:c>
      <x:c r="B110" t="str">
        <x:v>亥鼻公園</x:v>
      </x:c>
      <x:c r="C110" t="str">
        <x:v>千葉市・中央区</x:v>
      </x:c>
      <x:c r="D110" t="str">
        <x:v>城址・高台・Story</x:v>
      </x:c>
      <x:c r="E110" s="68" t="e">
        <x:f>HYPERLINK("https://www.google.com/maps/dir/?api=1&amp;destination=%E4%BA%A5%E9%BC%BB%E5%85%AC%E5%9C%92&amp;travelmode=driving","現在地からナビ開始")</x:f>
      </x:c>
      <x:c r="F110" t="str">
        <x:v>千葉城と歴史公園の高台景観があり、都市ドライブに物語性を加えられる。</x:v>
      </x:c>
      <x:c r="G110" t="str">
        <x:v>周辺有料駐車場利用</x:v>
      </x:c>
      <x:c r="H110" t="str">
        <x:v>公園は常時利用可、施設時間は別</x:v>
      </x:c>
      <x:c r="I110" t="n">
        <x:v>3</x:v>
      </x:c>
      <x:c r="J110" t="n">
        <x:v>4</x:v>
      </x:c>
      <x:c r="K110" t="str">
        <x:v>桜祭り時は混雑。千葉城施設の営業時間と駐車位置を確認。</x:v>
      </x:c>
      <x:c r="L110" s="20" t="n">
        <x:v>46232</x:v>
      </x:c>
      <x:c r="M110" t="str">
        <x:v>当日再確認</x:v>
      </x:c>
      <x:c r="N110" t="str">
        <x:v>https://www.city.chiba.jp/toshi/koenryokuchi/kanri/chuo-mihama/inohanap-top.html</x:v>
      </x:c>
      <x:c r="O110" s="27" t="str">
        <x:v>亥鼻公園の模擬天守は千葉市立郷土博物館で、中世に千葉氏が拠点とした亥鼻城をイメージしている。</x:v>
      </x:c>
      <x:c r="P110" s="49" t="e">
        <x:f>HYPERLINK("https://ja.wikipedia.org/wiki/Special:Search?search=%E4%BA%A5%E9%BC%BB%E5%85%AC%E5%9C%92","Wikipedia・関連項目")</x:f>
      </x:c>
      <x:c r="R110" t="str">
        <x:v>10〜20km</x:v>
      </x:c>
      <x:c r="S110" t="str">
        <x:v>概ね10〜20km</x:v>
      </x:c>
      <x:c r="T110" t="str">
        <x:v>通常25〜50分</x:v>
      </x:c>
      <x:c r="U110" t="str">
        <x:v>Story</x:v>
      </x:c>
      <x:c r="V110" t="str">
        <x:v>30〜60分</x:v>
      </x:c>
      <x:c r="W110" t="n">
        <x:v>1</x:v>
      </x:c>
      <x:c r="X110" t="n">
        <x:v>1</x:v>
      </x:c>
      <x:c r="Y110" t="str">
        <x:v>羽田空港 第3ターミナル展望デッキ</x:v>
      </x:c>
      <x:c r="Z110" t="str">
        <x:v>城南島海浜公園／潮風公園</x:v>
      </x:c>
      <x:c r="AA110" s="22" t="str">
        <x:v>なし</x:v>
      </x:c>
      <x:c r="AB110" s="22" t="str">
        <x:v>-</x:v>
      </x:c>
      <x:c r="AC110" s="22" t="str"/>
      <x:c r="AD110" s="22" t="str">
        <x:v>専用・路外駐車を基本</x:v>
      </x:c>
      <x:c r="AE110" s="22" t="str"/>
    </x:row>
    <x:row r="111">
      <x:c r="A111" t="str">
        <x:v>D110</x:v>
      </x:c>
      <x:c r="B111" t="str">
        <x:v>千葉ポートタワー</x:v>
      </x:c>
      <x:c r="C111" t="str">
        <x:v>千葉市・中央港</x:v>
      </x:c>
      <x:c r="D111" t="str">
        <x:v>展望塔・港・都市夜景</x:v>
      </x:c>
      <x:c r="E111" s="68" t="e">
        <x:f>HYPERLINK("https://www.google.com/maps/dir/?api=1&amp;destination=%E5%8D%83%E8%91%89%E3%83%9D%E3%83%BC%E3%83%88%E3%82%BF%E3%83%AF%E3%83%BC&amp;travelmode=driving","現在地からナビ開始")</x:f>
      </x:c>
      <x:c r="F111" t="str">
        <x:v>高さ113mの展望室から千葉港、幕張、東京湾を一望できる夜景Ending。</x:v>
      </x:c>
      <x:c r="G111" t="str">
        <x:v>あり・ポートパーク駐車場</x:v>
      </x:c>
      <x:c r="H111" t="str">
        <x:v>6～9月 9:00～21:00／10～5月は曜日で19～20時</x:v>
      </x:c>
      <x:c r="I111" t="n">
        <x:v>5</x:v>
      </x:c>
      <x:c r="J111" t="n">
        <x:v>2</x:v>
      </x:c>
      <x:c r="K111" t="str">
        <x:v>休館日・最終入館・イベント延長を当日確認。</x:v>
      </x:c>
      <x:c r="L111" s="20" t="n">
        <x:v>46232</x:v>
      </x:c>
      <x:c r="M111" t="str">
        <x:v>一次確認済</x:v>
      </x:c>
      <x:c r="N111" t="str">
        <x:v>https://www.city.chiba.jp/keizainosei/keizai/promotion/baria_kanko.html</x:v>
      </x:c>
      <x:c r="O111" s="27" t="str">
        <x:v>千葉ポートタワーは千葉県人口500万人突破を記念して建設された、高さ125mのガラス張り展望塔である。</x:v>
      </x:c>
      <x:c r="P111" s="49" t="e">
        <x:f>HYPERLINK("https://ja.wikipedia.org/wiki/Special:Search?search=%E5%8D%83%E8%91%89%E3%83%9D%E3%83%BC%E3%83%88%E3%82%BF%E3%83%AF%E3%83%BC","Wikipedia・関連項目")</x:f>
      </x:c>
      <x:c r="R111" t="str">
        <x:v>35km超</x:v>
      </x:c>
      <x:c r="S111" t="str">
        <x:v>概ね35km超</x:v>
      </x:c>
      <x:c r="T111" t="str">
        <x:v>通常90分超</x:v>
      </x:c>
      <x:c r="U111" t="str">
        <x:v>海・港</x:v>
      </x:c>
      <x:c r="V111" t="str">
        <x:v>30〜60分</x:v>
      </x:c>
      <x:c r="W111" t="n">
        <x:v>2</x:v>
      </x:c>
      <x:c r="X111" t="n">
        <x:v>3</x:v>
      </x:c>
      <x:c r="Y111" t="str">
        <x:v>城南島海浜公園</x:v>
      </x:c>
      <x:c r="Z111" t="str">
        <x:v>潮風公園／晴海ふ頭公園</x:v>
      </x:c>
      <x:c r="AA111" s="22" t="str">
        <x:v>なし</x:v>
      </x:c>
      <x:c r="AB111" s="22" t="str">
        <x:v>-</x:v>
      </x:c>
      <x:c r="AC111" s="22" t="str"/>
      <x:c r="AD111" s="22" t="str">
        <x:v>専用・路外駐車を基本</x:v>
      </x:c>
      <x:c r="AE111" s="22" t="str"/>
    </x:row>
    <x:row r="112">
      <x:c r="A112" t="str">
        <x:v>D111</x:v>
      </x:c>
      <x:c r="B112" t="str">
        <x:v>太田山公園</x:v>
      </x:c>
      <x:c r="C112" t="str">
        <x:v>木更津市・太田</x:v>
      </x:c>
      <x:c r="D112" t="str">
        <x:v>高台・展望塔・Story</x:v>
      </x:c>
      <x:c r="E112" s="68" t="e">
        <x:f>HYPERLINK("https://www.google.com/maps/dir/?api=1&amp;destination=%E5%A4%AA%E7%94%B0%E5%B1%B1%E5%85%AC%E5%9C%92&amp;travelmode=driving","現在地からナビ開始")</x:f>
      </x:c>
      <x:c r="F112" t="str">
        <x:v>木更津市街と東京湾を望む高台で、きみさらずタワーの物語性もある。</x:v>
      </x:c>
      <x:c r="G112" t="str">
        <x:v>あり・68台</x:v>
      </x:c>
      <x:c r="H112" t="str">
        <x:v>公園 常時開設</x:v>
      </x:c>
      <x:c r="I112" t="n">
        <x:v>4</x:v>
      </x:c>
      <x:c r="J112" t="n">
        <x:v>4</x:v>
      </x:c>
      <x:c r="K112" t="str">
        <x:v>夜間は展望塔周辺の足元に注意。桜期は混雑。</x:v>
      </x:c>
      <x:c r="L112" s="20" t="n">
        <x:v>46232</x:v>
      </x:c>
      <x:c r="M112" t="str">
        <x:v>一次確認済</x:v>
      </x:c>
      <x:c r="N112" t="str">
        <x:v>https://www.city.kisarazu.lg.jp/soshiki/toshiseibi/shigaichiseibi/1/park/2596.html</x:v>
      </x:c>
      <x:c r="O112" s="27" t="str">
        <x:v>太田山公園の名称と塔は、日本武尊が弟橘媛を偲んだ『君去らず』伝説を物語化している。</x:v>
      </x:c>
      <x:c r="P112" s="49" t="e">
        <x:f>HYPERLINK("https://ja.wikipedia.org/wiki/Special:Search?search=%E5%A4%AA%E7%94%B0%E5%B1%B1%E5%85%AC%E5%9C%92","Wikipedia・関連項目")</x:f>
      </x:c>
      <x:c r="R112" t="str">
        <x:v>35km超</x:v>
      </x:c>
      <x:c r="S112" t="str">
        <x:v>概ね35km超</x:v>
      </x:c>
      <x:c r="T112" t="str">
        <x:v>通常90分超</x:v>
      </x:c>
      <x:c r="U112" t="str">
        <x:v>Story</x:v>
      </x:c>
      <x:c r="V112" t="str">
        <x:v>30〜60分</x:v>
      </x:c>
      <x:c r="W112" t="n">
        <x:v>1</x:v>
      </x:c>
      <x:c r="X112" t="n">
        <x:v>1</x:v>
      </x:c>
      <x:c r="Y112" t="str">
        <x:v>羽田空港 第3ターミナル展望デッキ</x:v>
      </x:c>
      <x:c r="Z112" t="str">
        <x:v>城南島海浜公園／潮風公園</x:v>
      </x:c>
      <x:c r="AA112" s="22" t="str">
        <x:v>なし</x:v>
      </x:c>
      <x:c r="AB112" s="22" t="str">
        <x:v>-</x:v>
      </x:c>
      <x:c r="AC112" s="22" t="str"/>
      <x:c r="AD112" s="22" t="str">
        <x:v>専用・路外駐車を基本</x:v>
      </x:c>
      <x:c r="AE112" s="22" t="str"/>
    </x:row>
    <x:row r="113">
      <x:c r="A113" t="str">
        <x:v>D112</x:v>
      </x:c>
      <x:c r="B113" t="str">
        <x:v>県立三ツ池公園</x:v>
      </x:c>
      <x:c r="C113" t="str">
        <x:v>横浜市・鶴見区</x:v>
      </x:c>
      <x:c r="D113" t="str">
        <x:v>池・丘陵・大規模公園</x:v>
      </x:c>
      <x:c r="E113" s="68" t="e">
        <x:f>HYPERLINK("https://www.google.com/maps/dir/?api=1&amp;destination=%E7%9C%8C%E7%AB%8B%E4%B8%89%E3%83%84%E6%B1%A0%E5%85%AC%E5%9C%92&amp;travelmode=driving","現在地からナビ開始")</x:f>
      </x:c>
      <x:c r="F113" t="str">
        <x:v>三つの池と丘陵があり、大田区から近いのに都市感を切れる。</x:v>
      </x:c>
      <x:c r="G113" t="str">
        <x:v>あり・有料・計146台</x:v>
      </x:c>
      <x:c r="H113" t="str">
        <x:v>公園24時間／駐車場は営業時間あり</x:v>
      </x:c>
      <x:c r="I113" t="n">
        <x:v>3</x:v>
      </x:c>
      <x:c r="J113" t="n">
        <x:v>3</x:v>
      </x:c>
      <x:c r="K113" t="str">
        <x:v>駐車場閉鎖時刻を当日確認。桜期は大混雑。</x:v>
      </x:c>
      <x:c r="L113" s="20" t="n">
        <x:v>46232</x:v>
      </x:c>
      <x:c r="M113" t="str">
        <x:v>当日再確認</x:v>
      </x:c>
      <x:c r="N113" t="str">
        <x:v>https://iju-sumu.city.yokohama.lg.jp/tips/2255/</x:v>
      </x:c>
      <x:c r="O113" s="27" t="str">
        <x:v>三ツ池公園は上・中・下の三つの池に由来する名称で、『日本さくら名所100選』にも選ばれている。</x:v>
      </x:c>
      <x:c r="P113" s="49" t="e">
        <x:f>HYPERLINK("https://ja.wikipedia.org/wiki/Special:Search?search=%E7%9C%8C%E7%AB%8B%E4%B8%89%E3%83%84%E6%B1%A0%E5%85%AC%E5%9C%92","Wikipedia・関連項目")</x:f>
      </x:c>
      <x:c r="R113" t="str">
        <x:v>10〜20km</x:v>
      </x:c>
      <x:c r="S113" t="str">
        <x:v>概ね10〜20km</x:v>
      </x:c>
      <x:c r="T113" t="str">
        <x:v>通常25〜50分</x:v>
      </x:c>
      <x:c r="U113" t="str">
        <x:v>水辺</x:v>
      </x:c>
      <x:c r="V113" t="str">
        <x:v>30〜90分</x:v>
      </x:c>
      <x:c r="W113" t="n">
        <x:v>1</x:v>
      </x:c>
      <x:c r="X113" t="n">
        <x:v>1</x:v>
      </x:c>
      <x:c r="Y113" t="str">
        <x:v>多摩川浅間神社</x:v>
      </x:c>
      <x:c r="Z113" t="str">
        <x:v>多摩川六郷橋緑地／多摩川ガス橋緑地</x:v>
      </x:c>
      <x:c r="AA113" s="22" t="str">
        <x:v>なし</x:v>
      </x:c>
      <x:c r="AB113" s="22" t="str">
        <x:v>-</x:v>
      </x:c>
      <x:c r="AC113" s="22" t="str"/>
      <x:c r="AD113" s="22" t="str">
        <x:v>専用・路外駐車を基本</x:v>
      </x:c>
      <x:c r="AE113" s="22" t="str"/>
    </x:row>
    <x:row r="114">
      <x:c r="A114" t="str">
        <x:v>D113</x:v>
      </x:c>
      <x:c r="B114" t="str">
        <x:v>久良岐公園</x:v>
      </x:c>
      <x:c r="C114" t="str">
        <x:v>横浜市・港南区</x:v>
      </x:c>
      <x:c r="D114" t="str">
        <x:v>丘陵・池・静かな公園</x:v>
      </x:c>
      <x:c r="E114" s="68" t="e">
        <x:f>HYPERLINK("https://www.google.com/maps/dir/?api=1&amp;destination=%E4%B9%85%E8%89%AF%E5%B2%90%E5%85%AC%E5%9C%92&amp;travelmode=driving","現在地からナビ開始")</x:f>
      </x:c>
      <x:c r="F114" t="str">
        <x:v>起伏と樹林、池があり、横浜南部で静けさを得る昼～夕方Ending。</x:v>
      </x:c>
      <x:c r="G114" t="str">
        <x:v>あり・88台・有料</x:v>
      </x:c>
      <x:c r="H114" t="str">
        <x:v>駐車場時間は公式案内確認</x:v>
      </x:c>
      <x:c r="I114" t="n">
        <x:v>2</x:v>
      </x:c>
      <x:c r="J114" t="n">
        <x:v>4</x:v>
      </x:c>
      <x:c r="K114" t="str">
        <x:v>夜間より昼向き。大型バス不可。</x:v>
      </x:c>
      <x:c r="L114" s="20" t="n">
        <x:v>46232</x:v>
      </x:c>
      <x:c r="M114" t="str">
        <x:v>当日再確認</x:v>
      </x:c>
      <x:c r="N114" t="str">
        <x:v>https://www.city.yokohama.lg.jp/kurashi/machizukuri-kankyo/midori-koen/koen/koen/daihyoteki/kuraki/kuraki.html</x:v>
      </x:c>
      <x:c r="O114" s="27" t="str">
        <x:v>『久良岐』は武蔵国に置かれた古代の郡名で、現在の横浜南部にその地名の記憶が残る。</x:v>
      </x:c>
      <x:c r="P114" s="49" t="e">
        <x:f>HYPERLINK("https://ja.wikipedia.org/wiki/Special:Search?search=%E4%B9%85%E8%89%AF%E5%B2%90%E5%85%AC%E5%9C%92","Wikipedia・関連項目")</x:f>
      </x:c>
      <x:c r="R114" t="str">
        <x:v>25〜35km</x:v>
      </x:c>
      <x:c r="S114" t="str">
        <x:v>概ね25〜35km</x:v>
      </x:c>
      <x:c r="T114" t="str">
        <x:v>通常55〜90分</x:v>
      </x:c>
      <x:c r="U114" t="str">
        <x:v>水辺</x:v>
      </x:c>
      <x:c r="V114" t="str">
        <x:v>30〜90分</x:v>
      </x:c>
      <x:c r="W114" t="n">
        <x:v>1</x:v>
      </x:c>
      <x:c r="X114" t="n">
        <x:v>1</x:v>
      </x:c>
      <x:c r="Y114" t="str">
        <x:v>多摩川浅間神社</x:v>
      </x:c>
      <x:c r="Z114" t="str">
        <x:v>多摩川六郷橋緑地／多摩川ガス橋緑地</x:v>
      </x:c>
      <x:c r="AA114" s="22" t="str">
        <x:v>なし</x:v>
      </x:c>
      <x:c r="AB114" s="22" t="str">
        <x:v>-</x:v>
      </x:c>
      <x:c r="AC114" s="22" t="str"/>
      <x:c r="AD114" s="22" t="str">
        <x:v>専用・路外駐車を基本</x:v>
      </x:c>
      <x:c r="AE114" s="22" t="str"/>
    </x:row>
    <x:row r="115">
      <x:c r="A115" t="str">
        <x:v>D114</x:v>
      </x:c>
      <x:c r="B115" t="str">
        <x:v>まつぶし緑の丘公園</x:v>
      </x:c>
      <x:c r="C115" t="str">
        <x:v>松伏町・大川戸</x:v>
      </x:c>
      <x:c r="D115" t="str">
        <x:v>里山・360度展望</x:v>
      </x:c>
      <x:c r="E115" s="68" t="e">
        <x:f>HYPERLINK("https://www.google.com/maps/dir/?api=1&amp;destination=%E3%81%BE%E3%81%A4%E3%81%B6%E3%81%97%E7%B7%91%E3%81%AE%E4%B8%98%E5%85%AC%E5%9C%92&amp;travelmode=driving","現在地からナビ開始")</x:f>
      </x:c>
      <x:c r="F115" t="str">
        <x:v>人工の里山山頂から360度を望め、埼玉東部で空の広さを体験できる。</x:v>
      </x:c>
      <x:c r="G115" t="str">
        <x:v>あり</x:v>
      </x:c>
      <x:c r="H115" t="str">
        <x:v>駐車場時間は公園案内確認</x:v>
      </x:c>
      <x:c r="I115" t="n">
        <x:v>2</x:v>
      </x:c>
      <x:c r="J115" t="n">
        <x:v>4</x:v>
      </x:c>
      <x:c r="K115" t="str">
        <x:v>夜間不向き。初日の出や花イベント時は混雑。</x:v>
      </x:c>
      <x:c r="L115" s="20" t="n">
        <x:v>46232</x:v>
      </x:c>
      <x:c r="M115" t="str">
        <x:v>当日再確認</x:v>
      </x:c>
      <x:c r="N115" t="str">
        <x:v>https://www.pref.saitama.lg.jp/b0104/sityougaiyou/matubushigaiyou.html</x:v>
      </x:c>
      <x:c r="O115" s="27" t="str">
        <x:v>まつぶし緑の丘公園の大きな里山は、公共工事で生じた土を活用して造られた人工の丘である。</x:v>
      </x:c>
      <x:c r="P115" s="49" t="e">
        <x:f>HYPERLINK("https://ja.wikipedia.org/wiki/Special:Search?search=%E3%81%BE%E3%81%A4%E3%81%B6%E3%81%97%E7%B7%91%E3%81%AE%E4%B8%98%E5%85%AC%E5%9C%92","Wikipedia・関連項目")</x:f>
      </x:c>
      <x:c r="R115" t="str">
        <x:v>35km超</x:v>
      </x:c>
      <x:c r="S115" t="str">
        <x:v>概ね35km超</x:v>
      </x:c>
      <x:c r="T115" t="str">
        <x:v>通常90分超</x:v>
      </x:c>
      <x:c r="U115" t="str">
        <x:v>休日半日</x:v>
      </x:c>
      <x:c r="V115" t="str">
        <x:v>30〜60分</x:v>
      </x:c>
      <x:c r="W115" t="n">
        <x:v>2</x:v>
      </x:c>
      <x:c r="X115" t="n">
        <x:v>1</x:v>
      </x:c>
      <x:c r="Y115" t="str">
        <x:v>羽田空港 第3ターミナル展望デッキ</x:v>
      </x:c>
      <x:c r="Z115" t="str">
        <x:v>城南島海浜公園／潮風公園</x:v>
      </x:c>
      <x:c r="AA115" s="22" t="str">
        <x:v>なし</x:v>
      </x:c>
      <x:c r="AB115" s="22" t="str">
        <x:v>-</x:v>
      </x:c>
      <x:c r="AC115" s="22" t="str"/>
      <x:c r="AD115" s="22" t="str">
        <x:v>専用・路外駐車を基本</x:v>
      </x:c>
      <x:c r="AE115" s="22" t="str"/>
    </x:row>
    <x:row r="116">
      <x:c r="A116" t="str">
        <x:v>D115</x:v>
      </x:c>
      <x:c r="B116" t="str">
        <x:v>見沼自然公園</x:v>
      </x:c>
      <x:c r="C116" t="str">
        <x:v>さいたま市・緑区</x:v>
      </x:c>
      <x:c r="D116" t="str">
        <x:v>池・湿地・自然公園</x:v>
      </x:c>
      <x:c r="E116" s="68" t="e">
        <x:f>HYPERLINK("https://www.google.com/maps/dir/?api=1&amp;destination=%E8%A6%8B%E6%B2%BC%E8%87%AA%E7%84%B6%E5%85%AC%E5%9C%92&amp;travelmode=driving","現在地からナビ開始")</x:f>
      </x:c>
      <x:c r="F116" t="str">
        <x:v>見沼田圃の水辺と自然を感じられ、都市北側の昼間リカバリー地点になる。</x:v>
      </x:c>
      <x:c r="G116" t="str">
        <x:v>あり</x:v>
      </x:c>
      <x:c r="H116" t="str">
        <x:v>利用時間は現地掲示優先</x:v>
      </x:c>
      <x:c r="I116" t="n">
        <x:v>2</x:v>
      </x:c>
      <x:c r="J116" t="n">
        <x:v>4</x:v>
      </x:c>
      <x:c r="K116" t="str">
        <x:v>夜間不向き。雨後の園路と虫に注意。</x:v>
      </x:c>
      <x:c r="L116" s="20" t="n">
        <x:v>46232</x:v>
      </x:c>
      <x:c r="M116" t="str">
        <x:v>当日再確認</x:v>
      </x:c>
      <x:c r="N116" t="str">
        <x:v>https://saitama-riversupporters.pref.saitama.lg.jp/magazine/feature-suiren-hasu/</x:v>
      </x:c>
      <x:c r="O116" s="27" t="str">
        <x:v>見沼田圃は江戸時代に干拓された旧見沼の跡で、現在も首都圏有数の大規模緑地空間を形成する。</x:v>
      </x:c>
      <x:c r="P116" s="49" t="e">
        <x:f>HYPERLINK("https://ja.wikipedia.org/wiki/Special:Search?search=%E8%A6%8B%E6%B2%BC%E8%87%AA%E7%84%B6%E5%85%AC%E5%9C%92","Wikipedia・関連項目")</x:f>
      </x:c>
      <x:c r="R116" t="str">
        <x:v>35km超</x:v>
      </x:c>
      <x:c r="S116" t="str">
        <x:v>概ね35km超</x:v>
      </x:c>
      <x:c r="T116" t="str">
        <x:v>通常90分超</x:v>
      </x:c>
      <x:c r="U116" t="str">
        <x:v>水辺</x:v>
      </x:c>
      <x:c r="V116" t="str">
        <x:v>30〜90分</x:v>
      </x:c>
      <x:c r="W116" t="n">
        <x:v>1</x:v>
      </x:c>
      <x:c r="X116" t="n">
        <x:v>1</x:v>
      </x:c>
      <x:c r="Y116" t="str">
        <x:v>多摩川浅間神社</x:v>
      </x:c>
      <x:c r="Z116" t="str">
        <x:v>多摩川六郷橋緑地／多摩川ガス橋緑地</x:v>
      </x:c>
      <x:c r="AA116" s="22" t="str">
        <x:v>なし</x:v>
      </x:c>
      <x:c r="AB116" s="22" t="str">
        <x:v>-</x:v>
      </x:c>
      <x:c r="AC116" s="22" t="str"/>
      <x:c r="AD116" s="22" t="str">
        <x:v>専用・路外駐車を基本</x:v>
      </x:c>
      <x:c r="AE116" s="22" t="str"/>
    </x:row>
    <x:row r="117">
      <x:c r="A117" t="str">
        <x:v>D116</x:v>
      </x:c>
      <x:c r="B117" t="str">
        <x:v>大師公園</x:v>
      </x:c>
      <x:c r="C117" t="str">
        <x:v>川崎市・川崎区</x:v>
      </x:c>
      <x:c r="D117" t="str">
        <x:v>大規模公園・Story・近距離</x:v>
      </x:c>
      <x:c r="E117" s="68" t="e">
        <x:f>HYPERLINK("https://www.google.com/maps/dir/?api=1&amp;destination=%E5%A4%A7%E5%B8%AB%E5%85%AC%E5%9C%92&amp;travelmode=driving","現在地からナビ開始")</x:f>
      </x:c>
      <x:c r="F117" t="str">
        <x:v>川崎大師周辺の街並みと公園を組み合わせ、短距離のStory Layerとして使える。</x:v>
      </x:c>
      <x:c r="G117" t="str">
        <x:v>周辺駐車場利用</x:v>
      </x:c>
      <x:c r="H117" t="str">
        <x:v>公園は常時利用可</x:v>
      </x:c>
      <x:c r="I117" t="n">
        <x:v>3</x:v>
      </x:c>
      <x:c r="J117" t="n">
        <x:v>3</x:v>
      </x:c>
      <x:c r="K117" t="str">
        <x:v>祭事日は道路規制と大混雑。路上駐車禁止。</x:v>
      </x:c>
      <x:c r="L117" s="20" t="n">
        <x:v>46232</x:v>
      </x:c>
      <x:c r="M117" t="str">
        <x:v>当日再確認</x:v>
      </x:c>
      <x:c r="N117" t="str">
        <x:v>https://www.city.kawasaki.jp/170/cmsfiles/contents/0000187/187611/04.pdf</x:v>
      </x:c>
      <x:c r="O117" s="27" t="str">
        <x:v>大師公園は川崎大師平間寺に隣接し、正月の初詣文化と中国庭園『瀋秀園』を同時に楽しめる。</x:v>
      </x:c>
      <x:c r="P117" s="49" t="e">
        <x:f>HYPERLINK("https://ja.wikipedia.org/wiki/Special:Search?search=%E5%A4%A7%E5%B8%AB%E5%85%AC%E5%9C%92","Wikipedia・関連項目")</x:f>
      </x:c>
      <x:c r="R117" t="str">
        <x:v>0〜10km</x:v>
      </x:c>
      <x:c r="S117" t="str">
        <x:v>概ね0〜10km</x:v>
      </x:c>
      <x:c r="T117" t="str">
        <x:v>通常10〜30分</x:v>
      </x:c>
      <x:c r="U117" t="str">
        <x:v>Story</x:v>
      </x:c>
      <x:c r="V117" t="str">
        <x:v>30〜90分</x:v>
      </x:c>
      <x:c r="W117" t="n">
        <x:v>1</x:v>
      </x:c>
      <x:c r="X117" t="n">
        <x:v>1</x:v>
      </x:c>
      <x:c r="Y117" t="str">
        <x:v>平和の森公園</x:v>
      </x:c>
      <x:c r="Z117" t="str">
        <x:v>大森ふるさとの浜辺公園／森ケ崎公園</x:v>
      </x:c>
      <x:c r="AA117" s="22" t="str">
        <x:v>なし</x:v>
      </x:c>
      <x:c r="AB117" s="22" t="str">
        <x:v>-</x:v>
      </x:c>
      <x:c r="AC117" s="22" t="str"/>
      <x:c r="AD117" s="22" t="str">
        <x:v>専用・路外駐車を基本</x:v>
      </x:c>
      <x:c r="AE117" s="22" t="str"/>
    </x:row>
    <x:row r="118">
      <x:c r="A118" t="str">
        <x:v>D117</x:v>
      </x:c>
      <x:c r="B118" t="str">
        <x:v>富士見公園</x:v>
      </x:c>
      <x:c r="C118" t="str">
        <x:v>川崎市・川崎区</x:v>
      </x:c>
      <x:c r="D118" t="str">
        <x:v>都市公園・スポーツ・夜間休憩</x:v>
      </x:c>
      <x:c r="E118" s="68" t="e">
        <x:f>HYPERLINK("https://www.google.com/maps/dir/?api=1&amp;destination=%E5%AF%8C%E5%A3%AB%E8%A6%8B%E5%85%AC%E5%9C%92&amp;travelmode=driving","現在地からナビ開始")</x:f>
      </x:c>
      <x:c r="F118" t="str">
        <x:v>川崎中心部で広い公園に切り替えられ、工場夜景前後の休憩地点になる。</x:v>
      </x:c>
      <x:c r="G118" t="str">
        <x:v>あり・周辺駐車場</x:v>
      </x:c>
      <x:c r="H118" t="str">
        <x:v>施設・駐車場時間は当日確認</x:v>
      </x:c>
      <x:c r="I118" t="n">
        <x:v>3</x:v>
      </x:c>
      <x:c r="J118" t="n">
        <x:v>3</x:v>
      </x:c>
      <x:c r="K118" t="str">
        <x:v>イベント・競技開催日は混雑。工事範囲確認。</x:v>
      </x:c>
      <x:c r="L118" s="20" t="n">
        <x:v>46232</x:v>
      </x:c>
      <x:c r="M118" t="str">
        <x:v>当日再確認</x:v>
      </x:c>
      <x:c r="N118" t="str">
        <x:v>https://www.city.kawasaki.jp/170/cmsfiles/contents/0000187/187611/04.pdf</x:v>
      </x:c>
      <x:c r="O118" s="27" t="str">
        <x:v>富士見公園一帯にはかつて川崎球場があり、大洋ホエールズやロッテオリオンズの本拠地として使われた。</x:v>
      </x:c>
      <x:c r="P118" s="49" t="e">
        <x:f>HYPERLINK("https://ja.wikipedia.org/wiki/Special:Search?search=%E5%AF%8C%E5%A3%AB%E8%A6%8B%E5%85%AC%E5%9C%92","Wikipedia・関連項目")</x:f>
      </x:c>
      <x:c r="R118" t="str">
        <x:v>0〜10km</x:v>
      </x:c>
      <x:c r="S118" t="str">
        <x:v>概ね0〜10km</x:v>
      </x:c>
      <x:c r="T118" t="str">
        <x:v>通常10〜30分</x:v>
      </x:c>
      <x:c r="U118" t="str">
        <x:v>休日半日</x:v>
      </x:c>
      <x:c r="V118" t="str">
        <x:v>30〜90分</x:v>
      </x:c>
      <x:c r="W118" t="n">
        <x:v>1</x:v>
      </x:c>
      <x:c r="X118" t="n">
        <x:v>1</x:v>
      </x:c>
      <x:c r="Y118" t="str">
        <x:v>平和の森公園</x:v>
      </x:c>
      <x:c r="Z118" t="str">
        <x:v>大森ふるさとの浜辺公園／森ケ崎公園</x:v>
      </x:c>
      <x:c r="AA118" s="22" t="str">
        <x:v>なし</x:v>
      </x:c>
      <x:c r="AB118" s="22" t="str">
        <x:v>-</x:v>
      </x:c>
      <x:c r="AC118" s="22" t="str"/>
      <x:c r="AD118" s="22" t="str">
        <x:v>専用・路外駐車を基本</x:v>
      </x:c>
      <x:c r="AE118" s="22" t="str"/>
    </x:row>
    <x:row r="119">
      <x:c r="A119" t="str">
        <x:v>D118</x:v>
      </x:c>
      <x:c r="B119" t="str">
        <x:v>御幸公園</x:v>
      </x:c>
      <x:c r="C119" t="str">
        <x:v>川崎市・幸区</x:v>
      </x:c>
      <x:c r="D119" t="str">
        <x:v>多摩川・梅林・河川景観</x:v>
      </x:c>
      <x:c r="E119" s="68" t="e">
        <x:f>HYPERLINK("https://www.google.com/maps/dir/?api=1&amp;destination=%E5%BE%A1%E5%B9%B8%E5%85%AC%E5%9C%92&amp;travelmode=driving","現在地からナビ開始")</x:f>
      </x:c>
      <x:c r="F119" t="str">
        <x:v>多摩川沿いの開放感と梅林があり、川崎北側の穏やかな昼Endingになる。</x:v>
      </x:c>
      <x:c r="G119" t="str">
        <x:v>周辺駐車場利用</x:v>
      </x:c>
      <x:c r="H119" t="str">
        <x:v>公園利用時間は現地掲示優先</x:v>
      </x:c>
      <x:c r="I119" t="n">
        <x:v>2</x:v>
      </x:c>
      <x:c r="J119" t="n">
        <x:v>4</x:v>
      </x:c>
      <x:c r="K119" t="str">
        <x:v>専用駐車条件を当日確認。河川増水時は避ける。</x:v>
      </x:c>
      <x:c r="L119" s="20" t="n">
        <x:v>46232</x:v>
      </x:c>
      <x:c r="M119" t="str">
        <x:v>当日再確認</x:v>
      </x:c>
      <x:c r="N119" t="str">
        <x:v>https://www.city.kawasaki.jp/170/cmsfiles/contents/0000187/187611/04.pdf</x:v>
      </x:c>
      <x:c r="O119" s="27" t="str">
        <x:v>『御幸』の名は、明治天皇が当地の梅林へ行幸したことに由来する。</x:v>
      </x:c>
      <x:c r="P119" s="49" t="e">
        <x:f>HYPERLINK("https://ja.wikipedia.org/wiki/Special:Search?search=%E5%BE%A1%E5%B9%B8%E5%85%AC%E5%9C%92","Wikipedia・関連項目")</x:f>
      </x:c>
      <x:c r="R119" t="str">
        <x:v>0〜10km</x:v>
      </x:c>
      <x:c r="S119" t="str">
        <x:v>概ね0〜10km</x:v>
      </x:c>
      <x:c r="T119" t="str">
        <x:v>通常10〜30分</x:v>
      </x:c>
      <x:c r="U119" t="str">
        <x:v>水辺</x:v>
      </x:c>
      <x:c r="V119" t="str">
        <x:v>30〜90分</x:v>
      </x:c>
      <x:c r="W119" t="n">
        <x:v>1</x:v>
      </x:c>
      <x:c r="X119" t="n">
        <x:v>1</x:v>
      </x:c>
      <x:c r="Y119" t="str">
        <x:v>多摩川浅間神社</x:v>
      </x:c>
      <x:c r="Z119" t="str">
        <x:v>多摩川六郷橋緑地／多摩川ガス橋緑地</x:v>
      </x:c>
      <x:c r="AA119" s="22" t="str">
        <x:v>なし</x:v>
      </x:c>
      <x:c r="AB119" s="22" t="str">
        <x:v>-</x:v>
      </x:c>
      <x:c r="AC119" s="22" t="str"/>
      <x:c r="AD119" s="22" t="str">
        <x:v>専用・路外駐車を基本</x:v>
      </x:c>
      <x:c r="AE119" s="22" t="str"/>
    </x:row>
    <x:row r="120">
      <x:c r="A120" t="str">
        <x:v>D119</x:v>
      </x:c>
      <x:c r="B120" t="str">
        <x:v>殿町第2公園</x:v>
      </x:c>
      <x:c r="C120" t="str">
        <x:v>川崎市・川崎区</x:v>
      </x:c>
      <x:c r="D120" t="str">
        <x:v>飛行機・多摩川・小展望</x:v>
      </x:c>
      <x:c r="E120" s="68" t="e">
        <x:f>HYPERLINK("https://www.google.com/maps/dir/?api=1&amp;destination=%E6%AE%BF%E7%94%BA%E7%AC%AC2%E5%85%AC%E5%9C%92&amp;travelmode=driving","現在地からナビ開始")</x:f>
      </x:c>
      <x:c r="F120" t="str">
        <x:v>羽田空港、多摩川、橋を望む小規模公園で、近距離の航空機経由地として面白い。</x:v>
      </x:c>
      <x:c r="G120" t="str">
        <x:v>専用駐車場なし</x:v>
      </x:c>
      <x:c r="H120" t="str">
        <x:v>周辺合法駐車場から徒歩</x:v>
      </x:c>
      <x:c r="I120" t="n">
        <x:v>2</x:v>
      </x:c>
      <x:c r="J120" t="n">
        <x:v>5</x:v>
      </x:c>
      <x:c r="K120" t="str">
        <x:v>路上駐車前提では使用しない。経由地専用候補。</x:v>
      </x:c>
      <x:c r="L120" s="20" t="n">
        <x:v>46232</x:v>
      </x:c>
      <x:c r="M120" t="str">
        <x:v>当日再確認</x:v>
      </x:c>
      <x:c r="N120" t="str">
        <x:v>https://www.city.kawasaki.jp/170/cmsfiles/contents/0000187/187611/04.pdf</x:v>
      </x:c>
      <x:c r="O120" s="27" t="str">
        <x:v>殿町は羽田空港対岸という立地を生かし、医療・生命科学分野の研究拠点へ再編された。</x:v>
      </x:c>
      <x:c r="P120" s="49" t="e">
        <x:f>HYPERLINK("https://ja.wikipedia.org/wiki/Special:Search?search=%E6%AE%BF%E7%94%BA%E7%AC%AC2%E5%85%AC%E5%9C%92","Wikipedia・関連項目")</x:f>
      </x:c>
      <x:c r="R120" t="str">
        <x:v>0〜10km</x:v>
      </x:c>
      <x:c r="S120" t="str">
        <x:v>概ね0〜10km</x:v>
      </x:c>
      <x:c r="T120" t="str">
        <x:v>通常10〜30分</x:v>
      </x:c>
      <x:c r="U120" t="str">
        <x:v>飛行機</x:v>
      </x:c>
      <x:c r="V120" t="str">
        <x:v>30〜60分</x:v>
      </x:c>
      <x:c r="W120" t="n">
        <x:v>2</x:v>
      </x:c>
      <x:c r="X120" t="n">
        <x:v>4</x:v>
      </x:c>
      <x:c r="Y120" t="str">
        <x:v>城南島海浜公園</x:v>
      </x:c>
      <x:c r="Z120" t="str">
        <x:v>京浜島つばさ公園／羽田空港 第3ターミナル展望デッキ</x:v>
      </x:c>
      <x:c r="AA120" s="22" t="str">
        <x:v>なし</x:v>
      </x:c>
      <x:c r="AB120" s="22" t="str">
        <x:v>-</x:v>
      </x:c>
      <x:c r="AC120" s="22" t="str"/>
      <x:c r="AD120" s="22" t="str">
        <x:v>専用・路外駐車を基本</x:v>
      </x:c>
      <x:c r="AE120" s="22" t="str"/>
    </x:row>
    <x:row r="121">
      <x:c r="A121" t="str">
        <x:v>D120</x:v>
      </x:c>
      <x:c r="B121" t="str">
        <x:v>根岸湾臨海部・久良岐公園連携地点</x:v>
      </x:c>
      <x:c r="C121" t="str">
        <x:v>横浜市・磯子区周辺</x:v>
      </x:c>
      <x:c r="D121" t="str">
        <x:v>工業湾岸・丘陵・中継</x:v>
      </x:c>
      <x:c r="E121" s="68" t="e">
        <x:f>HYPERLINK("https://www.google.com/maps/dir/?api=1&amp;destination=%E6%A0%B9%E5%B2%B8%E6%B9%BE%E8%87%A8%E6%B5%B7%E9%83%A8%E3%83%BB%E4%B9%85%E8%89%AF%E5%B2%90%E5%85%AC%E5%9C%92%E9%80%A3%E6%90%BA%E5%9C%B0%E7%82%B9&amp;travelmode=driving","現在地からナビ開始")</x:f>
      </x:c>
      <x:c r="F121" t="str">
        <x:v>臨海工業地帯の走行後に久良岐公園へ上がる地形変化があり、経由地として成立する。</x:v>
      </x:c>
      <x:c r="G121" t="str">
        <x:v>合法な時間貸し駐車場利用</x:v>
      </x:c>
      <x:c r="H121" t="str">
        <x:v>中継利用・当日確認</x:v>
      </x:c>
      <x:c r="I121" t="n">
        <x:v>2</x:v>
      </x:c>
      <x:c r="J121" t="n">
        <x:v>5</x:v>
      </x:c>
      <x:c r="K121" t="str">
        <x:v>工場敷地・岸壁・私道へ進入しない。単独最終目的地ではなく経由地専用。</x:v>
      </x:c>
      <x:c r="L121" s="20" t="n">
        <x:v>46232</x:v>
      </x:c>
      <x:c r="M121" t="str">
        <x:v>当日再確認</x:v>
      </x:c>
      <x:c r="N121" t="str">
        <x:v>https://www.city.yokohama.lg.jp/kurashi/machizukuri-kankyo/midori-koen/koen/koen/daihyoteki/kuraki/kuraki.html</x:v>
      </x:c>
      <x:c r="O121" s="27" t="str">
        <x:v>根岸湾は戦後の大規模埋立てで石油・化学工業地帯となり、横浜港南部の景観を大きく変えた。</x:v>
      </x:c>
      <x:c r="P121" s="49" t="e">
        <x:f>HYPERLINK("https://ja.wikipedia.org/wiki/Special:Search?search=%E6%A0%B9%E5%B2%B8%E6%B9%BE%E8%87%A8%E6%B5%B7%E9%83%A8%E3%83%BB%E4%B9%85%E8%89%AF%E5%B2%90%E5%85%AC%E5%9C%92%E9%80%A3%E6%90%BA%E5%9C%B0%E7%82%B9","Wikipedia・関連項目")</x:f>
      </x:c>
      <x:c r="R121" t="str">
        <x:v>25〜35km</x:v>
      </x:c>
      <x:c r="S121" t="str">
        <x:v>概ね25〜35km</x:v>
      </x:c>
      <x:c r="T121" t="str">
        <x:v>通常55〜90分</x:v>
      </x:c>
      <x:c r="U121" t="str">
        <x:v>休日半日</x:v>
      </x:c>
      <x:c r="V121" t="str">
        <x:v>30〜60分</x:v>
      </x:c>
      <x:c r="W121" t="n">
        <x:v>2</x:v>
      </x:c>
      <x:c r="X121" t="n">
        <x:v>1</x:v>
      </x:c>
      <x:c r="Y121" t="str">
        <x:v>羽田空港 第3ターミナル展望デッキ</x:v>
      </x:c>
      <x:c r="Z121" t="str">
        <x:v>城南島海浜公園／潮風公園</x:v>
      </x:c>
      <x:c r="AA121" s="22" t="str">
        <x:v>なし</x:v>
      </x:c>
      <x:c r="AB121" s="22" t="str">
        <x:v>-</x:v>
      </x:c>
      <x:c r="AC121" s="22" t="str"/>
      <x:c r="AD121" s="22" t="str">
        <x:v>専用・路外駐車を基本</x:v>
      </x:c>
      <x:c r="AE121" s="22" t="str"/>
    </x:row>
    <x:row r="122">
      <x:c r="A122" s="27" t="str">
        <x:v>D121</x:v>
      </x:c>
      <x:c r="B122" s="27" t="str">
        <x:v>所沢航空記念公園</x:v>
      </x:c>
      <x:c r="C122" s="27" t="str">
        <x:v>埼玉県所沢市</x:v>
      </x:c>
      <x:c r="D122" s="27" t="str">
        <x:v>飛行機・航空史・24時間駐車</x:v>
      </x:c>
      <x:c r="E122" s="49" t="e">
        <x:f>HYPERLINK("https://www.google.com/maps/dir/?api=1&amp;destination=%E6%89%80%E6%B2%A2%E8%88%AA%E7%A9%BA%E8%A8%98%E5%BF%B5%E5%85%AC%E5%9C%92&amp;travelmode=driving","現在地からナビ開始")</x:f>
      </x:c>
      <x:c r="F122" s="27" t="str">
        <x:v>日本の航空発祥地というStory Layerと実機展示があり、昼は展示、夜は広い空と公園の余韻を楽しめる。</x:v>
      </x:c>
      <x:c r="G122" s="27" t="str">
        <x:v>あり・計580台、記念館横は工事閉鎖中</x:v>
      </x:c>
      <x:c r="H122" s="27" t="str">
        <x:v>南・東・北駐車場 24時間</x:v>
      </x:c>
      <x:c r="I122" s="27" t="n">
        <x:v>4</x:v>
      </x:c>
      <x:c r="J122" s="27" t="n">
        <x:v>3</x:v>
      </x:c>
      <x:c r="K122" s="27" t="str">
        <x:v>航空発祥記念館は2027年3月末予定まで改修中。夜は園路の明るい区域に限定。</x:v>
      </x:c>
      <x:c r="L122" s="28" t="n">
        <x:v>46232</x:v>
      </x:c>
      <x:c r="M122" s="27" t="str">
        <x:v>一次確認済</x:v>
      </x:c>
      <x:c r="N122" s="27" t="str">
        <x:v>https://www.parks.or.jp/tokorozawa-kokuu/guide/001/001581.html</x:v>
      </x:c>
      <x:c r="O122" s="27" t="str">
        <x:v>所沢には1911年、日本初の飛行場が開設され、『日本の航空発祥の地』とされている。</x:v>
      </x:c>
      <x:c r="P122" s="49" t="e">
        <x:f>HYPERLINK("https://ja.wikipedia.org/wiki/Special:Search?search=%E6%89%80%E6%B2%A2%E8%88%AA%E7%A9%BA%E8%A8%98%E5%BF%B5%E5%85%AC%E5%9C%92","Wikipedia・関連項目")</x:f>
      </x:c>
      <x:c r="Q122" t="str">
        <x:v>2026-07-29再点検：記念館改修中と24時間駐車場の役割分離を維持。</x:v>
      </x:c>
      <x:c r="R122" t="str">
        <x:v>35km超</x:v>
      </x:c>
      <x:c r="S122" t="str">
        <x:v>概ね35km超</x:v>
      </x:c>
      <x:c r="T122" t="str">
        <x:v>通常90分超</x:v>
      </x:c>
      <x:c r="U122" t="str">
        <x:v>飛行機</x:v>
      </x:c>
      <x:c r="V122" t="str">
        <x:v>30〜60分</x:v>
      </x:c>
      <x:c r="W122" t="n">
        <x:v>2</x:v>
      </x:c>
      <x:c r="X122" t="n">
        <x:v>4</x:v>
      </x:c>
      <x:c r="Y122" t="str">
        <x:v>城南島海浜公園</x:v>
      </x:c>
      <x:c r="Z122" t="str">
        <x:v>京浜島つばさ公園／羽田空港 第3ターミナル展望デッキ</x:v>
      </x:c>
      <x:c r="AA122" s="22" t="str">
        <x:v>なし</x:v>
      </x:c>
      <x:c r="AB122" s="22" t="str">
        <x:v>-</x:v>
      </x:c>
      <x:c r="AC122" s="22" t="str"/>
      <x:c r="AD122" s="22" t="str">
        <x:v>専用・路外駐車を基本</x:v>
      </x:c>
      <x:c r="AE122" s="22" t="str"/>
    </x:row>
    <x:row r="123">
      <x:c r="A123" s="27" t="str">
        <x:v>D122</x:v>
      </x:c>
      <x:c r="B123" s="27" t="str">
        <x:v>国営昭和記念公園</x:v>
      </x:c>
      <x:c r="C123" s="27" t="str">
        <x:v>東京都立川市</x:v>
      </x:c>
      <x:c r="D123" s="27" t="str">
        <x:v>大規模公園・花・季節景観</x:v>
      </x:c>
      <x:c r="E123" s="49" t="e">
        <x:f>HYPERLINK("https://www.google.com/maps/dir/?api=1&amp;destination=%E5%9B%BD%E5%96%B6%E6%98%AD%E5%92%8C%E8%A8%98%E5%BF%B5%E5%85%AC%E5%9C%92&amp;travelmode=driving","現在地からナビ開始")</x:f>
      </x:c>
      <x:c r="F123" s="27" t="str">
        <x:v>広大な園内と季節の花、並木、原っぱがあり、休日の長距離公園Sessionを一本で完結できる。</x:v>
      </x:c>
      <x:c r="G123" s="27" t="str">
        <x:v>あり・立川口、西立川口、砂川口</x:v>
      </x:c>
      <x:c r="H123" s="27" t="str">
        <x:v>有料区域 9:30～17:00中心／土日祝は季節延長あり</x:v>
      </x:c>
      <x:c r="I123" s="27" t="n">
        <x:v>2</x:v>
      </x:c>
      <x:c r="J123" s="27" t="n">
        <x:v>1</x:v>
      </x:c>
      <x:c r="K123" s="27" t="str">
        <x:v>駐車場入口は閉園30分前に閉門。行楽期は満車。2026年は一部施設工事あり。</x:v>
      </x:c>
      <x:c r="L123" s="28" t="n">
        <x:v>46232</x:v>
      </x:c>
      <x:c r="M123" s="27" t="str">
        <x:v>一次確認済</x:v>
      </x:c>
      <x:c r="N123" s="27" t="str">
        <x:v>https://www.showakinen-koen.jp/access/</x:v>
      </x:c>
      <x:c r="O123" s="27" t="str">
        <x:v>昭和記念公園は旧立川飛行場・米軍立川基地の跡地に、昭和天皇在位50年記念事業として整備された。</x:v>
      </x:c>
      <x:c r="P123" s="49" t="e">
        <x:f>HYPERLINK("https://ja.wikipedia.org/wiki/Special:Search?search=%E5%9B%BD%E5%96%B6%E6%98%AD%E5%92%8C%E8%A8%98%E5%BF%B5%E5%85%AC%E5%9C%92","Wikipedia・関連項目")</x:f>
      </x:c>
      <x:c r="R123" t="str">
        <x:v>35km超</x:v>
      </x:c>
      <x:c r="S123" t="str">
        <x:v>概ね35km超</x:v>
      </x:c>
      <x:c r="T123" t="str">
        <x:v>通常90分超</x:v>
      </x:c>
      <x:c r="U123" t="str">
        <x:v>休日半日</x:v>
      </x:c>
      <x:c r="V123" t="str">
        <x:v>30〜90分</x:v>
      </x:c>
      <x:c r="W123" t="n">
        <x:v>1</x:v>
      </x:c>
      <x:c r="X123" t="n">
        <x:v>1</x:v>
      </x:c>
      <x:c r="Y123" t="str">
        <x:v>平和の森公園</x:v>
      </x:c>
      <x:c r="Z123" t="str">
        <x:v>大森ふるさとの浜辺公園／森ケ崎公園</x:v>
      </x:c>
      <x:c r="AA123" s="22" t="str">
        <x:v>なし</x:v>
      </x:c>
      <x:c r="AB123" s="22" t="str">
        <x:v>-</x:v>
      </x:c>
      <x:c r="AC123" s="22" t="str"/>
      <x:c r="AD123" s="22" t="str">
        <x:v>専用・路外駐車を基本</x:v>
      </x:c>
      <x:c r="AE123" s="22" t="str"/>
    </x:row>
    <x:row r="124">
      <x:c r="A124" s="27" t="str">
        <x:v>D123</x:v>
      </x:c>
      <x:c r="B124" s="27" t="str">
        <x:v>トーベ・ヤンソンあけぼの子どもの森公園</x:v>
      </x:c>
      <x:c r="C124" s="27" t="str">
        <x:v>埼玉県飯能市</x:v>
      </x:c>
      <x:c r="D124" s="27" t="str">
        <x:v>Story・建築・森林</x:v>
      </x:c>
      <x:c r="E124" s="49" t="e">
        <x:f>HYPERLINK("https://www.google.com/maps/dir/?api=1&amp;destination=%E3%83%88%E3%83%BC%E3%83%99%E3%83%BB%E3%83%A4%E3%83%B3%E3%82%BD%E3%83%B3%E3%81%82%E3%81%91%E3%81%BC%E3%81%AE%E5%AD%90%E3%81%A9%E3%82%82%E3%81%AE%E6%A3%AE%E5%85%AC%E5%9C%92&amp;travelmode=driving","現在地からナビ開始")</x:f>
      </x:c>
      <x:c r="F124" s="27" t="str">
        <x:v>北欧童話のような建築と森が一体になり、映画・アニメ聖地とは別系統の物語体験Endingになる。</x:v>
      </x:c>
      <x:c r="G124" s="27" t="str">
        <x:v>あり・無料</x:v>
      </x:c>
      <x:c r="H124" s="27" t="str">
        <x:v>9:00～17:00／季節で開園曜日が変動</x:v>
      </x:c>
      <x:c r="I124" s="27" t="n">
        <x:v>1</x:v>
      </x:c>
      <x:c r="J124" s="27" t="n">
        <x:v>3</x:v>
      </x:c>
      <x:c r="K124" s="27" t="str">
        <x:v>2026年度は季節別休園日を導入しライトアップ休止。開園カレンダーを当日確認。</x:v>
      </x:c>
      <x:c r="L124" s="28" t="n">
        <x:v>46232</x:v>
      </x:c>
      <x:c r="M124" s="27" t="str">
        <x:v>一次確認済</x:v>
      </x:c>
      <x:c r="N124" s="27" t="str">
        <x:v>https://www.city.hanno.lg.jp/akebono/annai/2113.html</x:v>
      </x:c>
      <x:c r="O124" s="27" t="str">
        <x:v>公園名のトーベ・ヤンソンは『ムーミン』作者で、北欧の自然観と建築世界を公園空間に取り入れている。</x:v>
      </x:c>
      <x:c r="P124" s="49" t="e">
        <x:f>HYPERLINK("https://ja.wikipedia.org/wiki/Special:Search?search=%E3%83%88%E3%83%BC%E3%83%99%E3%83%BB%E3%83%A4%E3%83%B3%E3%82%BD%E3%83%B3%E3%81%82%E3%81%91%E3%81%BC%E3%81%AE%E5%AD%90%E3%81%A9%E3%82%82%E3%81%AE%E6%A3%AE%E5%85%AC%E5%9C%92","Wikipedia・関連項目")</x:f>
      </x:c>
      <x:c r="Q124" t="str">
        <x:v>2026-07-29再点検：2026年度は季節別休園日を導入し、ライトアップ休止。昼のStory目的地として維持。</x:v>
      </x:c>
      <x:c r="R124" t="str">
        <x:v>35km超</x:v>
      </x:c>
      <x:c r="S124" t="str">
        <x:v>概ね35km超</x:v>
      </x:c>
      <x:c r="T124" t="str">
        <x:v>通常90分超</x:v>
      </x:c>
      <x:c r="U124" t="str">
        <x:v>Story</x:v>
      </x:c>
      <x:c r="V124" t="str">
        <x:v>30〜90分</x:v>
      </x:c>
      <x:c r="W124" t="n">
        <x:v>1</x:v>
      </x:c>
      <x:c r="X124" t="n">
        <x:v>1</x:v>
      </x:c>
      <x:c r="Y124" t="str">
        <x:v>平和の森公園</x:v>
      </x:c>
      <x:c r="Z124" t="str">
        <x:v>大森ふるさとの浜辺公園／森ケ崎公園</x:v>
      </x:c>
      <x:c r="AA124" s="22" t="str">
        <x:v>なし</x:v>
      </x:c>
      <x:c r="AB124" s="22" t="str">
        <x:v>-</x:v>
      </x:c>
      <x:c r="AC124" s="22" t="str"/>
      <x:c r="AD124" s="22" t="str">
        <x:v>専用・路外駐車を基本</x:v>
      </x:c>
      <x:c r="AE124" s="22" t="str"/>
    </x:row>
    <x:row r="125">
      <x:c r="A125" s="27" t="str">
        <x:v>D124</x:v>
      </x:c>
      <x:c r="B125" s="27" t="str">
        <x:v>岩槻城址公園</x:v>
      </x:c>
      <x:c r="C125" s="27" t="str">
        <x:v>さいたま市岩槻区</x:v>
      </x:c>
      <x:c r="D125" s="27" t="str">
        <x:v>城址・池・Story</x:v>
      </x:c>
      <x:c r="E125" s="49" t="e">
        <x:f>HYPERLINK("https://www.google.com/maps/dir/?api=1&amp;destination=%E5%B2%A9%E6%A7%BB%E5%9F%8E%E5%9D%80%E5%85%AC%E5%9C%92&amp;travelmode=driving","現在地からナビ開始")</x:f>
      </x:c>
      <x:c r="F125" s="27" t="str">
        <x:v>城跡、菖蒲池、朱塗りの八つ橋、保存車両があり、歴史と昭和のStory Layerを重ねられる。</x:v>
      </x:c>
      <x:c r="G125" s="27" t="str">
        <x:v>あり・所定駐車場</x:v>
      </x:c>
      <x:c r="H125" s="27" t="str">
        <x:v>公園は常時利用可／運動施設は時間制</x:v>
      </x:c>
      <x:c r="I125" s="27" t="n">
        <x:v>3</x:v>
      </x:c>
      <x:c r="J125" s="27" t="n">
        <x:v>4</x:v>
      </x:c>
      <x:c r="K125" s="27" t="str">
        <x:v>駐車台数・供用時間は当日確認。桜期や撮影日は混雑し、路上駐車は禁止。</x:v>
      </x:c>
      <x:c r="L125" s="28" t="n">
        <x:v>46232</x:v>
      </x:c>
      <x:c r="M125" s="27" t="str">
        <x:v>当日再確認</x:v>
      </x:c>
      <x:c r="N125" s="27" t="str">
        <x:v>https://www.city.saitama.lg.jp/004/006/003/003/p033549.html</x:v>
      </x:c>
      <x:c r="O125" s="27" t="str">
        <x:v>岩槻城は長く太田道灌築城説が有名だったが、近年は成田氏による築城説が有力とされる。</x:v>
      </x:c>
      <x:c r="P125" s="49" t="e">
        <x:f>HYPERLINK("https://ja.wikipedia.org/wiki/Special:Search?search=%E5%B2%A9%E6%A7%BB%E5%9F%8E%E5%9D%80%E5%85%AC%E5%9C%92","Wikipedia・関連項目")</x:f>
      </x:c>
      <x:c r="R125" t="str">
        <x:v>35km超</x:v>
      </x:c>
      <x:c r="S125" t="str">
        <x:v>概ね35km超</x:v>
      </x:c>
      <x:c r="T125" t="str">
        <x:v>通常90分超</x:v>
      </x:c>
      <x:c r="U125" t="str">
        <x:v>水辺</x:v>
      </x:c>
      <x:c r="V125" t="str">
        <x:v>30〜60分</x:v>
      </x:c>
      <x:c r="W125" t="n">
        <x:v>2</x:v>
      </x:c>
      <x:c r="X125" t="n">
        <x:v>1</x:v>
      </x:c>
      <x:c r="Y125" t="str">
        <x:v>多摩川浅間神社</x:v>
      </x:c>
      <x:c r="Z125" t="str">
        <x:v>多摩川六郷橋緑地／多摩川ガス橋緑地</x:v>
      </x:c>
      <x:c r="AA125" s="22" t="str">
        <x:v>なし</x:v>
      </x:c>
      <x:c r="AB125" s="22" t="str">
        <x:v>-</x:v>
      </x:c>
      <x:c r="AC125" s="22" t="str"/>
      <x:c r="AD125" s="22" t="str">
        <x:v>専用・路外駐車を基本</x:v>
      </x:c>
      <x:c r="AE125" s="22" t="str"/>
    </x:row>
    <x:row r="126">
      <x:c r="A126" s="27" t="str">
        <x:v>D125</x:v>
      </x:c>
      <x:c r="B126" s="27" t="str">
        <x:v>さきたま古墳公園</x:v>
      </x:c>
      <x:c r="C126" s="27" t="str">
        <x:v>埼玉県行田市</x:v>
      </x:c>
      <x:c r="D126" s="27" t="str">
        <x:v>古墳・広大公園・24時間駐車</x:v>
      </x:c>
      <x:c r="E126" s="49" t="e">
        <x:f>HYPERLINK("https://www.google.com/maps/dir/?api=1&amp;destination=%E3%81%95%E3%81%8D%E3%81%9F%E3%81%BE%E5%8F%A4%E5%A2%B3%E5%85%AC%E5%9C%92&amp;travelmode=driving","現在地からナビ開始")</x:f>
      </x:c>
      <x:c r="F126" s="27" t="str">
        <x:v>大型古墳群の輪郭と広い空があり、古代史を伴う強い到達感を作れる。</x:v>
      </x:c>
      <x:c r="G126" s="27" t="str">
        <x:v>あり・約295台、無料</x:v>
      </x:c>
      <x:c r="H126" s="27" t="str">
        <x:v>駐車場 24時間・年中無休</x:v>
      </x:c>
      <x:c r="I126" s="27" t="n">
        <x:v>4</x:v>
      </x:c>
      <x:c r="J126" s="27" t="n">
        <x:v>3</x:v>
      </x:c>
      <x:c r="K126" s="27" t="str">
        <x:v>夜間は照明のある区域に限定。古墳の立入禁止区域や園路への車両進入は禁止。</x:v>
      </x:c>
      <x:c r="L126" s="28" t="n">
        <x:v>46232</x:v>
      </x:c>
      <x:c r="M126" s="27" t="str">
        <x:v>一次確認済</x:v>
      </x:c>
      <x:c r="N126" s="27" t="str">
        <x:v>https://sakitama-muse.spec.ed.jp/faqs/faq_questions/view/446/1cd88b621f0b3d9d86d3b767cf670983</x:v>
      </x:c>
      <x:c r="O126" s="27" t="str">
        <x:v>さきたま古墳群の丸墓山古墳は日本最大級の円墳で、稲荷山古墳出土の鉄剣銘は古代史の重要資料である。</x:v>
      </x:c>
      <x:c r="P126" s="49" t="e">
        <x:f>HYPERLINK("https://ja.wikipedia.org/wiki/Special:Search?search=%E3%81%95%E3%81%8D%E3%81%9F%E3%81%BE%E5%8F%A4%E5%A2%B3%E5%85%AC%E5%9C%92","Wikipedia・関連項目")</x:f>
      </x:c>
      <x:c r="R126" t="str">
        <x:v>35km超</x:v>
      </x:c>
      <x:c r="S126" t="str">
        <x:v>概ね35km超</x:v>
      </x:c>
      <x:c r="T126" t="str">
        <x:v>通常90分超</x:v>
      </x:c>
      <x:c r="U126" t="str">
        <x:v>平日夜・深夜</x:v>
      </x:c>
      <x:c r="V126" t="str">
        <x:v>30〜90分</x:v>
      </x:c>
      <x:c r="W126" t="n">
        <x:v>1</x:v>
      </x:c>
      <x:c r="X126" t="n">
        <x:v>1</x:v>
      </x:c>
      <x:c r="Y126" t="str">
        <x:v>平和の森公園</x:v>
      </x:c>
      <x:c r="Z126" t="str">
        <x:v>大森ふるさとの浜辺公園／森ケ崎公園</x:v>
      </x:c>
      <x:c r="AA126" s="22" t="str">
        <x:v>なし</x:v>
      </x:c>
      <x:c r="AB126" s="22" t="str">
        <x:v>-</x:v>
      </x:c>
      <x:c r="AC126" s="22" t="str"/>
      <x:c r="AD126" s="22" t="str">
        <x:v>専用・路外駐車を基本</x:v>
      </x:c>
      <x:c r="AE126" s="22" t="str"/>
    </x:row>
    <x:row r="127">
      <x:c r="A127" s="27" t="str">
        <x:v>D126</x:v>
      </x:c>
      <x:c r="B127" s="27" t="str">
        <x:v>巾着田曼珠沙華公園</x:v>
      </x:c>
      <x:c r="C127" s="27" t="str">
        <x:v>埼玉県日高市</x:v>
      </x:c>
      <x:c r="D127" s="27" t="str">
        <x:v>河川敷・季節景観・高麗川</x:v>
      </x:c>
      <x:c r="E127" s="49" t="e">
        <x:f>HYPERLINK("https://www.google.com/maps/dir/?api=1&amp;destination=%E5%B7%BE%E7%9D%80%E7%94%B0%E6%9B%BC%E7%8F%A0%E6%B2%99%E8%8F%AF%E5%85%AC%E5%9C%92&amp;travelmode=driving","現在地からナビ開始")</x:f>
      </x:c>
      <x:c r="F127" s="27" t="str">
        <x:v>高麗川が巾着状に囲む地形と季節の花があり、都市圏から河川・農地へ抜ける到達感がある。</x:v>
      </x:c>
      <x:c r="G127" s="27" t="str">
        <x:v>あり・有料</x:v>
      </x:c>
      <x:c r="H127" s="27" t="str">
        <x:v>駐車場 7:00～17:00</x:v>
      </x:c>
      <x:c r="I127" s="27" t="n">
        <x:v>1</x:v>
      </x:c>
      <x:c r="J127" s="27" t="n">
        <x:v>3</x:v>
      </x:c>
      <x:c r="K127" s="27" t="str">
        <x:v>年末年始休場。曼珠沙華期は大渋滞。宿泊キャンプ禁止、増水・倒木時は避ける。</x:v>
      </x:c>
      <x:c r="L127" s="28" t="n">
        <x:v>46232</x:v>
      </x:c>
      <x:c r="M127" s="27" t="str">
        <x:v>一次確認済</x:v>
      </x:c>
      <x:c r="N127" s="27" t="str">
        <x:v>https://www.city.hidaka.lg.jp/soshiki/shiminseikatsu/sangyoshinko/shokokanko/kanko/kankou/5810.html</x:v>
      </x:c>
      <x:c r="O127" s="27" t="str">
        <x:v>巾着田の名は、高麗川が蛇行して土地を巾着袋の形に囲むことに由来する。</x:v>
      </x:c>
      <x:c r="P127" s="49" t="e">
        <x:f>HYPERLINK("https://ja.wikipedia.org/wiki/Special:Search?search=%E5%B7%BE%E7%9D%80%E7%94%B0%E6%9B%BC%E7%8F%A0%E6%B2%99%E8%8F%AF%E5%85%AC%E5%9C%92","Wikipedia・関連項目")</x:f>
      </x:c>
      <x:c r="R127" t="str">
        <x:v>35km超</x:v>
      </x:c>
      <x:c r="S127" t="str">
        <x:v>概ね35km超</x:v>
      </x:c>
      <x:c r="T127" t="str">
        <x:v>通常90分超</x:v>
      </x:c>
      <x:c r="U127" t="str">
        <x:v>水辺</x:v>
      </x:c>
      <x:c r="V127" t="str">
        <x:v>30〜90分</x:v>
      </x:c>
      <x:c r="W127" t="n">
        <x:v>1</x:v>
      </x:c>
      <x:c r="X127" t="n">
        <x:v>1</x:v>
      </x:c>
      <x:c r="Y127" t="str">
        <x:v>多摩川浅間神社</x:v>
      </x:c>
      <x:c r="Z127" t="str">
        <x:v>多摩川六郷橋緑地／多摩川ガス橋緑地</x:v>
      </x:c>
      <x:c r="AA127" s="22" t="str">
        <x:v>なし</x:v>
      </x:c>
      <x:c r="AB127" s="22" t="str">
        <x:v>-</x:v>
      </x:c>
      <x:c r="AC127" s="22" t="str"/>
      <x:c r="AD127" s="22" t="str">
        <x:v>専用・路外駐車を基本</x:v>
      </x:c>
      <x:c r="AE127" s="22" t="str"/>
    </x:row>
    <x:row r="128">
      <x:c r="A128" s="27" t="str">
        <x:v>D127</x:v>
      </x:c>
      <x:c r="B128" s="27" t="str">
        <x:v>県立座間谷戸山公園</x:v>
      </x:c>
      <x:c r="C128" s="27" t="str">
        <x:v>神奈川県座間市</x:v>
      </x:c>
      <x:c r="D128" s="27" t="str">
        <x:v>里山・谷戸・池</x:v>
      </x:c>
      <x:c r="E128" s="49" t="e">
        <x:f>HYPERLINK("https://www.google.com/maps/dir/?api=1&amp;destination=%E7%9C%8C%E7%AB%8B%E5%BA%A7%E9%96%93%E8%B0%B7%E6%88%B8%E5%B1%B1%E5%85%AC%E5%9C%92&amp;travelmode=driving","現在地からナビ開始")</x:f>
      </x:c>
      <x:c r="F128" s="27" t="str">
        <x:v>山・谷戸・里の3ゾーンが残り、厚木基地周辺の航空機系Sessionと自然系Endingを両立できる。</x:v>
      </x:c>
      <x:c r="G128" s="27" t="str">
        <x:v>あり・146台</x:v>
      </x:c>
      <x:c r="H128" s="27" t="str">
        <x:v>4～10月 7:00～18:00／11～3月 7:00～17:00</x:v>
      </x:c>
      <x:c r="I128" s="27" t="n">
        <x:v>1</x:v>
      </x:c>
      <x:c r="J128" s="27" t="n">
        <x:v>4</x:v>
      </x:c>
      <x:c r="K128" s="27" t="str">
        <x:v>夜間不向き。園路は自然度が高く、雨後の泥・虫・閉門時間に注意。</x:v>
      </x:c>
      <x:c r="L128" s="28" t="n">
        <x:v>46232</x:v>
      </x:c>
      <x:c r="M128" s="27" t="str">
        <x:v>一次確認済</x:v>
      </x:c>
      <x:c r="N128" s="27" t="str">
        <x:v>https://www.city.zama.kanagawa.jp/bunkasports/kouen/kouen/1003344.html</x:v>
      </x:c>
      <x:c r="O128" s="27" t="str">
        <x:v>座間谷戸山公園は谷戸・雑木林・湿地を丸ごと残す『自然生態観察公園』として整備された。</x:v>
      </x:c>
      <x:c r="P128" s="49" t="e">
        <x:f>HYPERLINK("https://ja.wikipedia.org/wiki/Special:Search?search=%E7%9C%8C%E7%AB%8B%E5%BA%A7%E9%96%93%E8%B0%B7%E6%88%B8%E5%B1%B1%E5%85%AC%E5%9C%92","Wikipedia・関連項目")</x:f>
      </x:c>
      <x:c r="R128" t="str">
        <x:v>35km超</x:v>
      </x:c>
      <x:c r="S128" t="str">
        <x:v>概ね35km超</x:v>
      </x:c>
      <x:c r="T128" t="str">
        <x:v>通常90分超</x:v>
      </x:c>
      <x:c r="U128" t="str">
        <x:v>水辺</x:v>
      </x:c>
      <x:c r="V128" t="str">
        <x:v>30〜60分</x:v>
      </x:c>
      <x:c r="W128" t="n">
        <x:v>2</x:v>
      </x:c>
      <x:c r="X128" t="n">
        <x:v>1</x:v>
      </x:c>
      <x:c r="Y128" t="str">
        <x:v>多摩川浅間神社</x:v>
      </x:c>
      <x:c r="Z128" t="str">
        <x:v>多摩川六郷橋緑地／多摩川ガス橋緑地</x:v>
      </x:c>
      <x:c r="AA128" s="22" t="str">
        <x:v>なし</x:v>
      </x:c>
      <x:c r="AB128" s="22" t="str">
        <x:v>-</x:v>
      </x:c>
      <x:c r="AC128" s="22" t="str"/>
      <x:c r="AD128" s="22" t="str">
        <x:v>専用・路外駐車を基本</x:v>
      </x:c>
      <x:c r="AE128" s="22" t="str"/>
    </x:row>
    <x:row r="129">
      <x:c r="A129" s="27" t="str">
        <x:v>D128</x:v>
      </x:c>
      <x:c r="B129" s="27" t="str">
        <x:v>城山湖散策路</x:v>
      </x:c>
      <x:c r="C129" s="27" t="str">
        <x:v>相模原市緑区</x:v>
      </x:c>
      <x:c r="D129" s="27" t="str">
        <x:v>湖・堤防・高台</x:v>
      </x:c>
      <x:c r="E129" s="49" t="e">
        <x:f>HYPERLINK("https://www.google.com/maps/dir/?api=1&amp;destination=%E5%9F%8E%E5%B1%B1%E6%B9%96%E6%95%A3%E7%AD%96%E8%B7%AF&amp;travelmode=driving","現在地からナビ開始")</x:f>
      </x:c>
      <x:c r="F129" s="27" t="str">
        <x:v>湖面、堤防、約200度の眺望があり、相模原西部の山道を走った末の明確なEndingになる。</x:v>
      </x:c>
      <x:c r="G129" s="27" t="str">
        <x:v>あり・約50台</x:v>
      </x:c>
      <x:c r="H129" s="27" t="str">
        <x:v>9:00～16:30</x:v>
      </x:c>
      <x:c r="I129" s="27" t="n">
        <x:v>1</x:v>
      </x:c>
      <x:c r="J129" s="27" t="n">
        <x:v>4</x:v>
      </x:c>
      <x:c r="K129" s="27" t="str">
        <x:v>ゲート閉鎖時刻厳守。夜間不可。散策路の再閉鎖・工事情報を当日確認。</x:v>
      </x:c>
      <x:c r="L129" s="28" t="n">
        <x:v>46232</x:v>
      </x:c>
      <x:c r="M129" s="27" t="str">
        <x:v>一次確認済</x:v>
      </x:c>
      <x:c r="N129" s="27" t="str">
        <x:v>https://www.city.sagamihara.kanagawa.jp/kurashi/shisetsu/kouen_kankou/kouen_ryokuchi/1003108.html</x:v>
      </x:c>
      <x:c r="O129" s="27" t="str">
        <x:v>城山湖は揚水式発電所の上池で、津久井湖を下池として夜間電力を蓄える巨大な蓄電池の役割を持つ。</x:v>
      </x:c>
      <x:c r="P129" s="49" t="e">
        <x:f>HYPERLINK("https://ja.wikipedia.org/wiki/Special:Search?search=%E5%9F%8E%E5%B1%B1%E6%B9%96%E6%95%A3%E7%AD%96%E8%B7%AF","Wikipedia・関連項目")</x:f>
      </x:c>
      <x:c r="R129" t="str">
        <x:v>35km超</x:v>
      </x:c>
      <x:c r="S129" t="str">
        <x:v>概ね35km超</x:v>
      </x:c>
      <x:c r="T129" t="str">
        <x:v>通常90分超</x:v>
      </x:c>
      <x:c r="U129" t="str">
        <x:v>水辺</x:v>
      </x:c>
      <x:c r="V129" t="str">
        <x:v>30〜60分</x:v>
      </x:c>
      <x:c r="W129" t="n">
        <x:v>1</x:v>
      </x:c>
      <x:c r="X129" t="n">
        <x:v>1</x:v>
      </x:c>
      <x:c r="Y129" t="str">
        <x:v>多摩川浅間神社</x:v>
      </x:c>
      <x:c r="Z129" t="str">
        <x:v>多摩川六郷橋緑地／多摩川ガス橋緑地</x:v>
      </x:c>
      <x:c r="AA129" s="22" t="str">
        <x:v>なし</x:v>
      </x:c>
      <x:c r="AB129" s="22" t="str">
        <x:v>-</x:v>
      </x:c>
      <x:c r="AC129" s="22" t="str"/>
      <x:c r="AD129" s="22" t="str">
        <x:v>専用・路外駐車を基本</x:v>
      </x:c>
      <x:c r="AE129" s="22" t="str"/>
    </x:row>
    <x:row r="130">
      <x:c r="A130" s="27" t="str">
        <x:v>D129</x:v>
      </x:c>
      <x:c r="B130" s="27" t="str">
        <x:v>相模原公園</x:v>
      </x:c>
      <x:c r="C130" s="27" t="str">
        <x:v>相模原市南区</x:v>
      </x:c>
      <x:c r="D130" s="27" t="str">
        <x:v>庭園・大規模公園・夕方</x:v>
      </x:c>
      <x:c r="E130" s="49" t="e">
        <x:f>HYPERLINK("https://www.google.com/maps/dir/?api=1&amp;destination=%E7%9B%B8%E6%A8%A1%E5%8E%9F%E5%85%AC%E5%9C%92&amp;travelmode=driving","現在地からナビ開始")</x:f>
      </x:c>
      <x:c r="F130" s="27" t="str">
        <x:v>フランス式庭園、温室、芝生があり、都市と山の中間で整った景観を楽しめる。</x:v>
      </x:c>
      <x:c r="G130" s="27" t="str">
        <x:v>あり・中央282台ほか</x:v>
      </x:c>
      <x:c r="H130" s="27" t="str">
        <x:v>中央 6:00～20:00／西 7:00～19:00</x:v>
      </x:c>
      <x:c r="I130" s="27" t="n">
        <x:v>3</x:v>
      </x:c>
      <x:c r="J130" s="27" t="n">
        <x:v>2</x:v>
      </x:c>
      <x:c r="K130" s="27" t="str">
        <x:v>中央・西で閉場時間が異なる。イベント日や大型車利用を当日確認。</x:v>
      </x:c>
      <x:c r="L130" s="28" t="n">
        <x:v>46232</x:v>
      </x:c>
      <x:c r="M130" s="27" t="str">
        <x:v>一次確認済</x:v>
      </x:c>
      <x:c r="N130" s="27" t="str">
        <x:v>https://www.kanagawa-park.or.jp/sagamihara/access.html</x:v>
      </x:c>
      <x:c r="O130" s="27" t="str">
        <x:v>相模原公園のフランス式庭園は左右対称の幾何学景観で、隣接する相模原麻溝公園と大緑地帯を形成する。</x:v>
      </x:c>
      <x:c r="P130" s="49" t="e">
        <x:f>HYPERLINK("https://ja.wikipedia.org/wiki/Special:Search?search=%E7%9B%B8%E6%A8%A1%E5%8E%9F%E5%85%AC%E5%9C%92","Wikipedia・関連項目")</x:f>
      </x:c>
      <x:c r="R130" t="str">
        <x:v>35km超</x:v>
      </x:c>
      <x:c r="S130" t="str">
        <x:v>概ね35km超</x:v>
      </x:c>
      <x:c r="T130" t="str">
        <x:v>通常90分超</x:v>
      </x:c>
      <x:c r="U130" t="str">
        <x:v>休日半日</x:v>
      </x:c>
      <x:c r="V130" t="str">
        <x:v>30〜90分</x:v>
      </x:c>
      <x:c r="W130" t="n">
        <x:v>1</x:v>
      </x:c>
      <x:c r="X130" t="n">
        <x:v>1</x:v>
      </x:c>
      <x:c r="Y130" t="str">
        <x:v>平和の森公園</x:v>
      </x:c>
      <x:c r="Z130" t="str">
        <x:v>大森ふるさとの浜辺公園／森ケ崎公園</x:v>
      </x:c>
      <x:c r="AA130" s="22" t="str">
        <x:v>なし</x:v>
      </x:c>
      <x:c r="AB130" s="22" t="str">
        <x:v>-</x:v>
      </x:c>
      <x:c r="AC130" s="22" t="str"/>
      <x:c r="AD130" s="22" t="str">
        <x:v>専用・路外駐車を基本</x:v>
      </x:c>
      <x:c r="AE130" s="22" t="str"/>
    </x:row>
    <x:row r="131">
      <x:c r="A131" s="27" t="str">
        <x:v>D130</x:v>
      </x:c>
      <x:c r="B131" s="27" t="str">
        <x:v>湘南国際村西公園</x:v>
      </x:c>
      <x:c r="C131" s="27" t="str">
        <x:v>横須賀市湘南国際村</x:v>
      </x:c>
      <x:c r="D131" s="27" t="str">
        <x:v>高台・相模湾・富士山</x:v>
      </x:c>
      <x:c r="E131" s="49" t="e">
        <x:f>HYPERLINK("https://www.google.com/maps/dir/?api=1&amp;destination=%E6%B9%98%E5%8D%97%E5%9B%BD%E9%9A%9B%E6%9D%91%E8%A5%BF%E5%85%AC%E5%9C%92&amp;travelmode=driving","現在地からナビ開始")</x:f>
      </x:c>
      <x:c r="F131" s="27" t="str">
        <x:v>相模湾と富士山方面の眺望があり、湘南西岸Sessionの高台Endingとして穴場性が高い。</x:v>
      </x:c>
      <x:c r="G131" s="27" t="str">
        <x:v>あり・33台、有料</x:v>
      </x:c>
      <x:c r="H131" s="27" t="str">
        <x:v>4～9月 8:00～19:30／10～3月 8:00～17:30</x:v>
      </x:c>
      <x:c r="I131" s="27" t="n">
        <x:v>2</x:v>
      </x:c>
      <x:c r="J131" s="27" t="n">
        <x:v>4</x:v>
      </x:c>
      <x:c r="K131" s="27" t="str">
        <x:v>台数が少なく土日祝は混雑。公園以外の研究施設・私有地へ進入しない。</x:v>
      </x:c>
      <x:c r="L131" s="28" t="n">
        <x:v>46232</x:v>
      </x:c>
      <x:c r="M131" s="27" t="str">
        <x:v>一次確認済</x:v>
      </x:c>
      <x:c r="N131" s="27" t="str">
        <x:v>https://www.city.yokosuka.kanagawa.jp/5560/sisetu/fc00000049.html</x:v>
      </x:c>
      <x:c r="O131" s="27" t="str">
        <x:v>湘南国際村は研究・研修・国際交流を目的に造成された高台の複合地区である。</x:v>
      </x:c>
      <x:c r="P131" s="49" t="e">
        <x:f>HYPERLINK("https://ja.wikipedia.org/wiki/Special:Search?search=%E6%B9%98%E5%8D%97%E5%9B%BD%E9%9A%9B%E6%9D%91%E8%A5%BF%E5%85%AC%E5%9C%92","Wikipedia・関連項目")</x:f>
      </x:c>
      <x:c r="R131" t="str">
        <x:v>35km超</x:v>
      </x:c>
      <x:c r="S131" t="str">
        <x:v>概ね35km超</x:v>
      </x:c>
      <x:c r="T131" t="str">
        <x:v>通常90分超</x:v>
      </x:c>
      <x:c r="U131" t="str">
        <x:v>休日半日</x:v>
      </x:c>
      <x:c r="V131" t="str">
        <x:v>30〜60分</x:v>
      </x:c>
      <x:c r="W131" t="n">
        <x:v>1</x:v>
      </x:c>
      <x:c r="X131" t="n">
        <x:v>1</x:v>
      </x:c>
      <x:c r="Y131" t="str">
        <x:v>羽田空港 第3ターミナル展望デッキ</x:v>
      </x:c>
      <x:c r="Z131" t="str">
        <x:v>城南島海浜公園／潮風公園</x:v>
      </x:c>
      <x:c r="AA131" s="22" t="str">
        <x:v>なし</x:v>
      </x:c>
      <x:c r="AB131" s="22" t="str">
        <x:v>-</x:v>
      </x:c>
      <x:c r="AC131" s="22" t="str"/>
      <x:c r="AD131" s="22" t="str">
        <x:v>専用・路外駐車を基本</x:v>
      </x:c>
      <x:c r="AE131" s="22" t="str"/>
    </x:row>
    <x:row r="132">
      <x:c r="A132" s="27" t="str">
        <x:v>D131</x:v>
      </x:c>
      <x:c r="B132" s="27" t="str">
        <x:v>綾瀬スポーツ公園</x:v>
      </x:c>
      <x:c r="C132" s="27" t="str">
        <x:v>神奈川県綾瀬市</x:v>
      </x:c>
      <x:c r="D132" s="27" t="str">
        <x:v>飛行機・厚木基地・大規模駐車</x:v>
      </x:c>
      <x:c r="E132" s="49" t="e">
        <x:f>HYPERLINK("https://www.google.com/maps/dir/?api=1&amp;destination=%E7%B6%BE%E7%80%AC%E3%82%B9%E3%83%9D%E3%83%BC%E3%83%84%E5%85%AC%E5%9C%92&amp;travelmode=driving","現在地からナビ開始")</x:f>
      </x:c>
      <x:c r="F132" s="27" t="str">
        <x:v>厚木航空基地に隣接し、航空機を感じられる大規模公園。近距離の飛行機Sessionに向く。</x:v>
      </x:c>
      <x:c r="G132" s="27" t="str">
        <x:v>あり・普通車461台ほか、有料</x:v>
      </x:c>
      <x:c r="H132" s="27" t="str">
        <x:v>公園施設 6:00～19:00中心／レストハウス等は21:00まで</x:v>
      </x:c>
      <x:c r="I132" s="27" t="n">
        <x:v>4</x:v>
      </x:c>
      <x:c r="J132" s="27" t="n">
        <x:v>3</x:v>
      </x:c>
      <x:c r="K132" s="27" t="str">
        <x:v>航空機運用は日による。飛行場・基地施設の撮影ルールと公園利用時間を守る。</x:v>
      </x:c>
      <x:c r="L132" s="28" t="n">
        <x:v>46232</x:v>
      </x:c>
      <x:c r="M132" s="27" t="str">
        <x:v>一次確認済</x:v>
      </x:c>
      <x:c r="N132" s="27" t="str">
        <x:v>https://www.city.ayase.kanagawa.jp/kurashi_tetsuzuki/koen/ayasesportskoen/8199.html</x:v>
      </x:c>
      <x:c r="O132" s="27" t="str">
        <x:v>綾瀬スポーツ公園は厚木航空基地に隣接し、基地は海上自衛隊と米海軍が共同使用している。</x:v>
      </x:c>
      <x:c r="P132" s="49" t="e">
        <x:f>HYPERLINK("https://ja.wikipedia.org/wiki/Special:Search?search=%E7%B6%BE%E7%80%AC%E3%82%B9%E3%83%9D%E3%83%BC%E3%83%84%E5%85%AC%E5%9C%92","Wikipedia・関連項目")</x:f>
      </x:c>
      <x:c r="R132" t="str">
        <x:v>35km超</x:v>
      </x:c>
      <x:c r="S132" t="str">
        <x:v>概ね35km超</x:v>
      </x:c>
      <x:c r="T132" t="str">
        <x:v>通常90分超</x:v>
      </x:c>
      <x:c r="U132" t="str">
        <x:v>飛行機</x:v>
      </x:c>
      <x:c r="V132" t="str">
        <x:v>30〜60分</x:v>
      </x:c>
      <x:c r="W132" t="n">
        <x:v>2</x:v>
      </x:c>
      <x:c r="X132" t="n">
        <x:v>4</x:v>
      </x:c>
      <x:c r="Y132" t="str">
        <x:v>城南島海浜公園</x:v>
      </x:c>
      <x:c r="Z132" t="str">
        <x:v>京浜島つばさ公園／羽田空港 第3ターミナル展望デッキ</x:v>
      </x:c>
      <x:c r="AA132" s="22" t="str">
        <x:v>なし</x:v>
      </x:c>
      <x:c r="AB132" s="22" t="str">
        <x:v>-</x:v>
      </x:c>
      <x:c r="AC132" s="22" t="str"/>
      <x:c r="AD132" s="22" t="str">
        <x:v>専用・路外駐車を基本</x:v>
      </x:c>
      <x:c r="AE132" s="22" t="str"/>
    </x:row>
    <x:row r="133">
      <x:c r="A133" s="27" t="str">
        <x:v>D132</x:v>
      </x:c>
      <x:c r="B133" s="27" t="str">
        <x:v>七里ヶ浜海岸駐車場</x:v>
      </x:c>
      <x:c r="C133" s="27" t="str">
        <x:v>鎌倉市七里ガ浜</x:v>
      </x:c>
      <x:c r="D133" s="27" t="str">
        <x:v>海岸・夕日・車内鑑賞</x:v>
      </x:c>
      <x:c r="E133" s="49" t="e">
        <x:f>HYPERLINK("https://www.google.com/maps/dir/?api=1&amp;destination=%E4%B8%83%E9%87%8C%E3%83%B6%E6%B5%9C%E6%B5%B7%E5%B2%B8%E9%A7%90%E8%BB%8A%E5%A0%B4&amp;travelmode=driving","現在地からナビ開始")</x:f>
      </x:c>
      <x:c r="F133" s="27" t="str">
        <x:v>江の島、富士山、相模湾を駐車場から眺められ、海岸へすぐ降りられる強い夕景Ending。</x:v>
      </x:c>
      <x:c r="G133" s="27" t="str">
        <x:v>あり・有料</x:v>
      </x:c>
      <x:c r="H133" s="27" t="str">
        <x:v>6:00～21:00</x:v>
      </x:c>
      <x:c r="I133" s="27" t="n">
        <x:v>4</x:v>
      </x:c>
      <x:c r="J133" s="27" t="n">
        <x:v>2</x:v>
      </x:c>
      <x:c r="K133" s="27" t="str">
        <x:v>夏季料金が高く休日は混雑。21時閉場前に退出し、海況が悪い日は海岸へ降りない。</x:v>
      </x:c>
      <x:c r="L133" s="28" t="n">
        <x:v>46232</x:v>
      </x:c>
      <x:c r="M133" s="27" t="str">
        <x:v>一次確認済</x:v>
      </x:c>
      <x:c r="N133" s="27" t="str">
        <x:v>https://www.princehotels.co.jp/kamakura/facility/shichirigahama-park/</x:v>
      </x:c>
      <x:c r="O133" s="27" t="str">
        <x:v>七里ヶ浜は江の島と富士山を望む鎌倉の代表的海岸で、海岸線近くを江ノ電が走る。</x:v>
      </x:c>
      <x:c r="P133" s="49" t="e">
        <x:f>HYPERLINK("https://ja.wikipedia.org/wiki/Special:Search?search=%E4%B8%83%E9%87%8C%E3%83%B6%E6%B5%9C%E6%B5%B7%E5%B2%B8%E9%A7%90%E8%BB%8A%E5%A0%B4","Wikipedia・関連項目")</x:f>
      </x:c>
      <x:c r="R133" t="str">
        <x:v>35km超</x:v>
      </x:c>
      <x:c r="S133" t="str">
        <x:v>概ね35km超</x:v>
      </x:c>
      <x:c r="T133" t="str">
        <x:v>通常90分超</x:v>
      </x:c>
      <x:c r="U133" t="str">
        <x:v>海・港</x:v>
      </x:c>
      <x:c r="V133" t="str">
        <x:v>30〜90分</x:v>
      </x:c>
      <x:c r="W133" t="n">
        <x:v>1</x:v>
      </x:c>
      <x:c r="X133" t="n">
        <x:v>3</x:v>
      </x:c>
      <x:c r="Y133" t="str">
        <x:v>城南島海浜公園</x:v>
      </x:c>
      <x:c r="Z133" t="str">
        <x:v>潮風公園／晴海ふ頭公園</x:v>
      </x:c>
      <x:c r="AA133" s="22" t="str">
        <x:v>なし</x:v>
      </x:c>
      <x:c r="AB133" s="22" t="str">
        <x:v>-</x:v>
      </x:c>
      <x:c r="AC133" s="22" t="str"/>
      <x:c r="AD133" s="22" t="str">
        <x:v>専用・路外駐車を基本</x:v>
      </x:c>
      <x:c r="AE133" s="22" t="str"/>
    </x:row>
    <x:row r="134">
      <x:c r="A134" s="27" t="str">
        <x:v>D133</x:v>
      </x:c>
      <x:c r="B134" s="27" t="str">
        <x:v>長者ヶ崎駐車場</x:v>
      </x:c>
      <x:c r="C134" s="27" t="str">
        <x:v>葉山町下山口</x:v>
      </x:c>
      <x:c r="D134" s="27" t="str">
        <x:v>海岸・岬・富士山</x:v>
      </x:c>
      <x:c r="E134" s="49" t="e">
        <x:f>HYPERLINK("https://www.google.com/maps/dir/?api=1&amp;destination=%E9%95%B7%E8%80%85%E3%83%B6%E5%B4%8E%E9%A7%90%E8%BB%8A%E5%A0%B4&amp;travelmode=driving","現在地からナビ開始")</x:f>
      </x:c>
      <x:c r="F134" s="27" t="str">
        <x:v>江の島、伊豆半島、富士山を一望でき、葉山・横須賀西岸ドライブの夕日Endingになる。</x:v>
      </x:c>
      <x:c r="G134" s="27" t="str">
        <x:v>あり・130台、有料または季節無料</x:v>
      </x:c>
      <x:c r="H134" s="27" t="str">
        <x:v>7～8月 7:00～19:00／季節外 9:00～17:00または18:00</x:v>
      </x:c>
      <x:c r="I134" s="27" t="n">
        <x:v>2</x:v>
      </x:c>
      <x:c r="J134" s="27" t="n">
        <x:v>3</x:v>
      </x:c>
      <x:c r="K134" s="27" t="str">
        <x:v>閉場後は翌朝まで出庫不可で追加料金あり。夏季・休日は混雑。</x:v>
      </x:c>
      <x:c r="L134" s="28" t="n">
        <x:v>46232</x:v>
      </x:c>
      <x:c r="M134" s="27" t="str">
        <x:v>一次確認済</x:v>
      </x:c>
      <x:c r="N134" s="27" t="str">
        <x:v>https://www.town.hayama.lg.jp/soshiki/sangyou/1/7935.html</x:v>
      </x:c>
      <x:c r="O134" s="27" t="str">
        <x:v>長者ヶ崎は葉山町と横須賀市の境界付近に突き出す岬で、三浦半島西岸の地形的な節目である。</x:v>
      </x:c>
      <x:c r="P134" s="49" t="e">
        <x:f>HYPERLINK("https://ja.wikipedia.org/wiki/Special:Search?search=%E9%95%B7%E8%80%85%E3%83%B6%E5%B4%8E%E9%A7%90%E8%BB%8A%E5%A0%B4","Wikipedia・関連項目")</x:f>
      </x:c>
      <x:c r="R134" t="str">
        <x:v>35km超</x:v>
      </x:c>
      <x:c r="S134" t="str">
        <x:v>概ね35km超</x:v>
      </x:c>
      <x:c r="T134" t="str">
        <x:v>通常90分超</x:v>
      </x:c>
      <x:c r="U134" t="str">
        <x:v>海・港</x:v>
      </x:c>
      <x:c r="V134" t="str">
        <x:v>30〜90分</x:v>
      </x:c>
      <x:c r="W134" t="n">
        <x:v>1</x:v>
      </x:c>
      <x:c r="X134" t="n">
        <x:v>3</x:v>
      </x:c>
      <x:c r="Y134" t="str">
        <x:v>城南島海浜公園</x:v>
      </x:c>
      <x:c r="Z134" t="str">
        <x:v>潮風公園／晴海ふ頭公園</x:v>
      </x:c>
      <x:c r="AA134" s="22" t="str">
        <x:v>なし</x:v>
      </x:c>
      <x:c r="AB134" s="22" t="str">
        <x:v>-</x:v>
      </x:c>
      <x:c r="AC134" s="22" t="str"/>
      <x:c r="AD134" s="22" t="str">
        <x:v>専用・路外駐車を基本</x:v>
      </x:c>
      <x:c r="AE134" s="22" t="str"/>
    </x:row>
    <x:row r="135">
      <x:c r="A135" s="27" t="str">
        <x:v>D134</x:v>
      </x:c>
      <x:c r="B135" s="27" t="str">
        <x:v>十余三 東雲の丘</x:v>
      </x:c>
      <x:c r="C135" s="27" t="str">
        <x:v>千葉県成田市</x:v>
      </x:c>
      <x:c r="D135" s="27" t="str">
        <x:v>飛行機・B滑走路・展望</x:v>
      </x:c>
      <x:c r="E135" s="49" t="e">
        <x:f>HYPERLINK("https://www.google.com/maps/dir/?api=1&amp;destination=%E5%8D%81%E4%BD%99%E4%B8%89%20%E6%9D%B1%E9%9B%B2%E3%81%AE%E4%B8%98&amp;travelmode=driving","現在地からナビ開始")</x:f>
      </x:c>
      <x:c r="F135" s="27" t="str">
        <x:v>B滑走路への誘導路と着陸機を間近で見られ、航空機の大きさを体感できる。</x:v>
      </x:c>
      <x:c r="G135" s="27" t="str">
        <x:v>あり・63台、無料</x:v>
      </x:c>
      <x:c r="H135" s="27" t="str">
        <x:v>7:00～22:00</x:v>
      </x:c>
      <x:c r="I135" s="27" t="n">
        <x:v>5</x:v>
      </x:c>
      <x:c r="J135" s="27" t="n">
        <x:v>4</x:v>
      </x:c>
      <x:c r="K135" s="27" t="str">
        <x:v>情報更新日が古いため現地掲示を優先。脚立・騒音・駐車枠外停車は禁止。</x:v>
      </x:c>
      <x:c r="L135" s="28" t="n">
        <x:v>46232</x:v>
      </x:c>
      <x:c r="M135" s="27" t="str">
        <x:v>当日再確認</x:v>
      </x:c>
      <x:c r="N135" s="27" t="str">
        <x:v>https://www.nrtk.jp/mypage/00252.html</x:v>
      </x:c>
      <x:c r="O135" s="27" t="str">
        <x:v>『十余三』は明治期の下総台地開墾で付けられた番号地名の一つで、十余一・十余二などと同系統である。</x:v>
      </x:c>
      <x:c r="P135" s="49" t="e">
        <x:f>HYPERLINK("https://ja.wikipedia.org/wiki/Special:Search?search=%E5%8D%81%E4%BD%99%E4%B8%89%20%E6%9D%B1%E9%9B%B2%E3%81%AE%E4%B8%98","Wikipedia・関連項目")</x:f>
      </x:c>
      <x:c r="R135" t="str">
        <x:v>35km超</x:v>
      </x:c>
      <x:c r="S135" t="str">
        <x:v>概ね35km超</x:v>
      </x:c>
      <x:c r="T135" t="str">
        <x:v>通常90分超</x:v>
      </x:c>
      <x:c r="U135" t="str">
        <x:v>飛行機</x:v>
      </x:c>
      <x:c r="V135" t="str">
        <x:v>30〜60分</x:v>
      </x:c>
      <x:c r="W135" t="n">
        <x:v>2</x:v>
      </x:c>
      <x:c r="X135" t="n">
        <x:v>4</x:v>
      </x:c>
      <x:c r="Y135" t="str">
        <x:v>城南島海浜公園</x:v>
      </x:c>
      <x:c r="Z135" t="str">
        <x:v>京浜島つばさ公園／羽田空港 第3ターミナル展望デッキ</x:v>
      </x:c>
      <x:c r="AA135" s="22" t="str">
        <x:v>なし</x:v>
      </x:c>
      <x:c r="AB135" s="22" t="str">
        <x:v>-</x:v>
      </x:c>
      <x:c r="AC135" s="22" t="str"/>
      <x:c r="AD135" s="22" t="str">
        <x:v>専用・路外駐車を基本</x:v>
      </x:c>
      <x:c r="AE135" s="22" t="str"/>
    </x:row>
    <x:row r="136">
      <x:c r="A136" s="27" t="str">
        <x:v>D135</x:v>
      </x:c>
      <x:c r="B136" s="27" t="str">
        <x:v>三里塚さくらの丘</x:v>
      </x:c>
      <x:c r="C136" s="27" t="str">
        <x:v>千葉県成田市</x:v>
      </x:c>
      <x:c r="D136" s="27" t="str">
        <x:v>飛行機・A滑走路・桜</x:v>
      </x:c>
      <x:c r="E136" s="49" t="e">
        <x:f>HYPERLINK("https://www.google.com/maps/dir/?api=1&amp;destination=%E4%B8%89%E9%87%8C%E5%A1%9A%E3%81%95%E3%81%8F%E3%82%89%E3%81%AE%E4%B8%98&amp;travelmode=driving","現在地からナビ開始")</x:f>
      </x:c>
      <x:c r="F136" s="27" t="str">
        <x:v>A滑走路南側で桜と航空機を組み合わせられ、成田の航空Storyを作れる。</x:v>
      </x:c>
      <x:c r="G136" s="27" t="str">
        <x:v>あり・無料</x:v>
      </x:c>
      <x:c r="H136" s="27" t="str">
        <x:v>利用時間の公式明記が乏しいため日中～夕方推奨</x:v>
      </x:c>
      <x:c r="I136" s="27" t="n">
        <x:v>2</x:v>
      </x:c>
      <x:c r="J136" s="27" t="n">
        <x:v>4</x:v>
      </x:c>
      <x:c r="K136" s="27" t="str">
        <x:v>空港管理・工事で利用条件が変わる可能性あり。夜間は選定しない。</x:v>
      </x:c>
      <x:c r="L136" s="28" t="n">
        <x:v>46232</x:v>
      </x:c>
      <x:c r="M136" s="27" t="str">
        <x:v>当日再確認</x:v>
      </x:c>
      <x:c r="N136" s="27" t="str">
        <x:v>https://www.nrtk.jp/mypage/00212.html</x:v>
      </x:c>
      <x:c r="O136" s="27" t="str">
        <x:v>三里塚一帯には成田空港建設以前、宮内庁の御料牧場が置かれていた。</x:v>
      </x:c>
      <x:c r="P136" s="49" t="e">
        <x:f>HYPERLINK("https://ja.wikipedia.org/wiki/Special:Search?search=%E4%B8%89%E9%87%8C%E5%A1%9A%E3%81%95%E3%81%8F%E3%82%89%E3%81%AE%E4%B8%98","Wikipedia・関連項目")</x:f>
      </x:c>
      <x:c r="R136" t="str">
        <x:v>35km超</x:v>
      </x:c>
      <x:c r="S136" t="str">
        <x:v>概ね35km超</x:v>
      </x:c>
      <x:c r="T136" t="str">
        <x:v>通常90分超</x:v>
      </x:c>
      <x:c r="U136" t="str">
        <x:v>飛行機</x:v>
      </x:c>
      <x:c r="V136" t="str">
        <x:v>30〜60分</x:v>
      </x:c>
      <x:c r="W136" t="n">
        <x:v>2</x:v>
      </x:c>
      <x:c r="X136" t="n">
        <x:v>4</x:v>
      </x:c>
      <x:c r="Y136" t="str">
        <x:v>城南島海浜公園</x:v>
      </x:c>
      <x:c r="Z136" t="str">
        <x:v>京浜島つばさ公園／羽田空港 第3ターミナル展望デッキ</x:v>
      </x:c>
      <x:c r="AA136" s="22" t="str">
        <x:v>なし</x:v>
      </x:c>
      <x:c r="AB136" s="22" t="str">
        <x:v>-</x:v>
      </x:c>
      <x:c r="AC136" s="22" t="str"/>
      <x:c r="AD136" s="22" t="str">
        <x:v>専用・路外駐車を基本</x:v>
      </x:c>
      <x:c r="AE136" s="22" t="str"/>
    </x:row>
    <x:row r="137">
      <x:c r="A137" s="27" t="str">
        <x:v>D136</x:v>
      </x:c>
      <x:c r="B137" s="27" t="str">
        <x:v>成田空港 第1ターミナル展望デッキ</x:v>
      </x:c>
      <x:c r="C137" s="27" t="str">
        <x:v>成田市成田国際空港</x:v>
      </x:c>
      <x:c r="D137" s="27" t="str">
        <x:v>飛行機・空港・展望</x:v>
      </x:c>
      <x:c r="E137" s="49" t="e">
        <x:f>HYPERLINK("https://www.google.com/maps/dir/?api=1&amp;destination=%E6%88%90%E7%94%B0%E7%A9%BA%E6%B8%AF%20%E7%AC%AC1%E3%82%BF%E3%83%BC%E3%83%9F%E3%83%8A%E3%83%AB%E5%B1%95%E6%9C%9B%E3%83%87%E3%83%83%E3%82%AD&amp;travelmode=driving","現在地からナビ開始")</x:f>
      </x:c>
      <x:c r="F137" s="27" t="str">
        <x:v>4000mのA滑走路全体を見渡し、飲食・空港施設と航空機鑑賞を安定して組み合わせられる。</x:v>
      </x:c>
      <x:c r="G137" s="27" t="str">
        <x:v>あり・空港P1/P5等、24時間</x:v>
      </x:c>
      <x:c r="H137" s="27" t="str">
        <x:v>4～9月 6:30～21:00／10～3月 7:00～21:00</x:v>
      </x:c>
      <x:c r="I137" s="27" t="n">
        <x:v>5</x:v>
      </x:c>
      <x:c r="J137" s="27" t="n">
        <x:v>1</x:v>
      </x:c>
      <x:c r="K137" s="27" t="str">
        <x:v>天候・保安上の閉鎖あり。2026年リニューアル後は高台部分で大型撮影機材禁止。</x:v>
      </x:c>
      <x:c r="L137" s="28" t="n">
        <x:v>46232</x:v>
      </x:c>
      <x:c r="M137" s="27" t="str">
        <x:v>一次確認済</x:v>
      </x:c>
      <x:c r="N137" s="27" t="str">
        <x:v>https://www.narita-airport.jp/ja/fun/view/</x:v>
      </x:c>
      <x:c r="O137" s="27" t="str">
        <x:v>第1ターミナル展望デッキは成田空港の4000m級A滑走路を見渡せ、長距離国際線機材を観察しやすい。</x:v>
      </x:c>
      <x:c r="P137" s="49" t="e">
        <x:f>HYPERLINK("https://ja.wikipedia.org/wiki/Special:Search?search=%E6%88%90%E7%94%B0%E7%A9%BA%E6%B8%AF%20%E7%AC%AC1%E3%82%BF%E3%83%BC%E3%83%9F%E3%83%8A%E3%83%AB%E5%B1%95%E6%9C%9B%E3%83%87%E3%83%83%E3%82%AD","Wikipedia・関連項目")</x:f>
      </x:c>
      <x:c r="R137" t="str">
        <x:v>35km超</x:v>
      </x:c>
      <x:c r="S137" t="str">
        <x:v>概ね35km超</x:v>
      </x:c>
      <x:c r="T137" t="str">
        <x:v>通常90分超</x:v>
      </x:c>
      <x:c r="U137" t="str">
        <x:v>飛行機</x:v>
      </x:c>
      <x:c r="V137" t="str">
        <x:v>30〜60分</x:v>
      </x:c>
      <x:c r="W137" t="n">
        <x:v>4</x:v>
      </x:c>
      <x:c r="X137" t="n">
        <x:v>4</x:v>
      </x:c>
      <x:c r="Y137" t="str">
        <x:v>城南島海浜公園</x:v>
      </x:c>
      <x:c r="Z137" t="str">
        <x:v>京浜島つばさ公園／羽田空港 第3ターミナル展望デッキ</x:v>
      </x:c>
      <x:c r="AA137" s="22" t="str">
        <x:v>なし</x:v>
      </x:c>
      <x:c r="AB137" s="22" t="str">
        <x:v>-</x:v>
      </x:c>
      <x:c r="AC137" s="22" t="str"/>
      <x:c r="AD137" s="22" t="str">
        <x:v>専用・路外駐車を基本</x:v>
      </x:c>
      <x:c r="AE137" s="22" t="str"/>
    </x:row>
    <x:row r="138">
      <x:c r="A138" s="27" t="str">
        <x:v>D137</x:v>
      </x:c>
      <x:c r="B138" s="27" t="str">
        <x:v>印旛沼サンセットヒルズ</x:v>
      </x:c>
      <x:c r="C138" s="27" t="str">
        <x:v>千葉県佐倉市</x:v>
      </x:c>
      <x:c r="D138" s="27" t="str">
        <x:v>印旛沼・高台・夕日</x:v>
      </x:c>
      <x:c r="E138" s="49" t="e">
        <x:f>HYPERLINK("https://www.google.com/maps/dir/?api=1&amp;destination=%E5%8D%B0%E6%97%9B%E6%B2%BC%E3%82%B5%E3%83%B3%E3%82%BB%E3%83%83%E3%83%88%E3%83%92%E3%83%AB%E3%82%BA&amp;travelmode=driving","現在地からナビ開始")</x:f>
      </x:c>
      <x:c r="F138" s="27" t="str">
        <x:v>印旛沼を見下ろす高台で、富士山・スカイツリー方面の夕景を狙える。</x:v>
      </x:c>
      <x:c r="G138" s="27" t="str">
        <x:v>あり・施設利用者用</x:v>
      </x:c>
      <x:c r="H138" s="27" t="str">
        <x:v>施設利用時間・予約状況を当日確認</x:v>
      </x:c>
      <x:c r="I138" s="27" t="n">
        <x:v>2</x:v>
      </x:c>
      <x:c r="J138" s="27" t="n">
        <x:v>4</x:v>
      </x:c>
      <x:c r="K138" s="27" t="str">
        <x:v>駐車場はキャンプ・テニス等の来場者用。長時間の景色鑑賞だけを目的に占有しない。</x:v>
      </x:c>
      <x:c r="L138" s="28" t="n">
        <x:v>46232</x:v>
      </x:c>
      <x:c r="M138" s="27" t="str">
        <x:v>当日再確認</x:v>
      </x:c>
      <x:c r="N138" s="27" t="str">
        <x:v>https://www.city.sakura.lg.jp/tourism/2/14508.html</x:v>
      </x:c>
      <x:c r="O138" s="27" t="str">
        <x:v>印旛沼はかつて一続きの大きな沼だったが、干拓・放水路整備で北印旛沼と西印旛沼に分かれた。</x:v>
      </x:c>
      <x:c r="P138" s="49" t="e">
        <x:f>HYPERLINK("https://ja.wikipedia.org/wiki/Special:Search?search=%E5%8D%B0%E6%97%9B%E6%B2%BC%E3%82%B5%E3%83%B3%E3%82%BB%E3%83%83%E3%83%88%E3%83%92%E3%83%AB%E3%82%BA","Wikipedia・関連項目")</x:f>
      </x:c>
      <x:c r="R138" t="str">
        <x:v>35km超</x:v>
      </x:c>
      <x:c r="S138" t="str">
        <x:v>概ね35km超</x:v>
      </x:c>
      <x:c r="T138" t="str">
        <x:v>通常90分超</x:v>
      </x:c>
      <x:c r="U138" t="str">
        <x:v>休日半日</x:v>
      </x:c>
      <x:c r="V138" t="str">
        <x:v>30〜60分</x:v>
      </x:c>
      <x:c r="W138" t="n">
        <x:v>1</x:v>
      </x:c>
      <x:c r="X138" t="n">
        <x:v>1</x:v>
      </x:c>
      <x:c r="Y138" t="str">
        <x:v>羽田空港 第3ターミナル展望デッキ</x:v>
      </x:c>
      <x:c r="Z138" t="str">
        <x:v>城南島海浜公園／潮風公園</x:v>
      </x:c>
      <x:c r="AA138" s="22" t="str">
        <x:v>なし</x:v>
      </x:c>
      <x:c r="AB138" s="22" t="str">
        <x:v>-</x:v>
      </x:c>
      <x:c r="AC138" s="22" t="str"/>
      <x:c r="AD138" s="22" t="str">
        <x:v>専用・路外駐車を基本</x:v>
      </x:c>
      <x:c r="AE138" s="22" t="str"/>
    </x:row>
    <x:row r="139">
      <x:c r="A139" s="27" t="str">
        <x:v>D138</x:v>
      </x:c>
      <x:c r="B139" s="27" t="str">
        <x:v>宿内公園</x:v>
      </x:c>
      <x:c r="C139" s="27" t="str">
        <x:v>千葉県佐倉市</x:v>
      </x:c>
      <x:c r="D139" s="27" t="str">
        <x:v>城址・高台・印旛沼展望</x:v>
      </x:c>
      <x:c r="E139" s="49" t="e">
        <x:f>HYPERLINK("https://www.google.com/maps/dir/?api=1&amp;destination=%E5%AE%BF%E5%86%85%E5%85%AC%E5%9C%92&amp;travelmode=driving","現在地からナビ開始")</x:f>
      </x:c>
      <x:c r="F139" s="27" t="str">
        <x:v>臼井田宿内砦跡の台地から印旛沼方面を望める、7台規模の小さな歴史展望スポット。</x:v>
      </x:c>
      <x:c r="G139" s="27" t="str">
        <x:v>あり・約7台</x:v>
      </x:c>
      <x:c r="H139" s="27" t="str">
        <x:v>利用時間の明記なし、昼～夕方推奨</x:v>
      </x:c>
      <x:c r="I139" s="27" t="n">
        <x:v>2</x:v>
      </x:c>
      <x:c r="J139" s="27" t="n">
        <x:v>5</x:v>
      </x:c>
      <x:c r="K139" s="27" t="str">
        <x:v>駐車台数が極めて少ない。満車時の路上待機禁止。トイレなし。</x:v>
      </x:c>
      <x:c r="L139" s="28" t="n">
        <x:v>46232</x:v>
      </x:c>
      <x:c r="M139" s="27" t="str">
        <x:v>当日再確認</x:v>
      </x:c>
      <x:c r="N139" s="27" t="str">
        <x:v>https://www.city.sakura.lg.jp/soshiki/koenryokuchika/koen_annai/1/20324.html</x:v>
      </x:c>
      <x:c r="O139" s="27" t="str">
        <x:v>宿内公園は中世の臼井城を支えた宿内砦跡とされ、印旛沼を見張る台地上に位置する。</x:v>
      </x:c>
      <x:c r="P139" s="49" t="e">
        <x:f>HYPERLINK("https://ja.wikipedia.org/wiki/Special:Search?search=%E5%AE%BF%E5%86%85%E5%85%AC%E5%9C%92","Wikipedia・関連項目")</x:f>
      </x:c>
      <x:c r="R139" t="str">
        <x:v>35km超</x:v>
      </x:c>
      <x:c r="S139" t="str">
        <x:v>概ね35km超</x:v>
      </x:c>
      <x:c r="T139" t="str">
        <x:v>通常90分超</x:v>
      </x:c>
      <x:c r="U139" t="str">
        <x:v>Story</x:v>
      </x:c>
      <x:c r="V139" t="str">
        <x:v>30〜60分</x:v>
      </x:c>
      <x:c r="W139" t="n">
        <x:v>1</x:v>
      </x:c>
      <x:c r="X139" t="n">
        <x:v>1</x:v>
      </x:c>
      <x:c r="Y139" t="str">
        <x:v>羽田空港 第3ターミナル展望デッキ</x:v>
      </x:c>
      <x:c r="Z139" t="str">
        <x:v>城南島海浜公園／潮風公園</x:v>
      </x:c>
      <x:c r="AA139" s="22" t="str">
        <x:v>なし</x:v>
      </x:c>
      <x:c r="AB139" s="22" t="str">
        <x:v>-</x:v>
      </x:c>
      <x:c r="AC139" s="22" t="str"/>
      <x:c r="AD139" s="22" t="str">
        <x:v>専用・路外駐車を基本</x:v>
      </x:c>
      <x:c r="AE139" s="22" t="str"/>
    </x:row>
    <x:row r="140">
      <x:c r="A140" s="27" t="str">
        <x:v>D139</x:v>
      </x:c>
      <x:c r="B140" s="27" t="str">
        <x:v>東綾瀬公園</x:v>
      </x:c>
      <x:c r="C140" s="27" t="str">
        <x:v>東京都足立区</x:v>
      </x:c>
      <x:c r="D140" s="27" t="str">
        <x:v>水辺・都市公園・24時間駐車</x:v>
      </x:c>
      <x:c r="E140" s="49" t="e">
        <x:f>HYPERLINK("https://www.google.com/maps/dir/?api=1&amp;destination=%E6%9D%B1%E7%B6%BE%E7%80%AC%E5%85%AC%E5%9C%92&amp;travelmode=driving","現在地からナビ開始")</x:f>
      </x:c>
      <x:c r="F140" s="27" t="str">
        <x:v>曲線状に続く水辺と緑地があり、東京東部の夜間Sessionを安全な駐車場で締められる。</x:v>
      </x:c>
      <x:c r="G140" s="27" t="str">
        <x:v>あり・107台、有料</x:v>
      </x:c>
      <x:c r="H140" s="27" t="str">
        <x:v>駐車場 24時間</x:v>
      </x:c>
      <x:c r="I140" s="27" t="n">
        <x:v>4</x:v>
      </x:c>
      <x:c r="J140" s="27" t="n">
        <x:v>3</x:v>
      </x:c>
      <x:c r="K140" s="27" t="str">
        <x:v>住宅地に近い。夜間は照明のある主要区域に限定し、騒音・長時間滞在を避ける。</x:v>
      </x:c>
      <x:c r="L140" s="28" t="n">
        <x:v>46232</x:v>
      </x:c>
      <x:c r="M140" s="27" t="str">
        <x:v>一次確認済</x:v>
      </x:c>
      <x:c r="N140" s="27" t="str">
        <x:v>https://www.tokyo-park.or.jp/park/higashi-ayase/index.html</x:v>
      </x:c>
      <x:c r="O140" s="27" t="str">
        <x:v>東綾瀬公園は細長く湾曲した園地が水路沿いに続き、周辺住宅地を包む大きな緑の帯になっている。</x:v>
      </x:c>
      <x:c r="P140" s="49" t="e">
        <x:f>HYPERLINK("https://ja.wikipedia.org/wiki/Special:Search?search=%E6%9D%B1%E7%B6%BE%E7%80%AC%E5%85%AC%E5%9C%92","Wikipedia・関連項目")</x:f>
      </x:c>
      <x:c r="R140" t="str">
        <x:v>25〜35km</x:v>
      </x:c>
      <x:c r="S140" t="str">
        <x:v>概ね25〜35km</x:v>
      </x:c>
      <x:c r="T140" t="str">
        <x:v>通常55〜90分</x:v>
      </x:c>
      <x:c r="U140" t="str">
        <x:v>平日夜・深夜</x:v>
      </x:c>
      <x:c r="V140" t="str">
        <x:v>30〜90分</x:v>
      </x:c>
      <x:c r="W140" t="n">
        <x:v>1</x:v>
      </x:c>
      <x:c r="X140" t="n">
        <x:v>1</x:v>
      </x:c>
      <x:c r="Y140" t="str">
        <x:v>平和の森公園</x:v>
      </x:c>
      <x:c r="Z140" t="str">
        <x:v>大森ふるさとの浜辺公園／森ケ崎公園</x:v>
      </x:c>
      <x:c r="AA140" s="22" t="str">
        <x:v>なし</x:v>
      </x:c>
      <x:c r="AB140" s="22" t="str">
        <x:v>-</x:v>
      </x:c>
      <x:c r="AC140" s="22" t="str"/>
      <x:c r="AD140" s="22" t="str">
        <x:v>専用・路外駐車を基本</x:v>
      </x:c>
      <x:c r="AE140" s="22" t="str"/>
    </x:row>
    <x:row r="141">
      <x:c r="A141" s="27" t="str">
        <x:v>D140</x:v>
      </x:c>
      <x:c r="B141" s="27" t="str">
        <x:v>山北つぶらの公園</x:v>
      </x:c>
      <x:c r="C141" s="27" t="str">
        <x:v>神奈川県山北町</x:v>
      </x:c>
      <x:c r="D141" s="27" t="str">
        <x:v>高台・富士山・丹沢</x:v>
      </x:c>
      <x:c r="E141" s="49" t="e">
        <x:f>HYPERLINK("https://www.google.com/maps/dir/?api=1&amp;destination=%E5%B1%B1%E5%8C%97%E3%81%A4%E3%81%B6%E3%82%89%E3%81%AE%E5%85%AC%E5%9C%92&amp;travelmode=driving","現在地からナビ開始")</x:f>
      </x:c>
      <x:c r="F141" s="27" t="str">
        <x:v>丹沢・富士山・足柄平野を望む高台で、70km圏西端の特別な昼Endingになる。</x:v>
      </x:c>
      <x:c r="G141" s="27" t="str">
        <x:v>あり・乗用車65台ほか</x:v>
      </x:c>
      <x:c r="H141" s="27" t="str">
        <x:v>8:30～17:00／夏休み期間の土日は18:00まで</x:v>
      </x:c>
      <x:c r="I141" s="27" t="n">
        <x:v>1</x:v>
      </x:c>
      <x:c r="J141" s="27" t="n">
        <x:v>4</x:v>
      </x:c>
      <x:c r="K141" s="27" t="str">
        <x:v>アクセス路の鋭角交差点と山道に注意。夜間不可、閉場前に余裕を持って退出。</x:v>
      </x:c>
      <x:c r="L141" s="28" t="n">
        <x:v>46232</x:v>
      </x:c>
      <x:c r="M141" s="27" t="str">
        <x:v>一次確認済</x:v>
      </x:c>
      <x:c r="N141" s="27" t="str">
        <x:v>https://www.kanagawa-park.or.jp/tsuburano/access.html</x:v>
      </x:c>
      <x:c r="O141" s="27" t="str">
        <x:v>山北町は東海道本線の旧線・現在の御殿場線の鉄道拠点として発展し、丹沢・富士山への玄関口となった。</x:v>
      </x:c>
      <x:c r="P141" s="49" t="e">
        <x:f>HYPERLINK("https://ja.wikipedia.org/wiki/Special:Search?search=%E5%B1%B1%E5%8C%97%E3%81%A4%E3%81%B6%E3%82%89%E3%81%AE%E5%85%AC%E5%9C%92","Wikipedia・関連項目")</x:f>
      </x:c>
      <x:c r="R141" t="str">
        <x:v>35km超</x:v>
      </x:c>
      <x:c r="S141" t="str">
        <x:v>概ね35km超</x:v>
      </x:c>
      <x:c r="T141" t="str">
        <x:v>通常90分超</x:v>
      </x:c>
      <x:c r="U141" t="str">
        <x:v>休日半日</x:v>
      </x:c>
      <x:c r="V141" t="str">
        <x:v>30〜60分</x:v>
      </x:c>
      <x:c r="W141" t="n">
        <x:v>1</x:v>
      </x:c>
      <x:c r="X141" t="n">
        <x:v>1</x:v>
      </x:c>
      <x:c r="Y141" t="str">
        <x:v>羽田空港 第3ターミナル展望デッキ</x:v>
      </x:c>
      <x:c r="Z141" t="str">
        <x:v>城南島海浜公園／潮風公園</x:v>
      </x:c>
      <x:c r="AA141" s="22" t="str">
        <x:v>なし</x:v>
      </x:c>
      <x:c r="AB141" s="22" t="str">
        <x:v>-</x:v>
      </x:c>
      <x:c r="AC141" s="22" t="str"/>
      <x:c r="AD141" s="22" t="str">
        <x:v>専用・路外駐車を基本</x:v>
      </x:c>
      <x:c r="AE141" s="22" t="str"/>
    </x:row>
    <x:row r="142">
      <x:c r="A142" s="27" t="str">
        <x:v>D141</x:v>
      </x:c>
      <x:c r="B142" s="27" t="str">
        <x:v>県立相模三川公園</x:v>
      </x:c>
      <x:c r="C142" s="27" t="str">
        <x:v>海老名市・上郷</x:v>
      </x:c>
      <x:c r="D142" s="27" t="str">
        <x:v>河川・合流点・大規模公園</x:v>
      </x:c>
      <x:c r="E142" s="49" t="e">
        <x:f>HYPERLINK("https://www.google.com/maps/dir/?api=1&amp;destination=%E7%9C%8C%E7%AB%8B%E7%9B%B8%E6%A8%A1%E4%B8%89%E5%B7%9D%E5%85%AC%E5%9C%92&amp;travelmode=driving","現在地からナビ開始")</x:f>
      </x:c>
      <x:c r="F142" s="27" t="str">
        <x:v>相模川・中津川・小鮎川が集まる広い河川景観を体験でき、厚木方面の経由地と昼Endingに向く。</x:v>
      </x:c>
      <x:c r="G142" s="27" t="str">
        <x:v>あり・一般駐車場、スポーツ広場駐車場</x:v>
      </x:c>
      <x:c r="H142" s="27" t="str">
        <x:v>駐車場は季節・曜日で変動、当日公式確認</x:v>
      </x:c>
      <x:c r="I142" s="27" t="n">
        <x:v>2</x:v>
      </x:c>
      <x:c r="J142" s="27" t="n">
        <x:v>3</x:v>
      </x:c>
      <x:c r="K142" s="27" t="str">
        <x:v>増水・強風時は河川側へ近づかない。スポーツ大会日は混雑。</x:v>
      </x:c>
      <x:c r="L142" s="28" t="n">
        <x:v>46232</x:v>
      </x:c>
      <x:c r="M142" s="27" t="str">
        <x:v>一次確認済</x:v>
      </x:c>
      <x:c r="N142" s="27" t="str">
        <x:v>https://www.pref.kanagawa.jp/docs/u5r/cnt/f550/tabi-087.html</x:v>
      </x:c>
      <x:c r="O142" s="27" t="str">
        <x:v>海老名周辺は相模川の沖積低地に発達し、複数河川の合流が交通・農業・治水の歴史を形作った。</x:v>
      </x:c>
      <x:c r="P142" s="94" t="e">
        <x:f>HYPERLINK("https://ja.wikipedia.org/wiki/Special:Search?search=%E7%9C%8C%E7%AB%8B%E7%9B%B8%E6%A8%A1%E4%B8%89%E5%B7%9D%E5%85%AC%E5%9C%92","Wikipedia・関連項目")</x:f>
      </x:c>
      <x:c r="R142" t="str">
        <x:v>35km超</x:v>
      </x:c>
      <x:c r="S142" t="str">
        <x:v>概ね35km超</x:v>
      </x:c>
      <x:c r="T142" t="str">
        <x:v>通常90分超</x:v>
      </x:c>
      <x:c r="U142" t="str">
        <x:v>水辺</x:v>
      </x:c>
      <x:c r="V142" t="str">
        <x:v>30〜90分</x:v>
      </x:c>
      <x:c r="W142" t="n">
        <x:v>1</x:v>
      </x:c>
      <x:c r="X142" t="n">
        <x:v>1</x:v>
      </x:c>
      <x:c r="Y142" t="str">
        <x:v>多摩川浅間神社</x:v>
      </x:c>
      <x:c r="Z142" t="str">
        <x:v>多摩川六郷橋緑地／多摩川ガス橋緑地</x:v>
      </x:c>
      <x:c r="AA142" s="22" t="str">
        <x:v>なし</x:v>
      </x:c>
      <x:c r="AB142" s="22" t="str">
        <x:v>-</x:v>
      </x:c>
      <x:c r="AC142" s="22" t="str"/>
      <x:c r="AD142" s="22" t="str">
        <x:v>専用・路外駐車を基本</x:v>
      </x:c>
      <x:c r="AE142" s="22" t="str"/>
    </x:row>
    <x:row r="143">
      <x:c r="A143" s="27" t="str">
        <x:v>D142</x:v>
      </x:c>
      <x:c r="B143" s="27" t="str">
        <x:v>湘南汐見台公園</x:v>
      </x:c>
      <x:c r="C143" s="27" t="str">
        <x:v>茅ヶ崎市・汐見台</x:v>
      </x:c>
      <x:c r="D143" s="27" t="str">
        <x:v>海辺・運動公園・夕方</x:v>
      </x:c>
      <x:c r="E143" s="49" t="e">
        <x:f>HYPERLINK("https://www.google.com/maps/dir/?api=1&amp;destination=%E6%B9%98%E5%8D%97%E6%B1%90%E8%A6%8B%E5%8F%B0%E5%85%AC%E5%9C%92&amp;travelmode=driving","現在地からナビ開始")</x:f>
      </x:c>
      <x:c r="F143" s="27" t="str">
        <x:v>海岸近くの小規模公園で、湘南ドライブの途中に短時間休憩と海風を入れられる。</x:v>
      </x:c>
      <x:c r="G143" s="27" t="str">
        <x:v>あり・公園駐車場</x:v>
      </x:c>
      <x:c r="H143" s="27" t="str">
        <x:v>利用時間は管理事務所情報を当日確認</x:v>
      </x:c>
      <x:c r="I143" s="27" t="n">
        <x:v>2</x:v>
      </x:c>
      <x:c r="J143" s="27" t="n">
        <x:v>4</x:v>
      </x:c>
      <x:c r="K143" s="27" t="str">
        <x:v>海水浴期・イベント日は混雑。夜より昼～夕方向き。</x:v>
      </x:c>
      <x:c r="L143" s="28" t="n">
        <x:v>46232</x:v>
      </x:c>
      <x:c r="M143" s="27" t="str">
        <x:v>当日再確認</x:v>
      </x:c>
      <x:c r="N143" s="27" t="str">
        <x:v>https://www.pref.kanagawa.jp/documents/8260/2-19.pdf</x:v>
      </x:c>
      <x:c r="O143" s="27" t="str">
        <x:v>汐見台の地名は海や潮の眺望を意識した戦後の住宅地名に多い命名パターンの一つ。</x:v>
      </x:c>
      <x:c r="P143" s="94" t="e">
        <x:f>HYPERLINK("https://ja.wikipedia.org/wiki/Special:Search?search=%E6%B9%98%E5%8D%97%E6%B1%90%E8%A6%8B%E5%8F%B0%E5%85%AC%E5%9C%92","Wikipedia・関連項目")</x:f>
      </x:c>
      <x:c r="R143" t="str">
        <x:v>35km超</x:v>
      </x:c>
      <x:c r="S143" t="str">
        <x:v>概ね35km超</x:v>
      </x:c>
      <x:c r="T143" t="str">
        <x:v>通常90分超</x:v>
      </x:c>
      <x:c r="U143" t="str">
        <x:v>海・港</x:v>
      </x:c>
      <x:c r="V143" t="str">
        <x:v>30〜90分</x:v>
      </x:c>
      <x:c r="W143" t="n">
        <x:v>1</x:v>
      </x:c>
      <x:c r="X143" t="n">
        <x:v>3</x:v>
      </x:c>
      <x:c r="Y143" t="str">
        <x:v>城南島海浜公園</x:v>
      </x:c>
      <x:c r="Z143" t="str">
        <x:v>潮風公園／晴海ふ頭公園</x:v>
      </x:c>
      <x:c r="AA143" s="22" t="str">
        <x:v>なし</x:v>
      </x:c>
      <x:c r="AB143" s="22" t="str">
        <x:v>-</x:v>
      </x:c>
      <x:c r="AC143" s="22" t="str"/>
      <x:c r="AD143" s="22" t="str">
        <x:v>専用・路外駐車を基本</x:v>
      </x:c>
      <x:c r="AE143" s="22" t="str"/>
    </x:row>
    <x:row r="144">
      <x:c r="A144" s="27" t="str">
        <x:v>D143</x:v>
      </x:c>
      <x:c r="B144" s="27" t="str">
        <x:v>桜ヶ丘公園 ゆうひの丘</x:v>
      </x:c>
      <x:c r="C144" s="27" t="str">
        <x:v>多摩市・連光寺</x:v>
      </x:c>
      <x:c r="D144" s="27" t="str">
        <x:v>高台・夕景・夜景</x:v>
      </x:c>
      <x:c r="E144" s="49" t="e">
        <x:f>HYPERLINK("https://www.google.com/maps/dir/?api=1&amp;destination=%E6%A1%9C%E3%83%B6%E4%B8%98%E5%85%AC%E5%9C%92%20%E3%82%86%E3%81%86%E3%81%B2%E3%81%AE%E4%B8%98&amp;travelmode=driving","現在地からナビ開始")</x:f>
      </x:c>
      <x:c r="F144" s="27" t="str">
        <x:v>多摩丘陵の高台から市街地の夕景を眺められ、短い徒歩で到達感が得られる。</x:v>
      </x:c>
      <x:c r="G144" s="27" t="str">
        <x:v>あり・ゆうひの丘側約38台、無料</x:v>
      </x:c>
      <x:c r="H144" s="27" t="str">
        <x:v>8:45～20:00、夜間閉鎖</x:v>
      </x:c>
      <x:c r="I144" s="27" t="n">
        <x:v>4</x:v>
      </x:c>
      <x:c r="J144" s="27" t="n">
        <x:v>3</x:v>
      </x:c>
      <x:c r="K144" s="27" t="str">
        <x:v>20時閉鎖。週末は満車時の公道待機禁止。住宅地のため静粛必須。</x:v>
      </x:c>
      <x:c r="L144" s="28" t="n">
        <x:v>46232</x:v>
      </x:c>
      <x:c r="M144" s="27" t="str">
        <x:v>一次確認済</x:v>
      </x:c>
      <x:c r="N144" s="27" t="str">
        <x:v>https://www.tokyo-park.or.jp/park/sakuragaoka/index.html</x:v>
      </x:c>
      <x:c r="O144" s="27" t="str">
        <x:v>園内には旧多摩聖蹟記念館があり、『聖蹟』は明治天皇が当地を訪れたことに由来する。</x:v>
      </x:c>
      <x:c r="P144" s="94" t="e">
        <x:f>HYPERLINK("https://ja.wikipedia.org/wiki/Special:Search?search=%E6%A1%9C%E3%83%B6%E4%B8%98%E5%85%AC%E5%9C%92%20%E3%82%86%E3%81%86%E3%81%B2%E3%81%AE%E4%B8%98","Wikipedia・関連項目")</x:f>
      </x:c>
      <x:c r="R144" t="str">
        <x:v>20〜25km</x:v>
      </x:c>
      <x:c r="S144" t="str">
        <x:v>概ね20〜25km</x:v>
      </x:c>
      <x:c r="T144" t="str">
        <x:v>通常40〜70分</x:v>
      </x:c>
      <x:c r="U144" t="str">
        <x:v>平日夜・深夜</x:v>
      </x:c>
      <x:c r="V144" t="str">
        <x:v>30〜60分</x:v>
      </x:c>
      <x:c r="W144" t="n">
        <x:v>1</x:v>
      </x:c>
      <x:c r="X144" t="n">
        <x:v>3</x:v>
      </x:c>
      <x:c r="Y144" t="str">
        <x:v>羽田空港 第3ターミナル展望デッキ</x:v>
      </x:c>
      <x:c r="Z144" t="str">
        <x:v>城南島海浜公園／潮風公園</x:v>
      </x:c>
      <x:c r="AA144" s="22" t="str">
        <x:v>なし</x:v>
      </x:c>
      <x:c r="AB144" s="22" t="str">
        <x:v>-</x:v>
      </x:c>
      <x:c r="AC144" s="22" t="str"/>
      <x:c r="AD144" s="22" t="str">
        <x:v>専用・路外駐車を基本</x:v>
      </x:c>
      <x:c r="AE144" s="22" t="str"/>
    </x:row>
    <x:row r="145">
      <x:c r="A145" s="27" t="str">
        <x:v>D144</x:v>
      </x:c>
      <x:c r="B145" s="27" t="str">
        <x:v>武蔵野の森公園</x:v>
      </x:c>
      <x:c r="C145" s="27" t="str">
        <x:v>府中市・調布市・三鷹市</x:v>
      </x:c>
      <x:c r="D145" s="27" t="str">
        <x:v>飛行機・広い空・24時間駐車</x:v>
      </x:c>
      <x:c r="E145" s="49" t="e">
        <x:f>HYPERLINK("https://www.google.com/maps/dir/?api=1&amp;destination=%E6%AD%A6%E8%94%B5%E9%87%8E%E3%81%AE%E6%A3%AE%E5%85%AC%E5%9C%92&amp;travelmode=driving","現在地からナビ開始")</x:f>
      </x:c>
      <x:c r="F145" s="27" t="str">
        <x:v>調布飛行場に隣接し、小型機の離着陸と広い空を眺められる航空系の安定候補。</x:v>
      </x:c>
      <x:c r="G145" s="27" t="str">
        <x:v>第1駐車場90台／第2駐車場143台・有料・24時間</x:v>
      </x:c>
      <x:c r="H145" s="27" t="str">
        <x:v>公園常時／駐車場24時間／北南プロムナード9:00～16:30</x:v>
      </x:c>
      <x:c r="I145" s="27" t="n">
        <x:v>5</x:v>
      </x:c>
      <x:c r="J145" s="27" t="n">
        <x:v>3</x:v>
      </x:c>
      <x:c r="K145" s="27" t="str">
        <x:v>夜間は北地区・南地区を結ぶプロムナードが閉鎖。飛行場側の明るい範囲を利用。</x:v>
      </x:c>
      <x:c r="L145" s="28" t="n">
        <x:v>46232</x:v>
      </x:c>
      <x:c r="M145" s="27" t="str">
        <x:v>一次確認済</x:v>
      </x:c>
      <x:c r="N145" s="27" t="str">
        <x:v>https://www.tokyo-park.or.jp/park/musashino-no-mori/index.html</x:v>
      </x:c>
      <x:c r="O145" s="27" t="str">
        <x:v>調布飛行場は戦時中に陸軍飛行場として整備され、現在は伊豆諸島への定期便が発着する。</x:v>
      </x:c>
      <x:c r="P145" s="94" t="e">
        <x:f>HYPERLINK("https://ja.wikipedia.org/wiki/Special:Search?search=%E6%AD%A6%E8%94%B5%E9%87%8E%E3%81%AE%E6%A3%AE%E5%85%AC%E5%9C%92","Wikipedia・関連項目")</x:f>
      </x:c>
      <x:c r="Q145" t="str">
        <x:v>2026-07-29公式再確認：第1・第2駐車場計233台・24時間、プロムナード16:30閉鎖を反映。</x:v>
      </x:c>
      <x:c r="R145" t="str">
        <x:v>20〜25km</x:v>
      </x:c>
      <x:c r="S145" t="str">
        <x:v>概ね20〜25km</x:v>
      </x:c>
      <x:c r="T145" t="str">
        <x:v>通常40〜70分</x:v>
      </x:c>
      <x:c r="U145" t="str">
        <x:v>飛行機</x:v>
      </x:c>
      <x:c r="V145" t="str">
        <x:v>30〜60分</x:v>
      </x:c>
      <x:c r="W145" t="n">
        <x:v>2</x:v>
      </x:c>
      <x:c r="X145" t="n">
        <x:v>4</x:v>
      </x:c>
      <x:c r="Y145" t="str">
        <x:v>城南島海浜公園</x:v>
      </x:c>
      <x:c r="Z145" t="str">
        <x:v>京浜島つばさ公園／羽田空港 第3ターミナル展望デッキ</x:v>
      </x:c>
      <x:c r="AA145" s="22" t="str">
        <x:v>なし</x:v>
      </x:c>
      <x:c r="AB145" s="22" t="str">
        <x:v>-</x:v>
      </x:c>
      <x:c r="AC145" s="22" t="str"/>
      <x:c r="AD145" s="22" t="str">
        <x:v>専用・路外駐車を基本</x:v>
      </x:c>
      <x:c r="AE145" s="22" t="str"/>
    </x:row>
    <x:row r="146">
      <x:c r="A146" s="27" t="str">
        <x:v>D145</x:v>
      </x:c>
      <x:c r="B146" s="27" t="str">
        <x:v>駒沢オリンピック公園</x:v>
      </x:c>
      <x:c r="C146" s="27" t="str">
        <x:v>世田谷区・駒沢</x:v>
      </x:c>
      <x:c r="D146" s="27" t="str">
        <x:v>オリンピック・建築・24時間駐車</x:v>
      </x:c>
      <x:c r="E146" s="49" t="e">
        <x:f>HYPERLINK("https://www.google.com/maps/dir/?api=1&amp;destination=%E9%A7%92%E6%B2%A2%E3%82%AA%E3%83%AA%E3%83%B3%E3%83%94%E3%83%83%E3%82%AF%E5%85%AC%E5%9C%92&amp;travelmode=driving","現在地からナビ開始")</x:f>
      </x:c>
      <x:c r="F146" s="27" t="str">
        <x:v>1964年東京大会の競技施設群を夜間でも眺められ、建築と都市史のStory Layerが強い。</x:v>
      </x:c>
      <x:c r="G146" s="27" t="str">
        <x:v>あり・第1駐車場ほか、有料</x:v>
      </x:c>
      <x:c r="H146" s="27" t="str">
        <x:v>第1駐車場 24時間</x:v>
      </x:c>
      <x:c r="I146" s="27" t="n">
        <x:v>4</x:v>
      </x:c>
      <x:c r="J146" s="27" t="n">
        <x:v>2</x:v>
      </x:c>
      <x:c r="K146" s="27" t="str">
        <x:v>大会・イベント日は混雑。第一駐車場は工事による一部閉鎖情報を確認。</x:v>
      </x:c>
      <x:c r="L146" s="28" t="n">
        <x:v>46232</x:v>
      </x:c>
      <x:c r="M146" s="27" t="str">
        <x:v>一次確認済</x:v>
      </x:c>
      <x:c r="N146" s="27" t="str">
        <x:v>https://www.tokyo-park.or.jp/park/komazawa-olympic/index.html</x:v>
      </x:c>
      <x:c r="O146" s="27" t="str">
        <x:v>1964年東京オリンピックではレスリングやバレーボールなどの会場となった。</x:v>
      </x:c>
      <x:c r="P146" s="94" t="e">
        <x:f>HYPERLINK("https://ja.wikipedia.org/wiki/Special:Search?search=%E9%A7%92%E6%B2%A2%E3%82%AA%E3%83%AA%E3%83%B3%E3%83%94%E3%83%83%E3%82%AF%E5%85%AC%E5%9C%92","Wikipedia・関連項目")</x:f>
      </x:c>
      <x:c r="R146" t="str">
        <x:v>10〜20km</x:v>
      </x:c>
      <x:c r="S146" t="str">
        <x:v>概ね10〜20km</x:v>
      </x:c>
      <x:c r="T146" t="str">
        <x:v>通常25〜50分</x:v>
      </x:c>
      <x:c r="U146" t="str">
        <x:v>平日夜・深夜</x:v>
      </x:c>
      <x:c r="V146" t="str">
        <x:v>30〜60分</x:v>
      </x:c>
      <x:c r="W146" t="n">
        <x:v>2</x:v>
      </x:c>
      <x:c r="X146" t="n">
        <x:v>1</x:v>
      </x:c>
      <x:c r="Y146" t="str">
        <x:v>羽田空港 第3ターミナル展望デッキ</x:v>
      </x:c>
      <x:c r="Z146" t="str">
        <x:v>城南島海浜公園／潮風公園</x:v>
      </x:c>
      <x:c r="AA146" s="22" t="str">
        <x:v>なし</x:v>
      </x:c>
      <x:c r="AB146" s="22" t="str">
        <x:v>-</x:v>
      </x:c>
      <x:c r="AC146" s="22" t="str"/>
      <x:c r="AD146" s="22" t="str">
        <x:v>専用・路外駐車を基本</x:v>
      </x:c>
      <x:c r="AE146" s="22" t="str"/>
    </x:row>
    <x:row r="147">
      <x:c r="A147" s="27" t="str">
        <x:v>D146</x:v>
      </x:c>
      <x:c r="B147" s="27" t="str">
        <x:v>東扇島西公園</x:v>
      </x:c>
      <x:c r="C147" s="27" t="str">
        <x:v>川崎市・東扇島</x:v>
      </x:c>
      <x:c r="D147" s="27" t="str">
        <x:v>港・行き止まり・釣り</x:v>
      </x:c>
      <x:c r="E147" s="49" t="e">
        <x:f>HYPERLINK("https://www.google.com/maps/dir/?api=1&amp;destination=%E6%9D%B1%E6%89%87%E5%B3%B6%E8%A5%BF%E5%85%AC%E5%9C%92&amp;travelmode=driving","現在地からナビ開始")</x:f>
      </x:c>
      <x:c r="F147" s="27" t="str">
        <x:v>東扇島の西端まで走り切り、東京湾・船舶・工業港湾を眺める行き止まり型Ending。</x:v>
      </x:c>
      <x:c r="G147" s="27" t="str">
        <x:v>第1・第2駐車場 合計172台・有料・24時間</x:v>
      </x:c>
      <x:c r="H147" s="27" t="str">
        <x:v>公園・駐車場24時間</x:v>
      </x:c>
      <x:c r="I147" s="27" t="n">
        <x:v>5</x:v>
      </x:c>
      <x:c r="J147" s="27" t="n">
        <x:v>4</x:v>
      </x:c>
      <x:c r="K147" s="27" t="str">
        <x:v>土日祝・釣り時間帯は混雑。路上駐車・アイドリング禁止。臨時閉鎖を当日確認。</x:v>
      </x:c>
      <x:c r="L147" s="28" t="n">
        <x:v>46232</x:v>
      </x:c>
      <x:c r="M147" s="27" t="str">
        <x:v>一次確認済</x:v>
      </x:c>
      <x:c r="N147" s="27" t="str">
        <x:v>https://www.city.kawasaki.jp/580/page/0000001336.html</x:v>
      </x:c>
      <x:c r="O147" s="27" t="str">
        <x:v>東扇島は川崎港の物流機能拡張のため造成された人工島で、首都圏の国際物流拠点の一つ。</x:v>
      </x:c>
      <x:c r="P147" s="94" t="e">
        <x:f>HYPERLINK("https://ja.wikipedia.org/wiki/Special:Search?search=%E6%9D%B1%E6%89%87%E5%B3%B6%E8%A5%BF%E5%85%AC%E5%9C%92","Wikipedia・関連項目")</x:f>
      </x:c>
      <x:c r="Q147" t="str">
        <x:v>2026-07-29公式再確認：172台・24時間を深夜最終目的地条件へ反映。</x:v>
      </x:c>
      <x:c r="R147" t="str">
        <x:v>10〜20km</x:v>
      </x:c>
      <x:c r="S147" t="str">
        <x:v>概ね10〜20km</x:v>
      </x:c>
      <x:c r="T147" t="str">
        <x:v>通常25〜50分</x:v>
      </x:c>
      <x:c r="U147" t="str">
        <x:v>海・港</x:v>
      </x:c>
      <x:c r="V147" t="str">
        <x:v>30〜90分</x:v>
      </x:c>
      <x:c r="W147" t="n">
        <x:v>2</x:v>
      </x:c>
      <x:c r="X147" t="n">
        <x:v>3</x:v>
      </x:c>
      <x:c r="Y147" t="str">
        <x:v>城南島海浜公園</x:v>
      </x:c>
      <x:c r="Z147" t="str">
        <x:v>潮風公園／晴海ふ頭公園</x:v>
      </x:c>
      <x:c r="AA147" s="22" t="str">
        <x:v>なし</x:v>
      </x:c>
      <x:c r="AB147" s="22" t="str">
        <x:v>-</x:v>
      </x:c>
      <x:c r="AC147" s="22" t="str"/>
      <x:c r="AD147" s="22" t="str">
        <x:v>専用・路外駐車を基本</x:v>
      </x:c>
      <x:c r="AE147" s="22" t="str"/>
    </x:row>
    <x:row r="148">
      <x:c r="A148" s="27" t="str">
        <x:v>D147</x:v>
      </x:c>
      <x:c r="B148" s="27" t="str">
        <x:v>北八朔公園</x:v>
      </x:c>
      <x:c r="C148" s="27" t="str">
        <x:v>横浜市・緑区</x:v>
      </x:c>
      <x:c r="D148" s="27" t="str">
        <x:v>谷戸・里山・風致公園</x:v>
      </x:c>
      <x:c r="E148" s="49" t="e">
        <x:f>HYPERLINK("https://www.google.com/maps/dir/?api=1&amp;destination=%E5%8C%97%E5%85%AB%E6%9C%94%E5%85%AC%E5%9C%92&amp;travelmode=driving","現在地からナビ開始")</x:f>
      </x:c>
      <x:c r="F148" s="27" t="str">
        <x:v>谷戸地形と樹林が残る横浜北部の静かな公園で、都市部から自然へ切り替える経由地になる。</x:v>
      </x:c>
      <x:c r="G148" s="27" t="str">
        <x:v>あり・普通車39台、有料</x:v>
      </x:c>
      <x:c r="H148" s="27" t="str">
        <x:v>駐車場は24時間運用情報あり</x:v>
      </x:c>
      <x:c r="I148" s="27" t="n">
        <x:v>3</x:v>
      </x:c>
      <x:c r="J148" s="27" t="n">
        <x:v>4</x:v>
      </x:c>
      <x:c r="K148" s="27" t="str">
        <x:v>夜間は暗い。主要園路のみ利用し、自然保護区域へ入らない。</x:v>
      </x:c>
      <x:c r="L148" s="28" t="n">
        <x:v>46232</x:v>
      </x:c>
      <x:c r="M148" s="27" t="str">
        <x:v>一次確認済</x:v>
      </x:c>
      <x:c r="N148" s="27" t="str">
        <x:v>https://www.city.yokohama.lg.jp/kurashi/machizukuri-kankyo/midori-koen/koen/koen/daihyoteki/kitahassaku_park.html</x:v>
      </x:c>
      <x:c r="O148" s="27" t="str">
        <x:v>『八朔』は旧暦8月1日を指し、地名には農村の年中行事や旧村名の記憶が残る場合がある。</x:v>
      </x:c>
      <x:c r="P148" s="94" t="e">
        <x:f>HYPERLINK("https://ja.wikipedia.org/wiki/Special:Search?search=%E5%8C%97%E5%85%AB%E6%9C%94%E5%85%AC%E5%9C%92","Wikipedia・関連項目")</x:f>
      </x:c>
      <x:c r="R148" t="str">
        <x:v>20〜25km</x:v>
      </x:c>
      <x:c r="S148" t="str">
        <x:v>概ね20〜25km</x:v>
      </x:c>
      <x:c r="T148" t="str">
        <x:v>通常40〜70分</x:v>
      </x:c>
      <x:c r="U148" t="str">
        <x:v>休日半日</x:v>
      </x:c>
      <x:c r="V148" t="str">
        <x:v>30〜90分</x:v>
      </x:c>
      <x:c r="W148" t="n">
        <x:v>1</x:v>
      </x:c>
      <x:c r="X148" t="n">
        <x:v>1</x:v>
      </x:c>
      <x:c r="Y148" t="str">
        <x:v>平和の森公園</x:v>
      </x:c>
      <x:c r="Z148" t="str">
        <x:v>大森ふるさとの浜辺公園／森ケ崎公園</x:v>
      </x:c>
      <x:c r="AA148" s="22" t="str">
        <x:v>なし</x:v>
      </x:c>
      <x:c r="AB148" s="22" t="str">
        <x:v>-</x:v>
      </x:c>
      <x:c r="AC148" s="22" t="str"/>
      <x:c r="AD148" s="22" t="str">
        <x:v>専用・路外駐車を基本</x:v>
      </x:c>
      <x:c r="AE148" s="22" t="str"/>
    </x:row>
    <x:row r="149">
      <x:c r="A149" s="27" t="str">
        <x:v>D148</x:v>
      </x:c>
      <x:c r="B149" s="27" t="str">
        <x:v>富津公園 明治百年記念展望塔</x:v>
      </x:c>
      <x:c r="C149" s="27" t="str">
        <x:v>千葉県富津市</x:v>
      </x:c>
      <x:c r="D149" s="27" t="str">
        <x:v>岬・展望塔・富士山</x:v>
      </x:c>
      <x:c r="E149" s="49" t="e">
        <x:f>HYPERLINK("https://www.google.com/maps/dir/?api=1&amp;destination=%E5%AF%8C%E6%B4%A5%E5%85%AC%E5%9C%92%20%E6%98%8E%E6%B2%BB%E7%99%BE%E5%B9%B4%E8%A8%98%E5%BF%B5%E5%B1%95%E6%9C%9B%E5%A1%94&amp;travelmode=driving","現在地からナビ開始")</x:f>
      </x:c>
      <x:c r="F149" s="27" t="str">
        <x:v>東京湾に突き出す砂州の先端で、三浦半島・富士山・湾内航路を一望できる強いEnding。</x:v>
      </x:c>
      <x:c r="G149" s="27" t="str">
        <x:v>あり・無料駐車場</x:v>
      </x:c>
      <x:c r="H149" s="27" t="str">
        <x:v>公園は常時利用可、施設は個別時間</x:v>
      </x:c>
      <x:c r="I149" s="27" t="n">
        <x:v>5</x:v>
      </x:c>
      <x:c r="J149" s="27" t="n">
        <x:v>2</x:v>
      </x:c>
      <x:c r="K149" s="27" t="str">
        <x:v>強風・荒天時は展望塔に上らない。砂浜への車両乗入禁止。</x:v>
      </x:c>
      <x:c r="L149" s="28" t="n">
        <x:v>46232</x:v>
      </x:c>
      <x:c r="M149" s="27" t="str">
        <x:v>一次確認済</x:v>
      </x:c>
      <x:c r="N149" s="27" t="str">
        <x:v>https://www.cue-net.or.jp/kouen/futtsu/index.html</x:v>
      </x:c>
      <x:c r="O149" s="27" t="str">
        <x:v>富津岬は東京湾へ伸びる砂州で、幕末から近代にかけて海防上の重要地点でもあった。</x:v>
      </x:c>
      <x:c r="P149" s="94" t="e">
        <x:f>HYPERLINK("https://ja.wikipedia.org/wiki/Special:Search?search=%E5%AF%8C%E6%B4%A5%E5%85%AC%E5%9C%92%20%E6%98%8E%E6%B2%BB%E7%99%BE%E5%B9%B4%E8%A8%98%E5%BF%B5%E5%B1%95%E6%9C%9B%E5%A1%94","Wikipedia・関連項目")</x:f>
      </x:c>
      <x:c r="R149" t="str">
        <x:v>35km超</x:v>
      </x:c>
      <x:c r="S149" t="str">
        <x:v>概ね35km超</x:v>
      </x:c>
      <x:c r="T149" t="str">
        <x:v>通常90分超</x:v>
      </x:c>
      <x:c r="U149" t="str">
        <x:v>平日夜・深夜</x:v>
      </x:c>
      <x:c r="V149" t="str">
        <x:v>30〜60分</x:v>
      </x:c>
      <x:c r="W149" t="n">
        <x:v>2</x:v>
      </x:c>
      <x:c r="X149" t="n">
        <x:v>1</x:v>
      </x:c>
      <x:c r="Y149" t="str">
        <x:v>羽田空港 第3ターミナル展望デッキ</x:v>
      </x:c>
      <x:c r="Z149" t="str">
        <x:v>城南島海浜公園／潮風公園</x:v>
      </x:c>
      <x:c r="AA149" s="22" t="str">
        <x:v>なし</x:v>
      </x:c>
      <x:c r="AB149" s="22" t="str">
        <x:v>-</x:v>
      </x:c>
      <x:c r="AC149" s="22" t="str"/>
      <x:c r="AD149" s="22" t="str">
        <x:v>専用・路外駐車を基本</x:v>
      </x:c>
      <x:c r="AE149" s="22" t="str"/>
    </x:row>
    <x:row r="150">
      <x:c r="A150" s="27" t="str">
        <x:v>D149</x:v>
      </x:c>
      <x:c r="B150" s="27" t="str">
        <x:v>久里浜1丁目第2公園</x:v>
      </x:c>
      <x:c r="C150" s="27" t="str">
        <x:v>横須賀市・久里浜</x:v>
      </x:c>
      <x:c r="D150" s="27" t="str">
        <x:v>鉄道・展望デッキ・Story</x:v>
      </x:c>
      <x:c r="E150" s="49" t="e">
        <x:f>HYPERLINK("https://www.google.com/maps/dir/?api=1&amp;destination=%E4%B9%85%E9%87%8C%E6%B5%9C1%E4%B8%81%E7%9B%AE%E7%AC%AC2%E5%85%AC%E5%9C%92&amp;travelmode=driving","現在地からナビ開始")</x:f>
      </x:c>
      <x:c r="F150" s="27" t="str">
        <x:v>公園の展望デッキから走行車両を間近に見られ、鉄道好き向けの短時間経由地になる。</x:v>
      </x:c>
      <x:c r="G150" s="27" t="str">
        <x:v>あり・15台、無料</x:v>
      </x:c>
      <x:c r="H150" s="27" t="str">
        <x:v>駐車場 9:00～16:00</x:v>
      </x:c>
      <x:c r="I150" s="27" t="n">
        <x:v>1</x:v>
      </x:c>
      <x:c r="J150" s="27" t="n">
        <x:v>5</x:v>
      </x:c>
      <x:c r="K150" s="27" t="str">
        <x:v>16時閉鎖。小規模駐車場のため満車時は通過。線路・道路へ近づかない。</x:v>
      </x:c>
      <x:c r="L150" s="28" t="n">
        <x:v>46232</x:v>
      </x:c>
      <x:c r="M150" s="27" t="str">
        <x:v>一次確認済</x:v>
      </x:c>
      <x:c r="N150" s="27" t="str">
        <x:v>https://www.city.yokosuka.kanagawa.jp/5560/kouen/kurihama1dai2.html</x:v>
      </x:c>
      <x:c r="O150" s="27" t="str">
        <x:v>久里浜はペリー艦隊上陸の地として知られ、近代日本開国のStory Layerが強い地域。</x:v>
      </x:c>
      <x:c r="P150" s="94" t="e">
        <x:f>HYPERLINK("https://ja.wikipedia.org/wiki/Special:Search?search=%E4%B9%85%E9%87%8C%E6%B5%9C1%E4%B8%81%E7%9B%AE%E7%AC%AC2%E5%85%AC%E5%9C%92","Wikipedia・関連項目")</x:f>
      </x:c>
      <x:c r="R150" t="str">
        <x:v>35km超</x:v>
      </x:c>
      <x:c r="S150" t="str">
        <x:v>概ね35km超</x:v>
      </x:c>
      <x:c r="T150" t="str">
        <x:v>通常90分超</x:v>
      </x:c>
      <x:c r="U150" t="str">
        <x:v>Story</x:v>
      </x:c>
      <x:c r="V150" t="str">
        <x:v>30〜60分</x:v>
      </x:c>
      <x:c r="W150" t="n">
        <x:v>3</x:v>
      </x:c>
      <x:c r="X150" t="n">
        <x:v>1</x:v>
      </x:c>
      <x:c r="Y150" t="str">
        <x:v>羽田空港 第3ターミナル展望デッキ</x:v>
      </x:c>
      <x:c r="Z150" t="str">
        <x:v>城南島海浜公園／潮風公園</x:v>
      </x:c>
      <x:c r="AA150" s="22" t="str">
        <x:v>なし</x:v>
      </x:c>
      <x:c r="AB150" s="22" t="str">
        <x:v>-</x:v>
      </x:c>
      <x:c r="AC150" s="22" t="str"/>
      <x:c r="AD150" s="22" t="str">
        <x:v>専用・路外駐車を基本</x:v>
      </x:c>
      <x:c r="AE150" s="22" t="str"/>
    </x:row>
    <x:row r="151">
      <x:c r="A151" s="27" t="str">
        <x:v>D150</x:v>
      </x:c>
      <x:c r="B151" s="27" t="str">
        <x:v>古代蓮の里・行田タワー</x:v>
      </x:c>
      <x:c r="C151" s="27" t="str">
        <x:v>埼玉県行田市</x:v>
      </x:c>
      <x:c r="D151" s="27" t="str">
        <x:v>古代蓮・展望塔・田園</x:v>
      </x:c>
      <x:c r="E151" s="49" t="e">
        <x:f>HYPERLINK("https://www.google.com/maps/dir/?api=1&amp;destination=%E5%8F%A4%E4%BB%A3%E8%93%AE%E3%81%AE%E9%87%8C%E3%83%BB%E8%A1%8C%E7%94%B0%E3%82%BF%E3%83%AF%E3%83%BC&amp;travelmode=driving","現在地からナビ開始")</x:f>
      </x:c>
      <x:c r="F151" s="27" t="str">
        <x:v>田園地帯に現れる展望塔と古代蓮が特徴で、季節限定ながら強い到達感がある。</x:v>
      </x:c>
      <x:c r="G151" s="27" t="str">
        <x:v>あり・大型駐車場、蓮期有料</x:v>
      </x:c>
      <x:c r="H151" s="27" t="str">
        <x:v>開館・駐車有料期間は年度ごとに公式確認</x:v>
      </x:c>
      <x:c r="I151" s="27" t="n">
        <x:v>2</x:v>
      </x:c>
      <x:c r="J151" s="27" t="n">
        <x:v>2</x:v>
      </x:c>
      <x:c r="K151" s="27" t="str">
        <x:v>蓮期の土日祝は大混雑。早朝利用時は周辺住宅へ配慮。</x:v>
      </x:c>
      <x:c r="L151" s="28" t="n">
        <x:v>46232</x:v>
      </x:c>
      <x:c r="M151" s="27" t="str">
        <x:v>当日再確認</x:v>
      </x:c>
      <x:c r="N151" s="27" t="str">
        <x:v>https://www.city.gyoda.lg.jp/soshiki/toshiseibibu/toshi_keikaku/oshirase/11308.html</x:v>
      </x:c>
      <x:c r="O151" s="27" t="str">
        <x:v>行田の古代蓮は公共工事で掘り出された地層の種子が発芽したことから『古代蓮』と呼ばれる。</x:v>
      </x:c>
      <x:c r="P151" s="94" t="e">
        <x:f>HYPERLINK("https://ja.wikipedia.org/wiki/Special:Search?search=%E5%8F%A4%E4%BB%A3%E8%93%AE%E3%81%AE%E9%87%8C%E3%83%BB%E8%A1%8C%E7%94%B0%E3%82%BF%E3%83%AF%E3%83%BC","Wikipedia・関連項目")</x:f>
      </x:c>
      <x:c r="R151" t="str">
        <x:v>35km超</x:v>
      </x:c>
      <x:c r="S151" t="str">
        <x:v>概ね35km超</x:v>
      </x:c>
      <x:c r="T151" t="str">
        <x:v>通常90分超</x:v>
      </x:c>
      <x:c r="U151" t="str">
        <x:v>休日半日</x:v>
      </x:c>
      <x:c r="V151" t="str">
        <x:v>30〜60分</x:v>
      </x:c>
      <x:c r="W151" t="n">
        <x:v>2</x:v>
      </x:c>
      <x:c r="X151" t="n">
        <x:v>1</x:v>
      </x:c>
      <x:c r="Y151" t="str">
        <x:v>羽田空港 第3ターミナル展望デッキ</x:v>
      </x:c>
      <x:c r="Z151" t="str">
        <x:v>城南島海浜公園／潮風公園</x:v>
      </x:c>
      <x:c r="AA151" s="22" t="str">
        <x:v>なし</x:v>
      </x:c>
      <x:c r="AB151" s="22" t="str">
        <x:v>-</x:v>
      </x:c>
      <x:c r="AC151" s="22" t="str"/>
      <x:c r="AD151" s="22" t="str">
        <x:v>専用・路外駐車を基本</x:v>
      </x:c>
      <x:c r="AE151" s="22" t="str"/>
    </x:row>
    <x:row r="152">
      <x:c r="A152" s="27" t="str">
        <x:v>D151</x:v>
      </x:c>
      <x:c r="B152" s="27" t="str">
        <x:v>美の山公園</x:v>
      </x:c>
      <x:c r="C152" s="27" t="str">
        <x:v>埼玉県秩父市・皆野町</x:v>
      </x:c>
      <x:c r="D152" s="27" t="str">
        <x:v>山頂・夜景・雲海</x:v>
      </x:c>
      <x:c r="E152" s="49" t="e">
        <x:f>HYPERLINK("https://www.google.com/maps/dir/?api=1&amp;destination=%E7%BE%8E%E3%81%AE%E5%B1%B1%E5%85%AC%E5%9C%92&amp;travelmode=driving","現在地からナビ開始")</x:f>
      </x:c>
      <x:c r="F152" s="27" t="str">
        <x:v>山頂近くまで車で上がれ、秩父盆地の夜景や条件次第で雲海を狙える特別枠。</x:v>
      </x:c>
      <x:c r="G152" s="27" t="str">
        <x:v>あり・3駐車場、無料</x:v>
      </x:c>
      <x:c r="H152" s="27" t="str">
        <x:v>公園・駐車場 常時開放</x:v>
      </x:c>
      <x:c r="I152" s="27" t="n">
        <x:v>5</x:v>
      </x:c>
      <x:c r="J152" s="27" t="n">
        <x:v>3</x:v>
      </x:c>
      <x:c r="K152" s="27" t="str">
        <x:v>大田区から概ね70km圏をやや超える特別枠。夜間照明なし、凍結・霧・野生動物に注意。</x:v>
      </x:c>
      <x:c r="L152" s="28" t="n">
        <x:v>46232</x:v>
      </x:c>
      <x:c r="M152" s="27" t="str">
        <x:v>一次確認済</x:v>
      </x:c>
      <x:c r="N152" s="27" t="str">
        <x:v>https://www.pref.saitama.lg.jp/b0504/minoyamakouen-top/riyou.html</x:v>
      </x:c>
      <x:c r="O152" s="27" t="str">
        <x:v>標高586.9mの独立峰で、秩父盆地を見下ろす夜景・雲海地点として知られる。</x:v>
      </x:c>
      <x:c r="P152" s="94" t="e">
        <x:f>HYPERLINK("https://ja.wikipedia.org/wiki/Special:Search?search=%E7%BE%8E%E3%81%AE%E5%B1%B1%E5%85%AC%E5%9C%92","Wikipedia・関連項目")</x:f>
      </x:c>
      <x:c r="R152" t="str">
        <x:v>35km超</x:v>
      </x:c>
      <x:c r="S152" t="str">
        <x:v>概ね35km超</x:v>
      </x:c>
      <x:c r="T152" t="str">
        <x:v>通常90分超</x:v>
      </x:c>
      <x:c r="U152" t="str">
        <x:v>海・港</x:v>
      </x:c>
      <x:c r="V152" t="str">
        <x:v>30〜60分</x:v>
      </x:c>
      <x:c r="W152" t="n">
        <x:v>1</x:v>
      </x:c>
      <x:c r="X152" t="n">
        <x:v>3</x:v>
      </x:c>
      <x:c r="Y152" t="str">
        <x:v>城南島海浜公園</x:v>
      </x:c>
      <x:c r="Z152" t="str">
        <x:v>潮風公園／晴海ふ頭公園</x:v>
      </x:c>
      <x:c r="AA152" s="22" t="str">
        <x:v>なし</x:v>
      </x:c>
      <x:c r="AB152" s="22" t="str">
        <x:v>-</x:v>
      </x:c>
      <x:c r="AC152" s="22" t="str"/>
      <x:c r="AD152" s="22" t="str">
        <x:v>専用・路外駐車を基本</x:v>
      </x:c>
      <x:c r="AE152" s="22" t="str"/>
    </x:row>
    <x:row r="153">
      <x:c r="A153" s="27" t="str">
        <x:v>D152</x:v>
      </x:c>
      <x:c r="B153" s="27" t="str">
        <x:v>府中の森公園</x:v>
      </x:c>
      <x:c r="C153" s="27" t="str">
        <x:v>府中市・浅間町</x:v>
      </x:c>
      <x:c r="D153" s="27" t="str">
        <x:v>並木・文化施設・24時間駐車</x:v>
      </x:c>
      <x:c r="E153" s="49" t="e">
        <x:f>HYPERLINK("https://www.google.com/maps/dir/?api=1&amp;destination=%E5%BA%9C%E4%B8%AD%E3%81%AE%E6%A3%AE%E5%85%AC%E5%9C%92&amp;travelmode=driving","現在地からナビ開始")</x:f>
      </x:c>
      <x:c r="F153" s="27" t="str">
        <x:v>整った並木と文化施設があり、西東京の夜間休憩地点として安定する。</x:v>
      </x:c>
      <x:c r="G153" s="27" t="str">
        <x:v>あり・有料・24時間</x:v>
      </x:c>
      <x:c r="H153" s="27" t="str">
        <x:v>公園常時／駐車場24時間</x:v>
      </x:c>
      <x:c r="I153" s="27" t="n">
        <x:v>4</x:v>
      </x:c>
      <x:c r="J153" s="27" t="n">
        <x:v>3</x:v>
      </x:c>
      <x:c r="K153" s="27" t="str">
        <x:v>イベント時は駐車場混雑。住宅地に近いため夜間は静粛に利用。</x:v>
      </x:c>
      <x:c r="L153" s="28" t="n">
        <x:v>46232</x:v>
      </x:c>
      <x:c r="M153" s="27" t="str">
        <x:v>一次確認済</x:v>
      </x:c>
      <x:c r="N153" s="27" t="str">
        <x:v>https://www.tokyo-park.or.jp/park/fuchunomori/index.html</x:v>
      </x:c>
      <x:c r="O153" s="27" t="str">
        <x:v>周辺は旧米軍府中基地跡地を含む公共施設集積地で、戦後の土地利用転換を感じられる。</x:v>
      </x:c>
      <x:c r="P153" s="94" t="e">
        <x:f>HYPERLINK("https://ja.wikipedia.org/wiki/Special:Search?search=%E5%BA%9C%E4%B8%AD%E3%81%AE%E6%A3%AE%E5%85%AC%E5%9C%92","Wikipedia・関連項目")</x:f>
      </x:c>
      <x:c r="Q153" t="str">
        <x:v>2026-07-29公式再確認：駐車場24時間営業を反映。</x:v>
      </x:c>
      <x:c r="R153" t="str">
        <x:v>20〜25km</x:v>
      </x:c>
      <x:c r="S153" t="str">
        <x:v>概ね20〜25km</x:v>
      </x:c>
      <x:c r="T153" t="str">
        <x:v>通常40〜70分</x:v>
      </x:c>
      <x:c r="U153" t="str">
        <x:v>平日夜・深夜</x:v>
      </x:c>
      <x:c r="V153" t="str">
        <x:v>30〜60分</x:v>
      </x:c>
      <x:c r="W153" t="n">
        <x:v>2</x:v>
      </x:c>
      <x:c r="X153" t="n">
        <x:v>1</x:v>
      </x:c>
      <x:c r="Y153" t="str">
        <x:v>羽田空港 第3ターミナル展望デッキ</x:v>
      </x:c>
      <x:c r="Z153" t="str">
        <x:v>城南島海浜公園／潮風公園</x:v>
      </x:c>
      <x:c r="AA153" s="22" t="str">
        <x:v>なし</x:v>
      </x:c>
      <x:c r="AB153" s="22" t="str">
        <x:v>-</x:v>
      </x:c>
      <x:c r="AC153" s="22" t="str"/>
      <x:c r="AD153" s="22" t="str">
        <x:v>専用・路外駐車を基本</x:v>
      </x:c>
      <x:c r="AE153" s="22" t="str"/>
    </x:row>
    <x:row r="154">
      <x:c r="A154" s="27" t="str">
        <x:v>D153</x:v>
      </x:c>
      <x:c r="B154" s="27" t="str">
        <x:v>王禅寺ふるさと公園</x:v>
      </x:c>
      <x:c r="C154" s="27" t="str">
        <x:v>川崎市・麻生区</x:v>
      </x:c>
      <x:c r="D154" s="27" t="str">
        <x:v>里山・展望広場・水景</x:v>
      </x:c>
      <x:c r="E154" s="49" t="e">
        <x:f>HYPERLINK("https://www.google.com/maps/dir/?api=1&amp;destination=%E7%8E%8B%E7%A6%85%E5%AF%BA%E3%81%B5%E3%82%8B%E3%81%95%E3%81%A8%E5%85%AC%E5%9C%92&amp;travelmode=driving","現在地からナビ開始")</x:f>
      </x:c>
      <x:c r="F154" s="27" t="str">
        <x:v>里山、池、展望広場がまとまり、川崎北部で静かな昼～夕方Endingになる。</x:v>
      </x:c>
      <x:c r="G154" s="27" t="str">
        <x:v>あり・63台、有料</x:v>
      </x:c>
      <x:c r="H154" s="27" t="str">
        <x:v>4～10月 入庫8:30～17:00、出庫20:00／冬季短縮</x:v>
      </x:c>
      <x:c r="I154" s="27" t="n">
        <x:v>2</x:v>
      </x:c>
      <x:c r="J154" s="27" t="n">
        <x:v>4</x:v>
      </x:c>
      <x:c r="K154" s="27" t="str">
        <x:v>季節で出庫時刻が違う。キャンプ・固定式テント禁止。</x:v>
      </x:c>
      <x:c r="L154" s="28" t="n">
        <x:v>46232</x:v>
      </x:c>
      <x:c r="M154" s="27" t="str">
        <x:v>一次確認済</x:v>
      </x:c>
      <x:c r="N154" s="27" t="str">
        <x:v>https://www.city.kawasaki.jp/530/page/0000018566.html</x:v>
      </x:c>
      <x:c r="O154" s="27" t="str">
        <x:v>王禅寺の地名は地域の古刹・王禅寺に由来し、周辺には多摩丘陵の里山地形が残る。</x:v>
      </x:c>
      <x:c r="P154" s="94" t="e">
        <x:f>HYPERLINK("https://ja.wikipedia.org/wiki/Special:Search?search=%E7%8E%8B%E7%A6%85%E5%AF%BA%E3%81%B5%E3%82%8B%E3%81%95%E3%81%A8%E5%85%AC%E5%9C%92","Wikipedia・関連項目")</x:f>
      </x:c>
      <x:c r="R154" t="str">
        <x:v>35km超</x:v>
      </x:c>
      <x:c r="S154" t="str">
        <x:v>概ね35km超</x:v>
      </x:c>
      <x:c r="T154" t="str">
        <x:v>通常90分超</x:v>
      </x:c>
      <x:c r="U154" t="str">
        <x:v>休日半日</x:v>
      </x:c>
      <x:c r="V154" t="str">
        <x:v>30〜60分</x:v>
      </x:c>
      <x:c r="W154" t="n">
        <x:v>2</x:v>
      </x:c>
      <x:c r="X154" t="n">
        <x:v>1</x:v>
      </x:c>
      <x:c r="Y154" t="str">
        <x:v>羽田空港 第3ターミナル展望デッキ</x:v>
      </x:c>
      <x:c r="Z154" t="str">
        <x:v>城南島海浜公園／潮風公園</x:v>
      </x:c>
      <x:c r="AA154" s="22" t="str">
        <x:v>なし</x:v>
      </x:c>
      <x:c r="AB154" s="22" t="str">
        <x:v>-</x:v>
      </x:c>
      <x:c r="AC154" s="22" t="str"/>
      <x:c r="AD154" s="22" t="str">
        <x:v>専用・路外駐車を基本</x:v>
      </x:c>
      <x:c r="AE154" s="22" t="str"/>
    </x:row>
    <x:row r="155">
      <x:c r="A155" s="27" t="str">
        <x:v>D154</x:v>
      </x:c>
      <x:c r="B155" s="27" t="str">
        <x:v>神代植物公園・深大寺</x:v>
      </x:c>
      <x:c r="C155" s="27" t="str">
        <x:v>調布市・深大寺</x:v>
      </x:c>
      <x:c r="D155" s="27" t="str">
        <x:v>植物園・寺社・Story</x:v>
      </x:c>
      <x:c r="E155" s="49" t="e">
        <x:f>HYPERLINK("https://www.google.com/maps/dir/?api=1&amp;destination=%E7%A5%9E%E4%BB%A3%E6%A4%8D%E7%89%A9%E5%85%AC%E5%9C%92%E3%83%BB%E6%B7%B1%E5%A4%A7%E5%AF%BA&amp;travelmode=driving","現在地からナビ開始")</x:f>
      </x:c>
      <x:c r="F155" s="27" t="str">
        <x:v>植物園と深大寺の門前町を組み合わせられ、季節景観と歴史を一度に楽しめる。</x:v>
      </x:c>
      <x:c r="G155" s="27" t="str">
        <x:v>あり・第1/第2駐車場、有料</x:v>
      </x:c>
      <x:c r="H155" s="27" t="str">
        <x:v>駐車場 24時間／植物園は日中開園</x:v>
      </x:c>
      <x:c r="I155" s="27" t="n">
        <x:v>3</x:v>
      </x:c>
      <x:c r="J155" s="27" t="n">
        <x:v>2</x:v>
      </x:c>
      <x:c r="K155" s="27" t="str">
        <x:v>植物園閉園後は深大寺周辺散策のみ。行楽期は満車。</x:v>
      </x:c>
      <x:c r="L155" s="28" t="n">
        <x:v>46232</x:v>
      </x:c>
      <x:c r="M155" s="27" t="str">
        <x:v>一次確認済</x:v>
      </x:c>
      <x:c r="N155" s="27" t="str">
        <x:v>https://www.tokyo-park.or.jp/park/jindai/index.html</x:v>
      </x:c>
      <x:c r="O155" s="27" t="str">
        <x:v>深大寺は東京都内では浅草寺に次ぐ古刹とされ、門前の深大寺そばでも知られる。</x:v>
      </x:c>
      <x:c r="P155" s="94" t="e">
        <x:f>HYPERLINK("https://ja.wikipedia.org/wiki/Special:Search?search=%E7%A5%9E%E4%BB%A3%E6%A4%8D%E7%89%A9%E5%85%AC%E5%9C%92%E3%83%BB%E6%B7%B1%E5%A4%A7%E5%AF%BA","Wikipedia・関連項目")</x:f>
      </x:c>
      <x:c r="R155" t="str">
        <x:v>20〜25km</x:v>
      </x:c>
      <x:c r="S155" t="str">
        <x:v>概ね20〜25km</x:v>
      </x:c>
      <x:c r="T155" t="str">
        <x:v>通常40〜70分</x:v>
      </x:c>
      <x:c r="U155" t="str">
        <x:v>Story</x:v>
      </x:c>
      <x:c r="V155" t="str">
        <x:v>60〜150分</x:v>
      </x:c>
      <x:c r="W155" t="n">
        <x:v>2</x:v>
      </x:c>
      <x:c r="X155" t="n">
        <x:v>1</x:v>
      </x:c>
      <x:c r="Y155" t="str">
        <x:v>羽田空港 第3ターミナル展望デッキ</x:v>
      </x:c>
      <x:c r="Z155" t="str">
        <x:v>城南島海浜公園／潮風公園</x:v>
      </x:c>
      <x:c r="AA155" s="22" t="str">
        <x:v>なし</x:v>
      </x:c>
      <x:c r="AB155" s="22" t="str">
        <x:v>-</x:v>
      </x:c>
      <x:c r="AC155" s="22" t="str"/>
      <x:c r="AD155" s="22" t="str">
        <x:v>専用・路外駐車を基本</x:v>
      </x:c>
      <x:c r="AE155" s="22" t="str"/>
    </x:row>
    <x:row r="156">
      <x:c r="A156" s="27" t="str">
        <x:v>D155</x:v>
      </x:c>
      <x:c r="B156" s="27" t="str">
        <x:v>横浜市児童遊園地</x:v>
      </x:c>
      <x:c r="C156" s="27" t="str">
        <x:v>横浜市・保土ケ谷区</x:v>
      </x:c>
      <x:c r="D156" s="27" t="str">
        <x:v>梅林・丘陵・24時間駐車</x:v>
      </x:c>
      <x:c r="E156" s="49" t="e">
        <x:f>HYPERLINK("https://www.google.com/maps/dir/?api=1&amp;destination=%E6%A8%AA%E6%B5%9C%E5%B8%82%E5%85%90%E7%AB%A5%E9%81%8A%E5%9C%92%E5%9C%B0&amp;travelmode=driving","現在地からナビ開始")</x:f>
      </x:c>
      <x:c r="F156" s="27" t="str">
        <x:v>丘陵地の梅林と広場があり、横浜内陸の夜間・早朝休憩地点として使える。</x:v>
      </x:c>
      <x:c r="G156" s="27" t="str">
        <x:v>あり・50台、有料</x:v>
      </x:c>
      <x:c r="H156" s="27" t="str">
        <x:v>駐車場 24時間</x:v>
      </x:c>
      <x:c r="I156" s="27" t="n">
        <x:v>4</x:v>
      </x:c>
      <x:c r="J156" s="27" t="n">
        <x:v>4</x:v>
      </x:c>
      <x:c r="K156" s="27" t="str">
        <x:v>夜は園内が暗い。梅の季節は混雑し、環境活動施設の利用時間は別。</x:v>
      </x:c>
      <x:c r="L156" s="28" t="n">
        <x:v>46232</x:v>
      </x:c>
      <x:c r="M156" s="27" t="str">
        <x:v>一次確認済</x:v>
      </x:c>
      <x:c r="N156" s="27" t="str">
        <x:v>https://www.city.yokohama.lg.jp/kurashi/machizukuri-kankyo/nochi/center/map/parking.html</x:v>
      </x:c>
      <x:c r="O156" s="27" t="str">
        <x:v>横浜の丘陵部には谷戸と雑木林が多く残り、都市近郊農業や里山保全の舞台になってきた。</x:v>
      </x:c>
      <x:c r="P156" s="94" t="e">
        <x:f>HYPERLINK("https://ja.wikipedia.org/wiki/Special:Search?search=%E6%A8%AA%E6%B5%9C%E5%B8%82%E5%85%90%E7%AB%A5%E9%81%8A%E5%9C%92%E5%9C%B0","Wikipedia・関連項目")</x:f>
      </x:c>
      <x:c r="R156" t="str">
        <x:v>35km超</x:v>
      </x:c>
      <x:c r="S156" t="str">
        <x:v>概ね35km超</x:v>
      </x:c>
      <x:c r="T156" t="str">
        <x:v>通常90分超</x:v>
      </x:c>
      <x:c r="U156" t="str">
        <x:v>平日夜・深夜</x:v>
      </x:c>
      <x:c r="V156" t="str">
        <x:v>30〜60分</x:v>
      </x:c>
      <x:c r="W156" t="n">
        <x:v>2</x:v>
      </x:c>
      <x:c r="X156" t="n">
        <x:v>1</x:v>
      </x:c>
      <x:c r="Y156" t="str">
        <x:v>羽田空港 第3ターミナル展望デッキ</x:v>
      </x:c>
      <x:c r="Z156" t="str">
        <x:v>城南島海浜公園／潮風公園</x:v>
      </x:c>
      <x:c r="AA156" s="22" t="str">
        <x:v>なし</x:v>
      </x:c>
      <x:c r="AB156" s="22" t="str">
        <x:v>-</x:v>
      </x:c>
      <x:c r="AC156" s="22" t="str"/>
      <x:c r="AD156" s="22" t="str">
        <x:v>専用・路外駐車を基本</x:v>
      </x:c>
      <x:c r="AE156" s="22" t="str"/>
    </x:row>
    <x:row r="157">
      <x:c r="A157" s="27" t="str">
        <x:v>D156</x:v>
      </x:c>
      <x:c r="B157" s="27" t="str">
        <x:v>稲田公園</x:v>
      </x:c>
      <x:c r="C157" s="27" t="str">
        <x:v>川崎市・多摩区</x:v>
      </x:c>
      <x:c r="D157" s="27" t="str">
        <x:v>多摩川・くじら遊具・近距離</x:v>
      </x:c>
      <x:c r="E157" s="49" t="e">
        <x:f>HYPERLINK("https://www.google.com/maps/dir/?api=1&amp;destination=%E7%A8%B2%E7%94%B0%E5%85%AC%E5%9C%92&amp;travelmode=driving","現在地からナビ開始")</x:f>
      </x:c>
      <x:c r="F157" s="27" t="str">
        <x:v>多摩川沿いの開放感と象徴的なくじらモニュメントがあり、近距離のStory系公園になる。</x:v>
      </x:c>
      <x:c r="G157" s="27" t="str">
        <x:v>あり・約32台、有料</x:v>
      </x:c>
      <x:c r="H157" s="27" t="str">
        <x:v>利用時間は駐車場掲示を当日確認</x:v>
      </x:c>
      <x:c r="I157" s="27" t="n">
        <x:v>3</x:v>
      </x:c>
      <x:c r="J157" s="27" t="n">
        <x:v>4</x:v>
      </x:c>
      <x:c r="K157" s="27" t="str">
        <x:v>河川増水時は避ける。夏季プール営業日は混雑。</x:v>
      </x:c>
      <x:c r="L157" s="28" t="n">
        <x:v>46232</x:v>
      </x:c>
      <x:c r="M157" s="27" t="str">
        <x:v>当日再確認</x:v>
      </x:c>
      <x:c r="N157" s="27" t="str">
        <x:v>https://www.city.kawasaki.jp/530/cmsfiles/contents/0000109/109446/syoukai.pdf</x:v>
      </x:c>
      <x:c r="O157" s="27" t="str">
        <x:v>稲田堤は多摩川の堤防と渡河の歴史を背景に発展し、現在も河川景観が地域の骨格。</x:v>
      </x:c>
      <x:c r="P157" s="94" t="e">
        <x:f>HYPERLINK("https://ja.wikipedia.org/wiki/Special:Search?search=%E7%A8%B2%E7%94%B0%E5%85%AC%E5%9C%92","Wikipedia・関連項目")</x:f>
      </x:c>
      <x:c r="R157" t="str">
        <x:v>20〜25km</x:v>
      </x:c>
      <x:c r="S157" t="str">
        <x:v>概ね20〜25km</x:v>
      </x:c>
      <x:c r="T157" t="str">
        <x:v>通常40〜70分</x:v>
      </x:c>
      <x:c r="U157" t="str">
        <x:v>休日半日</x:v>
      </x:c>
      <x:c r="V157" t="str">
        <x:v>30〜60分</x:v>
      </x:c>
      <x:c r="W157" t="n">
        <x:v>2</x:v>
      </x:c>
      <x:c r="X157" t="n">
        <x:v>1</x:v>
      </x:c>
      <x:c r="Y157" t="str">
        <x:v>羽田空港 第3ターミナル展望デッキ</x:v>
      </x:c>
      <x:c r="Z157" t="str">
        <x:v>城南島海浜公園／潮風公園</x:v>
      </x:c>
      <x:c r="AA157" s="22" t="str">
        <x:v>なし</x:v>
      </x:c>
      <x:c r="AB157" s="22" t="str">
        <x:v>-</x:v>
      </x:c>
      <x:c r="AC157" s="22" t="str"/>
      <x:c r="AD157" s="22" t="str">
        <x:v>専用・路外駐車を基本</x:v>
      </x:c>
      <x:c r="AE157" s="22" t="str"/>
    </x:row>
    <x:row r="158">
      <x:c r="A158" s="27" t="str">
        <x:v>D157</x:v>
      </x:c>
      <x:c r="B158" s="27" t="str">
        <x:v>川崎市役所 展望ロビー・スカイデッキ</x:v>
      </x:c>
      <x:c r="C158" s="27" t="str">
        <x:v>川崎市・川崎区</x:v>
      </x:c>
      <x:c r="D158" s="27" t="str">
        <x:v>市役所・展望・都市史</x:v>
      </x:c>
      <x:c r="E158" s="49" t="e">
        <x:f>HYPERLINK("https://www.google.com/maps/dir/?api=1&amp;destination=%E5%B7%9D%E5%B4%8E%E5%B8%82%E5%BD%B9%E6%89%80%20%E5%B1%95%E6%9C%9B%E3%83%AD%E3%83%93%E3%83%BC%E3%83%BB%E3%82%B9%E3%82%AB%E3%82%A4%E3%83%87%E3%83%83%E3%82%AD&amp;travelmode=driving","現在地からナビ開始")</x:f>
      </x:c>
      <x:c r="F158" s="27" t="str">
        <x:v>無料の高層展望から川崎・東京・横浜方面を一望し、旧庁舎復元部の歴史展示も見られる。</x:v>
      </x:c>
      <x:c r="G158" s="27" t="str">
        <x:v>本庁舎駐車場あり・展望利用は無料措置対象外</x:v>
      </x:c>
      <x:c r="H158" s="27" t="str">
        <x:v>展望フロア利用時間は公式最新情報確認</x:v>
      </x:c>
      <x:c r="I158" s="27" t="n">
        <x:v>4</x:v>
      </x:c>
      <x:c r="J158" s="27" t="n">
        <x:v>3</x:v>
      </x:c>
      <x:c r="K158" s="27" t="str">
        <x:v>駐車料金が発生。行政行事・荒天でスカイデッキ閉鎖あり。</x:v>
      </x:c>
      <x:c r="L158" s="28" t="n">
        <x:v>46232</x:v>
      </x:c>
      <x:c r="M158" s="27" t="str">
        <x:v>一次確認済</x:v>
      </x:c>
      <x:c r="N158" s="27" t="str">
        <x:v>https://www.city.kawasaki.jp/170/page/0000153797.html</x:v>
      </x:c>
      <x:c r="O158" s="27" t="str">
        <x:v>復元棟は旧川崎市役所本庁舎の象徴的外観を再現し、都市の記憶を新庁舎へ継承している。</x:v>
      </x:c>
      <x:c r="P158" s="94" t="e">
        <x:f>HYPERLINK("https://ja.wikipedia.org/wiki/Special:Search?search=%E5%B7%9D%E5%B4%8E%E5%B8%82%E5%BD%B9%E6%89%80%20%E5%B1%95%E6%9C%9B%E3%83%AD%E3%83%93%E3%83%BC%E3%83%BB%E3%82%B9%E3%82%AB%E3%82%A4%E3%83%87%E3%83%83%E3%82%AD","Wikipedia・関連項目")</x:f>
      </x:c>
      <x:c r="R158" t="str">
        <x:v>0〜10km</x:v>
      </x:c>
      <x:c r="S158" t="str">
        <x:v>概ね0〜10km</x:v>
      </x:c>
      <x:c r="T158" t="str">
        <x:v>通常10〜30分</x:v>
      </x:c>
      <x:c r="U158" t="str">
        <x:v>平日夜・深夜</x:v>
      </x:c>
      <x:c r="V158" t="str">
        <x:v>30〜60分</x:v>
      </x:c>
      <x:c r="W158" t="n">
        <x:v>2</x:v>
      </x:c>
      <x:c r="X158" t="n">
        <x:v>1</x:v>
      </x:c>
      <x:c r="Y158" t="str">
        <x:v>羽田空港 第3ターミナル展望デッキ</x:v>
      </x:c>
      <x:c r="Z158" t="str">
        <x:v>城南島海浜公園／潮風公園</x:v>
      </x:c>
      <x:c r="AA158" s="22" t="str">
        <x:v>なし</x:v>
      </x:c>
      <x:c r="AB158" s="22" t="str">
        <x:v>-</x:v>
      </x:c>
      <x:c r="AC158" s="22" t="str"/>
      <x:c r="AD158" s="22" t="str">
        <x:v>専用・路外駐車を基本</x:v>
      </x:c>
      <x:c r="AE158" s="22" t="str"/>
    </x:row>
    <x:row r="159">
      <x:c r="A159" s="27" t="str">
        <x:v>D158</x:v>
      </x:c>
      <x:c r="B159" s="27" t="str">
        <x:v>東京湾観音</x:v>
      </x:c>
      <x:c r="C159" s="27" t="str">
        <x:v>千葉県富津市・小久保</x:v>
      </x:c>
      <x:c r="D159" s="27" t="str">
        <x:v>巨大仏・高台・東京湾</x:v>
      </x:c>
      <x:c r="E159" s="49" t="e">
        <x:f>HYPERLINK("https://www.google.com/maps/dir/?api=1&amp;destination=%E6%9D%B1%E4%BA%AC%E6%B9%BE%E8%A6%B3%E9%9F%B3&amp;travelmode=driving","現在地からナビ開始")</x:f>
      </x:c>
      <x:c r="F159" s="27" t="str">
        <x:v>高さ56mの観音像内部を上り、東京湾と房総丘陵を眺める独特のStory Ending。</x:v>
      </x:c>
      <x:c r="G159" s="27" t="str">
        <x:v>あり・普通車50台、無料</x:v>
      </x:c>
      <x:c r="H159" s="27" t="str">
        <x:v>8:00～17:00、受付16:00まで／木曜休</x:v>
      </x:c>
      <x:c r="I159" s="27" t="n">
        <x:v>2</x:v>
      </x:c>
      <x:c r="J159" s="27" t="n">
        <x:v>4</x:v>
      </x:c>
      <x:c r="K159" s="27" t="str">
        <x:v>階段が多い。強風・荒天・定休日を確認。</x:v>
      </x:c>
      <x:c r="L159" s="28" t="n">
        <x:v>46232</x:v>
      </x:c>
      <x:c r="M159" s="27" t="str">
        <x:v>一次確認済</x:v>
      </x:c>
      <x:c r="N159" s="27" t="str">
        <x:v>https://www.city.futtsu.lg.jp/0000000346.html</x:v>
      </x:c>
      <x:c r="O159" s="27" t="str">
        <x:v>1961年建立の巨大観音像で、戦没者慰霊と世界平和への願いを込めて建てられた。</x:v>
      </x:c>
      <x:c r="P159" s="94" t="e">
        <x:f>HYPERLINK("https://ja.wikipedia.org/wiki/Special:Search?search=%E6%9D%B1%E4%BA%AC%E6%B9%BE%E8%A6%B3%E9%9F%B3","Wikipedia・関連項目")</x:f>
      </x:c>
      <x:c r="R159" t="str">
        <x:v>35km超</x:v>
      </x:c>
      <x:c r="S159" t="str">
        <x:v>概ね35km超</x:v>
      </x:c>
      <x:c r="T159" t="str">
        <x:v>通常90分超</x:v>
      </x:c>
      <x:c r="U159" t="str">
        <x:v>休日半日</x:v>
      </x:c>
      <x:c r="V159" t="str">
        <x:v>30〜60分</x:v>
      </x:c>
      <x:c r="W159" t="n">
        <x:v>1</x:v>
      </x:c>
      <x:c r="X159" t="n">
        <x:v>1</x:v>
      </x:c>
      <x:c r="Y159" t="str">
        <x:v>羽田空港 第3ターミナル展望デッキ</x:v>
      </x:c>
      <x:c r="Z159" t="str">
        <x:v>城南島海浜公園／潮風公園</x:v>
      </x:c>
      <x:c r="AA159" s="22" t="str">
        <x:v>なし</x:v>
      </x:c>
      <x:c r="AB159" s="22" t="str">
        <x:v>-</x:v>
      </x:c>
      <x:c r="AC159" s="22" t="str"/>
      <x:c r="AD159" s="22" t="str">
        <x:v>専用・路外駐車を基本</x:v>
      </x:c>
      <x:c r="AE159" s="22" t="str"/>
    </x:row>
    <x:row r="160">
      <x:c r="A160" s="27" t="str">
        <x:v>D159</x:v>
      </x:c>
      <x:c r="B160" s="27" t="str">
        <x:v>青葉の森公園</x:v>
      </x:c>
      <x:c r="C160" s="27" t="str">
        <x:v>千葉市・中央区</x:v>
      </x:c>
      <x:c r="D160" s="27" t="str">
        <x:v>大規模公園・文化施設・夜間</x:v>
      </x:c>
      <x:c r="E160" s="49" t="e">
        <x:f>HYPERLINK("https://www.google.com/maps/dir/?api=1&amp;destination=%E9%9D%92%E8%91%89%E3%81%AE%E6%A3%AE%E5%85%AC%E5%9C%92&amp;travelmode=driving","現在地からナビ開始")</x:f>
      </x:c>
      <x:c r="F160" s="27" t="str">
        <x:v>広い芝生、博物館、芸術文化ホールが集まり、千葉市内の文化系Endingとして安定する。</x:v>
      </x:c>
      <x:c r="G160" s="27" t="str">
        <x:v>あり・普通車573台ほか、有料</x:v>
      </x:c>
      <x:c r="H160" s="27" t="str">
        <x:v>公園24時間／駐車場6:00～22:00</x:v>
      </x:c>
      <x:c r="I160" s="27" t="n">
        <x:v>4</x:v>
      </x:c>
      <x:c r="J160" s="27" t="n">
        <x:v>2</x:v>
      </x:c>
      <x:c r="K160" s="27" t="str">
        <x:v>22時閉鎖。イベント日は満車、周辺路上駐車禁止。</x:v>
      </x:c>
      <x:c r="L160" s="28" t="n">
        <x:v>46232</x:v>
      </x:c>
      <x:c r="M160" s="27" t="str">
        <x:v>一次確認済</x:v>
      </x:c>
      <x:c r="N160" s="27" t="str">
        <x:v>https://www.cue-net.or.jp/kouen/aoba/annai/parking.html</x:v>
      </x:c>
      <x:c r="O160" s="27" t="str">
        <x:v>園内の千葉県立中央博物館は房総の自然と歴史を総合的に扱う県立博物館。</x:v>
      </x:c>
      <x:c r="P160" s="94" t="e">
        <x:f>HYPERLINK("https://ja.wikipedia.org/wiki/Special:Search?search=%E9%9D%92%E8%91%89%E3%81%AE%E6%A3%AE%E5%85%AC%E5%9C%92","Wikipedia・関連項目")</x:f>
      </x:c>
      <x:c r="R160" t="str">
        <x:v>10〜20km</x:v>
      </x:c>
      <x:c r="S160" t="str">
        <x:v>概ね10〜20km</x:v>
      </x:c>
      <x:c r="T160" t="str">
        <x:v>通常25〜50分</x:v>
      </x:c>
      <x:c r="U160" t="str">
        <x:v>平日夜・深夜</x:v>
      </x:c>
      <x:c r="V160" t="str">
        <x:v>30〜90分</x:v>
      </x:c>
      <x:c r="W160" t="n">
        <x:v>1</x:v>
      </x:c>
      <x:c r="X160" t="n">
        <x:v>1</x:v>
      </x:c>
      <x:c r="Y160" t="str">
        <x:v>平和の森公園</x:v>
      </x:c>
      <x:c r="Z160" t="str">
        <x:v>大森ふるさとの浜辺公園／森ケ崎公園</x:v>
      </x:c>
      <x:c r="AA160" s="22" t="str">
        <x:v>なし</x:v>
      </x:c>
      <x:c r="AB160" s="22" t="str">
        <x:v>-</x:v>
      </x:c>
      <x:c r="AC160" s="22" t="str"/>
      <x:c r="AD160" s="22" t="str">
        <x:v>専用・路外駐車を基本</x:v>
      </x:c>
      <x:c r="AE160" s="22" t="str"/>
    </x:row>
    <x:row r="161">
      <x:c r="A161" s="27" t="str">
        <x:v>D160</x:v>
      </x:c>
      <x:c r="B161" s="27" t="str">
        <x:v>大貫中央海岸</x:v>
      </x:c>
      <x:c r="C161" s="27" t="str">
        <x:v>千葉県富津市・大貫</x:v>
      </x:c>
      <x:c r="D161" s="27" t="str">
        <x:v>海岸・夕日・静かな湾岸</x:v>
      </x:c>
      <x:c r="E161" s="49" t="e">
        <x:f>HYPERLINK("https://www.google.com/maps/dir/?api=1&amp;destination=%E5%A4%A7%E8%B2%AB%E4%B8%AD%E5%A4%AE%E6%B5%B7%E5%B2%B8&amp;travelmode=driving","現在地からナビ開始")</x:f>
      </x:c>
      <x:c r="F161" s="27" t="str">
        <x:v>穏やかな東京湾側の海岸で、富津岬より静かな夕景Endingとして使える。</x:v>
      </x:c>
      <x:c r="G161" s="27" t="str">
        <x:v>あり・普通車50台、無料</x:v>
      </x:c>
      <x:c r="H161" s="27" t="str">
        <x:v>海水浴期の遊泳 8:30～17:00／季節外は現地確認</x:v>
      </x:c>
      <x:c r="I161" s="27" t="n">
        <x:v>2</x:v>
      </x:c>
      <x:c r="J161" s="27" t="n">
        <x:v>4</x:v>
      </x:c>
      <x:c r="K161" s="27" t="str">
        <x:v>季節外の駐車場開放状況を確認。車両乗入・火気・キャンプ禁止。</x:v>
      </x:c>
      <x:c r="L161" s="28" t="n">
        <x:v>46232</x:v>
      </x:c>
      <x:c r="M161" s="27" t="str">
        <x:v>当日再確認</x:v>
      </x:c>
      <x:c r="N161" s="27" t="str">
        <x:v>https://www.city.futtsu.lg.jp/0000004528.html</x:v>
      </x:c>
      <x:c r="O161" s="27" t="str">
        <x:v>大貫は内房線沿線の海浜集落で、東京湾の穏やかな海と砂浜を利用した保養地として発展した。</x:v>
      </x:c>
      <x:c r="P161" s="94" t="e">
        <x:f>HYPERLINK("https://ja.wikipedia.org/wiki/Special:Search?search=%E5%A4%A7%E8%B2%AB%E4%B8%AD%E5%A4%AE%E6%B5%B7%E5%B2%B8","Wikipedia・関連項目")</x:f>
      </x:c>
      <x:c r="R161" t="str">
        <x:v>35km超</x:v>
      </x:c>
      <x:c r="S161" t="str">
        <x:v>概ね35km超</x:v>
      </x:c>
      <x:c r="T161" t="str">
        <x:v>通常90分超</x:v>
      </x:c>
      <x:c r="U161" t="str">
        <x:v>海・港</x:v>
      </x:c>
      <x:c r="V161" t="str">
        <x:v>30〜90分</x:v>
      </x:c>
      <x:c r="W161" t="n">
        <x:v>1</x:v>
      </x:c>
      <x:c r="X161" t="n">
        <x:v>3</x:v>
      </x:c>
      <x:c r="Y161" t="str">
        <x:v>城南島海浜公園</x:v>
      </x:c>
      <x:c r="Z161" t="str">
        <x:v>潮風公園／晴海ふ頭公園</x:v>
      </x:c>
      <x:c r="AA161" s="22" t="str">
        <x:v>なし</x:v>
      </x:c>
      <x:c r="AB161" s="22" t="str">
        <x:v>-</x:v>
      </x:c>
      <x:c r="AC161" s="22" t="str"/>
      <x:c r="AD161" s="22" t="str">
        <x:v>専用・路外駐車を基本</x:v>
      </x:c>
      <x:c r="AE161" s="22" t="str"/>
    </x:row>
    <x:row r="162">
      <x:c r="A162" s="27" t="str">
        <x:v>D161</x:v>
      </x:c>
      <x:c r="B162" s="27" t="str">
        <x:v>野島公園</x:v>
      </x:c>
      <x:c r="C162" s="27" t="str">
        <x:v>横浜市・金沢区</x:v>
      </x:c>
      <x:c r="D162" s="27" t="str">
        <x:v>海・高台・旧別邸・港</x:v>
      </x:c>
      <x:c r="E162" s="49" t="e">
        <x:f>HYPERLINK("https://www.google.com/maps/dir/?api=1&amp;destination=%E9%87%8E%E5%B3%B6%E5%85%AC%E5%9C%92&amp;travelmode=driving","現在地からナビ開始")</x:f>
      </x:c>
      <x:c r="F162" s="27" t="str">
        <x:v>標高約54mの展望台から平潟湾と八景島方面を見渡せ、海辺の静けさと近代史を同時に味わえる。</x:v>
      </x:c>
      <x:c r="G162" s="27" t="str">
        <x:v>あり・第1 104台、第2 52台、有料</x:v>
      </x:c>
      <x:c r="H162" s="27" t="str">
        <x:v>第1駐車場 7:00～23:00</x:v>
      </x:c>
      <x:c r="I162" s="27" t="n">
        <x:v>4</x:v>
      </x:c>
      <x:c r="J162" s="27" t="n">
        <x:v>4</x:v>
      </x:c>
      <x:c r="K162" s="27" t="str">
        <x:v>潮干狩り・行楽期は満車。閉場後は出庫不可となる可能性があるため23時前に退出。</x:v>
      </x:c>
      <x:c r="L162" s="28" t="n">
        <x:v>46232</x:v>
      </x:c>
      <x:c r="M162" s="27" t="str">
        <x:v>一次確認済</x:v>
      </x:c>
      <x:c r="N162" s="27" t="str">
        <x:v>https://www.hama-midorinokyokai.or.jp/park/parking/nojima/nojima1/</x:v>
      </x:c>
      <x:c r="O162" s="27" t="str">
        <x:v>園内には伊藤博文が憲法草案を検討した地として知られる旧別邸が残り、海辺の公園に明治政治史が重なる。</x:v>
      </x:c>
      <x:c r="P162" s="94" t="e">
        <x:f>HYPERLINK("https://ja.wikipedia.org/wiki/Special:Search?search=%E9%87%8E%E5%B3%B6%E5%85%AC%E5%9C%92","Wikipedia・関連項目")</x:f>
      </x:c>
      <x:c r="R162" t="str">
        <x:v>25〜35km</x:v>
      </x:c>
      <x:c r="S162" t="str">
        <x:v>概ね25〜35km</x:v>
      </x:c>
      <x:c r="T162" t="str">
        <x:v>通常55〜90分</x:v>
      </x:c>
      <x:c r="U162" t="str">
        <x:v>海・港</x:v>
      </x:c>
      <x:c r="V162" t="str">
        <x:v>30〜90分</x:v>
      </x:c>
      <x:c r="W162" t="n">
        <x:v>1</x:v>
      </x:c>
      <x:c r="X162" t="n">
        <x:v>3</x:v>
      </x:c>
      <x:c r="Y162" t="str">
        <x:v>城南島海浜公園</x:v>
      </x:c>
      <x:c r="Z162" t="str">
        <x:v>潮風公園／晴海ふ頭公園</x:v>
      </x:c>
      <x:c r="AA162" s="22" t="str">
        <x:v>なし</x:v>
      </x:c>
      <x:c r="AB162" s="22" t="str">
        <x:v>-</x:v>
      </x:c>
      <x:c r="AC162" s="22" t="str"/>
      <x:c r="AD162" s="22" t="str">
        <x:v>専用・路外駐車を基本</x:v>
      </x:c>
      <x:c r="AE162" s="22" t="str"/>
    </x:row>
    <x:row r="163">
      <x:c r="A163" s="27" t="str">
        <x:v>D162</x:v>
      </x:c>
      <x:c r="B163" s="27" t="str">
        <x:v>荒崎公園</x:v>
      </x:c>
      <x:c r="C163" s="27" t="str">
        <x:v>横須賀市・長井</x:v>
      </x:c>
      <x:c r="D163" s="27" t="str">
        <x:v>岩礁・夕日・富士山</x:v>
      </x:c>
      <x:c r="E163" s="49" t="e">
        <x:f>HYPERLINK("https://www.google.com/maps/dir/?api=1&amp;destination=%E8%8D%92%E5%B4%8E%E5%85%AC%E5%9C%92&amp;travelmode=driving","現在地からナビ開始")</x:f>
      </x:c>
      <x:c r="F163" s="27" t="str">
        <x:v>三浦半島西岸の荒々しい岩礁と相模湾の夕日が強く、到達した瞬間に景観が切り替わる最終目的地。</x:v>
      </x:c>
      <x:c r="G163" s="27" t="str">
        <x:v>あり・88台</x:v>
      </x:c>
      <x:c r="H163" s="27" t="str">
        <x:v>季節により8:00～17:30／18:30／19:30</x:v>
      </x:c>
      <x:c r="I163" s="27" t="n">
        <x:v>3</x:v>
      </x:c>
      <x:c r="J163" s="27" t="n">
        <x:v>4</x:v>
      </x:c>
      <x:c r="K163" s="27" t="str">
        <x:v>閉場時刻が季節で異なる。岩場は濡れると滑りやすく、強風・高波時は海岸へ降りない。</x:v>
      </x:c>
      <x:c r="L163" s="28" t="n">
        <x:v>46232</x:v>
      </x:c>
      <x:c r="M163" s="27" t="str">
        <x:v>一次確認済</x:v>
      </x:c>
      <x:c r="N163" s="27" t="str">
        <x:v>https://www.city.yokosuka.kanagawa.jp/5560/sisetu/fc00000433.html</x:v>
      </x:c>
      <x:c r="O163" s="27" t="str">
        <x:v>荒崎海岸は凝灰岩などが波食を受けた複雑な岩礁景観で、三浦半島の地層を間近に観察できる。</x:v>
      </x:c>
      <x:c r="P163" s="94" t="e">
        <x:f>HYPERLINK("https://ja.wikipedia.org/wiki/Special:Search?search=%E8%8D%92%E5%B4%8E%E5%85%AC%E5%9C%92","Wikipedia・関連項目")</x:f>
      </x:c>
      <x:c r="R163" t="str">
        <x:v>35km超</x:v>
      </x:c>
      <x:c r="S163" t="str">
        <x:v>概ね35km超</x:v>
      </x:c>
      <x:c r="T163" t="str">
        <x:v>通常90分超</x:v>
      </x:c>
      <x:c r="U163" t="str">
        <x:v>休日半日</x:v>
      </x:c>
      <x:c r="V163" t="str">
        <x:v>30〜60分</x:v>
      </x:c>
      <x:c r="W163" t="n">
        <x:v>2</x:v>
      </x:c>
      <x:c r="X163" t="n">
        <x:v>1</x:v>
      </x:c>
      <x:c r="Y163" t="str">
        <x:v>羽田空港 第3ターミナル展望デッキ</x:v>
      </x:c>
      <x:c r="Z163" t="str">
        <x:v>城南島海浜公園／潮風公園</x:v>
      </x:c>
      <x:c r="AA163" s="22" t="str">
        <x:v>なし</x:v>
      </x:c>
      <x:c r="AB163" s="22" t="str">
        <x:v>-</x:v>
      </x:c>
      <x:c r="AC163" s="22" t="str"/>
      <x:c r="AD163" s="22" t="str">
        <x:v>専用・路外駐車を基本</x:v>
      </x:c>
      <x:c r="AE163" s="22" t="str"/>
    </x:row>
    <x:row r="164">
      <x:c r="A164" s="27" t="str">
        <x:v>D163</x:v>
      </x:c>
      <x:c r="B164" s="27" t="str">
        <x:v>大磯城山公園</x:v>
      </x:c>
      <x:c r="C164" s="27" t="str">
        <x:v>神奈川県大磯町</x:v>
      </x:c>
      <x:c r="D164" s="27" t="str">
        <x:v>高台・旧別邸・富士山・歴史</x:v>
      </x:c>
      <x:c r="E164" s="49" t="e">
        <x:f>HYPERLINK("https://www.google.com/maps/dir/?api=1&amp;destination=%E5%A4%A7%E7%A3%AF%E5%9F%8E%E5%B1%B1%E5%85%AC%E5%9C%92&amp;travelmode=driving","現在地からナビ開始")</x:f>
      </x:c>
      <x:c r="F164" s="27" t="str">
        <x:v>旧三井別邸と旧吉田茂邸を結ぶ高台公園で、相模湾・富士山と近現代史を一度に楽しめる。</x:v>
      </x:c>
      <x:c r="G164" s="27" t="str">
        <x:v>あり・複数駐車場</x:v>
      </x:c>
      <x:c r="H164" s="27" t="str">
        <x:v>旧三井地区8:30～17:00／旧吉田茂邸9:00～17:00</x:v>
      </x:c>
      <x:c r="I164" s="27" t="n">
        <x:v>1</x:v>
      </x:c>
      <x:c r="J164" s="27" t="n">
        <x:v>3</x:v>
      </x:c>
      <x:c r="K164" s="27" t="str">
        <x:v>夜間利用不可。入車は16:45まで。土日祝は一部有料、年末年始の閉場差に注意。</x:v>
      </x:c>
      <x:c r="L164" s="28" t="n">
        <x:v>46232</x:v>
      </x:c>
      <x:c r="M164" s="27" t="str">
        <x:v>一次確認済</x:v>
      </x:c>
      <x:c r="N164" s="27" t="str">
        <x:v>https://www.kanagawa-park.or.jp/ooisojoyama/access.html</x:v>
      </x:c>
      <x:c r="O164" s="27" t="str">
        <x:v>戦後の首相・吉田茂が暮らした大磯は、政財界人の別荘地として発展した湘南の歴史を象徴する。</x:v>
      </x:c>
      <x:c r="P164" s="94" t="e">
        <x:f>HYPERLINK("https://ja.wikipedia.org/wiki/Special:Search?search=%E5%A4%A7%E7%A3%AF%E5%9F%8E%E5%B1%B1%E5%85%AC%E5%9C%92","Wikipedia・関連項目")</x:f>
      </x:c>
      <x:c r="R164" t="str">
        <x:v>35km超</x:v>
      </x:c>
      <x:c r="S164" t="str">
        <x:v>概ね35km超</x:v>
      </x:c>
      <x:c r="T164" t="str">
        <x:v>通常90分超</x:v>
      </x:c>
      <x:c r="U164" t="str">
        <x:v>Story</x:v>
      </x:c>
      <x:c r="V164" t="str">
        <x:v>30〜60分</x:v>
      </x:c>
      <x:c r="W164" t="n">
        <x:v>1</x:v>
      </x:c>
      <x:c r="X164" t="n">
        <x:v>1</x:v>
      </x:c>
      <x:c r="Y164" t="str">
        <x:v>羽田空港 第3ターミナル展望デッキ</x:v>
      </x:c>
      <x:c r="Z164" t="str">
        <x:v>城南島海浜公園／潮風公園</x:v>
      </x:c>
      <x:c r="AA164" s="22" t="str">
        <x:v>なし</x:v>
      </x:c>
      <x:c r="AB164" s="22" t="str">
        <x:v>-</x:v>
      </x:c>
      <x:c r="AC164" s="22" t="str"/>
      <x:c r="AD164" s="22" t="str">
        <x:v>専用・路外駐車を基本</x:v>
      </x:c>
      <x:c r="AE164" s="22" t="str"/>
    </x:row>
    <x:row r="165">
      <x:c r="A165" s="27" t="str">
        <x:v>D164</x:v>
      </x:c>
      <x:c r="B165" s="27" t="str">
        <x:v>本牧山頂公園</x:v>
      </x:c>
      <x:c r="C165" s="27" t="str">
        <x:v>横浜市・中区</x:v>
      </x:c>
      <x:c r="D165" s="27" t="str">
        <x:v>高台・港・草地・都市展望</x:v>
      </x:c>
      <x:c r="E165" s="49" t="e">
        <x:f>HYPERLINK("https://www.google.com/maps/dir/?api=1&amp;destination=%E6%9C%AC%E7%89%A7%E5%B1%B1%E9%A0%82%E5%85%AC%E5%9C%92&amp;travelmode=driving","現在地からナビ開始")</x:f>
      </x:c>
      <x:c r="F165" s="27" t="str">
        <x:v>本牧の尾根上を歩きながら横浜港と住宅地を見下ろせ、港湾ドライブの最後に地形の高さを加えられる。</x:v>
      </x:c>
      <x:c r="G165" s="27" t="str">
        <x:v>あり・有料</x:v>
      </x:c>
      <x:c r="H165" s="27" t="str">
        <x:v>駐車場時間は指定管理者の当日案内確認</x:v>
      </x:c>
      <x:c r="I165" s="27" t="n">
        <x:v>3</x:v>
      </x:c>
      <x:c r="J165" s="27" t="n">
        <x:v>4</x:v>
      </x:c>
      <x:c r="K165" s="27" t="str">
        <x:v>住宅地に接するため夜間の騒音厳禁。駐車場の入出庫時間を出発前に確認。</x:v>
      </x:c>
      <x:c r="L165" s="28" t="n">
        <x:v>46232</x:v>
      </x:c>
      <x:c r="M165" s="27" t="str">
        <x:v>当日再確認</x:v>
      </x:c>
      <x:c r="N165" s="27" t="str">
        <x:v>https://www.city.yokohama.lg.jp/kenko-iryo-fukushi/fukushi-kaigo/fuku-machi/barrierfree/shisetsu/shisetsu/06092.html</x:v>
      </x:c>
      <x:c r="O165" s="27" t="str">
        <x:v>本牧はかつて海沿いの景勝地だったが、戦後の接収と埋立・再開発で現在の港湾都市景観へ変化した。</x:v>
      </x:c>
      <x:c r="P165" s="94" t="e">
        <x:f>HYPERLINK("https://ja.wikipedia.org/wiki/Special:Search?search=%E6%9C%AC%E7%89%A7%E5%B1%B1%E9%A0%82%E5%85%AC%E5%9C%92","Wikipedia・関連項目")</x:f>
      </x:c>
      <x:c r="R165" t="str">
        <x:v>20〜25km</x:v>
      </x:c>
      <x:c r="S165" t="str">
        <x:v>概ね20〜25km</x:v>
      </x:c>
      <x:c r="T165" t="str">
        <x:v>通常40〜70分</x:v>
      </x:c>
      <x:c r="U165" t="str">
        <x:v>海・港</x:v>
      </x:c>
      <x:c r="V165" t="str">
        <x:v>30〜60分</x:v>
      </x:c>
      <x:c r="W165" t="n">
        <x:v>1</x:v>
      </x:c>
      <x:c r="X165" t="n">
        <x:v>3</x:v>
      </x:c>
      <x:c r="Y165" t="str">
        <x:v>城南島海浜公園</x:v>
      </x:c>
      <x:c r="Z165" t="str">
        <x:v>潮風公園／晴海ふ頭公園</x:v>
      </x:c>
      <x:c r="AA165" s="22" t="str">
        <x:v>なし</x:v>
      </x:c>
      <x:c r="AB165" s="22" t="str">
        <x:v>-</x:v>
      </x:c>
      <x:c r="AC165" s="22" t="str"/>
      <x:c r="AD165" s="22" t="str">
        <x:v>専用・路外駐車を基本</x:v>
      </x:c>
      <x:c r="AE165" s="22" t="str"/>
    </x:row>
    <x:row r="166">
      <x:c r="A166" s="27" t="str">
        <x:v>D165</x:v>
      </x:c>
      <x:c r="B166" s="27" t="str">
        <x:v>海の公園</x:v>
      </x:c>
      <x:c r="C166" s="27" t="str">
        <x:v>横浜市・金沢区</x:v>
      </x:c>
      <x:c r="D166" s="27" t="str">
        <x:v>人工海浜・八景島・海</x:v>
      </x:c>
      <x:c r="E166" s="49" t="e">
        <x:f>HYPERLINK("https://www.google.com/maps/dir/?api=1&amp;destination=%E6%B5%B7%E3%81%AE%E5%85%AC%E5%9C%92&amp;travelmode=driving","現在地からナビ開始")</x:f>
      </x:c>
      <x:c r="F166" s="27" t="str">
        <x:v>横浜市内唯一の海水浴場を持つ人工海浜で、砂浜越しに八景島を眺める穏やかな湾岸Ending。</x:v>
      </x:c>
      <x:c r="G166" s="27" t="str">
        <x:v>あり・柴口／磯浜／臨時駐車場、有料</x:v>
      </x:c>
      <x:c r="H166" s="27" t="str">
        <x:v>駐車場ごとの最新営業時間を公式確認</x:v>
      </x:c>
      <x:c r="I166" s="27" t="n">
        <x:v>3</x:v>
      </x:c>
      <x:c r="J166" s="27" t="n">
        <x:v>2</x:v>
      </x:c>
      <x:c r="K166" s="27" t="str">
        <x:v>潮干狩り・夏季は大混雑。閉鎖駐車場や満車時の路上待機は禁止。</x:v>
      </x:c>
      <x:c r="L166" s="28" t="n">
        <x:v>46232</x:v>
      </x:c>
      <x:c r="M166" s="27" t="str">
        <x:v>当日再確認</x:v>
      </x:c>
      <x:c r="N166" s="27" t="str">
        <x:v>https://www.city.yokohama.lg.jp/kurashi/machizukuri-kankyo/midori-koen/koen/koen/daihyoteki/umikouen.html</x:v>
      </x:c>
      <x:c r="O166" s="27" t="str">
        <x:v>海の公園の砂浜は人工的に造成されたが、アサリなどの生物が定着し都市型の海浜環境を形成している。</x:v>
      </x:c>
      <x:c r="P166" s="94" t="e">
        <x:f>HYPERLINK("https://ja.wikipedia.org/wiki/Special:Search?search=%E6%B5%B7%E3%81%AE%E5%85%AC%E5%9C%92","Wikipedia・関連項目")</x:f>
      </x:c>
      <x:c r="R166" t="str">
        <x:v>25〜35km</x:v>
      </x:c>
      <x:c r="S166" t="str">
        <x:v>概ね25〜35km</x:v>
      </x:c>
      <x:c r="T166" t="str">
        <x:v>通常55〜90分</x:v>
      </x:c>
      <x:c r="U166" t="str">
        <x:v>海・港</x:v>
      </x:c>
      <x:c r="V166" t="str">
        <x:v>30〜60分</x:v>
      </x:c>
      <x:c r="W166" t="n">
        <x:v>1</x:v>
      </x:c>
      <x:c r="X166" t="n">
        <x:v>3</x:v>
      </x:c>
      <x:c r="Y166" t="str">
        <x:v>城南島海浜公園</x:v>
      </x:c>
      <x:c r="Z166" t="str">
        <x:v>潮風公園／晴海ふ頭公園</x:v>
      </x:c>
      <x:c r="AA166" s="22" t="str">
        <x:v>なし</x:v>
      </x:c>
      <x:c r="AB166" s="22" t="str">
        <x:v>-</x:v>
      </x:c>
      <x:c r="AC166" s="22" t="str"/>
      <x:c r="AD166" s="22" t="str">
        <x:v>専用・路外駐車を基本</x:v>
      </x:c>
      <x:c r="AE166" s="22" t="str"/>
    </x:row>
    <x:row r="167">
      <x:c r="A167" s="27" t="str">
        <x:v>D166</x:v>
      </x:c>
      <x:c r="B167" s="27" t="str">
        <x:v>本牧海づり施設</x:v>
      </x:c>
      <x:c r="C167" s="27" t="str">
        <x:v>横浜市・本牧ふ頭</x:v>
      </x:c>
      <x:c r="D167" s="27" t="str">
        <x:v>港・釣り・大型船・行き止まり</x:v>
      </x:c>
      <x:c r="E167" s="49" t="e">
        <x:f>HYPERLINK("https://www.google.com/maps/dir/?api=1&amp;destination=%E6%9C%AC%E7%89%A7%E6%B5%B7%E3%81%A5%E3%82%8A%E6%96%BD%E8%A8%AD&amp;travelmode=driving","現在地からナビ開始")</x:f>
      </x:c>
      <x:c r="F167" s="27" t="str">
        <x:v>本牧ふ頭の先端近くまで走り、大型船とコンテナ港を間近に感じられる港湾最終目的地。</x:v>
      </x:c>
      <x:c r="G167" s="27" t="str">
        <x:v>あり・約230台</x:v>
      </x:c>
      <x:c r="H167" s="27" t="str">
        <x:v>通常6:00～19:00、季節延長あり</x:v>
      </x:c>
      <x:c r="I167" s="27" t="n">
        <x:v>2</x:v>
      </x:c>
      <x:c r="J167" s="27" t="n">
        <x:v>3</x:v>
      </x:c>
      <x:c r="K167" s="27" t="str">
        <x:v>営業日・入場制限・混雑を当日確認。釣りをしない場合も施設ルールと入場料に従う。</x:v>
      </x:c>
      <x:c r="L167" s="28" t="n">
        <x:v>46232</x:v>
      </x:c>
      <x:c r="M167" s="27" t="str">
        <x:v>一次確認済</x:v>
      </x:c>
      <x:c r="N167" s="27" t="str">
        <x:v>https://yokohama-fishingpiers.jp/honmoku</x:v>
      </x:c>
      <x:c r="O167" s="27" t="str">
        <x:v>本牧ふ頭は横浜港のコンテナ物流を支える埠頭群の一つで、戦後の港湾拡張を象徴する場所。</x:v>
      </x:c>
      <x:c r="P167" s="94" t="e">
        <x:f>HYPERLINK("https://ja.wikipedia.org/wiki/Special:Search?search=%E6%9C%AC%E7%89%A7%E6%B5%B7%E3%81%A5%E3%82%8A%E6%96%BD%E8%A8%AD","Wikipedia・関連項目")</x:f>
      </x:c>
      <x:c r="R167" t="str">
        <x:v>25〜35km</x:v>
      </x:c>
      <x:c r="S167" t="str">
        <x:v>概ね25〜35km</x:v>
      </x:c>
      <x:c r="T167" t="str">
        <x:v>通常55〜90分</x:v>
      </x:c>
      <x:c r="U167" t="str">
        <x:v>海・港</x:v>
      </x:c>
      <x:c r="V167" t="str">
        <x:v>30〜90分</x:v>
      </x:c>
      <x:c r="W167" t="n">
        <x:v>2</x:v>
      </x:c>
      <x:c r="X167" t="n">
        <x:v>3</x:v>
      </x:c>
      <x:c r="Y167" t="str">
        <x:v>城南島海浜公園</x:v>
      </x:c>
      <x:c r="Z167" t="str">
        <x:v>潮風公園／晴海ふ頭公園</x:v>
      </x:c>
      <x:c r="AA167" s="22" t="str">
        <x:v>なし</x:v>
      </x:c>
      <x:c r="AB167" s="22" t="str">
        <x:v>-</x:v>
      </x:c>
      <x:c r="AC167" s="22" t="str"/>
      <x:c r="AD167" s="22" t="str">
        <x:v>専用・路外駐車を基本</x:v>
      </x:c>
      <x:c r="AE167" s="22" t="str"/>
    </x:row>
    <x:row r="168">
      <x:c r="A168" s="27" t="str">
        <x:v>D167</x:v>
      </x:c>
      <x:c r="B168" s="27" t="str">
        <x:v>大黒海づり施設</x:v>
      </x:c>
      <x:c r="C168" s="27" t="str">
        <x:v>横浜市・大黒ふ頭</x:v>
      </x:c>
      <x:c r="D168" s="27" t="str">
        <x:v>港・ベイブリッジ・大型船</x:v>
      </x:c>
      <x:c r="E168" s="49" t="e">
        <x:f>HYPERLINK("https://www.google.com/maps/dir/?api=1&amp;destination=%E5%A4%A7%E9%BB%92%E6%B5%B7%E3%81%A5%E3%82%8A%E6%96%BD%E8%A8%AD&amp;travelmode=driving","現在地からナビ開始")</x:f>
      </x:c>
      <x:c r="F168" s="27" t="str">
        <x:v>大黒ふ頭の突端でベイブリッジ、外航船、港湾施設を一望でき、港のスケール感が極めて強い。</x:v>
      </x:c>
      <x:c r="G168" s="27" t="str">
        <x:v>あり・約200台</x:v>
      </x:c>
      <x:c r="H168" s="27" t="str">
        <x:v>通常6:00～19:00</x:v>
      </x:c>
      <x:c r="I168" s="27" t="n">
        <x:v>2</x:v>
      </x:c>
      <x:c r="J168" s="27" t="n">
        <x:v>4</x:v>
      </x:c>
      <x:c r="K168" s="27" t="str">
        <x:v>繁忙日は予約・入場制限あり。大黒ふ頭内の私有地・物流区域へ進入しない。</x:v>
      </x:c>
      <x:c r="L168" s="28" t="n">
        <x:v>46232</x:v>
      </x:c>
      <x:c r="M168" s="27" t="str">
        <x:v>一次確認済</x:v>
      </x:c>
      <x:c r="N168" s="27" t="str">
        <x:v>https://yokohama-fishingpiers.jp/daikoku</x:v>
      </x:c>
      <x:c r="O168" s="27" t="str">
        <x:v>大黒ふ頭は横浜ベイブリッジの大黒側アンカー地点に隣接し、自動車輸送や客船対応でも重要な埠頭。</x:v>
      </x:c>
      <x:c r="P168" s="94" t="e">
        <x:f>HYPERLINK("https://ja.wikipedia.org/wiki/Special:Search?search=%E5%A4%A7%E9%BB%92%E6%B5%B7%E3%81%A5%E3%82%8A%E6%96%BD%E8%A8%AD","Wikipedia・関連項目")</x:f>
      </x:c>
      <x:c r="R168" t="str">
        <x:v>35km超</x:v>
      </x:c>
      <x:c r="S168" t="str">
        <x:v>概ね35km超</x:v>
      </x:c>
      <x:c r="T168" t="str">
        <x:v>通常90分超</x:v>
      </x:c>
      <x:c r="U168" t="str">
        <x:v>海・港</x:v>
      </x:c>
      <x:c r="V168" t="str">
        <x:v>30〜90分</x:v>
      </x:c>
      <x:c r="W168" t="n">
        <x:v>2</x:v>
      </x:c>
      <x:c r="X168" t="n">
        <x:v>3</x:v>
      </x:c>
      <x:c r="Y168" t="str">
        <x:v>城南島海浜公園</x:v>
      </x:c>
      <x:c r="Z168" t="str">
        <x:v>潮風公園／晴海ふ頭公園</x:v>
      </x:c>
      <x:c r="AA168" s="22" t="str">
        <x:v>なし</x:v>
      </x:c>
      <x:c r="AB168" s="22" t="str">
        <x:v>-</x:v>
      </x:c>
      <x:c r="AC168" s="22" t="str"/>
      <x:c r="AD168" s="22" t="str">
        <x:v>専用・路外駐車を基本</x:v>
      </x:c>
      <x:c r="AE168" s="22" t="str"/>
    </x:row>
    <x:row r="169">
      <x:c r="A169" s="27" t="str">
        <x:v>D168</x:v>
      </x:c>
      <x:c r="B169" s="27" t="str">
        <x:v>磯子海づり施設</x:v>
      </x:c>
      <x:c r="C169" s="27" t="str">
        <x:v>横浜市・磯子区</x:v>
      </x:c>
      <x:c r="D169" s="27" t="str">
        <x:v>工業湾岸・釣り・火力発電所</x:v>
      </x:c>
      <x:c r="E169" s="49" t="e">
        <x:f>HYPERLINK("https://www.google.com/maps/dir/?api=1&amp;destination=%E7%A3%AF%E5%AD%90%E6%B5%B7%E3%81%A5%E3%82%8A%E6%96%BD%E8%A8%AD&amp;travelmode=driving","現在地からナビ開始")</x:f>
      </x:c>
      <x:c r="F169" s="27" t="str">
        <x:v>根岸湾の工業景観を安全な公共施設から眺められ、工場夜景系ルートの昼～夕方Endingに向く。</x:v>
      </x:c>
      <x:c r="G169" s="27" t="str">
        <x:v>あり・85台</x:v>
      </x:c>
      <x:c r="H169" s="27" t="str">
        <x:v>通常8:00～19:00</x:v>
      </x:c>
      <x:c r="I169" s="27" t="n">
        <x:v>2</x:v>
      </x:c>
      <x:c r="J169" s="27" t="n">
        <x:v>4</x:v>
      </x:c>
      <x:c r="K169" s="27" t="str">
        <x:v>駐車場が先に満車になりやすい。周辺工場・岸壁への無断進入は禁止。</x:v>
      </x:c>
      <x:c r="L169" s="28" t="n">
        <x:v>46232</x:v>
      </x:c>
      <x:c r="M169" s="27" t="str">
        <x:v>一次確認済</x:v>
      </x:c>
      <x:c r="N169" s="27" t="str">
        <x:v>https://yokohama-fishingpiers.jp/isogo</x:v>
      </x:c>
      <x:c r="O169" s="27" t="str">
        <x:v>根岸湾沿岸は高度経済成長期に埋立てられ、製油所・発電所など京浜工業地帯の中核施設が集積した。</x:v>
      </x:c>
      <x:c r="P169" s="94" t="e">
        <x:f>HYPERLINK("https://ja.wikipedia.org/wiki/Special:Search?search=%E7%A3%AF%E5%AD%90%E6%B5%B7%E3%81%A5%E3%82%8A%E6%96%BD%E8%A8%AD","Wikipedia・関連項目")</x:f>
      </x:c>
      <x:c r="R169" t="str">
        <x:v>25〜35km</x:v>
      </x:c>
      <x:c r="S169" t="str">
        <x:v>概ね25〜35km</x:v>
      </x:c>
      <x:c r="T169" t="str">
        <x:v>通常55〜90分</x:v>
      </x:c>
      <x:c r="U169" t="str">
        <x:v>休日半日</x:v>
      </x:c>
      <x:c r="V169" t="str">
        <x:v>30〜60分</x:v>
      </x:c>
      <x:c r="W169" t="n">
        <x:v>2</x:v>
      </x:c>
      <x:c r="X169" t="n">
        <x:v>1</x:v>
      </x:c>
      <x:c r="Y169" t="str">
        <x:v>羽田空港 第3ターミナル展望デッキ</x:v>
      </x:c>
      <x:c r="Z169" t="str">
        <x:v>城南島海浜公園／潮風公園</x:v>
      </x:c>
      <x:c r="AA169" s="22" t="str">
        <x:v>なし</x:v>
      </x:c>
      <x:c r="AB169" s="22" t="str">
        <x:v>-</x:v>
      </x:c>
      <x:c r="AC169" s="22" t="str"/>
      <x:c r="AD169" s="22" t="str">
        <x:v>専用・路外駐車を基本</x:v>
      </x:c>
      <x:c r="AE169" s="22" t="str"/>
    </x:row>
    <x:row r="170">
      <x:c r="A170" s="27" t="str">
        <x:v>D169</x:v>
      </x:c>
      <x:c r="B170" s="27" t="str">
        <x:v>昭和の森</x:v>
      </x:c>
      <x:c r="C170" s="27" t="str">
        <x:v>千葉市・緑区</x:v>
      </x:c>
      <x:c r="D170" s="27" t="str">
        <x:v>大規模公園・高台・展望・森林</x:v>
      </x:c>
      <x:c r="E170" s="49" t="e">
        <x:f>HYPERLINK("https://www.google.com/maps/dir/?api=1&amp;destination=%E6%98%AD%E5%92%8C%E3%81%AE%E6%A3%AE&amp;travelmode=driving","現在地からナビ開始")</x:f>
      </x:c>
      <x:c r="F170" s="27" t="str">
        <x:v>千葉市最大級の森林公園で、展望台から九十九里方面まで開ける昼のロングドライブEnding。</x:v>
      </x:c>
      <x:c r="G170" s="27" t="str">
        <x:v>あり・第1～第3、普通車計800台超</x:v>
      </x:c>
      <x:c r="H170" s="27" t="str">
        <x:v>駐車場8:30～17:30</x:v>
      </x:c>
      <x:c r="I170" s="27" t="n">
        <x:v>1</x:v>
      </x:c>
      <x:c r="J170" s="27" t="n">
        <x:v>3</x:v>
      </x:c>
      <x:c r="K170" s="27" t="str">
        <x:v>夜間不可。年末年始休場。行楽期・イベント時は満車となるため早い時間に到着。</x:v>
      </x:c>
      <x:c r="L170" s="28" t="n">
        <x:v>46232</x:v>
      </x:c>
      <x:c r="M170" s="27" t="str">
        <x:v>一次確認済</x:v>
      </x:c>
      <x:c r="N170" s="27" t="str">
        <x:v>https://www.city.chiba.jp/toshi/koenryokuchi/kanri/midori/top.html</x:v>
      </x:c>
      <x:c r="O170" s="27" t="str">
        <x:v>昭和の森は下総台地の地形を生かした大規模公園で、谷津・斜面林・草原が連続する。</x:v>
      </x:c>
      <x:c r="P170" s="94" t="e">
        <x:f>HYPERLINK("https://ja.wikipedia.org/wiki/Special:Search?search=%E6%98%AD%E5%92%8C%E3%81%AE%E6%A3%AE","Wikipedia・関連項目")</x:f>
      </x:c>
      <x:c r="R170" t="str">
        <x:v>35km超</x:v>
      </x:c>
      <x:c r="S170" t="str">
        <x:v>概ね35km超</x:v>
      </x:c>
      <x:c r="T170" t="str">
        <x:v>通常90分超</x:v>
      </x:c>
      <x:c r="U170" t="str">
        <x:v>休日半日</x:v>
      </x:c>
      <x:c r="V170" t="str">
        <x:v>30〜60分</x:v>
      </x:c>
      <x:c r="W170" t="n">
        <x:v>1</x:v>
      </x:c>
      <x:c r="X170" t="n">
        <x:v>1</x:v>
      </x:c>
      <x:c r="Y170" t="str">
        <x:v>平和の森公園</x:v>
      </x:c>
      <x:c r="Z170" t="str">
        <x:v>大森ふるさとの浜辺公園／森ケ崎公園</x:v>
      </x:c>
      <x:c r="AA170" s="22" t="str">
        <x:v>なし</x:v>
      </x:c>
      <x:c r="AB170" s="22" t="str">
        <x:v>-</x:v>
      </x:c>
      <x:c r="AC170" s="22" t="str"/>
      <x:c r="AD170" s="22" t="str">
        <x:v>専用・路外駐車を基本</x:v>
      </x:c>
      <x:c r="AE170" s="22" t="str"/>
    </x:row>
    <x:row r="171">
      <x:c r="A171" s="27" t="str">
        <x:v>D170</x:v>
      </x:c>
      <x:c r="B171" s="27" t="str">
        <x:v>秋ヶ瀬公園</x:v>
      </x:c>
      <x:c r="C171" s="27" t="str">
        <x:v>さいたま市・桜区</x:v>
      </x:c>
      <x:c r="D171" s="27" t="str">
        <x:v>荒川河川敷・広大草地・森林</x:v>
      </x:c>
      <x:c r="E171" s="49" t="e">
        <x:f>HYPERLINK("https://www.google.com/maps/dir/?api=1&amp;destination=%E7%A7%8B%E3%83%B6%E7%80%AC%E5%85%AC%E5%9C%92&amp;travelmode=driving","現在地からナビ開始")</x:f>
      </x:c>
      <x:c r="F171" s="27" t="str">
        <x:v>荒川河川敷に約3km続く広大な公園で、都市圏とは思えない空の広さを体験できる。</x:v>
      </x:c>
      <x:c r="G171" s="27" t="str">
        <x:v>あり・多数、臨時駐車場あり</x:v>
      </x:c>
      <x:c r="H171" s="27" t="str">
        <x:v>駐車場・園路の開放時間は公式当日確認</x:v>
      </x:c>
      <x:c r="I171" s="27" t="n">
        <x:v>2</x:v>
      </x:c>
      <x:c r="J171" s="27" t="n">
        <x:v>3</x:v>
      </x:c>
      <x:c r="K171" s="27" t="str">
        <x:v>増水・台風後は閉鎖あり。園内道路でも交通法規を守り、路肩駐車や放置車両は禁止。</x:v>
      </x:c>
      <x:c r="L171" s="28" t="n">
        <x:v>46232</x:v>
      </x:c>
      <x:c r="M171" s="27" t="str">
        <x:v>当日再確認</x:v>
      </x:c>
      <x:c r="N171" s="27" t="str">
        <x:v>https://www.pref.saitama.lg.jp/shisetsu/koen/004.html</x:v>
      </x:c>
      <x:c r="O171" s="27" t="str">
        <x:v>秋ヶ瀬公園は荒川の治水空間を都市公園として活用した代表例で、河川敷特有の広大な平坦地を持つ。</x:v>
      </x:c>
      <x:c r="P171" s="94" t="e">
        <x:f>HYPERLINK("https://ja.wikipedia.org/wiki/Special:Search?search=%E7%A7%8B%E3%83%B6%E7%80%AC%E5%85%AC%E5%9C%92","Wikipedia・関連項目")</x:f>
      </x:c>
      <x:c r="R171" t="str">
        <x:v>35km超</x:v>
      </x:c>
      <x:c r="S171" t="str">
        <x:v>概ね35km超</x:v>
      </x:c>
      <x:c r="T171" t="str">
        <x:v>通常90分超</x:v>
      </x:c>
      <x:c r="U171" t="str">
        <x:v>水辺</x:v>
      </x:c>
      <x:c r="V171" t="str">
        <x:v>30〜90分</x:v>
      </x:c>
      <x:c r="W171" t="n">
        <x:v>1</x:v>
      </x:c>
      <x:c r="X171" t="n">
        <x:v>1</x:v>
      </x:c>
      <x:c r="Y171" t="str">
        <x:v>多摩川浅間神社</x:v>
      </x:c>
      <x:c r="Z171" t="str">
        <x:v>多摩川六郷橋緑地／多摩川ガス橋緑地</x:v>
      </x:c>
      <x:c r="AA171" s="22" t="str">
        <x:v>なし</x:v>
      </x:c>
      <x:c r="AB171" s="22" t="str">
        <x:v>-</x:v>
      </x:c>
      <x:c r="AC171" s="22" t="str"/>
      <x:c r="AD171" s="22" t="str">
        <x:v>専用・路外駐車を基本</x:v>
      </x:c>
      <x:c r="AE171" s="22" t="str"/>
    </x:row>
    <x:row r="172">
      <x:c r="A172" s="27" t="str">
        <x:v>D171</x:v>
      </x:c>
      <x:c r="B172" s="27" t="str">
        <x:v>城北中央公園</x:v>
      </x:c>
      <x:c r="C172" s="27" t="str">
        <x:v>東京都板橋区・練馬区</x:v>
      </x:c>
      <x:c r="D172" s="27" t="str">
        <x:v>24時間駐車・遺跡・都市公園</x:v>
      </x:c>
      <x:c r="E172" s="49" t="e">
        <x:f>HYPERLINK("https://www.google.com/maps/dir/?api=1&amp;destination=%E5%9F%8E%E5%8C%97%E4%B8%AD%E5%A4%AE%E5%85%AC%E5%9C%92&amp;travelmode=driving","現在地からナビ開始")</x:f>
      </x:c>
      <x:c r="F172" s="27" t="str">
        <x:v>都心北西部で24時間駐車でき、古代遺跡と広い運動公園を短時間の夜間休憩に使える。</x:v>
      </x:c>
      <x:c r="G172" s="27" t="str">
        <x:v>あり・66台、有料</x:v>
      </x:c>
      <x:c r="H172" s="27" t="str">
        <x:v>駐車場24時間</x:v>
      </x:c>
      <x:c r="I172" s="27" t="n">
        <x:v>4</x:v>
      </x:c>
      <x:c r="J172" s="27" t="n">
        <x:v>3</x:v>
      </x:c>
      <x:c r="K172" s="27" t="str">
        <x:v>住宅地に囲まれるため深夜は短時間利用。競技・イベント時は満車。</x:v>
      </x:c>
      <x:c r="L172" s="28" t="n">
        <x:v>46232</x:v>
      </x:c>
      <x:c r="M172" s="27" t="str">
        <x:v>一次確認済</x:v>
      </x:c>
      <x:c r="N172" s="27" t="str">
        <x:v>https://www.tokyo-park.or.jp/park/johoku-chuo/index.html</x:v>
      </x:c>
      <x:c r="O172" s="27" t="str">
        <x:v>園内周辺には栗原遺跡など古代の住居跡があり、武蔵野台地の古い人々の暮らしを示す。</x:v>
      </x:c>
      <x:c r="P172" s="94" t="e">
        <x:f>HYPERLINK("https://ja.wikipedia.org/wiki/Special:Search?search=%E5%9F%8E%E5%8C%97%E4%B8%AD%E5%A4%AE%E5%85%AC%E5%9C%92","Wikipedia・関連項目")</x:f>
      </x:c>
      <x:c r="R172" t="str">
        <x:v>25〜35km</x:v>
      </x:c>
      <x:c r="S172" t="str">
        <x:v>概ね25〜35km</x:v>
      </x:c>
      <x:c r="T172" t="str">
        <x:v>通常55〜90分</x:v>
      </x:c>
      <x:c r="U172" t="str">
        <x:v>平日夜・深夜</x:v>
      </x:c>
      <x:c r="V172" t="str">
        <x:v>30〜90分</x:v>
      </x:c>
      <x:c r="W172" t="n">
        <x:v>1</x:v>
      </x:c>
      <x:c r="X172" t="n">
        <x:v>1</x:v>
      </x:c>
      <x:c r="Y172" t="str">
        <x:v>平和の森公園</x:v>
      </x:c>
      <x:c r="Z172" t="str">
        <x:v>大森ふるさとの浜辺公園／森ケ崎公園</x:v>
      </x:c>
      <x:c r="AA172" s="22" t="str">
        <x:v>なし</x:v>
      </x:c>
      <x:c r="AB172" s="22" t="str">
        <x:v>-</x:v>
      </x:c>
      <x:c r="AC172" s="22" t="str"/>
      <x:c r="AD172" s="22" t="str">
        <x:v>専用・路外駐車を基本</x:v>
      </x:c>
      <x:c r="AE172" s="22" t="str"/>
    </x:row>
    <x:row r="173">
      <x:c r="A173" s="27" t="str">
        <x:v>D172</x:v>
      </x:c>
      <x:c r="B173" s="27" t="str">
        <x:v>光が丘公園</x:v>
      </x:c>
      <x:c r="C173" s="27" t="str">
        <x:v>東京都練馬区</x:v>
      </x:c>
      <x:c r="D173" s="27" t="str">
        <x:v>24時間駐車・旧飛行場・大並木</x:v>
      </x:c>
      <x:c r="E173" s="49" t="e">
        <x:f>HYPERLINK("https://www.google.com/maps/dir/?api=1&amp;destination=%E5%85%89%E3%81%8C%E4%B8%98%E5%85%AC%E5%9C%92&amp;travelmode=driving","現在地からナビ開始")</x:f>
      </x:c>
      <x:c r="F173" s="27" t="str">
        <x:v>広い芝生とイチョウ並木があり、西東京方面の夜間ルートを確実な駐車場で締められる。</x:v>
      </x:c>
      <x:c r="G173" s="27" t="str">
        <x:v>あり・251台、有料</x:v>
      </x:c>
      <x:c r="H173" s="27" t="str">
        <x:v>駐車場24時間</x:v>
      </x:c>
      <x:c r="I173" s="27" t="n">
        <x:v>4</x:v>
      </x:c>
      <x:c r="J173" s="27" t="n">
        <x:v>2</x:v>
      </x:c>
      <x:c r="K173" s="27" t="str">
        <x:v>イベント日は混雑。深夜の長時間滞在や大音量は禁止。</x:v>
      </x:c>
      <x:c r="L173" s="28" t="n">
        <x:v>46232</x:v>
      </x:c>
      <x:c r="M173" s="27" t="str">
        <x:v>一次確認済</x:v>
      </x:c>
      <x:c r="N173" s="27" t="str">
        <x:v>https://www.tokyo-park.or.jp/park/hikarigaoka/index.html</x:v>
      </x:c>
      <x:c r="O173" s="27" t="str">
        <x:v>光が丘一帯は戦時中の成増飛行場、戦後の米軍住宅地を経て大規模団地と公園へ転換された。</x:v>
      </x:c>
      <x:c r="P173" s="94" t="e">
        <x:f>HYPERLINK("https://ja.wikipedia.org/wiki/Special:Search?search=%E5%85%89%E3%81%8C%E4%B8%98%E5%85%AC%E5%9C%92","Wikipedia・関連項目")</x:f>
      </x:c>
      <x:c r="R173" t="str">
        <x:v>25〜35km</x:v>
      </x:c>
      <x:c r="S173" t="str">
        <x:v>概ね25〜35km</x:v>
      </x:c>
      <x:c r="T173" t="str">
        <x:v>通常55〜90分</x:v>
      </x:c>
      <x:c r="U173" t="str">
        <x:v>平日夜・深夜</x:v>
      </x:c>
      <x:c r="V173" t="str">
        <x:v>30〜60分</x:v>
      </x:c>
      <x:c r="W173" t="n">
        <x:v>2</x:v>
      </x:c>
      <x:c r="X173" t="n">
        <x:v>1</x:v>
      </x:c>
      <x:c r="Y173" t="str">
        <x:v>羽田空港 第3ターミナル展望デッキ</x:v>
      </x:c>
      <x:c r="Z173" t="str">
        <x:v>城南島海浜公園／潮風公園</x:v>
      </x:c>
      <x:c r="AA173" s="22" t="str">
        <x:v>なし</x:v>
      </x:c>
      <x:c r="AB173" s="22" t="str">
        <x:v>-</x:v>
      </x:c>
      <x:c r="AC173" s="22" t="str"/>
      <x:c r="AD173" s="22" t="str">
        <x:v>専用・路外駐車を基本</x:v>
      </x:c>
      <x:c r="AE173" s="22" t="str"/>
    </x:row>
    <x:row r="174">
      <x:c r="A174" s="27" t="str">
        <x:v>D173</x:v>
      </x:c>
      <x:c r="B174" s="27" t="str">
        <x:v>舎人公園</x:v>
      </x:c>
      <x:c r="C174" s="27" t="str">
        <x:v>東京都足立区</x:v>
      </x:c>
      <x:c r="D174" s="27" t="str">
        <x:v>24時間駐車・池・高台・夜間</x:v>
      </x:c>
      <x:c r="E174" s="49" t="e">
        <x:f>HYPERLINK("https://www.google.com/maps/dir/?api=1&amp;destination=%E8%88%8E%E4%BA%BA%E5%85%AC%E5%9C%92&amp;travelmode=driving","現在地からナビ開始")</x:f>
      </x:c>
      <x:c r="F174" s="27" t="str">
        <x:v>大きな池と広場、少し高い丘があり、東京北東部の夜間Sessionを安定して終えられる。</x:v>
      </x:c>
      <x:c r="G174" s="27" t="str">
        <x:v>あり・146台、有料</x:v>
      </x:c>
      <x:c r="H174" s="27" t="str">
        <x:v>駐車場24時間</x:v>
      </x:c>
      <x:c r="I174" s="27" t="n">
        <x:v>4</x:v>
      </x:c>
      <x:c r="J174" s="27" t="n">
        <x:v>3</x:v>
      </x:c>
      <x:c r="K174" s="27" t="str">
        <x:v>深夜は照明のある主要区域のみ。休日はスポーツ利用で混雑。</x:v>
      </x:c>
      <x:c r="L174" s="28" t="n">
        <x:v>46232</x:v>
      </x:c>
      <x:c r="M174" s="27" t="str">
        <x:v>一次確認済</x:v>
      </x:c>
      <x:c r="N174" s="27" t="str">
        <x:v>https://www.tokyo-park.or.jp/park/toneri/index.html</x:v>
      </x:c>
      <x:c r="O174" s="27" t="str">
        <x:v>舎人という地名は古代の官職名『舎人』との関係が指摘され、足立北部の古い地域名として残る。</x:v>
      </x:c>
      <x:c r="P174" s="94" t="e">
        <x:f>HYPERLINK("https://ja.wikipedia.org/wiki/Special:Search?search=%E8%88%8E%E4%BA%BA%E5%85%AC%E5%9C%92","Wikipedia・関連項目")</x:f>
      </x:c>
      <x:c r="R174" t="str">
        <x:v>25〜35km</x:v>
      </x:c>
      <x:c r="S174" t="str">
        <x:v>概ね25〜35km</x:v>
      </x:c>
      <x:c r="T174" t="str">
        <x:v>通常55〜90分</x:v>
      </x:c>
      <x:c r="U174" t="str">
        <x:v>水辺</x:v>
      </x:c>
      <x:c r="V174" t="str">
        <x:v>30〜60分</x:v>
      </x:c>
      <x:c r="W174" t="n">
        <x:v>1</x:v>
      </x:c>
      <x:c r="X174" t="n">
        <x:v>1</x:v>
      </x:c>
      <x:c r="Y174" t="str">
        <x:v>多摩川浅間神社</x:v>
      </x:c>
      <x:c r="Z174" t="str">
        <x:v>多摩川六郷橋緑地／多摩川ガス橋緑地</x:v>
      </x:c>
      <x:c r="AA174" s="22" t="str">
        <x:v>なし</x:v>
      </x:c>
      <x:c r="AB174" s="22" t="str">
        <x:v>-</x:v>
      </x:c>
      <x:c r="AC174" s="22" t="str"/>
      <x:c r="AD174" s="22" t="str">
        <x:v>専用・路外駐車を基本</x:v>
      </x:c>
      <x:c r="AE174" s="22" t="str"/>
    </x:row>
    <x:row r="175">
      <x:c r="A175" s="27" t="str">
        <x:v>D174</x:v>
      </x:c>
      <x:c r="B175" s="27" t="str">
        <x:v>石神井公園</x:v>
      </x:c>
      <x:c r="C175" s="27" t="str">
        <x:v>東京都練馬区</x:v>
      </x:c>
      <x:c r="D175" s="27" t="str">
        <x:v>池・城址・24時間出庫</x:v>
      </x:c>
      <x:c r="E175" s="49" t="e">
        <x:f>HYPERLINK("https://www.google.com/maps/dir/?api=1&amp;destination=%E7%9F%B3%E7%A5%9E%E4%BA%95%E5%85%AC%E5%9C%92&amp;travelmode=driving","現在地からナビ開始")</x:f>
      </x:c>
      <x:c r="F175" s="27" t="str">
        <x:v>三宝寺池の自然と石神井城址のStoryがあり、住宅都市の中で水辺と歴史を感じるEnding。</x:v>
      </x:c>
      <x:c r="G175" s="27" t="str">
        <x:v>あり・73台、有料</x:v>
      </x:c>
      <x:c r="H175" s="27" t="str">
        <x:v>第1は24時間／第2は入庫7:00～20:00・出庫24時間可</x:v>
      </x:c>
      <x:c r="I175" s="27" t="n">
        <x:v>4</x:v>
      </x:c>
      <x:c r="J175" s="27" t="n">
        <x:v>3</x:v>
      </x:c>
      <x:c r="K175" s="27" t="str">
        <x:v>池周辺は夜間暗い。住宅地のため静粛にし、石神井城址の立入範囲を守る。</x:v>
      </x:c>
      <x:c r="L175" s="28" t="n">
        <x:v>46232</x:v>
      </x:c>
      <x:c r="M175" s="27" t="str">
        <x:v>一次確認済</x:v>
      </x:c>
      <x:c r="N175" s="27" t="str">
        <x:v>https://www.tokyo-park.or.jp/park/shakujii/index.html</x:v>
      </x:c>
      <x:c r="O175" s="27" t="str">
        <x:v>三宝寺池周辺には中世の石神井城跡があり、豊島氏の滅亡伝説と照姫伝説が残る。</x:v>
      </x:c>
      <x:c r="P175" s="94" t="e">
        <x:f>HYPERLINK("https://ja.wikipedia.org/wiki/Special:Search?search=%E7%9F%B3%E7%A5%9E%E4%BA%95%E5%85%AC%E5%9C%92","Wikipedia・関連項目")</x:f>
      </x:c>
      <x:c r="R175" t="str">
        <x:v>25〜35km</x:v>
      </x:c>
      <x:c r="S175" t="str">
        <x:v>概ね25〜35km</x:v>
      </x:c>
      <x:c r="T175" t="str">
        <x:v>通常55〜90分</x:v>
      </x:c>
      <x:c r="U175" t="str">
        <x:v>水辺</x:v>
      </x:c>
      <x:c r="V175" t="str">
        <x:v>30〜60分</x:v>
      </x:c>
      <x:c r="W175" t="n">
        <x:v>2</x:v>
      </x:c>
      <x:c r="X175" t="n">
        <x:v>1</x:v>
      </x:c>
      <x:c r="Y175" t="str">
        <x:v>多摩川浅間神社</x:v>
      </x:c>
      <x:c r="Z175" t="str">
        <x:v>多摩川六郷橋緑地／多摩川ガス橋緑地</x:v>
      </x:c>
      <x:c r="AA175" s="22" t="str">
        <x:v>なし</x:v>
      </x:c>
      <x:c r="AB175" s="22" t="str">
        <x:v>-</x:v>
      </x:c>
      <x:c r="AC175" s="22" t="str"/>
      <x:c r="AD175" s="22" t="str">
        <x:v>専用・路外駐車を基本</x:v>
      </x:c>
      <x:c r="AE175" s="22" t="str"/>
    </x:row>
    <x:row r="176">
      <x:c r="A176" s="27" t="str">
        <x:v>D175</x:v>
      </x:c>
      <x:c r="B176" s="27" t="str">
        <x:v>高井戸公園</x:v>
      </x:c>
      <x:c r="C176" s="27" t="str">
        <x:v>東京都杉並区</x:v>
      </x:c>
      <x:c r="D176" s="27" t="str">
        <x:v>24時間駐車・旧施設跡・芝生</x:v>
      </x:c>
      <x:c r="E176" s="49" t="e">
        <x:f>HYPERLINK("https://www.google.com/maps/dir/?api=1&amp;destination=%E9%AB%98%E4%BA%95%E6%88%B8%E5%85%AC%E5%9C%92&amp;travelmode=driving","現在地からナビ開始")</x:f>
      </x:c>
      <x:c r="F176" s="27" t="str">
        <x:v>環八・首都高4号線から寄りやすく、広い芝生と開けた空で走行後に休憩できる。</x:v>
      </x:c>
      <x:c r="G176" s="27" t="str">
        <x:v>あり・40台、有料</x:v>
      </x:c>
      <x:c r="H176" s="27" t="str">
        <x:v>駐車場24時間</x:v>
      </x:c>
      <x:c r="I176" s="27" t="n">
        <x:v>4</x:v>
      </x:c>
      <x:c r="J176" s="27" t="n">
        <x:v>4</x:v>
      </x:c>
      <x:c r="K176" s="27" t="str">
        <x:v>台数が少ない。満車時は周辺路上待機せず通過。住宅地への騒音配慮。</x:v>
      </x:c>
      <x:c r="L176" s="28" t="n">
        <x:v>46232</x:v>
      </x:c>
      <x:c r="M176" s="27" t="str">
        <x:v>一次確認済</x:v>
      </x:c>
      <x:c r="N176" s="27" t="str">
        <x:v>https://www.tokyo-park.or.jp/park/takaido/index.html</x:v>
      </x:c>
      <x:c r="O176" s="27" t="str">
        <x:v>公園用地の一部は旧NHK富士見ヶ丘運動場などの跡地で、都市内の大規模空地を公園へ転換した。</x:v>
      </x:c>
      <x:c r="P176" s="94" t="e">
        <x:f>HYPERLINK("https://ja.wikipedia.org/wiki/Special:Search?search=%E9%AB%98%E4%BA%95%E6%88%B8%E5%85%AC%E5%9C%92","Wikipedia・関連項目")</x:f>
      </x:c>
      <x:c r="R176" t="str">
        <x:v>35km超</x:v>
      </x:c>
      <x:c r="S176" t="str">
        <x:v>概ね35km超</x:v>
      </x:c>
      <x:c r="T176" t="str">
        <x:v>通常90分超</x:v>
      </x:c>
      <x:c r="U176" t="str">
        <x:v>平日夜・深夜</x:v>
      </x:c>
      <x:c r="V176" t="str">
        <x:v>30〜60分</x:v>
      </x:c>
      <x:c r="W176" t="n">
        <x:v>2</x:v>
      </x:c>
      <x:c r="X176" t="n">
        <x:v>1</x:v>
      </x:c>
      <x:c r="Y176" t="str">
        <x:v>羽田空港 第3ターミナル展望デッキ</x:v>
      </x:c>
      <x:c r="Z176" t="str">
        <x:v>城南島海浜公園／潮風公園</x:v>
      </x:c>
      <x:c r="AA176" s="22" t="str">
        <x:v>なし</x:v>
      </x:c>
      <x:c r="AB176" s="22" t="str">
        <x:v>-</x:v>
      </x:c>
      <x:c r="AC176" s="22" t="str"/>
      <x:c r="AD176" s="22" t="str">
        <x:v>専用・路外駐車を基本</x:v>
      </x:c>
      <x:c r="AE176" s="22" t="str"/>
    </x:row>
    <x:row r="177">
      <x:c r="A177" s="27" t="str">
        <x:v>D176</x:v>
      </x:c>
      <x:c r="B177" s="27" t="str">
        <x:v>泉自然公園</x:v>
      </x:c>
      <x:c r="C177" s="27" t="str">
        <x:v>千葉市・若葉区</x:v>
      </x:c>
      <x:c r="D177" s="27" t="str">
        <x:v>森林・池・吊橋・谷津</x:v>
      </x:c>
      <x:c r="E177" s="49" t="e">
        <x:f>HYPERLINK("https://www.google.com/maps/dir/?api=1&amp;destination=%E6%B3%89%E8%87%AA%E7%84%B6%E5%85%AC%E5%9C%92&amp;travelmode=driving","現在地からナビ開始")</x:f>
      </x:c>
      <x:c r="F177" s="27" t="str">
        <x:v>深い森と池、吊橋がまとまり、千葉東部で完全に都市の景色を切れる昼のEnding。</x:v>
      </x:c>
      <x:c r="G177" s="27" t="str">
        <x:v>あり・普通車400円</x:v>
      </x:c>
      <x:c r="H177" s="27" t="str">
        <x:v>4～9月8:30～17:00／10～3月8:30～16:30</x:v>
      </x:c>
      <x:c r="I177" s="27" t="n">
        <x:v>1</x:v>
      </x:c>
      <x:c r="J177" s="27" t="n">
        <x:v>4</x:v>
      </x:c>
      <x:c r="K177" s="27" t="str">
        <x:v>入場は閉園30分前まで。桜・紅葉期は満車、路上駐車禁止。</x:v>
      </x:c>
      <x:c r="L177" s="28" t="n">
        <x:v>46232</x:v>
      </x:c>
      <x:c r="M177" s="27" t="str">
        <x:v>一次確認済</x:v>
      </x:c>
      <x:c r="N177" s="27" t="str">
        <x:v>https://izumi-park.city.chiba.jp/access.php</x:v>
      </x:c>
      <x:c r="O177" s="27" t="str">
        <x:v>泉自然公園は下総台地の谷津地形を保全し、草原・湿地・樹林が近距離で切り替わる。</x:v>
      </x:c>
      <x:c r="P177" s="94" t="e">
        <x:f>HYPERLINK("https://ja.wikipedia.org/wiki/Special:Search?search=%E6%B3%89%E8%87%AA%E7%84%B6%E5%85%AC%E5%9C%92","Wikipedia・関連項目")</x:f>
      </x:c>
      <x:c r="R177" t="str">
        <x:v>35km超</x:v>
      </x:c>
      <x:c r="S177" t="str">
        <x:v>概ね35km超</x:v>
      </x:c>
      <x:c r="T177" t="str">
        <x:v>通常90分超</x:v>
      </x:c>
      <x:c r="U177" t="str">
        <x:v>水辺</x:v>
      </x:c>
      <x:c r="V177" t="str">
        <x:v>30〜90分</x:v>
      </x:c>
      <x:c r="W177" t="n">
        <x:v>1</x:v>
      </x:c>
      <x:c r="X177" t="n">
        <x:v>1</x:v>
      </x:c>
      <x:c r="Y177" t="str">
        <x:v>多摩川浅間神社</x:v>
      </x:c>
      <x:c r="Z177" t="str">
        <x:v>多摩川六郷橋緑地／多摩川ガス橋緑地</x:v>
      </x:c>
      <x:c r="AA177" s="22" t="str">
        <x:v>なし</x:v>
      </x:c>
      <x:c r="AB177" s="22" t="str">
        <x:v>-</x:v>
      </x:c>
      <x:c r="AC177" s="22" t="str"/>
      <x:c r="AD177" s="22" t="str">
        <x:v>専用・路外駐車を基本</x:v>
      </x:c>
      <x:c r="AE177" s="22" t="str"/>
    </x:row>
    <x:row r="178">
      <x:c r="A178" s="27" t="str">
        <x:v>D177</x:v>
      </x:c>
      <x:c r="B178" s="27" t="str">
        <x:v>袖ケ浦海浜公園</x:v>
      </x:c>
      <x:c r="C178" s="27" t="str">
        <x:v>千葉県袖ケ浦市</x:v>
      </x:c>
      <x:c r="D178" s="27" t="str">
        <x:v>港・海・展望塔・工場夜景</x:v>
      </x:c>
      <x:c r="E178" s="49" t="e">
        <x:f>HYPERLINK("https://www.google.com/maps/dir/?api=1&amp;destination=%E8%A2%96%E3%82%B1%E6%B5%A6%E6%B5%B7%E6%B5%9C%E5%85%AC%E5%9C%92&amp;travelmode=driving","現在地からナビ開始")</x:f>
      </x:c>
      <x:c r="F178" s="27" t="str">
        <x:v>東京湾に突き出す公園からアクアライン、対岸の街、京葉工業地帯を見渡せる。</x:v>
      </x:c>
      <x:c r="G178" s="27" t="str">
        <x:v>あり・無料</x:v>
      </x:c>
      <x:c r="H178" s="27" t="str">
        <x:v>公園・駐車場の最新開放時間は指定管理者確認</x:v>
      </x:c>
      <x:c r="I178" s="27" t="n">
        <x:v>4</x:v>
      </x:c>
      <x:c r="J178" s="27" t="n">
        <x:v>4</x:v>
      </x:c>
      <x:c r="K178" s="27" t="str">
        <x:v>強風時は展望塔周辺に注意。イベント・撮影規制、指定場所以外への車両進入禁止。</x:v>
      </x:c>
      <x:c r="L178" s="28" t="n">
        <x:v>46232</x:v>
      </x:c>
      <x:c r="M178" s="27" t="str">
        <x:v>当日再確認</x:v>
      </x:c>
      <x:c r="N178" s="27" t="str">
        <x:v>https://www.city.sodegaura.lg.jp/soshiki/toshi/kaihinkouen.html</x:v>
      </x:c>
      <x:c r="O178" s="27" t="str">
        <x:v>袖ケ浦海浜公園は千葉港南部の埋立地に造られ、東京湾岸の工業地帯と海景を同時に見られる。</x:v>
      </x:c>
      <x:c r="P178" s="94" t="e">
        <x:f>HYPERLINK("https://ja.wikipedia.org/wiki/Special:Search?search=%E8%A2%96%E3%82%B1%E6%B5%A6%E6%B5%B7%E6%B5%9C%E5%85%AC%E5%9C%92","Wikipedia・関連項目")</x:f>
      </x:c>
      <x:c r="R178" t="str">
        <x:v>35km超</x:v>
      </x:c>
      <x:c r="S178" t="str">
        <x:v>概ね35km超</x:v>
      </x:c>
      <x:c r="T178" t="str">
        <x:v>通常90分超</x:v>
      </x:c>
      <x:c r="U178" t="str">
        <x:v>工場夜景</x:v>
      </x:c>
      <x:c r="V178" t="str">
        <x:v>30〜60分</x:v>
      </x:c>
      <x:c r="W178" t="n">
        <x:v>1</x:v>
      </x:c>
      <x:c r="X178" t="n">
        <x:v>4</x:v>
      </x:c>
      <x:c r="Y178" t="str">
        <x:v>川崎マリエン</x:v>
      </x:c>
      <x:c r="Z178" t="str">
        <x:v>東扇島東公園／ちどり公園</x:v>
      </x:c>
      <x:c r="AA178" s="22" t="str">
        <x:v>なし</x:v>
      </x:c>
      <x:c r="AB178" s="22" t="str">
        <x:v>-</x:v>
      </x:c>
      <x:c r="AC178" s="22" t="str"/>
      <x:c r="AD178" s="22" t="str">
        <x:v>専用・路外駐車を基本</x:v>
      </x:c>
      <x:c r="AE178" s="22" t="str"/>
    </x:row>
    <x:row r="179">
      <x:c r="A179" s="27" t="str">
        <x:v>D178</x:v>
      </x:c>
      <x:c r="B179" s="27" t="str">
        <x:v>彩湖・道満グリーンパーク</x:v>
      </x:c>
      <x:c r="C179" s="27" t="str">
        <x:v>埼玉県戸田市</x:v>
      </x:c>
      <x:c r="D179" s="27" t="str">
        <x:v>湖・荒川・広大公園・夕方</x:v>
      </x:c>
      <x:c r="E179" s="49" t="e">
        <x:f>HYPERLINK("https://www.google.com/maps/dir/?api=1&amp;destination=%E5%BD%A9%E6%B9%96%E3%83%BB%E9%81%93%E6%BA%80%E3%82%B0%E3%83%AA%E3%83%BC%E3%83%B3%E3%83%91%E3%83%BC%E3%82%AF&amp;travelmode=driving","現在地からナビ開始")</x:f>
      </x:c>
      <x:c r="F179" s="27" t="str">
        <x:v>彩湖の水面と荒川河川敷の広い空があり、埼玉南部で水辺の到達感を作れる。</x:v>
      </x:c>
      <x:c r="G179" s="27" t="str">
        <x:v>あり・有料</x:v>
      </x:c>
      <x:c r="H179" s="27" t="str">
        <x:v>開園・駐車場時間は季節別公式案内確認</x:v>
      </x:c>
      <x:c r="I179" s="27" t="n">
        <x:v>2</x:v>
      </x:c>
      <x:c r="J179" s="27" t="n">
        <x:v>2</x:v>
      </x:c>
      <x:c r="K179" s="27" t="str">
        <x:v>行楽期は60～120分待ちの渋滞実績あり。満車時の路上駐車禁止、増水時閉鎖あり。</x:v>
      </x:c>
      <x:c r="L179" s="28" t="n">
        <x:v>46232</x:v>
      </x:c>
      <x:c r="M179" s="27" t="str">
        <x:v>一次確認済</x:v>
      </x:c>
      <x:c r="N179" s="27" t="str">
        <x:v>https://www.toda-kousha.com/park/saikodoman/</x:v>
      </x:c>
      <x:c r="O179" s="27" t="str">
        <x:v>彩湖は荒川第一調節池内に造られた貯水池で、洪水調節と都市用水確保の役割を持つ。</x:v>
      </x:c>
      <x:c r="P179" s="94" t="e">
        <x:f>HYPERLINK("https://ja.wikipedia.org/wiki/Special:Search?search=%E5%BD%A9%E6%B9%96%E3%83%BB%E9%81%93%E6%BA%80%E3%82%B0%E3%83%AA%E3%83%BC%E3%83%B3%E3%83%91%E3%83%BC%E3%82%AF","Wikipedia・関連項目")</x:f>
      </x:c>
      <x:c r="R179" t="str">
        <x:v>35km超</x:v>
      </x:c>
      <x:c r="S179" t="str">
        <x:v>概ね35km超</x:v>
      </x:c>
      <x:c r="T179" t="str">
        <x:v>通常90分超</x:v>
      </x:c>
      <x:c r="U179" t="str">
        <x:v>水辺</x:v>
      </x:c>
      <x:c r="V179" t="str">
        <x:v>30〜90分</x:v>
      </x:c>
      <x:c r="W179" t="n">
        <x:v>1</x:v>
      </x:c>
      <x:c r="X179" t="n">
        <x:v>1</x:v>
      </x:c>
      <x:c r="Y179" t="str">
        <x:v>多摩川浅間神社</x:v>
      </x:c>
      <x:c r="Z179" t="str">
        <x:v>多摩川六郷橋緑地／多摩川ガス橋緑地</x:v>
      </x:c>
      <x:c r="AA179" s="22" t="str">
        <x:v>なし</x:v>
      </x:c>
      <x:c r="AB179" s="22" t="str">
        <x:v>-</x:v>
      </x:c>
      <x:c r="AC179" s="22" t="str"/>
      <x:c r="AD179" s="22" t="str">
        <x:v>専用・路外駐車を基本</x:v>
      </x:c>
      <x:c r="AE179" s="22" t="str"/>
    </x:row>
    <x:row r="180">
      <x:c r="A180" s="27" t="str">
        <x:v>D179</x:v>
      </x:c>
      <x:c r="B180" s="27" t="str">
        <x:v>権現堂公園</x:v>
      </x:c>
      <x:c r="C180" s="27" t="str">
        <x:v>埼玉県幸手市</x:v>
      </x:c>
      <x:c r="D180" s="27" t="str">
        <x:v>堤・花・河川・季節景観</x:v>
      </x:c>
      <x:c r="E180" s="49" t="e">
        <x:f>HYPERLINK("https://www.google.com/maps/dir/?api=1&amp;destination=%E6%A8%A9%E7%8F%BE%E5%A0%82%E5%85%AC%E5%9C%92&amp;travelmode=driving","現在地からナビ開始")</x:f>
      </x:c>
      <x:c r="F180" s="27" t="str">
        <x:v>長い堤と桜・菜の花などの季節景観があり、埼玉東部の平坦な風景を目的地化できる。</x:v>
      </x:c>
      <x:c r="G180" s="27" t="str">
        <x:v>あり・無料／季節有料の場合あり</x:v>
      </x:c>
      <x:c r="H180" s="27" t="str">
        <x:v>駐車場時間・イベント規制は公式確認</x:v>
      </x:c>
      <x:c r="I180" s="27" t="n">
        <x:v>2</x:v>
      </x:c>
      <x:c r="J180" s="27" t="n">
        <x:v>2</x:v>
      </x:c>
      <x:c r="K180" s="27" t="str">
        <x:v>桜・曼珠沙華期は大渋滞。夜間より昼～夕方向け、路上駐車禁止。</x:v>
      </x:c>
      <x:c r="L180" s="28" t="n">
        <x:v>46232</x:v>
      </x:c>
      <x:c r="M180" s="27" t="str">
        <x:v>当日再確認</x:v>
      </x:c>
      <x:c r="N180" s="27" t="str">
        <x:v>https://www.pref.saitama.lg.jp/shisetsu/koen/010.html</x:v>
      </x:c>
      <x:c r="O180" s="27" t="str">
        <x:v>権現堂堤は利根川水系の治水と地域交通の歴史を持ち、現在は四季の花の名所として再生された。</x:v>
      </x:c>
      <x:c r="P180" s="94" t="e">
        <x:f>HYPERLINK("https://ja.wikipedia.org/wiki/Special:Search?search=%E6%A8%A9%E7%8F%BE%E5%A0%82%E5%85%AC%E5%9C%92","Wikipedia・関連項目")</x:f>
      </x:c>
      <x:c r="R180" t="str">
        <x:v>35km超</x:v>
      </x:c>
      <x:c r="S180" t="str">
        <x:v>概ね35km超</x:v>
      </x:c>
      <x:c r="T180" t="str">
        <x:v>通常90分超</x:v>
      </x:c>
      <x:c r="U180" t="str">
        <x:v>水辺</x:v>
      </x:c>
      <x:c r="V180" t="str">
        <x:v>30〜90分</x:v>
      </x:c>
      <x:c r="W180" t="n">
        <x:v>1</x:v>
      </x:c>
      <x:c r="X180" t="n">
        <x:v>1</x:v>
      </x:c>
      <x:c r="Y180" t="str">
        <x:v>多摩川浅間神社</x:v>
      </x:c>
      <x:c r="Z180" t="str">
        <x:v>多摩川六郷橋緑地／多摩川ガス橋緑地</x:v>
      </x:c>
      <x:c r="AA180" s="22" t="str">
        <x:v>なし</x:v>
      </x:c>
      <x:c r="AB180" s="22" t="str">
        <x:v>-</x:v>
      </x:c>
      <x:c r="AC180" s="22" t="str"/>
      <x:c r="AD180" s="22" t="str">
        <x:v>専用・路外駐車を基本</x:v>
      </x:c>
      <x:c r="AE180" s="22" t="str"/>
    </x:row>
    <x:row r="181">
      <x:c r="A181" s="27" t="str">
        <x:v>D180</x:v>
      </x:c>
      <x:c r="B181" s="27" t="str">
        <x:v>吉見百穴</x:v>
      </x:c>
      <x:c r="C181" s="27" t="str">
        <x:v>埼玉県吉見町</x:v>
      </x:c>
      <x:c r="D181" s="27" t="str">
        <x:v>古墳・岩窟・戦争遺構・Story</x:v>
      </x:c>
      <x:c r="E181" s="49" t="e">
        <x:f>HYPERLINK("https://www.google.com/maps/dir/?api=1&amp;destination=%E5%90%89%E8%A6%8B%E7%99%BE%E7%A9%B4&amp;travelmode=driving","現在地からナビ開始")</x:f>
      </x:c>
      <x:c r="F181" s="27" t="str">
        <x:v>岩壁に無数の横穴が並ぶ異様な景観と地下軍需工場跡があり、強烈な物語性を持つ昼Ending。</x:v>
      </x:c>
      <x:c r="G181" s="27" t="str">
        <x:v>あり・無料</x:v>
      </x:c>
      <x:c r="H181" s="27" t="str">
        <x:v>8:30～17:00中心、最終入場は公式確認</x:v>
      </x:c>
      <x:c r="I181" s="27" t="n">
        <x:v>1</x:v>
      </x:c>
      <x:c r="J181" s="27" t="n">
        <x:v>4</x:v>
      </x:c>
      <x:c r="K181" s="27" t="str">
        <x:v>夜間不可。坑道・横穴の立入範囲を守り、休館日・工事情報を当日確認。</x:v>
      </x:c>
      <x:c r="L181" s="28" t="n">
        <x:v>46232</x:v>
      </x:c>
      <x:c r="M181" s="27" t="str">
        <x:v>当日再確認</x:v>
      </x:c>
      <x:c r="N181" s="27" t="str">
        <x:v>https://www.town.yoshimi.saitama.jp/soshiki/shogaigakusyuka/2/909.html</x:v>
      </x:c>
      <x:c r="O181" s="27" t="str">
        <x:v>吉見百穴は古墳時代後期の横穴墓群で、戦時中には地下軍需工場として掘削された区域もある。</x:v>
      </x:c>
      <x:c r="P181" s="94" t="e">
        <x:f>HYPERLINK("https://ja.wikipedia.org/wiki/Special:Search?search=%E5%90%89%E8%A6%8B%E7%99%BE%E7%A9%B4","Wikipedia・関連項目")</x:f>
      </x:c>
      <x:c r="R181" t="str">
        <x:v>35km超</x:v>
      </x:c>
      <x:c r="S181" t="str">
        <x:v>概ね35km超</x:v>
      </x:c>
      <x:c r="T181" t="str">
        <x:v>通常90分超</x:v>
      </x:c>
      <x:c r="U181" t="str">
        <x:v>Story</x:v>
      </x:c>
      <x:c r="V181" t="str">
        <x:v>30〜60分</x:v>
      </x:c>
      <x:c r="W181" t="n">
        <x:v>2</x:v>
      </x:c>
      <x:c r="X181" t="n">
        <x:v>1</x:v>
      </x:c>
      <x:c r="Y181" t="str">
        <x:v>羽田空港 第3ターミナル展望デッキ</x:v>
      </x:c>
      <x:c r="Z181" t="str">
        <x:v>城南島海浜公園／潮風公園</x:v>
      </x:c>
      <x:c r="AA181" s="22" t="str">
        <x:v>なし</x:v>
      </x:c>
      <x:c r="AB181" s="22" t="str">
        <x:v>-</x:v>
      </x:c>
      <x:c r="AC181" s="22" t="str"/>
      <x:c r="AD181" s="22" t="str">
        <x:v>専用・路外駐車を基本</x:v>
      </x:c>
      <x:c r="AE181" s="22" t="str"/>
    </x:row>
    <x:row r="182">
      <x:c r="A182" s="27" t="str">
        <x:v>D181</x:v>
      </x:c>
      <x:c r="B182" s="27" t="str">
        <x:v>高洲海浜公園</x:v>
      </x:c>
      <x:c r="C182" s="27" t="str">
        <x:v>浦安市・高洲</x:v>
      </x:c>
      <x:c r="D182" s="27" t="str">
        <x:v>海・展望の丘・24時間駐車</x:v>
      </x:c>
      <x:c r="E182" s="49" t="e">
        <x:f>HYPERLINK("https://www.google.com/maps/dir/?api=1&amp;destination=%E9%AB%98%E6%B4%B2%E6%B5%B7%E6%B5%9C%E5%85%AC%E5%9C%92&amp;travelmode=driving","現在地からナビ開始")</x:f>
      </x:c>
      <x:c r="F182" s="27" t="str">
        <x:v>芝生、展望の丘、テラス式海岸を備え、東京湾の風と新浦安の街明かりを安全な駐車場から楽しめる。</x:v>
      </x:c>
      <x:c r="G182" s="27" t="str">
        <x:v>あり・152台・有料</x:v>
      </x:c>
      <x:c r="H182" s="27" t="str">
        <x:v>駐車場 年中無休・終日利用可</x:v>
      </x:c>
      <x:c r="I182" s="27" t="n">
        <x:v>5</x:v>
      </x:c>
      <x:c r="J182" s="27" t="n">
        <x:v>4</x:v>
      </x:c>
      <x:c r="K182" s="27" t="str">
        <x:v>海沿いは強風になりやすい。火気禁止。深夜は住宅地側への騒音と長時間滞在を避ける。</x:v>
      </x:c>
      <x:c r="L182" s="28" t="n">
        <x:v>46232</x:v>
      </x:c>
      <x:c r="M182" s="27" t="str">
        <x:v>一次確認済</x:v>
      </x:c>
      <x:c r="N182" s="27" t="str">
        <x:v>https://www.city.urayasu.lg.jp/shisetsu/kouen/1005634.html</x:v>
      </x:c>
      <x:c r="O182" s="27" t="str">
        <x:v>高洲は東京湾岸の埋立地として形成され、新浦安の住宅地と海辺の公共空間が隣り合う地区である。</x:v>
      </x:c>
      <x:c r="P182" s="94" t="e">
        <x:f>HYPERLINK("https://ja.wikipedia.org/wiki/Special:Search?search=%E9%AB%98%E6%B4%B2%E6%B5%B7%E6%B5%9C%E5%85%AC%E5%9C%92","Wikipedia・関連項目")</x:f>
      </x:c>
      <x:c r="Q182" s="27" t="str">
        <x:v>新規追加。24時間駐車可能な海辺Endingとして採用。</x:v>
      </x:c>
      <x:c r="R182" t="str">
        <x:v>20〜25km</x:v>
      </x:c>
      <x:c r="S182" t="str">
        <x:v>概ね20〜25km</x:v>
      </x:c>
      <x:c r="T182" t="str">
        <x:v>通常40〜70分</x:v>
      </x:c>
      <x:c r="U182" t="str">
        <x:v>海・港</x:v>
      </x:c>
      <x:c r="V182" t="str">
        <x:v>30〜60分</x:v>
      </x:c>
      <x:c r="W182" t="n">
        <x:v>1</x:v>
      </x:c>
      <x:c r="X182" t="n">
        <x:v>3</x:v>
      </x:c>
      <x:c r="Y182" t="str">
        <x:v>城南島海浜公園</x:v>
      </x:c>
      <x:c r="Z182" t="str">
        <x:v>潮風公園／晴海ふ頭公園</x:v>
      </x:c>
      <x:c r="AA182" s="22" t="str">
        <x:v>なし</x:v>
      </x:c>
      <x:c r="AB182" s="22" t="str">
        <x:v>-</x:v>
      </x:c>
      <x:c r="AC182" s="22" t="str"/>
      <x:c r="AD182" s="22" t="str">
        <x:v>専用・路外駐車を基本</x:v>
      </x:c>
      <x:c r="AE182" s="22" t="str"/>
    </x:row>
    <x:row r="183">
      <x:c r="A183" s="27" t="str">
        <x:v>D182</x:v>
      </x:c>
      <x:c r="B183" s="27" t="str">
        <x:v>香澄公園</x:v>
      </x:c>
      <x:c r="C183" s="27" t="str">
        <x:v>習志野市・香澄</x:v>
      </x:c>
      <x:c r="D183" s="27" t="str">
        <x:v>緑道・菖蒲池・緩衝緑地</x:v>
      </x:c>
      <x:c r="E183" s="49" t="e">
        <x:f>HYPERLINK("https://www.google.com/maps/dir/?api=1&amp;destination=%E9%A6%99%E6%BE%84%E5%85%AC%E5%9C%92&amp;travelmode=driving","現在地からナビ開始")</x:f>
      </x:c>
      <x:c r="F183" s="27" t="str">
        <x:v>細長い緑地に池、樹林、起伏が連続し、湾岸道路の人工景観から緑へ切り替える経由地・昼Endingになる。</x:v>
      </x:c>
      <x:c r="G183" s="27" t="str">
        <x:v>あり・75台・無料</x:v>
      </x:c>
      <x:c r="H183" s="27" t="str">
        <x:v>3～7/18・9月 9:00～17:30／夏 19:30／冬 17:00</x:v>
      </x:c>
      <x:c r="I183" s="27" t="n">
        <x:v>1</x:v>
      </x:c>
      <x:c r="J183" s="27" t="n">
        <x:v>4</x:v>
      </x:c>
      <x:c r="K183" s="27" t="str">
        <x:v>閉場後は出庫不可。花見期は混雑し、満車時は茜浜緑地駐車場へ差し替える。</x:v>
      </x:c>
      <x:c r="L183" s="28" t="n">
        <x:v>46232</x:v>
      </x:c>
      <x:c r="M183" s="27" t="str">
        <x:v>一次確認済</x:v>
      </x:c>
      <x:c r="N183" s="27" t="str">
        <x:v>https://www.city.narashino.lg.jp/shisetu/koenshiseki/kasumikoen.html</x:v>
      </x:c>
      <x:c r="O183" s="27" t="str">
        <x:v>香澄公園は湾岸の住宅地と工業・交通施設を分ける緩衝緑地として機能し、明治神宮から株分けされた花菖蒲もある。</x:v>
      </x:c>
      <x:c r="P183" s="94" t="e">
        <x:f>HYPERLINK("https://ja.wikipedia.org/wiki/Special:Search?search=%E9%A6%99%E6%BE%84%E5%85%AC%E5%9C%92","Wikipedia・関連項目")</x:f>
      </x:c>
      <x:c r="Q183" s="27" t="str">
        <x:v>新規追加。夜間不向きだが、湾岸ルートの景観転換点として高評価。</x:v>
      </x:c>
      <x:c r="R183" t="str">
        <x:v>35km超</x:v>
      </x:c>
      <x:c r="S183" t="str">
        <x:v>概ね35km超</x:v>
      </x:c>
      <x:c r="T183" t="str">
        <x:v>通常90分超</x:v>
      </x:c>
      <x:c r="U183" t="str">
        <x:v>水辺</x:v>
      </x:c>
      <x:c r="V183" t="str">
        <x:v>30〜60分</x:v>
      </x:c>
      <x:c r="W183" t="n">
        <x:v>2</x:v>
      </x:c>
      <x:c r="X183" t="n">
        <x:v>1</x:v>
      </x:c>
      <x:c r="Y183" t="str">
        <x:v>多摩川浅間神社</x:v>
      </x:c>
      <x:c r="Z183" t="str">
        <x:v>多摩川六郷橋緑地／多摩川ガス橋緑地</x:v>
      </x:c>
      <x:c r="AA183" s="22" t="str">
        <x:v>なし</x:v>
      </x:c>
      <x:c r="AB183" s="22" t="str">
        <x:v>-</x:v>
      </x:c>
      <x:c r="AC183" s="22" t="str"/>
      <x:c r="AD183" s="22" t="str">
        <x:v>専用・路外駐車を基本</x:v>
      </x:c>
      <x:c r="AE183" s="22" t="str"/>
    </x:row>
    <x:row r="184">
      <x:c r="A184" s="27" t="str">
        <x:v>D183</x:v>
      </x:c>
      <x:c r="B184" s="27" t="str">
        <x:v>茜浜緑地・海浜公園</x:v>
      </x:c>
      <x:c r="C184" s="27" t="str">
        <x:v>習志野市・茜浜／芝園</x:v>
      </x:c>
      <x:c r="D184" s="27" t="str">
        <x:v>海・湾岸・行き止まり</x:v>
      </x:c>
      <x:c r="E184" s="49" t="e">
        <x:f>HYPERLINK("https://www.google.com/maps/dir/?api=1&amp;destination=%E8%8C%9C%E6%B5%9C%E7%B7%91%E5%9C%B0%E3%83%BB%E6%B5%B7%E6%B5%9C%E5%85%AC%E5%9C%92&amp;travelmode=driving","現在地からナビ開始")</x:f>
      </x:c>
      <x:c r="F184" s="27" t="str">
        <x:v>東京湾に面した直線的な海辺で、物流・工業地区の先に水面が開ける『湾岸の端』らしいEnding。</x:v>
      </x:c>
      <x:c r="G184" s="27" t="str">
        <x:v>あり・232台・無料</x:v>
      </x:c>
      <x:c r="H184" s="27" t="str">
        <x:v>5～6月 8:00～18:30／7～8月 6:00～19:30／9～4月 8:30～17:30</x:v>
      </x:c>
      <x:c r="I184" s="27" t="n">
        <x:v>2</x:v>
      </x:c>
      <x:c r="J184" s="27" t="n">
        <x:v>5</x:v>
      </x:c>
      <x:c r="K184" s="27" t="str">
        <x:v>夜間不可。閉門時刻厳守。強風・高波時は海際へ近づかず、工業施設敷地へ進入しない。</x:v>
      </x:c>
      <x:c r="L184" s="28" t="n">
        <x:v>46232</x:v>
      </x:c>
      <x:c r="M184" s="27" t="str">
        <x:v>一次確認済</x:v>
      </x:c>
      <x:c r="N184" s="27" t="str">
        <x:v>https://www.city.narashino.lg.jp/shisetu/koenshiseki/kaihinkouen.html</x:v>
      </x:c>
      <x:c r="O184" s="27" t="str">
        <x:v>茜浜は東京湾の埋立地で、習志野市の臨海工業・物流地区を形成する一方、海辺の緑地が緩衝帯となっている。</x:v>
      </x:c>
      <x:c r="P184" s="94" t="e">
        <x:f>HYPERLINK("https://ja.wikipedia.org/wiki/Special:Search?search=%E8%8C%9C%E6%B5%9C%E7%B7%91%E5%9C%B0%E3%83%BB%E6%B5%B7%E6%B5%9C%E5%85%AC%E5%9C%92","Wikipedia・関連項目")</x:f>
      </x:c>
      <x:c r="Q184" s="27" t="str">
        <x:v>新規追加。行き止まり感と合法駐車を両立する昼Ending。</x:v>
      </x:c>
      <x:c r="R184" t="str">
        <x:v>35km超</x:v>
      </x:c>
      <x:c r="S184" t="str">
        <x:v>概ね35km超</x:v>
      </x:c>
      <x:c r="T184" t="str">
        <x:v>通常90分超</x:v>
      </x:c>
      <x:c r="U184" t="str">
        <x:v>海・港</x:v>
      </x:c>
      <x:c r="V184" t="str">
        <x:v>30〜60分</x:v>
      </x:c>
      <x:c r="W184" t="n">
        <x:v>1</x:v>
      </x:c>
      <x:c r="X184" t="n">
        <x:v>3</x:v>
      </x:c>
      <x:c r="Y184" t="str">
        <x:v>城南島海浜公園</x:v>
      </x:c>
      <x:c r="Z184" t="str">
        <x:v>潮風公園／晴海ふ頭公園</x:v>
      </x:c>
      <x:c r="AA184" s="22" t="str">
        <x:v>なし</x:v>
      </x:c>
      <x:c r="AB184" s="22" t="str">
        <x:v>-</x:v>
      </x:c>
      <x:c r="AC184" s="22" t="str"/>
      <x:c r="AD184" s="22" t="str">
        <x:v>専用・路外駐車を基本</x:v>
      </x:c>
      <x:c r="AE184" s="22" t="str"/>
    </x:row>
    <x:row r="185">
      <x:c r="A185" s="27" t="str">
        <x:v>D184</x:v>
      </x:c>
      <x:c r="B185" s="27" t="str">
        <x:v>検見川の浜・稲毛ヨットハーバー</x:v>
      </x:c>
      <x:c r="C185" s="27" t="str">
        <x:v>千葉市・美浜区</x:v>
      </x:c>
      <x:c r="D185" s="27" t="str">
        <x:v>人工海浜・ヨット・夕景</x:v>
      </x:c>
      <x:c r="E185" s="49" t="e">
        <x:f>HYPERLINK("https://www.google.com/maps/dir/?api=1&amp;destination=%E6%A4%9C%E8%A6%8B%E5%B7%9D%E3%81%AE%E6%B5%9C%E3%83%BB%E7%A8%B2%E6%AF%9B%E3%83%A8%E3%83%83%E3%83%88%E3%83%8F%E3%83%BC%E3%83%90%E3%83%BC&amp;travelmode=driving","現在地からナビ開始")</x:f>
      </x:c>
      <x:c r="F185" s="27" t="str">
        <x:v>ヨットの帆、人工海浜、幕張新都心の遠景が重なり、千葉湾岸の夕景Endingとして成立する。</x:v>
      </x:c>
      <x:c r="G185" s="27" t="str">
        <x:v>あり・無料または周辺有料</x:v>
      </x:c>
      <x:c r="H185" s="27" t="str">
        <x:v>県港湾駐車場 9:00～17:00／周辺駐車場は個別確認</x:v>
      </x:c>
      <x:c r="I185" s="27" t="n">
        <x:v>2</x:v>
      </x:c>
      <x:c r="J185" s="27" t="n">
        <x:v>4</x:v>
      </x:c>
      <x:c r="K185" s="27" t="str">
        <x:v>無料駐車場は17時閉鎖。休日は満車になりやすく、海況不良時は護岸へ近づかない。</x:v>
      </x:c>
      <x:c r="L185" s="28" t="n">
        <x:v>46232</x:v>
      </x:c>
      <x:c r="M185" s="27" t="str">
        <x:v>一次確認済</x:v>
      </x:c>
      <x:c r="N185" s="27" t="str">
        <x:v>https://www.city.chiba.jp/toshi/koenryokuchi/ryokusei/kemigwabeachfes2026spr.html</x:v>
      </x:c>
      <x:c r="O185" s="27" t="str">
        <x:v>検見川の浜は東京湾の埋立事業により造られた人工海浜で、ウインドサーフィンやヨットの拠点として知られる。</x:v>
      </x:c>
      <x:c r="P185" s="94" t="e">
        <x:f>HYPERLINK("https://ja.wikipedia.org/wiki/Special:Search?search=%E6%A4%9C%E8%A6%8B%E5%B7%9D%E3%81%AE%E6%B5%9C%E3%83%BB%E7%A8%B2%E6%AF%9B%E3%83%A8%E3%83%83%E3%83%88%E3%83%8F%E3%83%BC%E3%83%90%E3%83%BC","Wikipedia・関連項目")</x:f>
      </x:c>
      <x:c r="Q185" s="27" t="str">
        <x:v>新規追加。車内鑑賞より散歩・夕景向け。</x:v>
      </x:c>
      <x:c r="R185" t="str">
        <x:v>35km超</x:v>
      </x:c>
      <x:c r="S185" t="str">
        <x:v>概ね35km超</x:v>
      </x:c>
      <x:c r="T185" t="str">
        <x:v>通常90分超</x:v>
      </x:c>
      <x:c r="U185" t="str">
        <x:v>海・港</x:v>
      </x:c>
      <x:c r="V185" t="str">
        <x:v>30〜60分</x:v>
      </x:c>
      <x:c r="W185" t="n">
        <x:v>1</x:v>
      </x:c>
      <x:c r="X185" t="n">
        <x:v>3</x:v>
      </x:c>
      <x:c r="Y185" t="str">
        <x:v>城南島海浜公園</x:v>
      </x:c>
      <x:c r="Z185" t="str">
        <x:v>潮風公園／晴海ふ頭公園</x:v>
      </x:c>
      <x:c r="AA185" s="22" t="str">
        <x:v>なし</x:v>
      </x:c>
      <x:c r="AB185" s="22" t="str">
        <x:v>-</x:v>
      </x:c>
      <x:c r="AC185" s="22" t="str"/>
      <x:c r="AD185" s="22" t="str">
        <x:v>専用・路外駐車を基本</x:v>
      </x:c>
      <x:c r="AE185" s="22" t="str"/>
    </x:row>
    <x:row r="186">
      <x:c r="A186" s="27" t="str">
        <x:v>D185</x:v>
      </x:c>
      <x:c r="B186" s="27" t="str">
        <x:v>横須賀美術館 海の広場</x:v>
      </x:c>
      <x:c r="C186" s="27" t="str">
        <x:v>横須賀市・観音崎</x:v>
      </x:c>
      <x:c r="D186" s="27" t="str">
        <x:v>建築・海・美術・夜間広場</x:v>
      </x:c>
      <x:c r="E186" s="49" t="e">
        <x:f>HYPERLINK("https://www.google.com/maps/dir/?api=1&amp;destination=%E6%A8%AA%E9%A0%88%E8%B3%80%E7%BE%8E%E8%A1%93%E9%A4%A8%20%E6%B5%B7%E3%81%AE%E5%BA%83%E5%A0%B4&amp;travelmode=driving","現在地からナビ開始")</x:f>
      </x:c>
      <x:c r="F186" s="27" t="str">
        <x:v>ガラスと白い建築、芝生、浦賀水道を一体で眺められ、展示を見なくても建築と海で目的地として成立する。</x:v>
      </x:c>
      <x:c r="G186" s="27" t="str">
        <x:v>あり・普通車120台・有料</x:v>
      </x:c>
      <x:c r="H186" s="27" t="str">
        <x:v>駐車場 8:00～22:00／美術館は2026-09-04まで長期休館</x:v>
      </x:c>
      <x:c r="I186" s="27" t="n">
        <x:v>4</x:v>
      </x:c>
      <x:c r="J186" s="27" t="n">
        <x:v>3</x:v>
      </x:c>
      <x:c r="K186" s="27" t="str">
        <x:v>休館中も海の広場と駐車場は利用可。屋上広場は閉鎖中。道路上での入庫待ち・路上駐車は禁止。</x:v>
      </x:c>
      <x:c r="L186" s="28" t="n">
        <x:v>46232</x:v>
      </x:c>
      <x:c r="M186" s="27" t="str">
        <x:v>一次確認済</x:v>
      </x:c>
      <x:c r="N186" s="27" t="str">
        <x:v>https://www.yokosuka-moa.jp/archive/news/2026/data-20260701-226.html</x:v>
      </x:c>
      <x:c r="O186" s="27" t="str">
        <x:v>横須賀美術館は山本理顕設計の建築で、建物の多くを地下に収め、海と緑の景観を壊さない構成が特徴とされる。</x:v>
      </x:c>
      <x:c r="P186" s="94" t="e">
        <x:f>HYPERLINK("https://ja.wikipedia.org/wiki/Special:Search?search=%E6%A8%AA%E9%A0%88%E8%B3%80%E7%BE%8E%E8%A1%93%E9%A4%A8%20%E6%B5%B7%E3%81%AE%E5%BA%83%E5%A0%B4","Wikipedia・関連項目")</x:f>
      </x:c>
      <x:c r="Q186" s="27" t="str">
        <x:v>2026-07-29再点検：本館休館中も海の広場・駐車場利用可。屋上広場閉鎖情報を維持。</x:v>
      </x:c>
      <x:c r="R186" t="str">
        <x:v>35km超</x:v>
      </x:c>
      <x:c r="S186" t="str">
        <x:v>概ね35km超</x:v>
      </x:c>
      <x:c r="T186" t="str">
        <x:v>通常90分超</x:v>
      </x:c>
      <x:c r="U186" t="str">
        <x:v>海・港</x:v>
      </x:c>
      <x:c r="V186" t="str">
        <x:v>60〜150分</x:v>
      </x:c>
      <x:c r="W186" t="n">
        <x:v>1</x:v>
      </x:c>
      <x:c r="X186" t="n">
        <x:v>3</x:v>
      </x:c>
      <x:c r="Y186" t="str">
        <x:v>城南島海浜公園</x:v>
      </x:c>
      <x:c r="Z186" t="str">
        <x:v>潮風公園／晴海ふ頭公園</x:v>
      </x:c>
      <x:c r="AA186" s="22" t="str">
        <x:v>なし</x:v>
      </x:c>
      <x:c r="AB186" s="22" t="str">
        <x:v>-</x:v>
      </x:c>
      <x:c r="AC186" s="22" t="str"/>
      <x:c r="AD186" s="22" t="str">
        <x:v>専用・路外駐車を基本</x:v>
      </x:c>
      <x:c r="AE186" s="22" t="str"/>
    </x:row>
    <x:row r="187">
      <x:c r="A187" s="27" t="str">
        <x:v>D186</x:v>
      </x:c>
      <x:c r="B187" s="27" t="str">
        <x:v>観音埼灯台</x:v>
      </x:c>
      <x:c r="C187" s="27" t="str">
        <x:v>横須賀市・観音崎</x:v>
      </x:c>
      <x:c r="D187" s="27" t="str">
        <x:v>灯台・近代化・浦賀水道</x:v>
      </x:c>
      <x:c r="E187" s="49" t="e">
        <x:f>HYPERLINK("https://www.google.com/maps/dir/?api=1&amp;destination=%E8%A6%B3%E9%9F%B3%E5%9F%BC%E7%81%AF%E5%8F%B0&amp;travelmode=driving","現在地からナビ開始")</x:f>
      </x:c>
      <x:c r="F187" s="27" t="str">
        <x:v>日本最初の洋式灯台の系譜を持ち、灯台上から大型船が往来する浦賀水道を見下ろせる強い到達型Ending。</x:v>
      </x:c>
      <x:c r="G187" s="27" t="str">
        <x:v>あり・観音崎公園277台・有料日あり</x:v>
      </x:c>
      <x:c r="H187" s="27" t="str">
        <x:v>灯台 5～9月 9:00～16:30／10～4月 9:00～16:00、駐車場 5:00～19:00</x:v>
      </x:c>
      <x:c r="I187" s="27" t="n">
        <x:v>2</x:v>
      </x:c>
      <x:c r="J187" s="27" t="n">
        <x:v>2</x:v>
      </x:c>
      <x:c r="K187" s="27" t="str">
        <x:v>強風・悪天候時は灯台参観中止。駐車場から坂道・階段を歩く。閉場時刻を逆算する。</x:v>
      </x:c>
      <x:c r="L187" s="28" t="n">
        <x:v>46232</x:v>
      </x:c>
      <x:c r="M187" s="27" t="str">
        <x:v>一次確認済</x:v>
      </x:c>
      <x:c r="N187" s="27" t="str">
        <x:v>https://www.mlit.go.jp/sogoseisaku/region/infratourism/infralist/kanagawa/index02.html</x:v>
      </x:c>
      <x:c r="O187" s="27" t="str">
        <x:v>1868年に起工された日本初の洋式灯台で、フランス人技師ヴェルニーが設計し、現在の塔は1925年完成の3代目である。</x:v>
      </x:c>
      <x:c r="P187" s="94" t="e">
        <x:f>HYPERLINK("https://ja.wikipedia.org/wiki/Special:Search?search=%E8%A6%B3%E9%9F%B3%E5%9F%BC%E7%81%AF%E5%8F%B0","Wikipedia・関連項目")</x:f>
      </x:c>
      <x:c r="Q187" s="27" t="str">
        <x:v>新規追加。既存の観音崎公園とは『灯台登塔体験』を理由に別採用。</x:v>
      </x:c>
      <x:c r="R187" t="str">
        <x:v>35km超</x:v>
      </x:c>
      <x:c r="S187" t="str">
        <x:v>概ね35km超</x:v>
      </x:c>
      <x:c r="T187" t="str">
        <x:v>通常90分超</x:v>
      </x:c>
      <x:c r="U187" t="str">
        <x:v>休日半日</x:v>
      </x:c>
      <x:c r="V187" t="str">
        <x:v>30〜60分</x:v>
      </x:c>
      <x:c r="W187" t="n">
        <x:v>2</x:v>
      </x:c>
      <x:c r="X187" t="n">
        <x:v>1</x:v>
      </x:c>
      <x:c r="Y187" t="str">
        <x:v>羽田空港 第3ターミナル展望デッキ</x:v>
      </x:c>
      <x:c r="Z187" t="str">
        <x:v>城南島海浜公園／潮風公園</x:v>
      </x:c>
      <x:c r="AA187" s="22" t="str">
        <x:v>なし</x:v>
      </x:c>
      <x:c r="AB187" s="22" t="str">
        <x:v>-</x:v>
      </x:c>
      <x:c r="AC187" s="22" t="str"/>
      <x:c r="AD187" s="22" t="str">
        <x:v>専用・路外駐車を基本</x:v>
      </x:c>
      <x:c r="AE187" s="22" t="str"/>
    </x:row>
    <x:row r="188">
      <x:c r="A188" s="27" t="str">
        <x:v>D187</x:v>
      </x:c>
      <x:c r="B188" s="27" t="str">
        <x:v>燈明堂緑地</x:v>
      </x:c>
      <x:c r="C188" s="27" t="str">
        <x:v>横須賀市・西浦賀</x:v>
      </x:c>
      <x:c r="D188" s="27" t="str">
        <x:v>歴史・小海岸・行き止まり</x:v>
      </x:c>
      <x:c r="E188" s="49" t="e">
        <x:f>HYPERLINK("https://www.google.com/maps/dir/?api=1&amp;destination=%E7%87%88%E6%98%8E%E5%A0%82%E7%B7%91%E5%9C%B0&amp;travelmode=driving","現在地からナビ開始")</x:f>
      </x:c>
      <x:c r="F188" s="27" t="str">
        <x:v>復元された江戸期の燈明堂と小さな海岸があり、浦賀の船交通史を静かな行き止まりで感じられる。</x:v>
      </x:c>
      <x:c r="G188" s="27" t="str">
        <x:v>あり・有料</x:v>
      </x:c>
      <x:c r="H188" s="27" t="str">
        <x:v>駐車場利用時間は当日公式・現地表示を確認</x:v>
      </x:c>
      <x:c r="I188" s="27" t="n">
        <x:v>3</x:v>
      </x:c>
      <x:c r="J188" s="27" t="n">
        <x:v>5</x:v>
      </x:c>
      <x:c r="K188" s="27" t="str">
        <x:v>海岸は狭く、夏季料金が高い。港湾作業・私有地へ入らず、満車時は路上待機しない。</x:v>
      </x:c>
      <x:c r="L188" s="28" t="n">
        <x:v>46232</x:v>
      </x:c>
      <x:c r="M188" s="27" t="str">
        <x:v>当日再確認</x:v>
      </x:c>
      <x:c r="N188" s="27" t="str">
        <x:v>https://www.city.yokosuka.kanagawa.jp/8120/sisetu/fc00000754.html</x:v>
      </x:c>
      <x:c r="O188" s="27" t="str">
        <x:v>燈明堂は1684年に建てられ、菜種油の灯火で約220年間、浦賀水道を行き交う船を導いたとされる。</x:v>
      </x:c>
      <x:c r="P188" s="94" t="e">
        <x:f>HYPERLINK("https://ja.wikipedia.org/wiki/Special:Search?search=%E7%87%88%E6%98%8E%E5%A0%82%E7%B7%91%E5%9C%B0","Wikipedia・関連項目")</x:f>
      </x:c>
      <x:c r="Q188" s="27" t="str">
        <x:v>新規追加。現代灯台と対比できるStory Layerが強い。</x:v>
      </x:c>
      <x:c r="R188" t="str">
        <x:v>35km超</x:v>
      </x:c>
      <x:c r="S188" t="str">
        <x:v>概ね35km超</x:v>
      </x:c>
      <x:c r="T188" t="str">
        <x:v>通常90分超</x:v>
      </x:c>
      <x:c r="U188" t="str">
        <x:v>海・港</x:v>
      </x:c>
      <x:c r="V188" t="str">
        <x:v>30〜90分</x:v>
      </x:c>
      <x:c r="W188" t="n">
        <x:v>1</x:v>
      </x:c>
      <x:c r="X188" t="n">
        <x:v>3</x:v>
      </x:c>
      <x:c r="Y188" t="str">
        <x:v>城南島海浜公園</x:v>
      </x:c>
      <x:c r="Z188" t="str">
        <x:v>潮風公園／晴海ふ頭公園</x:v>
      </x:c>
      <x:c r="AA188" s="22" t="str">
        <x:v>なし</x:v>
      </x:c>
      <x:c r="AB188" s="22" t="str">
        <x:v>-</x:v>
      </x:c>
      <x:c r="AC188" s="22" t="str"/>
      <x:c r="AD188" s="22" t="str">
        <x:v>専用・路外駐車を基本</x:v>
      </x:c>
      <x:c r="AE188" s="22" t="str"/>
    </x:row>
    <x:row r="189">
      <x:c r="A189" s="27" t="str">
        <x:v>D188</x:v>
      </x:c>
      <x:c r="B189" s="27" t="str">
        <x:v>神奈川県立近代美術館 葉山館</x:v>
      </x:c>
      <x:c r="C189" s="27" t="str">
        <x:v>葉山町・一色</x:v>
      </x:c>
      <x:c r="D189" s="27" t="str">
        <x:v>美術・建築・一色海岸</x:v>
      </x:c>
      <x:c r="E189" s="49" t="e">
        <x:f>HYPERLINK("https://www.google.com/maps/dir/?api=1&amp;destination=%E7%A5%9E%E5%A5%88%E5%B7%9D%E7%9C%8C%E7%AB%8B%E8%BF%91%E4%BB%A3%E7%BE%8E%E8%A1%93%E9%A4%A8%20%E8%91%89%E5%B1%B1%E9%A4%A8&amp;travelmode=driving","現在地からナビ開始")</x:f>
      </x:c>
      <x:c r="F189" s="27" t="str">
        <x:v>美術館、彫刻庭園、一色海岸の夕景を一度に組み合わせられ、文化系ドライブの完成度が高い。</x:v>
      </x:c>
      <x:c r="G189" s="27" t="str">
        <x:v>あり・普通車48台ほか・有料</x:v>
      </x:c>
      <x:c r="H189" s="27" t="str">
        <x:v>開館 9:30～17:00／駐車場 8:30～18:00、入庫16:30まで</x:v>
      </x:c>
      <x:c r="I189" s="27" t="n">
        <x:v>2</x:v>
      </x:c>
      <x:c r="J189" s="27" t="n">
        <x:v>3</x:v>
      </x:c>
      <x:c r="K189" s="27" t="str">
        <x:v>月曜・展示替期間は休館。夏季は料金上昇。入庫締切が早いため夕景のみ目的なら時間に注意。</x:v>
      </x:c>
      <x:c r="L189" s="28" t="n">
        <x:v>46232</x:v>
      </x:c>
      <x:c r="M189" s="27" t="str">
        <x:v>一次確認済</x:v>
      </x:c>
      <x:c r="N189" s="27" t="str">
        <x:v>https://www.moma.pref.kanagawa.jp/hayama/visit/access/</x:v>
      </x:c>
      <x:c r="O189" s="27" t="str">
        <x:v>葉山館は2003年開館。庭園・図書室・レストランなど、展示室外にも海辺の美術館としての体験が広がる。</x:v>
      </x:c>
      <x:c r="P189" s="94" t="e">
        <x:f>HYPERLINK("https://ja.wikipedia.org/wiki/Special:Search?search=%E7%A5%9E%E5%A5%88%E5%B7%9D%E7%9C%8C%E7%AB%8B%E8%BF%91%E4%BB%A3%E7%BE%8E%E8%A1%93%E9%A4%A8%20%E8%91%89%E5%B1%B1%E9%A4%A8","Wikipedia・関連項目")</x:f>
      </x:c>
      <x:c r="Q189" s="27" t="str">
        <x:v>新規追加。美術＋庭園＋海岸を一体評価。</x:v>
      </x:c>
      <x:c r="R189" t="str">
        <x:v>35km超</x:v>
      </x:c>
      <x:c r="S189" t="str">
        <x:v>概ね35km超</x:v>
      </x:c>
      <x:c r="T189" t="str">
        <x:v>通常90分超</x:v>
      </x:c>
      <x:c r="U189" t="str">
        <x:v>海・港</x:v>
      </x:c>
      <x:c r="V189" t="str">
        <x:v>60〜150分</x:v>
      </x:c>
      <x:c r="W189" t="n">
        <x:v>1</x:v>
      </x:c>
      <x:c r="X189" t="n">
        <x:v>3</x:v>
      </x:c>
      <x:c r="Y189" t="str">
        <x:v>城南島海浜公園</x:v>
      </x:c>
      <x:c r="Z189" t="str">
        <x:v>潮風公園／晴海ふ頭公園</x:v>
      </x:c>
      <x:c r="AA189" s="22" t="str">
        <x:v>なし</x:v>
      </x:c>
      <x:c r="AB189" s="22" t="str">
        <x:v>-</x:v>
      </x:c>
      <x:c r="AC189" s="22" t="str"/>
      <x:c r="AD189" s="22" t="str">
        <x:v>専用・路外駐車を基本</x:v>
      </x:c>
      <x:c r="AE189" s="22" t="str"/>
    </x:row>
    <x:row r="190">
      <x:c r="A190" s="27" t="str">
        <x:v>D189</x:v>
      </x:c>
      <x:c r="B190" s="27" t="str">
        <x:v>葉山しおさい公園</x:v>
      </x:c>
      <x:c r="C190" s="27" t="str">
        <x:v>葉山町・一色</x:v>
      </x:c>
      <x:c r="D190" s="27" t="str">
        <x:v>日本庭園・御用邸史・博物館</x:v>
      </x:c>
      <x:c r="E190" s="49" t="e">
        <x:f>HYPERLINK("https://www.google.com/maps/dir/?api=1&amp;destination=%E8%91%89%E5%B1%B1%E3%81%97%E3%81%8A%E3%81%95%E3%81%84%E5%85%AC%E5%9C%92&amp;travelmode=driving","現在地からナビ開始")</x:f>
      </x:c>
      <x:c r="F190" s="27" t="str">
        <x:v>日本庭園、茶室、海の生物を扱う博物館があり、葉山の海辺文化を静かに掘り下げる昼Ending。</x:v>
      </x:c>
      <x:c r="G190" s="27" t="str">
        <x:v>あり・20台・見学者専用</x:v>
      </x:c>
      <x:c r="H190" s="27" t="str">
        <x:v>8:30～17:00、入園16:30まで</x:v>
      </x:c>
      <x:c r="I190" s="27" t="n">
        <x:v>1</x:v>
      </x:c>
      <x:c r="J190" s="27" t="n">
        <x:v>4</x:v>
      </x:c>
      <x:c r="K190" s="27" t="str">
        <x:v>月曜・祝日の翌日・年末年始休園。駐車台数が少なく、園内見学中のみ利用可能。</x:v>
      </x:c>
      <x:c r="L190" s="28" t="n">
        <x:v>46232</x:v>
      </x:c>
      <x:c r="M190" s="27" t="str">
        <x:v>一次確認済</x:v>
      </x:c>
      <x:c r="N190" s="27" t="str">
        <x:v>https://www.town.hayama.lg.jp/soshiki/shougaigakushuu/shakaikyouikushisetsu/10344.html</x:v>
      </x:c>
      <x:c r="O190" s="27" t="str">
        <x:v>公園は旧葉山御用邸付属邸跡を整備したもので、博物館入口には旧付属邸の御車寄せが移築されている。</x:v>
      </x:c>
      <x:c r="P190" s="94" t="e">
        <x:f>HYPERLINK("https://ja.wikipedia.org/wiki/Special:Search?search=%E8%91%89%E5%B1%B1%E3%81%97%E3%81%8A%E3%81%95%E3%81%84%E5%85%AC%E5%9C%92","Wikipedia・関連項目")</x:f>
      </x:c>
      <x:c r="Q190" s="27" t="str">
        <x:v>新規追加。駐車場を目的外利用しない条件付き採用。</x:v>
      </x:c>
      <x:c r="R190" t="str">
        <x:v>35km超</x:v>
      </x:c>
      <x:c r="S190" t="str">
        <x:v>概ね35km超</x:v>
      </x:c>
      <x:c r="T190" t="str">
        <x:v>通常90分超</x:v>
      </x:c>
      <x:c r="U190" t="str">
        <x:v>休日半日</x:v>
      </x:c>
      <x:c r="V190" t="str">
        <x:v>60〜150分</x:v>
      </x:c>
      <x:c r="W190" t="n">
        <x:v>4</x:v>
      </x:c>
      <x:c r="X190" t="n">
        <x:v>1</x:v>
      </x:c>
      <x:c r="Y190" t="str">
        <x:v>羽田空港 第3ターミナル展望デッキ</x:v>
      </x:c>
      <x:c r="Z190" t="str">
        <x:v>城南島海浜公園／潮風公園</x:v>
      </x:c>
      <x:c r="AA190" s="22" t="str">
        <x:v>なし</x:v>
      </x:c>
      <x:c r="AB190" s="22" t="str">
        <x:v>-</x:v>
      </x:c>
      <x:c r="AC190" s="22" t="str"/>
      <x:c r="AD190" s="22" t="str">
        <x:v>専用・路外駐車を基本</x:v>
      </x:c>
      <x:c r="AE190" s="22" t="str"/>
    </x:row>
    <x:row r="191">
      <x:c r="A191" s="27" t="str">
        <x:v>D190</x:v>
      </x:c>
      <x:c r="B191" s="27" t="str">
        <x:v>県立あいかわ公園</x:v>
      </x:c>
      <x:c r="C191" s="27" t="str">
        <x:v>愛川町・半原</x:v>
      </x:c>
      <x:c r="D191" s="27" t="str">
        <x:v>ダム直下・丘・伝統工芸</x:v>
      </x:c>
      <x:c r="E191" s="49" t="e">
        <x:f>HYPERLINK("https://www.google.com/maps/dir/?api=1&amp;destination=%E7%9C%8C%E7%AB%8B%E3%81%82%E3%81%84%E3%81%8B%E3%82%8F%E5%85%AC%E5%9C%92&amp;travelmode=driving","現在地からナビ開始")</x:f>
      </x:c>
      <x:c r="F191" s="27" t="str">
        <x:v>宮ヶ瀬ダム直下から巨大構造物を見上げ、丘・ツツジ・工芸体験へ移るため、スケール変化の大きいEndingになる。</x:v>
      </x:c>
      <x:c r="G191" s="27" t="str">
        <x:v>あり・公園駐車場</x:v>
      </x:c>
      <x:c r="H191" s="27" t="str">
        <x:v>利用時間・料金は当日公式確認</x:v>
      </x:c>
      <x:c r="I191" s="27" t="n">
        <x:v>1</x:v>
      </x:c>
      <x:c r="J191" s="27" t="n">
        <x:v>3</x:v>
      </x:c>
      <x:c r="K191" s="27" t="str">
        <x:v>駐車場閉場が早い。観光放流・ロードトレインの運行日、ダム立入情報を当日確認。</x:v>
      </x:c>
      <x:c r="L191" s="28" t="n">
        <x:v>46232</x:v>
      </x:c>
      <x:c r="M191" s="27" t="str">
        <x:v>当日再確認</x:v>
      </x:c>
      <x:c r="N191" s="27" t="str">
        <x:v>https://www.pref.kanagawa.jp/docs/u5r/cnt/f550/tabi-036.html</x:v>
      </x:c>
      <x:c r="O191" s="27" t="str">
        <x:v>公園は中津川の河岸段丘と南山の裾野を利用し、宮ヶ瀬ダムと一体の広域レクリエーション拠点として整備された。</x:v>
      </x:c>
      <x:c r="P191" s="94" t="e">
        <x:f>HYPERLINK("https://ja.wikipedia.org/wiki/Special:Search?search=%E7%9C%8C%E7%AB%8B%E3%81%82%E3%81%84%E3%81%8B%E3%82%8F%E5%85%AC%E5%9C%92","Wikipedia・関連項目")</x:f>
      </x:c>
      <x:c r="Q191" s="27" t="str">
        <x:v>新規追加。ダムを下から体感する地点として採用。</x:v>
      </x:c>
      <x:c r="R191" t="str">
        <x:v>35km超</x:v>
      </x:c>
      <x:c r="S191" t="str">
        <x:v>概ね35km超</x:v>
      </x:c>
      <x:c r="T191" t="str">
        <x:v>通常90分超</x:v>
      </x:c>
      <x:c r="U191" t="str">
        <x:v>休日半日</x:v>
      </x:c>
      <x:c r="V191" t="str">
        <x:v>30〜60分</x:v>
      </x:c>
      <x:c r="W191" t="n">
        <x:v>2</x:v>
      </x:c>
      <x:c r="X191" t="n">
        <x:v>1</x:v>
      </x:c>
      <x:c r="Y191" t="str">
        <x:v>羽田空港 第3ターミナル展望デッキ</x:v>
      </x:c>
      <x:c r="Z191" t="str">
        <x:v>城南島海浜公園／潮風公園</x:v>
      </x:c>
      <x:c r="AA191" s="22" t="str">
        <x:v>なし</x:v>
      </x:c>
      <x:c r="AB191" s="22" t="str">
        <x:v>-</x:v>
      </x:c>
      <x:c r="AC191" s="22" t="str"/>
      <x:c r="AD191" s="22" t="str">
        <x:v>専用・路外駐車を基本</x:v>
      </x:c>
      <x:c r="AE191" s="22" t="str"/>
    </x:row>
    <x:row r="192">
      <x:c r="A192" s="27" t="str">
        <x:v>D191</x:v>
      </x:c>
      <x:c r="B192" s="27" t="str">
        <x:v>宮ヶ瀬ダム 水とエネルギー館</x:v>
      </x:c>
      <x:c r="C192" s="27" t="str">
        <x:v>愛川町・半原</x:v>
      </x:c>
      <x:c r="D192" s="27" t="str">
        <x:v>ダム・インフラ・展望</x:v>
      </x:c>
      <x:c r="E192" s="49" t="e">
        <x:f>HYPERLINK("https://www.google.com/maps/dir/?api=1&amp;destination=%E5%AE%AE%E3%83%B6%E7%80%AC%E3%83%80%E3%83%A0%20%E6%B0%B4%E3%81%A8%E3%82%A8%E3%83%8D%E3%83%AB%E3%82%AE%E3%83%BC%E9%A4%A8&amp;travelmode=driving","現在地からナビ開始")</x:f>
      </x:c>
      <x:c r="F192" s="27" t="str">
        <x:v>重力式コンクリートダムの天端と展示施設から、水資源・発電・治水を理解できるインフラ型最終目的地。</x:v>
      </x:c>
      <x:c r="G192" s="27" t="str">
        <x:v>あり・周辺公営駐車場</x:v>
      </x:c>
      <x:c r="H192" s="27" t="str">
        <x:v>開館・ダム立入時間は当日公式確認</x:v>
      </x:c>
      <x:c r="I192" s="27" t="n">
        <x:v>1</x:v>
      </x:c>
      <x:c r="J192" s="27" t="n">
        <x:v>3</x:v>
      </x:c>
      <x:c r="K192" s="27" t="str">
        <x:v>年末年始や渇水・台風時は立入・観光放流に変更あり。あいかわ公園側との移動手段を確認。</x:v>
      </x:c>
      <x:c r="L192" s="28" t="n">
        <x:v>46232</x:v>
      </x:c>
      <x:c r="M192" s="27" t="str">
        <x:v>当日再確認</x:v>
      </x:c>
      <x:c r="N192" s="27" t="str">
        <x:v>https://www.ktr.mlit.go.jp/sagami/sagami_index020.html</x:v>
      </x:c>
      <x:c r="O192" s="27" t="str">
        <x:v>宮ヶ瀬ダムは2000年完成の重力式コンクリートダムで、首都圏最大級のダム湖を形成し、発電所を本ダムと副ダムに持つ。</x:v>
      </x:c>
      <x:c r="P192" s="94" t="e">
        <x:f>HYPERLINK("https://ja.wikipedia.org/wiki/Special:Search?search=%E5%AE%AE%E3%83%B6%E7%80%AC%E3%83%80%E3%83%A0%20%E6%B0%B4%E3%81%A8%E3%82%A8%E3%83%8D%E3%83%AB%E3%82%AE%E3%83%BC%E9%A4%A8","Wikipedia・関連項目")</x:f>
      </x:c>
      <x:c r="Q192" s="27" t="str">
        <x:v>新規追加。あいかわ公園とは『上から理解するインフラ体験』で別採用。</x:v>
      </x:c>
      <x:c r="R192" t="str">
        <x:v>35km超</x:v>
      </x:c>
      <x:c r="S192" t="str">
        <x:v>概ね35km超</x:v>
      </x:c>
      <x:c r="T192" t="str">
        <x:v>通常90分超</x:v>
      </x:c>
      <x:c r="U192" t="str">
        <x:v>休日半日</x:v>
      </x:c>
      <x:c r="V192" t="str">
        <x:v>30〜60分</x:v>
      </x:c>
      <x:c r="W192" t="n">
        <x:v>2</x:v>
      </x:c>
      <x:c r="X192" t="n">
        <x:v>1</x:v>
      </x:c>
      <x:c r="Y192" t="str">
        <x:v>羽田空港 第3ターミナル展望デッキ</x:v>
      </x:c>
      <x:c r="Z192" t="str">
        <x:v>城南島海浜公園／潮風公園</x:v>
      </x:c>
      <x:c r="AA192" s="22" t="str">
        <x:v>なし</x:v>
      </x:c>
      <x:c r="AB192" s="22" t="str">
        <x:v>-</x:v>
      </x:c>
      <x:c r="AC192" s="22" t="str"/>
      <x:c r="AD192" s="22" t="str">
        <x:v>専用・路外駐車を基本</x:v>
      </x:c>
      <x:c r="AE192" s="22" t="str"/>
    </x:row>
    <x:row r="193">
      <x:c r="A193" s="27" t="str">
        <x:v>D192</x:v>
      </x:c>
      <x:c r="B193" s="27" t="str">
        <x:v>EXPASA海老名（上り）</x:v>
      </x:c>
      <x:c r="C193" s="27" t="str">
        <x:v>海老名市・東名高速</x:v>
      </x:c>
      <x:c r="D193" s="27" t="str">
        <x:v>SA・食・帰路・24時間</x:v>
      </x:c>
      <x:c r="E193" s="49" t="e">
        <x:f>HYPERLINK("https://www.google.com/maps/dir/?api=1&amp;destination=EXPASA%E6%B5%B7%E8%80%81%E5%90%8D%EF%BC%88%E4%B8%8A%E3%82%8A%EF%BC%89&amp;travelmode=driving","現在地からナビ開始")</x:f>
      </x:c>
      <x:c r="F193" s="27" t="str">
        <x:v>遠出から東京へ戻る直前に、食事・土産・休憩をまとめて回収できる『帰路の最終章』として非常に強い。</x:v>
      </x:c>
      <x:c r="G193" s="27" t="str">
        <x:v>あり・高速側小型449台／ぷらっとパーク91台</x:v>
      </x:c>
      <x:c r="H193" s="27" t="str">
        <x:v>高速側24時間／ぷらっと第1は24時間、一部夜間制限</x:v>
      </x:c>
      <x:c r="I193" s="27" t="n">
        <x:v>5</x:v>
      </x:c>
      <x:c r="J193" s="27" t="n">
        <x:v>2</x:v>
      </x:c>
      <x:c r="K193" s="27" t="str">
        <x:v>上り線限定。高速側利用と一般道ぷらっとパークを混同しない。繁忙期は満車・渋滞。</x:v>
      </x:c>
      <x:c r="L193" s="28" t="n">
        <x:v>46232</x:v>
      </x:c>
      <x:c r="M193" s="27" t="str">
        <x:v>一次確認済</x:v>
      </x:c>
      <x:c r="N193" s="27" t="str">
        <x:v>https://sapa.c-nexco.co.jp/sapa/guide?sapainfoid=9</x:v>
      </x:c>
      <x:c r="O193" s="27" t="str">
        <x:v>海老名SAは東名高速を代表する大型サービスエリアで、SA自体を目的に訪れる利用者も多い。</x:v>
      </x:c>
      <x:c r="P193" s="94" t="e">
        <x:f>HYPERLINK("https://ja.wikipedia.org/wiki/Special:Search?search=EXPASA%E6%B5%B7%E8%80%81%E5%90%8D%EF%BC%88%E4%B8%8A%E3%82%8A%EF%BC%89","Wikipedia・関連項目")</x:f>
      </x:c>
      <x:c r="Q193" s="27" t="str">
        <x:v>新規追加。帰路Endingと一般道目的地の両方に対応。</x:v>
      </x:c>
      <x:c r="R193" t="str">
        <x:v>35km超</x:v>
      </x:c>
      <x:c r="S193" t="str">
        <x:v>概ね35km超</x:v>
      </x:c>
      <x:c r="T193" t="str">
        <x:v>通常90分超</x:v>
      </x:c>
      <x:c r="U193" t="str">
        <x:v>平日夜・深夜</x:v>
      </x:c>
      <x:c r="V193" t="str">
        <x:v>15〜30分</x:v>
      </x:c>
      <x:c r="W193" t="n">
        <x:v>4</x:v>
      </x:c>
      <x:c r="X193" t="n">
        <x:v>4</x:v>
      </x:c>
      <x:c r="Y193" t="str">
        <x:v>羽田空港 第3ターミナル展望デッキ</x:v>
      </x:c>
      <x:c r="Z193" t="str">
        <x:v>城南島海浜公園／潮風公園</x:v>
      </x:c>
      <x:c r="AA193" s="22" t="str">
        <x:v>なし</x:v>
      </x:c>
      <x:c r="AB193" s="22" t="str">
        <x:v>-</x:v>
      </x:c>
      <x:c r="AC193" s="22" t="str"/>
      <x:c r="AD193" s="22" t="str">
        <x:v>専用・路外駐車を基本</x:v>
      </x:c>
      <x:c r="AE193" s="22" t="str"/>
    </x:row>
    <x:row r="194">
      <x:c r="A194" s="27" t="str">
        <x:v>D193</x:v>
      </x:c>
      <x:c r="B194" s="27" t="str">
        <x:v>EXPASA海老名（下り）</x:v>
      </x:c>
      <x:c r="C194" s="27" t="str">
        <x:v>海老名市・東名高速</x:v>
      </x:c>
      <x:c r="D194" s="27" t="str">
        <x:v>SA・食・出発感・24時間</x:v>
      </x:c>
      <x:c r="E194" s="49" t="e">
        <x:f>HYPERLINK("https://www.google.com/maps/dir/?api=1&amp;destination=EXPASA%E6%B5%B7%E8%80%81%E5%90%8D%EF%BC%88%E4%B8%8B%E3%82%8A%EF%BC%89&amp;travelmode=driving","現在地からナビ開始")</x:f>
      </x:c>
      <x:c r="F194" s="27" t="str">
        <x:v>東名へ入った直後に旅のスイッチを入れ、食事と買物を楽しめる『出発そのものが目的』のSA。</x:v>
      </x:c>
      <x:c r="G194" s="27" t="str">
        <x:v>あり・高速側小型528台／ぷらっとパーク13台</x:v>
      </x:c>
      <x:c r="H194" s="27" t="str">
        <x:v>高速側・ぷらっとパーク 24時間</x:v>
      </x:c>
      <x:c r="I194" s="27" t="n">
        <x:v>5</x:v>
      </x:c>
      <x:c r="J194" s="27" t="n">
        <x:v>2</x:v>
      </x:c>
      <x:c r="K194" s="27" t="str">
        <x:v>下り線限定。ぷらっとパークは13台と少ない。連休は本線・駐車場とも混雑。</x:v>
      </x:c>
      <x:c r="L194" s="28" t="n">
        <x:v>46232</x:v>
      </x:c>
      <x:c r="M194" s="27" t="str">
        <x:v>一次確認済</x:v>
      </x:c>
      <x:c r="N194" s="27" t="str">
        <x:v>https://sapa.c-nexco.co.jp/sapa/guide?sapainfoid=10</x:v>
      </x:c>
      <x:c r="O194" s="27" t="str">
        <x:v>上り・下りで店舗構成と役割が異なり、下りは名古屋方面への旅立ちを演出する商業空間として発達した。</x:v>
      </x:c>
      <x:c r="P194" s="94" t="e">
        <x:f>HYPERLINK("https://ja.wikipedia.org/wiki/Special:Search?search=EXPASA%E6%B5%B7%E8%80%81%E5%90%8D%EF%BC%88%E4%B8%8B%E3%82%8A%EF%BC%89","Wikipedia・関連項目")</x:f>
      </x:c>
      <x:c r="Q194" s="27" t="str">
        <x:v>新規追加。出発前の食事・集合Endingとして評価。</x:v>
      </x:c>
      <x:c r="R194" t="str">
        <x:v>35km超</x:v>
      </x:c>
      <x:c r="S194" t="str">
        <x:v>概ね35km超</x:v>
      </x:c>
      <x:c r="T194" t="str">
        <x:v>通常90分超</x:v>
      </x:c>
      <x:c r="U194" t="str">
        <x:v>平日夜・深夜</x:v>
      </x:c>
      <x:c r="V194" t="str">
        <x:v>15〜30分</x:v>
      </x:c>
      <x:c r="W194" t="n">
        <x:v>4</x:v>
      </x:c>
      <x:c r="X194" t="n">
        <x:v>4</x:v>
      </x:c>
      <x:c r="Y194" t="str">
        <x:v>羽田空港 第3ターミナル展望デッキ</x:v>
      </x:c>
      <x:c r="Z194" t="str">
        <x:v>城南島海浜公園／潮風公園</x:v>
      </x:c>
      <x:c r="AA194" s="22" t="str">
        <x:v>なし</x:v>
      </x:c>
      <x:c r="AB194" s="22" t="str">
        <x:v>-</x:v>
      </x:c>
      <x:c r="AC194" s="22" t="str"/>
      <x:c r="AD194" s="22" t="str">
        <x:v>専用・路外駐車を基本</x:v>
      </x:c>
      <x:c r="AE194" s="22" t="str"/>
    </x:row>
    <x:row r="195">
      <x:c r="A195" s="27" t="str">
        <x:v>D194</x:v>
      </x:c>
      <x:c r="B195" s="27" t="str">
        <x:v>Pasar幕張（上り）</x:v>
      </x:c>
      <x:c r="C195" s="27" t="str">
        <x:v>千葉市・花見川区</x:v>
      </x:c>
      <x:c r="D195" s="27" t="str">
        <x:v>PA・千葉土産・24時間</x:v>
      </x:c>
      <x:c r="E195" s="49" t="e">
        <x:f>HYPERLINK("https://www.google.com/maps/dir/?api=1&amp;destination=Pasar%E5%B9%95%E5%BC%B5%EF%BC%88%E4%B8%8A%E3%82%8A%EF%BC%89&amp;travelmode=driving","現在地からナビ開始")</x:f>
      </x:c>
      <x:c r="F195" s="27" t="str">
        <x:v>房総・千葉から東京へ戻る途中、千葉県産商品と食事で旅を締める大型PA。</x:v>
      </x:c>
      <x:c r="G195" s="27" t="str">
        <x:v>あり・小型238台</x:v>
      </x:c>
      <x:c r="H195" s="27" t="str">
        <x:v>PA・コンビニ 24時間／主要飲食 6:00～22:00中心</x:v>
      </x:c>
      <x:c r="I195" s="27" t="n">
        <x:v>5</x:v>
      </x:c>
      <x:c r="J195" s="27" t="n">
        <x:v>2</x:v>
      </x:c>
      <x:c r="K195" s="27" t="str">
        <x:v>上り線限定。京葉道路の進行方向を確認。イベント時は混雑。</x:v>
      </x:c>
      <x:c r="L195" s="28" t="n">
        <x:v>46232</x:v>
      </x:c>
      <x:c r="M195" s="27" t="str">
        <x:v>一次確認済</x:v>
      </x:c>
      <x:c r="N195" s="27" t="str">
        <x:v>https://www.driveplaza.com/sapa/213A/213A041/1/</x:v>
      </x:c>
      <x:c r="O195" s="27" t="str">
        <x:v>PasarはPA・SA・Relaxationを組み合わせた名称で、インドネシア語では『市場』を意味する。</x:v>
      </x:c>
      <x:c r="P195" s="94" t="e">
        <x:f>HYPERLINK("https://ja.wikipedia.org/wiki/Special:Search?search=Pasar%E5%B9%95%E5%BC%B5%EF%BC%88%E4%B8%8A%E3%82%8A%EF%BC%89","Wikipedia・関連項目")</x:f>
      </x:c>
      <x:c r="Q195" s="27" t="str">
        <x:v>新規追加。房総帰路の食・土産Ending。</x:v>
      </x:c>
      <x:c r="R195" t="str">
        <x:v>35km超</x:v>
      </x:c>
      <x:c r="S195" t="str">
        <x:v>概ね35km超</x:v>
      </x:c>
      <x:c r="T195" t="str">
        <x:v>通常90分超</x:v>
      </x:c>
      <x:c r="U195" t="str">
        <x:v>平日夜・深夜</x:v>
      </x:c>
      <x:c r="V195" t="str">
        <x:v>15〜30分</x:v>
      </x:c>
      <x:c r="W195" t="n">
        <x:v>4</x:v>
      </x:c>
      <x:c r="X195" t="n">
        <x:v>4</x:v>
      </x:c>
      <x:c r="Y195" t="str">
        <x:v>羽田空港 第3ターミナル展望デッキ</x:v>
      </x:c>
      <x:c r="Z195" t="str">
        <x:v>城南島海浜公園／潮風公園</x:v>
      </x:c>
      <x:c r="AA195" s="22" t="str">
        <x:v>なし</x:v>
      </x:c>
      <x:c r="AB195" s="22" t="str">
        <x:v>-</x:v>
      </x:c>
      <x:c r="AC195" s="22" t="str"/>
      <x:c r="AD195" s="22" t="str">
        <x:v>専用・路外駐車を基本</x:v>
      </x:c>
      <x:c r="AE195" s="22" t="str"/>
    </x:row>
    <x:row r="196">
      <x:c r="A196" s="27" t="str">
        <x:v>D195</x:v>
      </x:c>
      <x:c r="B196" s="27" t="str">
        <x:v>Pasar幕張（下り）</x:v>
      </x:c>
      <x:c r="C196" s="27" t="str">
        <x:v>千葉市・花見川区</x:v>
      </x:c>
      <x:c r="D196" s="27" t="str">
        <x:v>PA・食・房総への入口</x:v>
      </x:c>
      <x:c r="E196" s="49" t="e">
        <x:f>HYPERLINK("https://www.google.com/maps/dir/?api=1&amp;destination=Pasar%E5%B9%95%E5%BC%B5%EF%BC%88%E4%B8%8B%E3%82%8A%EF%BC%89&amp;travelmode=driving","現在地からナビ開始")</x:f>
      </x:c>
      <x:c r="F196" s="27" t="str">
        <x:v>東京側から千葉へ向かう途中に食事・農産物・休憩を入れ、房総ドライブの始まりを明確にできる。</x:v>
      </x:c>
      <x:c r="G196" s="27" t="str">
        <x:v>あり・小型186台</x:v>
      </x:c>
      <x:c r="H196" s="27" t="str">
        <x:v>PA・コンビニ 24時間／主要飲食 6:00～22:00中心</x:v>
      </x:c>
      <x:c r="I196" s="27" t="n">
        <x:v>5</x:v>
      </x:c>
      <x:c r="J196" s="27" t="n">
        <x:v>2</x:v>
      </x:c>
      <x:c r="K196" s="27" t="str">
        <x:v>下り線限定。幕張IC・武石IC付近の分岐と混雑を確認。</x:v>
      </x:c>
      <x:c r="L196" s="28" t="n">
        <x:v>46232</x:v>
      </x:c>
      <x:c r="M196" s="27" t="str">
        <x:v>一次確認済</x:v>
      </x:c>
      <x:c r="N196" s="27" t="str">
        <x:v>https://www.driveplaza.com/sapa/213A/213A041/2/</x:v>
      </x:c>
      <x:c r="O196" s="27" t="str">
        <x:v>下り線は東京土産と首都圏の商品も扱い、千葉へ向かう人のための『市場』として構成されている。</x:v>
      </x:c>
      <x:c r="P196" s="94" t="e">
        <x:f>HYPERLINK("https://ja.wikipedia.org/wiki/Special:Search?search=Pasar%E5%B9%95%E5%BC%B5%EF%BC%88%E4%B8%8B%E3%82%8A%EF%BC%89","Wikipedia・関連項目")</x:f>
      </x:c>
      <x:c r="Q196" s="27" t="str">
        <x:v>新規追加。東側ルートの出発・回復地点。</x:v>
      </x:c>
      <x:c r="R196" t="str">
        <x:v>35km超</x:v>
      </x:c>
      <x:c r="S196" t="str">
        <x:v>概ね35km超</x:v>
      </x:c>
      <x:c r="T196" t="str">
        <x:v>通常90分超</x:v>
      </x:c>
      <x:c r="U196" t="str">
        <x:v>平日夜・深夜</x:v>
      </x:c>
      <x:c r="V196" t="str">
        <x:v>15〜30分</x:v>
      </x:c>
      <x:c r="W196" t="n">
        <x:v>4</x:v>
      </x:c>
      <x:c r="X196" t="n">
        <x:v>4</x:v>
      </x:c>
      <x:c r="Y196" t="str">
        <x:v>羽田空港 第3ターミナル展望デッキ</x:v>
      </x:c>
      <x:c r="Z196" t="str">
        <x:v>城南島海浜公園／潮風公園</x:v>
      </x:c>
      <x:c r="AA196" s="22" t="str">
        <x:v>なし</x:v>
      </x:c>
      <x:c r="AB196" s="22" t="str">
        <x:v>-</x:v>
      </x:c>
      <x:c r="AC196" s="22" t="str"/>
      <x:c r="AD196" s="22" t="str">
        <x:v>専用・路外駐車を基本</x:v>
      </x:c>
      <x:c r="AE196" s="22" t="str"/>
    </x:row>
    <x:row r="197">
      <x:c r="A197" s="27" t="str">
        <x:v>D196</x:v>
      </x:c>
      <x:c r="B197" s="27" t="str">
        <x:v>市原SA（上り）</x:v>
      </x:c>
      <x:c r="C197" s="27" t="str">
        <x:v>市原市・館山道</x:v>
      </x:c>
      <x:c r="D197" s="27" t="str">
        <x:v>SA・房総食・帰路</x:v>
      </x:c>
      <x:c r="E197" s="49" t="e">
        <x:f>HYPERLINK("https://www.google.com/maps/dir/?api=1&amp;destination=%E5%B8%82%E5%8E%9FSA%EF%BC%88%E4%B8%8A%E3%82%8A%EF%BC%89&amp;travelmode=driving","現在地からナビ開始")</x:f>
      </x:c>
      <x:c r="F197" s="27" t="str">
        <x:v>房総の海・山の食材を味わい、東京湾岸へ戻る前に旅の内容を回収する大型SA。</x:v>
      </x:c>
      <x:c r="G197" s="27" t="str">
        <x:v>あり・小型170台</x:v>
      </x:c>
      <x:c r="H197" s="27" t="str">
        <x:v>SA 24時間／コンシェルジュ 平日9:00～17:00、休日8:30～19:00</x:v>
      </x:c>
      <x:c r="I197" s="27" t="n">
        <x:v>5</x:v>
      </x:c>
      <x:c r="J197" s="27" t="n">
        <x:v>3</x:v>
      </x:c>
      <x:c r="K197" s="27" t="str">
        <x:v>上り線限定。店舗ごとに営業時間が異なる。繁忙期は駐車誘導に従う。</x:v>
      </x:c>
      <x:c r="L197" s="28" t="n">
        <x:v>46232</x:v>
      </x:c>
      <x:c r="M197" s="27" t="str">
        <x:v>一次確認済</x:v>
      </x:c>
      <x:c r="N197" s="27" t="str">
        <x:v>https://www.driveplaza.com/sapa/1130/1130011/1/shisetsu_service.html</x:v>
      </x:c>
      <x:c r="O197" s="27" t="str">
        <x:v>上り線は『房総を食べて旅するマーケット』を掲げ、房総の海・山の産物を帰路で楽しむ構成になっている。</x:v>
      </x:c>
      <x:c r="P197" s="94" t="e">
        <x:f>HYPERLINK("https://ja.wikipedia.org/wiki/Special:Search?search=%E5%B8%82%E5%8E%9FSA%EF%BC%88%E4%B8%8A%E3%82%8A%EF%BC%89","Wikipedia・関連項目")</x:f>
      </x:c>
      <x:c r="Q197" s="27" t="str">
        <x:v>新規追加。房総帰路の主力Ending。</x:v>
      </x:c>
      <x:c r="R197" t="str">
        <x:v>35km超</x:v>
      </x:c>
      <x:c r="S197" t="str">
        <x:v>概ね35km超</x:v>
      </x:c>
      <x:c r="T197" t="str">
        <x:v>通常90分超</x:v>
      </x:c>
      <x:c r="U197" t="str">
        <x:v>平日夜・深夜</x:v>
      </x:c>
      <x:c r="V197" t="str">
        <x:v>15〜30分</x:v>
      </x:c>
      <x:c r="W197" t="n">
        <x:v>4</x:v>
      </x:c>
      <x:c r="X197" t="n">
        <x:v>4</x:v>
      </x:c>
      <x:c r="Y197" t="str">
        <x:v>羽田空港 第3ターミナル展望デッキ</x:v>
      </x:c>
      <x:c r="Z197" t="str">
        <x:v>城南島海浜公園／潮風公園</x:v>
      </x:c>
      <x:c r="AA197" s="22" t="str">
        <x:v>なし</x:v>
      </x:c>
      <x:c r="AB197" s="22" t="str">
        <x:v>-</x:v>
      </x:c>
      <x:c r="AC197" s="22" t="str"/>
      <x:c r="AD197" s="22" t="str">
        <x:v>専用・路外駐車を基本</x:v>
      </x:c>
      <x:c r="AE197" s="22" t="str"/>
    </x:row>
    <x:row r="198">
      <x:c r="A198" s="27" t="str">
        <x:v>D197</x:v>
      </x:c>
      <x:c r="B198" s="27" t="str">
        <x:v>市原SA（下り）</x:v>
      </x:c>
      <x:c r="C198" s="27" t="str">
        <x:v>市原市・館山道</x:v>
      </x:c>
      <x:c r="D198" s="27" t="str">
        <x:v>SA・房総食・ドッグラン</x:v>
      </x:c>
      <x:c r="E198" s="49" t="e">
        <x:f>HYPERLINK("https://www.google.com/maps/dir/?api=1&amp;destination=%E5%B8%82%E5%8E%9FSA%EF%BC%88%E4%B8%8B%E3%82%8A%EF%BC%89&amp;travelmode=driving","現在地からナビ開始")</x:f>
      </x:c>
      <x:c r="F198" s="27" t="str">
        <x:v>東京湾岸から房総へ入った実感を、食・土産・ドッグランで強められる目的地型SA。</x:v>
      </x:c>
      <x:c r="G198" s="27" t="str">
        <x:v>あり・高速側駐車場</x:v>
      </x:c>
      <x:c r="H198" s="27" t="str">
        <x:v>SA 24時間／コンシェルジュ 平日9:00～17:00、休日7:30～18:00</x:v>
      </x:c>
      <x:c r="I198" s="27" t="n">
        <x:v>5</x:v>
      </x:c>
      <x:c r="J198" s="27" t="n">
        <x:v>3</x:v>
      </x:c>
      <x:c r="K198" s="27" t="str">
        <x:v>下り線限定。施設営業時間は店舗別。高速道路上での方向転換不可。</x:v>
      </x:c>
      <x:c r="L198" s="28" t="n">
        <x:v>46232</x:v>
      </x:c>
      <x:c r="M198" s="27" t="str">
        <x:v>一次確認済</x:v>
      </x:c>
      <x:c r="N198" s="27" t="str">
        <x:v>https://www.driveplaza.com/sapa/1130/1130011/2/shisetsu_service.html</x:v>
      </x:c>
      <x:c r="O198" s="27" t="str">
        <x:v>下り線は『食べて、遊んで、房総を思いっきり楽しむマーケットプレイス』をコンセプトにしている。</x:v>
      </x:c>
      <x:c r="P198" s="94" t="e">
        <x:f>HYPERLINK("https://ja.wikipedia.org/wiki/Special:Search?search=%E5%B8%82%E5%8E%9FSA%EF%BC%88%E4%B8%8B%E3%82%8A%EF%BC%89","Wikipedia・関連項目")</x:f>
      </x:c>
      <x:c r="Q198" s="27" t="str">
        <x:v>新規追加。房総への入口として採用。</x:v>
      </x:c>
      <x:c r="R198" t="str">
        <x:v>35km超</x:v>
      </x:c>
      <x:c r="S198" t="str">
        <x:v>概ね35km超</x:v>
      </x:c>
      <x:c r="T198" t="str">
        <x:v>通常90分超</x:v>
      </x:c>
      <x:c r="U198" t="str">
        <x:v>平日夜・深夜</x:v>
      </x:c>
      <x:c r="V198" t="str">
        <x:v>15〜30分</x:v>
      </x:c>
      <x:c r="W198" t="n">
        <x:v>4</x:v>
      </x:c>
      <x:c r="X198" t="n">
        <x:v>4</x:v>
      </x:c>
      <x:c r="Y198" t="str">
        <x:v>羽田空港 第3ターミナル展望デッキ</x:v>
      </x:c>
      <x:c r="Z198" t="str">
        <x:v>城南島海浜公園／潮風公園</x:v>
      </x:c>
      <x:c r="AA198" s="22" t="str">
        <x:v>なし</x:v>
      </x:c>
      <x:c r="AB198" s="22" t="str">
        <x:v>-</x:v>
      </x:c>
      <x:c r="AC198" s="22" t="str"/>
      <x:c r="AD198" s="22" t="str">
        <x:v>専用・路外駐車を基本</x:v>
      </x:c>
      <x:c r="AE198" s="22" t="str"/>
    </x:row>
    <x:row r="199">
      <x:c r="A199" s="27" t="str">
        <x:v>D198</x:v>
      </x:c>
      <x:c r="B199" s="27" t="str">
        <x:v>湾岸幕張PA（上り）</x:v>
      </x:c>
      <x:c r="C199" s="27" t="str">
        <x:v>千葉市・美浜区</x:v>
      </x:c>
      <x:c r="D199" s="27" t="str">
        <x:v>PA・飛行機・湾岸帰路</x:v>
      </x:c>
      <x:c r="E199" s="49" t="e">
        <x:f>HYPERLINK("https://www.google.com/maps/dir/?api=1&amp;destination=%E6%B9%BE%E5%B2%B8%E5%B9%95%E5%BC%B5PA%EF%BC%88%E4%B8%8A%E3%82%8A%EF%BC%89&amp;travelmode=driving","現在地からナビ開始")</x:f>
      </x:c>
      <x:c r="F199" s="27" t="str">
        <x:v>東関東道最後のPAとして、千葉・成田方面から都心へ戻る前に夕日と旅客機を眺められる。</x:v>
      </x:c>
      <x:c r="G199" s="27" t="str">
        <x:v>あり・小型駐車場</x:v>
      </x:c>
      <x:c r="H199" s="27" t="str">
        <x:v>PA 24時間／店舗は個別営業時間</x:v>
      </x:c>
      <x:c r="I199" s="27" t="n">
        <x:v>5</x:v>
      </x:c>
      <x:c r="J199" s="27" t="n">
        <x:v>4</x:v>
      </x:c>
      <x:c r="K199" s="27" t="str">
        <x:v>上り線限定。首都高湾岸線へ入る前の最後の休憩点で混雑しやすい。</x:v>
      </x:c>
      <x:c r="L199" s="28" t="n">
        <x:v>46232</x:v>
      </x:c>
      <x:c r="M199" s="27" t="str">
        <x:v>一次確認済</x:v>
      </x:c>
      <x:c r="N199" s="27" t="str">
        <x:v>https://www.driveplaza.com/sapa/1120/1120016/1/</x:v>
      </x:c>
      <x:c r="O199" s="27" t="str">
        <x:v>幕張新都心の埋立地に近く、晴天時には夕日に浮かぶ航空機を望めるPAとして案内されている。</x:v>
      </x:c>
      <x:c r="P199" s="94" t="e">
        <x:f>HYPERLINK("https://ja.wikipedia.org/wiki/Special:Search?search=%E6%B9%BE%E5%B2%B8%E5%B9%95%E5%BC%B5PA%EF%BC%88%E4%B8%8A%E3%82%8A%EF%BC%89","Wikipedia・関連項目")</x:f>
      </x:c>
      <x:c r="Q199" s="27" t="str">
        <x:v>2026-07-29再点検：上り線限定。千葉・成田方面から都心へ戻る最後のPAという役割を維持。</x:v>
      </x:c>
      <x:c r="R199" t="str">
        <x:v>35km超</x:v>
      </x:c>
      <x:c r="S199" t="str">
        <x:v>概ね35km超</x:v>
      </x:c>
      <x:c r="T199" t="str">
        <x:v>通常90分超</x:v>
      </x:c>
      <x:c r="U199" t="str">
        <x:v>飛行機</x:v>
      </x:c>
      <x:c r="V199" t="str">
        <x:v>15〜30分</x:v>
      </x:c>
      <x:c r="W199" t="n">
        <x:v>4</x:v>
      </x:c>
      <x:c r="X199" t="n">
        <x:v>4</x:v>
      </x:c>
      <x:c r="Y199" t="str">
        <x:v>城南島海浜公園</x:v>
      </x:c>
      <x:c r="Z199" t="str">
        <x:v>京浜島つばさ公園／羽田空港 第3ターミナル展望デッキ</x:v>
      </x:c>
      <x:c r="AA199" s="22" t="str">
        <x:v>なし</x:v>
      </x:c>
      <x:c r="AB199" s="22" t="str">
        <x:v>-</x:v>
      </x:c>
      <x:c r="AC199" s="22" t="str"/>
      <x:c r="AD199" s="22" t="str">
        <x:v>専用・路外駐車を基本</x:v>
      </x:c>
      <x:c r="AE199" s="22" t="str"/>
    </x:row>
    <x:row r="200">
      <x:c r="A200" s="27" t="str">
        <x:v>D199</x:v>
      </x:c>
      <x:c r="B200" s="27" t="str">
        <x:v>湾岸幕張PA（下り）</x:v>
      </x:c>
      <x:c r="C200" s="27" t="str">
        <x:v>千葉市・美浜区</x:v>
      </x:c>
      <x:c r="D200" s="27" t="str">
        <x:v>PA・湾岸・千葉への入口</x:v>
      </x:c>
      <x:c r="E200" s="49" t="e">
        <x:f>HYPERLINK("https://www.google.com/maps/dir/?api=1&amp;destination=%E6%B9%BE%E5%B2%B8%E5%B9%95%E5%BC%B5PA%EF%BC%88%E4%B8%8B%E3%82%8A%EF%BC%89&amp;travelmode=driving","現在地からナビ開始")</x:f>
      </x:c>
      <x:c r="F200" s="27" t="str">
        <x:v>東京湾岸から成田・房総方面へ進む際の小休止となり、都市高速から千葉への切り替えを感じられる。</x:v>
      </x:c>
      <x:c r="G200" s="27" t="str">
        <x:v>あり・小型85台</x:v>
      </x:c>
      <x:c r="H200" s="27" t="str">
        <x:v>PA 24時間／店舗は個別営業時間</x:v>
      </x:c>
      <x:c r="I200" s="27" t="n">
        <x:v>5</x:v>
      </x:c>
      <x:c r="J200" s="27" t="n">
        <x:v>4</x:v>
      </x:c>
      <x:c r="K200" s="27" t="str">
        <x:v>下り線限定。ディズニーリゾート帰りや休日は混雑。長時間占有を避ける。</x:v>
      </x:c>
      <x:c r="L200" s="28" t="n">
        <x:v>46232</x:v>
      </x:c>
      <x:c r="M200" s="27" t="str">
        <x:v>一次確認済</x:v>
      </x:c>
      <x:c r="N200" s="27" t="str">
        <x:v>https://www.driveplaza.com/sapa/1120/1120016/2/</x:v>
      </x:c>
      <x:c r="O200" s="27" t="str">
        <x:v>東関東道の湾岸区間に置かれ、東京・千葉双方の土産を扱う都市近郊型PAである。</x:v>
      </x:c>
      <x:c r="P200" s="94" t="e">
        <x:f>HYPERLINK("https://ja.wikipedia.org/wiki/Special:Search?search=%E6%B9%BE%E5%B2%B8%E5%B9%95%E5%BC%B5PA%EF%BC%88%E4%B8%8B%E3%82%8A%EF%BC%89","Wikipedia・関連項目")</x:f>
      </x:c>
      <x:c r="Q200" s="27" t="str">
        <x:v>2026-07-29再点検：下り線限定・24時間PA。千葉方面への出発地点として役割を維持。</x:v>
      </x:c>
      <x:c r="R200" t="str">
        <x:v>35km超</x:v>
      </x:c>
      <x:c r="S200" t="str">
        <x:v>概ね35km超</x:v>
      </x:c>
      <x:c r="T200" t="str">
        <x:v>通常90分超</x:v>
      </x:c>
      <x:c r="U200" t="str">
        <x:v>平日夜・深夜</x:v>
      </x:c>
      <x:c r="V200" t="str">
        <x:v>15〜30分</x:v>
      </x:c>
      <x:c r="W200" t="n">
        <x:v>4</x:v>
      </x:c>
      <x:c r="X200" t="n">
        <x:v>4</x:v>
      </x:c>
      <x:c r="Y200" t="str">
        <x:v>羽田空港 第3ターミナル展望デッキ</x:v>
      </x:c>
      <x:c r="Z200" t="str">
        <x:v>城南島海浜公園／潮風公園</x:v>
      </x:c>
      <x:c r="AA200" s="22" t="str">
        <x:v>なし</x:v>
      </x:c>
      <x:c r="AB200" s="22" t="str">
        <x:v>-</x:v>
      </x:c>
      <x:c r="AC200" s="22" t="str"/>
      <x:c r="AD200" s="22" t="str">
        <x:v>専用・路外駐車を基本</x:v>
      </x:c>
      <x:c r="AE200" s="22" t="str"/>
    </x:row>
    <x:row r="201">
      <x:c r="A201" s="27" t="str">
        <x:v>D200</x:v>
      </x:c>
      <x:c r="B201" s="27" t="str">
        <x:v>境川遊水地公園</x:v>
      </x:c>
      <x:c r="C201" s="27" t="str">
        <x:v>横浜市泉区・藤沢市</x:v>
      </x:c>
      <x:c r="D201" s="27" t="str">
        <x:v>遊水地・河川・治水インフラ</x:v>
      </x:c>
      <x:c r="E201" s="49" t="e">
        <x:f>HYPERLINK("https://www.google.com/maps/dir/?api=1&amp;destination=%E5%A2%83%E5%B7%9D%E9%81%8A%E6%B0%B4%E5%9C%B0%E5%85%AC%E5%9C%92&amp;travelmode=driving","現在地からナビ開始")</x:f>
      </x:c>
      <x:c r="F201" s="27" t="str">
        <x:v>普段は広い公園として使われる空間が、増水時には洪水を受け止めるという二重の機能を体感できる。</x:v>
      </x:c>
      <x:c r="G201" s="27" t="str">
        <x:v>あり・各遊水地69～107台ほか</x:v>
      </x:c>
      <x:c r="H201" s="27" t="str">
        <x:v>遊水地ごとに変動、当月の開園時間を公式確認</x:v>
      </x:c>
      <x:c r="I201" s="27" t="n">
        <x:v>2</x:v>
      </x:c>
      <x:c r="J201" s="27" t="n">
        <x:v>4</x:v>
      </x:c>
      <x:c r="K201" s="27" t="str">
        <x:v>河川水位上昇・荒天時は閉鎖。情報センター駐車場は1時間以内に限定。</x:v>
      </x:c>
      <x:c r="L201" s="28" t="n">
        <x:v>46232</x:v>
      </x:c>
      <x:c r="M201" s="27" t="str">
        <x:v>当日再確認</x:v>
      </x:c>
      <x:c r="N201" s="27" t="str">
        <x:v>https://kanagawa-park.or.jp/sakaigawa/access.html</x:v>
      </x:c>
      <x:c r="O201" s="27" t="str">
        <x:v>境川遊水地は洪水時に水を一時的に貯留し、下流域の浸水被害を軽減する治水施設で、平常時は公園として開放される。</x:v>
      </x:c>
      <x:c r="P201" s="94" t="e">
        <x:f>HYPERLINK("https://ja.wikipedia.org/wiki/Special:Search?search=%E5%A2%83%E5%B7%9D%E9%81%8A%E6%B0%B4%E5%9C%B0%E5%85%AC%E5%9C%92","Wikipedia・関連項目")</x:f>
      </x:c>
      <x:c r="Q201" s="27" t="str">
        <x:v>新規追加。インフラStoryと合法駐車を両立する昼候補。</x:v>
      </x:c>
      <x:c r="R201" t="str">
        <x:v>35km超</x:v>
      </x:c>
      <x:c r="S201" t="str">
        <x:v>概ね35km超</x:v>
      </x:c>
      <x:c r="T201" t="str">
        <x:v>通常90分超</x:v>
      </x:c>
      <x:c r="U201" t="str">
        <x:v>水辺</x:v>
      </x:c>
      <x:c r="V201" t="str">
        <x:v>30〜90分</x:v>
      </x:c>
      <x:c r="W201" t="n">
        <x:v>1</x:v>
      </x:c>
      <x:c r="X201" t="n">
        <x:v>1</x:v>
      </x:c>
      <x:c r="Y201" t="str">
        <x:v>多摩川浅間神社</x:v>
      </x:c>
      <x:c r="Z201" t="str">
        <x:v>多摩川六郷橋緑地／多摩川ガス橋緑地</x:v>
      </x:c>
      <x:c r="AA201" s="22" t="str">
        <x:v>なし</x:v>
      </x:c>
      <x:c r="AB201" s="22" t="str">
        <x:v>-</x:v>
      </x:c>
      <x:c r="AC201" s="22" t="str"/>
      <x:c r="AD201" s="22" t="str">
        <x:v>専用・路外駐車を基本</x:v>
      </x:c>
      <x:c r="AE201" s="22" t="str"/>
    </x:row>
    <x:row r="202">
      <x:c r="A202" s="27" t="str">
        <x:v>D201</x:v>
      </x:c>
      <x:c r="B202" s="27" t="str">
        <x:v>ひこうきの丘</x:v>
      </x:c>
      <x:c r="C202" s="27" t="str">
        <x:v>千葉県芝山町</x:v>
      </x:c>
      <x:c r="D202" s="27" t="str">
        <x:v>飛行機・展望・芝生</x:v>
      </x:c>
      <x:c r="E202" s="49" t="e">
        <x:f>HYPERLINK("https://www.google.com/maps/dir/?api=1&amp;destination=%E3%81%B2%E3%81%93%E3%81%86%E3%81%8D%E3%81%AE%E4%B8%98&amp;travelmode=driving","現在地からナビ開始")</x:f>
      </x:c>
      <x:c r="F202" s="27" t="str">
        <x:v>成田空港A滑走路の南側約600mで、着陸機の巨大さと離陸機のエンジン音を芝生から体感できる航空機Ending。</x:v>
      </x:c>
      <x:c r="G202" s="27" t="str">
        <x:v>あり・無料（町公式は台数非記載）</x:v>
      </x:c>
      <x:c r="H202" s="27" t="str">
        <x:v>町公式で時間明記なし／現地掲示・当日情報を優先</x:v>
      </x:c>
      <x:c r="I202" s="27" t="n">
        <x:v>5</x:v>
      </x:c>
      <x:c r="J202" s="27" t="n">
        <x:v>3</x:v>
      </x:c>
      <x:c r="K202" s="27" t="str">
        <x:v>風向きで価値が大きく変わる。脚立・騒音・駐車枠外停車は禁止。イベント時は封鎖・交通規制あり。</x:v>
      </x:c>
      <x:c r="L202" s="28" t="n">
        <x:v>46232</x:v>
      </x:c>
      <x:c r="M202" s="27" t="str">
        <x:v>当日再確認</x:v>
      </x:c>
      <x:c r="N202" s="27" t="str">
        <x:v>https://www.town.shibayama.lg.jp/0000002556.html</x:v>
      </x:c>
      <x:c r="O202" s="27" t="str">
        <x:v>芝山町は成田空港と共生してきた地域で、ひこうきの丘は空港南側の観光拠点『スカイパークしばやま』の中心地点の一つ。</x:v>
      </x:c>
      <x:c r="P202" s="94" t="e">
        <x:f>HYPERLINK("https://ja.wikipedia.org/wiki/Special:Search?search=%E3%81%B2%E3%81%93%E3%81%86%E3%81%8D%E3%81%AE%E4%B8%98","Wikipedia・関連項目")</x:f>
      </x:c>
      <x:c r="Q202" s="27" t="str">
        <x:v>2026-07-29再点検：町公式で常設利用時間の明記を確認できないため、当日現地掲示優先を維持。</x:v>
      </x:c>
      <x:c r="R202" t="str">
        <x:v>35km超</x:v>
      </x:c>
      <x:c r="S202" t="str">
        <x:v>概ね35km超</x:v>
      </x:c>
      <x:c r="T202" t="str">
        <x:v>通常90分超</x:v>
      </x:c>
      <x:c r="U202" t="str">
        <x:v>飛行機</x:v>
      </x:c>
      <x:c r="V202" t="str">
        <x:v>30〜60分</x:v>
      </x:c>
      <x:c r="W202" t="n">
        <x:v>2</x:v>
      </x:c>
      <x:c r="X202" t="n">
        <x:v>4</x:v>
      </x:c>
      <x:c r="Y202" t="str">
        <x:v>城南島海浜公園</x:v>
      </x:c>
      <x:c r="Z202" t="str">
        <x:v>京浜島つばさ公園／羽田空港 第3ターミナル展望デッキ</x:v>
      </x:c>
      <x:c r="AA202" s="22" t="str">
        <x:v>なし</x:v>
      </x:c>
      <x:c r="AB202" s="22" t="str">
        <x:v>-</x:v>
      </x:c>
      <x:c r="AC202" s="22" t="str"/>
      <x:c r="AD202" s="22" t="str">
        <x:v>専用・路外駐車を基本</x:v>
      </x:c>
      <x:c r="AE202" s="22" t="str"/>
    </x:row>
    <x:row r="203">
      <x:c r="A203" s="27" t="str">
        <x:v>D202</x:v>
      </x:c>
      <x:c r="B203" s="27" t="str">
        <x:v>漁港の駅 TOTOCO小田原</x:v>
      </x:c>
      <x:c r="C203" s="27" t="str">
        <x:v>小田原市・早川</x:v>
      </x:c>
      <x:c r="D203" s="27" t="str">
        <x:v>漁港・食・相模湾</x:v>
      </x:c>
      <x:c r="E203" s="49" t="e">
        <x:f>HYPERLINK("https://www.google.com/maps/dir/?api=1&amp;destination=%E6%BC%81%E6%B8%AF%E3%81%AE%E9%A7%85%20TOTOCO%E5%B0%8F%E7%94%B0%E5%8E%9F&amp;travelmode=driving","現在地からナビ開始")</x:f>
      </x:c>
      <x:c r="F203" s="27" t="str">
        <x:v>小田原漁港の地魚、干物、海鮮料理、相模湾の眺めを一度に回収でき、食を目的にした最終目的地として強い。</x:v>
      </x:c>
      <x:c r="G203" s="27" t="str">
        <x:v>あり・166台</x:v>
      </x:c>
      <x:c r="H203" s="27" t="str">
        <x:v>店舗により9:00または10:00～17:00／当日公式確認</x:v>
      </x:c>
      <x:c r="I203" s="27" t="n">
        <x:v>2</x:v>
      </x:c>
      <x:c r="J203" s="27" t="n">
        <x:v>2</x:v>
      </x:c>
      <x:c r="K203" s="27" t="str">
        <x:v>休日昼は混雑。カーナビの電話番号検索では誤位置になる場合があるため、施設名または住所で検索。</x:v>
      </x:c>
      <x:c r="L203" s="28" t="n">
        <x:v>46232</x:v>
      </x:c>
      <x:c r="M203" s="27" t="str">
        <x:v>一次確認済</x:v>
      </x:c>
      <x:c r="N203" s="27" t="str">
        <x:v>https://www.totoco-odawara.com/</x:v>
      </x:c>
      <x:c r="O203" s="27" t="str">
        <x:v>2019年開業の日本初の『漁港の駅』を掲げ、小田原漁港と相模湾の水産物を地域資源として発信している。</x:v>
      </x:c>
      <x:c r="P203" s="94" t="e">
        <x:f>HYPERLINK("https://ja.wikipedia.org/wiki/Special:Search?search=%E6%BC%81%E6%B8%AF%E3%81%AE%E9%A7%85%20TOTOCO%E5%B0%8F%E7%94%B0%E5%8E%9F","Wikipedia・関連項目")</x:f>
      </x:c>
      <x:c r="Q203" s="27" t="str">
        <x:v>新規追加。小田原漁港の作業区域へ入らず、合法駐車と食事を両立できる地点。</x:v>
      </x:c>
      <x:c r="R203" t="str">
        <x:v>35km超</x:v>
      </x:c>
      <x:c r="S203" t="str">
        <x:v>概ね35km超</x:v>
      </x:c>
      <x:c r="T203" t="str">
        <x:v>通常90分超</x:v>
      </x:c>
      <x:c r="U203" t="str">
        <x:v>海・港</x:v>
      </x:c>
      <x:c r="V203" t="str">
        <x:v>30〜90分</x:v>
      </x:c>
      <x:c r="W203" t="n">
        <x:v>2</x:v>
      </x:c>
      <x:c r="X203" t="n">
        <x:v>3</x:v>
      </x:c>
      <x:c r="Y203" t="str">
        <x:v>城南島海浜公園</x:v>
      </x:c>
      <x:c r="Z203" t="str">
        <x:v>潮風公園／晴海ふ頭公園</x:v>
      </x:c>
      <x:c r="AA203" s="22" t="str">
        <x:v>なし</x:v>
      </x:c>
      <x:c r="AB203" s="22" t="str">
        <x:v>-</x:v>
      </x:c>
      <x:c r="AC203" s="22" t="str"/>
      <x:c r="AD203" s="22" t="str">
        <x:v>専用・路外駐車を基本</x:v>
      </x:c>
      <x:c r="AE203" s="22" t="str"/>
    </x:row>
    <x:row r="204">
      <x:c r="A204" s="27" t="str">
        <x:v>D203</x:v>
      </x:c>
      <x:c r="B204" s="27" t="str">
        <x:v>小田原フラワーガーデン</x:v>
      </x:c>
      <x:c r="C204" s="27" t="str">
        <x:v>小田原市・久野</x:v>
      </x:c>
      <x:c r="D204" s="27" t="str">
        <x:v>植物園・梅・温室</x:v>
      </x:c>
      <x:c r="E204" s="49" t="e">
        <x:f>HYPERLINK("https://www.google.com/maps/dir/?api=1&amp;destination=%E5%B0%8F%E7%94%B0%E5%8E%9F%E3%83%95%E3%83%A9%E3%83%AF%E3%83%BC%E3%82%AC%E3%83%BC%E3%83%87%E3%83%B3&amp;travelmode=driving","現在地からナビ開始")</x:f>
      </x:c>
      <x:c r="F204" s="27" t="str">
        <x:v>渓流の梅林、熱帯温室、池を歩き、海・城中心になりがちな小田原ルートを植物の静けさで締められる。</x:v>
      </x:c>
      <x:c r="G204" s="27" t="str">
        <x:v>あり・無料・約140台</x:v>
      </x:c>
      <x:c r="H204" s="27" t="str">
        <x:v>9:00～17:00／温室入館16:30まで</x:v>
      </x:c>
      <x:c r="I204" s="27" t="n">
        <x:v>1</x:v>
      </x:c>
      <x:c r="J204" s="27" t="n">
        <x:v>3</x:v>
      </x:c>
      <x:c r="K204" s="27" t="str">
        <x:v>月曜休園を基本とし、祝日・臨時休園を当日確認。梅の見頃は駐車場混雑。</x:v>
      </x:c>
      <x:c r="L204" s="28" t="n">
        <x:v>46232</x:v>
      </x:c>
      <x:c r="M204" s="27" t="str">
        <x:v>一次確認済</x:v>
      </x:c>
      <x:c r="N204" s="27" t="str">
        <x:v>https://www.city.odawara.kanagawa.jp/public-i/park/garden/</x:v>
      </x:c>
      <x:c r="O204" s="27" t="str">
        <x:v>小田原は曽我梅林など梅文化が深く、園内の渓流の梅林では多品種の梅を比較して楽しめる。</x:v>
      </x:c>
      <x:c r="P204" s="94" t="e">
        <x:f>HYPERLINK("https://ja.wikipedia.org/wiki/Special:Search?search=%E5%B0%8F%E7%94%B0%E5%8E%9F%E3%83%95%E3%83%A9%E3%83%AF%E3%83%BC%E3%82%AC%E3%83%BC%E3%83%87%E3%83%B3","Wikipedia・関連項目")</x:f>
      </x:c>
      <x:c r="Q204" s="27" t="str">
        <x:v>新規追加。花期以外も温室と池で成立する全天候寄りの昼Ending。</x:v>
      </x:c>
      <x:c r="R204" t="str">
        <x:v>35km超</x:v>
      </x:c>
      <x:c r="S204" t="str">
        <x:v>概ね35km超</x:v>
      </x:c>
      <x:c r="T204" t="str">
        <x:v>通常90分超</x:v>
      </x:c>
      <x:c r="U204" t="str">
        <x:v>休日半日</x:v>
      </x:c>
      <x:c r="V204" t="str">
        <x:v>60〜150分</x:v>
      </x:c>
      <x:c r="W204" t="n">
        <x:v>2</x:v>
      </x:c>
      <x:c r="X204" t="n">
        <x:v>1</x:v>
      </x:c>
      <x:c r="Y204" t="str">
        <x:v>羽田空港 第3ターミナル展望デッキ</x:v>
      </x:c>
      <x:c r="Z204" t="str">
        <x:v>城南島海浜公園／潮風公園</x:v>
      </x:c>
      <x:c r="AA204" s="22" t="str">
        <x:v>なし</x:v>
      </x:c>
      <x:c r="AB204" s="22" t="str">
        <x:v>-</x:v>
      </x:c>
      <x:c r="AC204" s="22" t="str"/>
      <x:c r="AD204" s="22" t="str">
        <x:v>専用・路外駐車を基本</x:v>
      </x:c>
      <x:c r="AE204" s="22" t="str"/>
    </x:row>
    <x:row r="205">
      <x:c r="A205" s="27" t="str">
        <x:v>D204</x:v>
      </x:c>
      <x:c r="B205" s="27" t="str">
        <x:v>小田原城址公園</x:v>
      </x:c>
      <x:c r="C205" s="27" t="str">
        <x:v>小田原市・城内</x:v>
      </x:c>
      <x:c r="D205" s="27" t="str">
        <x:v>城址・城下町・Story</x:v>
      </x:c>
      <x:c r="E205" s="49" t="e">
        <x:f>HYPERLINK("https://www.google.com/maps/dir/?api=1&amp;destination=%E5%B0%8F%E7%94%B0%E5%8E%9F%E5%9F%8E%E5%9D%80%E5%85%AC%E5%9C%92&amp;travelmode=driving","現在地からナビ開始")</x:f>
      </x:c>
      <x:c r="F205" s="27" t="str">
        <x:v>北条氏の関東支配と豊臣秀吉の小田原攻めを現地で想像でき、城下町散策まで含めて歴史Endingになる。</x:v>
      </x:c>
      <x:c r="G205" s="27" t="str">
        <x:v>園内一般駐車場なし・周辺有料駐車場多数</x:v>
      </x:c>
      <x:c r="H205" s="27" t="str">
        <x:v>公園は終日／天守閣等は9:00～17:00中心</x:v>
      </x:c>
      <x:c r="I205" s="27" t="n">
        <x:v>3</x:v>
      </x:c>
      <x:c r="J205" s="27" t="n">
        <x:v>1</x:v>
      </x:c>
      <x:c r="K205" s="27" t="str">
        <x:v>一般車は周辺有料駐車場を利用。祭り・花見時は満車と交通規制。城址公園内への一般車進入不可。</x:v>
      </x:c>
      <x:c r="L205" s="28" t="n">
        <x:v>46232</x:v>
      </x:c>
      <x:c r="M205" s="27" t="str">
        <x:v>一次確認済</x:v>
      </x:c>
      <x:c r="N205" s="27" t="str">
        <x:v>https://www.city.odawara.kanagawa.jp/kanko/spot/jyousikouen.html</x:v>
      </x:c>
      <x:c r="O205" s="27" t="str">
        <x:v>小田原北条氏は城下全体を囲む『総構』を築き、豊臣軍を迎えた日本最大級の中世城郭へ発展させた。</x:v>
      </x:c>
      <x:c r="P205" s="94" t="e">
        <x:f>HYPERLINK("https://ja.wikipedia.org/wiki/Special:Search?search=%E5%B0%8F%E7%94%B0%E5%8E%9F%E5%9F%8E%E5%9D%80%E5%85%AC%E5%9C%92","Wikipedia・関連項目")</x:f>
      </x:c>
      <x:c r="Q205" s="27" t="str">
        <x:v>新規追加。専用駐車場はないが、市公式の周辺駐車場網を前提に採用。</x:v>
      </x:c>
      <x:c r="R205" t="str">
        <x:v>35km超</x:v>
      </x:c>
      <x:c r="S205" t="str">
        <x:v>概ね35km超</x:v>
      </x:c>
      <x:c r="T205" t="str">
        <x:v>通常90分超</x:v>
      </x:c>
      <x:c r="U205" t="str">
        <x:v>Story</x:v>
      </x:c>
      <x:c r="V205" t="str">
        <x:v>30〜60分</x:v>
      </x:c>
      <x:c r="W205" t="n">
        <x:v>2</x:v>
      </x:c>
      <x:c r="X205" t="n">
        <x:v>1</x:v>
      </x:c>
      <x:c r="Y205" t="str">
        <x:v>羽田空港 第3ターミナル展望デッキ</x:v>
      </x:c>
      <x:c r="Z205" t="str">
        <x:v>城南島海浜公園／潮風公園</x:v>
      </x:c>
      <x:c r="AA205" s="22" t="str">
        <x:v>なし</x:v>
      </x:c>
      <x:c r="AB205" s="22" t="str">
        <x:v>-</x:v>
      </x:c>
      <x:c r="AC205" s="22" t="str"/>
      <x:c r="AD205" s="22" t="str">
        <x:v>専用・路外駐車を基本</x:v>
      </x:c>
      <x:c r="AE205" s="22" t="str"/>
    </x:row>
    <x:row r="206">
      <x:c r="A206" s="27" t="str">
        <x:v>D205</x:v>
      </x:c>
      <x:c r="B206" s="27" t="str">
        <x:v>三溪園</x:v>
      </x:c>
      <x:c r="C206" s="27" t="str">
        <x:v>横浜市・中区本牧</x:v>
      </x:c>
      <x:c r="D206" s="27" t="str">
        <x:v>日本庭園・古建築・Story</x:v>
      </x:c>
      <x:c r="E206" s="49" t="e">
        <x:f>HYPERLINK("https://www.google.com/maps/dir/?api=1&amp;destination=%E4%B8%89%E6%BA%AA%E5%9C%92&amp;travelmode=driving","現在地からナビ開始")</x:f>
      </x:c>
      <x:c r="F206" s="27" t="str">
        <x:v>池、谷戸、三重塔、移築古建築を巡り、横浜港の近代都市景観とは別の時間軸へ入れる文化系Ending。</x:v>
      </x:c>
      <x:c r="G206" s="27" t="str">
        <x:v>あり・通常最大約60台・有料</x:v>
      </x:c>
      <x:c r="H206" s="27" t="str">
        <x:v>9:00～17:00／最終入園・入庫16:30</x:v>
      </x:c>
      <x:c r="I206" s="27" t="n">
        <x:v>1</x:v>
      </x:c>
      <x:c r="J206" s="27" t="n">
        <x:v>2</x:v>
      </x:c>
      <x:c r="K206" s="27" t="str">
        <x:v>12月26～31日休園。桜・紅葉・夜間開園は満車。2026年は一部古建築の公開休止・修繕情報あり。</x:v>
      </x:c>
      <x:c r="L206" s="28" t="n">
        <x:v>46232</x:v>
      </x:c>
      <x:c r="M206" s="27" t="str">
        <x:v>一次確認済</x:v>
      </x:c>
      <x:c r="N206" s="27" t="str">
        <x:v>https://www.sankeien.or.jp/price-service/</x:v>
      </x:c>
      <x:c r="O206" s="27" t="str">
        <x:v>実業家・原三溪が京都や鎌倉などから歴史的建造物を移築して公開した庭園で、近代日本の美術家支援の舞台にもなった。</x:v>
      </x:c>
      <x:c r="P206" s="94" t="e">
        <x:f>HYPERLINK("https://ja.wikipedia.org/wiki/Special:Search?search=%E4%B8%89%E6%BA%AA%E5%9C%92","Wikipedia・関連項目")</x:f>
      </x:c>
      <x:c r="Q206" s="27" t="str">
        <x:v>新規追加。建築・庭園・実業史が一地点で重なる高密度Story。</x:v>
      </x:c>
      <x:c r="R206" t="str">
        <x:v>20〜25km</x:v>
      </x:c>
      <x:c r="S206" t="str">
        <x:v>概ね20〜25km</x:v>
      </x:c>
      <x:c r="T206" t="str">
        <x:v>通常40〜70分</x:v>
      </x:c>
      <x:c r="U206" t="str">
        <x:v>Story</x:v>
      </x:c>
      <x:c r="V206" t="str">
        <x:v>30〜90分</x:v>
      </x:c>
      <x:c r="W206" t="n">
        <x:v>1</x:v>
      </x:c>
      <x:c r="X206" t="n">
        <x:v>1</x:v>
      </x:c>
      <x:c r="Y206" t="str">
        <x:v>羽田空港 第3ターミナル展望デッキ</x:v>
      </x:c>
      <x:c r="Z206" t="str">
        <x:v>城南島海浜公園／潮風公園</x:v>
      </x:c>
      <x:c r="AA206" s="22" t="str">
        <x:v>なし</x:v>
      </x:c>
      <x:c r="AB206" s="22" t="str">
        <x:v>-</x:v>
      </x:c>
      <x:c r="AC206" s="22" t="str"/>
      <x:c r="AD206" s="22" t="str">
        <x:v>専用・路外駐車を基本</x:v>
      </x:c>
      <x:c r="AE206" s="22" t="str"/>
    </x:row>
    <x:row r="207">
      <x:c r="A207" s="27" t="str">
        <x:v>D206</x:v>
      </x:c>
      <x:c r="B207" s="27" t="str">
        <x:v>金沢自然公園</x:v>
      </x:c>
      <x:c r="C207" s="27" t="str">
        <x:v>横浜市・金沢区</x:v>
      </x:c>
      <x:c r="D207" s="27" t="str">
        <x:v>丘陵・動物園・円海山</x:v>
      </x:c>
      <x:c r="E207" s="49" t="e">
        <x:f>HYPERLINK("https://www.google.com/maps/dir/?api=1&amp;destination=%E9%87%91%E6%B2%A2%E8%87%AA%E7%84%B6%E5%85%AC%E5%9C%92&amp;travelmode=driving","現在地からナビ開始")</x:f>
      </x:c>
      <x:c r="F207" s="27" t="str">
        <x:v>横浜南部の丘陵から海側と市街地側へ視界が開き、動物園・自然観察・坂道走行を一体化できる。</x:v>
      </x:c>
      <x:c r="G207" s="27" t="str">
        <x:v>あり・正面口／高速側・有料</x:v>
      </x:c>
      <x:c r="H207" s="27" t="str">
        <x:v>正面口 9:00～17:00、最終入庫16:30</x:v>
      </x:c>
      <x:c r="I207" s="27" t="n">
        <x:v>1</x:v>
      </x:c>
      <x:c r="J207" s="27" t="n">
        <x:v>3</x:v>
      </x:c>
      <x:c r="K207" s="27" t="str">
        <x:v>正面口は動物園休園日に休業。ナビは利用する駐車場名を指定。閉門後は出庫不可。</x:v>
      </x:c>
      <x:c r="L207" s="28" t="n">
        <x:v>46232</x:v>
      </x:c>
      <x:c r="M207" s="27" t="str">
        <x:v>一次確認済</x:v>
      </x:c>
      <x:c r="N207" s="27" t="str">
        <x:v>https://www.hama-midorinokyokai.or.jp/zoo/kanazawa/access.php</x:v>
      </x:c>
      <x:c r="O207" s="27" t="str">
        <x:v>円海山周辺の丘陵緑地に位置し、横浜市南部の大規模な緑の回廊の一角を担う。</x:v>
      </x:c>
      <x:c r="P207" s="94" t="e">
        <x:f>HYPERLINK("https://ja.wikipedia.org/wiki/Special:Search?search=%E9%87%91%E6%B2%A2%E8%87%AA%E7%84%B6%E5%85%AC%E5%9C%92","Wikipedia・関連項目")</x:f>
      </x:c>
      <x:c r="Q207" s="27" t="str">
        <x:v>新規追加。既存の小柴自然公園と組み合わせると、丘陵から海へ地形が変化する。</x:v>
      </x:c>
      <x:c r="R207" t="str">
        <x:v>25〜35km</x:v>
      </x:c>
      <x:c r="S207" t="str">
        <x:v>概ね25〜35km</x:v>
      </x:c>
      <x:c r="T207" t="str">
        <x:v>通常55〜90分</x:v>
      </x:c>
      <x:c r="U207" t="str">
        <x:v>海・港</x:v>
      </x:c>
      <x:c r="V207" t="str">
        <x:v>60〜150分</x:v>
      </x:c>
      <x:c r="W207" t="n">
        <x:v>1</x:v>
      </x:c>
      <x:c r="X207" t="n">
        <x:v>3</x:v>
      </x:c>
      <x:c r="Y207" t="str">
        <x:v>城南島海浜公園</x:v>
      </x:c>
      <x:c r="Z207" t="str">
        <x:v>潮風公園／晴海ふ頭公園</x:v>
      </x:c>
      <x:c r="AA207" s="22" t="str">
        <x:v>なし</x:v>
      </x:c>
      <x:c r="AB207" s="22" t="str">
        <x:v>-</x:v>
      </x:c>
      <x:c r="AC207" s="22" t="str"/>
      <x:c r="AD207" s="22" t="str">
        <x:v>専用・路外駐車を基本</x:v>
      </x:c>
      <x:c r="AE207" s="22" t="str"/>
    </x:row>
    <x:row r="208">
      <x:c r="A208" s="27" t="str">
        <x:v>D207</x:v>
      </x:c>
      <x:c r="B208" s="27" t="str">
        <x:v>生田緑地・枡形山展望台</x:v>
      </x:c>
      <x:c r="C208" s="27" t="str">
        <x:v>川崎市・多摩区</x:v>
      </x:c>
      <x:c r="D208" s="27" t="str">
        <x:v>高台・展望・文化施設</x:v>
      </x:c>
      <x:c r="E208" s="49" t="e">
        <x:f>HYPERLINK("https://www.google.com/maps/dir/?api=1&amp;destination=%E7%94%9F%E7%94%B0%E7%B7%91%E5%9C%B0%E3%83%BB%E6%9E%A1%E5%BD%A2%E5%B1%B1%E5%B1%95%E6%9C%9B%E5%8F%B0&amp;travelmode=driving","現在地からナビ開始")</x:f>
      </x:c>
      <x:c r="F208" s="27" t="str">
        <x:v>枡形山の展望、民家園、岡本太郎美術館、プラネタリウムを組み合わせ、自然と文化の両方で目的地化できる。</x:v>
      </x:c>
      <x:c r="G208" s="27" t="str">
        <x:v>あり・東口約140台、西口約50台・有料</x:v>
      </x:c>
      <x:c r="H208" s="27" t="str">
        <x:v>駐車場入庫5:00～22:00／出庫は22:00以降も可</x:v>
      </x:c>
      <x:c r="I208" s="27" t="n">
        <x:v>4</x:v>
      </x:c>
      <x:c r="J208" s="27" t="n">
        <x:v>2</x:v>
      </x:c>
      <x:c r="K208" s="27" t="str">
        <x:v>展望台や園路は夜に暗い。施設営業時間は別。休日は東口駐車場が混雑。</x:v>
      </x:c>
      <x:c r="L208" s="28" t="n">
        <x:v>46232</x:v>
      </x:c>
      <x:c r="M208" s="27" t="str">
        <x:v>一次確認済</x:v>
      </x:c>
      <x:c r="N208" s="27" t="str">
        <x:v>https://www.ikutaryokuti.jp/access.html</x:v>
      </x:c>
      <x:c r="O208" s="27" t="str">
        <x:v>多摩丘陵の自然を残す川崎市最大級の緑地で、日本民家園や岡本太郎美術館など複数の文化施設が集まる。</x:v>
      </x:c>
      <x:c r="P208" s="94" t="e">
        <x:f>HYPERLINK("https://ja.wikipedia.org/wiki/Special:Search?search=%E7%94%9F%E7%94%B0%E7%B7%91%E5%9C%B0%E3%83%BB%E6%9E%A1%E5%BD%A2%E5%B1%B1%E5%B1%95%E6%9C%9B%E5%8F%B0","Wikipedia・関連項目")</x:f>
      </x:c>
      <x:c r="Q208" s="27" t="str">
        <x:v>新規追加。夜は駐車場と明るい園路中心、展望台は日没前後向け。</x:v>
      </x:c>
      <x:c r="R208" t="str">
        <x:v>20〜25km</x:v>
      </x:c>
      <x:c r="S208" t="str">
        <x:v>概ね20〜25km</x:v>
      </x:c>
      <x:c r="T208" t="str">
        <x:v>通常40〜70分</x:v>
      </x:c>
      <x:c r="U208" t="str">
        <x:v>平日夜・深夜</x:v>
      </x:c>
      <x:c r="V208" t="str">
        <x:v>30〜60分</x:v>
      </x:c>
      <x:c r="W208" t="n">
        <x:v>1</x:v>
      </x:c>
      <x:c r="X208" t="n">
        <x:v>1</x:v>
      </x:c>
      <x:c r="Y208" t="str">
        <x:v>羽田空港 第3ターミナル展望デッキ</x:v>
      </x:c>
      <x:c r="Z208" t="str">
        <x:v>城南島海浜公園／潮風公園</x:v>
      </x:c>
      <x:c r="AA208" s="22" t="str">
        <x:v>なし</x:v>
      </x:c>
      <x:c r="AB208" s="22" t="str">
        <x:v>-</x:v>
      </x:c>
      <x:c r="AC208" s="22" t="str"/>
      <x:c r="AD208" s="22" t="str">
        <x:v>専用・路外駐車を基本</x:v>
      </x:c>
      <x:c r="AE208" s="22" t="str"/>
    </x:row>
    <x:row r="209">
      <x:c r="A209" s="27" t="str">
        <x:v>D208</x:v>
      </x:c>
      <x:c r="B209" s="27" t="str">
        <x:v>県立東高根森林公園</x:v>
      </x:c>
      <x:c r="C209" s="27" t="str">
        <x:v>川崎市・宮前区</x:v>
      </x:c>
      <x:c r="D209" s="27" t="str">
        <x:v>森林・遺跡・シラカシ林</x:v>
      </x:c>
      <x:c r="E209" s="49" t="e">
        <x:f>HYPERLINK("https://www.google.com/maps/dir/?api=1&amp;destination=%E7%9C%8C%E7%AB%8B%E6%9D%B1%E9%AB%98%E6%A0%B9%E6%A3%AE%E6%9E%97%E5%85%AC%E5%9C%92&amp;travelmode=driving","現在地からナビ開始")</x:f>
      </x:c>
      <x:c r="F209" s="27" t="str">
        <x:v>古代遺跡の上に広がるシラカシ林と湿生植物園を歩き、住宅地の中で急に深い森へ入れる。</x:v>
      </x:c>
      <x:c r="G209" s="27" t="str">
        <x:v>あり・112台</x:v>
      </x:c>
      <x:c r="H209" s="27" t="str">
        <x:v>8:30～19:00</x:v>
      </x:c>
      <x:c r="I209" s="27" t="n">
        <x:v>2</x:v>
      </x:c>
      <x:c r="J209" s="27" t="n">
        <x:v>4</x:v>
      </x:c>
      <x:c r="K209" s="27" t="str">
        <x:v>19時を過ぎると翌朝まで出庫不可。土日祝の有料期間は季節で変わるため当日確認。</x:v>
      </x:c>
      <x:c r="L209" s="28" t="n">
        <x:v>46232</x:v>
      </x:c>
      <x:c r="M209" s="27" t="str">
        <x:v>一次確認済</x:v>
      </x:c>
      <x:c r="N209" s="27" t="str">
        <x:v>https://higashitakane.com/about</x:v>
      </x:c>
      <x:c r="O209" s="27" t="str">
        <x:v>園内には県指定史跡の東高根遺跡と、県指定天然記念物のシラカシ林が共存している。</x:v>
      </x:c>
      <x:c r="P209" s="94" t="e">
        <x:f>HYPERLINK("https://ja.wikipedia.org/wiki/Special:Search?search=%E7%9C%8C%E7%AB%8B%E6%9D%B1%E9%AB%98%E6%A0%B9%E6%A3%AE%E6%9E%97%E5%85%AC%E5%9C%92","Wikipedia・関連項目")</x:f>
      </x:c>
      <x:c r="Q209" s="27" t="str">
        <x:v>新規追加。歴史・植生・防災避難地の三層Storyを持つ。</x:v>
      </x:c>
      <x:c r="R209" t="str">
        <x:v>10〜20km</x:v>
      </x:c>
      <x:c r="S209" t="str">
        <x:v>概ね10〜20km</x:v>
      </x:c>
      <x:c r="T209" t="str">
        <x:v>通常25〜50分</x:v>
      </x:c>
      <x:c r="U209" t="str">
        <x:v>休日半日</x:v>
      </x:c>
      <x:c r="V209" t="str">
        <x:v>30〜90分</x:v>
      </x:c>
      <x:c r="W209" t="n">
        <x:v>1</x:v>
      </x:c>
      <x:c r="X209" t="n">
        <x:v>1</x:v>
      </x:c>
      <x:c r="Y209" t="str">
        <x:v>平和の森公園</x:v>
      </x:c>
      <x:c r="Z209" t="str">
        <x:v>大森ふるさとの浜辺公園／森ケ崎公園</x:v>
      </x:c>
      <x:c r="AA209" s="22" t="str">
        <x:v>なし</x:v>
      </x:c>
      <x:c r="AB209" s="22" t="str">
        <x:v>-</x:v>
      </x:c>
      <x:c r="AC209" s="22" t="str"/>
      <x:c r="AD209" s="22" t="str">
        <x:v>専用・路外駐車を基本</x:v>
      </x:c>
      <x:c r="AE209" s="22" t="str"/>
    </x:row>
    <x:row r="210">
      <x:c r="A210" s="27" t="str">
        <x:v>D209</x:v>
      </x:c>
      <x:c r="B210" s="27" t="str">
        <x:v>和光樹林公園</x:v>
      </x:c>
      <x:c r="C210" s="27" t="str">
        <x:v>埼玉県和光市</x:v>
      </x:c>
      <x:c r="D210" s="27" t="str">
        <x:v>樹林・旧軍用地・夜間公園</x:v>
      </x:c>
      <x:c r="E210" s="49" t="e">
        <x:f>HYPERLINK("https://www.google.com/maps/dir/?api=1&amp;destination=%E5%92%8C%E5%85%89%E6%A8%B9%E6%9E%97%E5%85%AC%E5%9C%92&amp;travelmode=driving","現在地からナビ開始")</x:f>
      </x:c>
      <x:c r="F210" s="27" t="str">
        <x:v>広い芝生と樹林、長い園路があり、東京北西側で夜まで使える回復系Endingになる。</x:v>
      </x:c>
      <x:c r="G210" s="27" t="str">
        <x:v>あり・北南182台、中央157台・有料</x:v>
      </x:c>
      <x:c r="H210" s="27" t="str">
        <x:v>公園終日／北南6:00～19:00、中央8:00～23:30</x:v>
      </x:c>
      <x:c r="I210" s="27" t="n">
        <x:v>4</x:v>
      </x:c>
      <x:c r="J210" s="27" t="n">
        <x:v>3</x:v>
      </x:c>
      <x:c r="K210" s="27" t="str">
        <x:v>中央駐車場は体育館管理で休館日は22:30まで。夜は明るい園路に限定。</x:v>
      </x:c>
      <x:c r="L210" s="28" t="n">
        <x:v>46232</x:v>
      </x:c>
      <x:c r="M210" s="27" t="str">
        <x:v>一次確認済</x:v>
      </x:c>
      <x:c r="N210" s="27" t="str">
        <x:v>https://www.seibu-green.co.jp/wako-jurin/facility.html</x:v>
      </x:c>
      <x:c r="O210" s="27" t="str">
        <x:v>周辺は戦後に米軍施設キャンプ・ドレイクとして使われた地域で、その返還地に公共施設と公園が整備された。</x:v>
      </x:c>
      <x:c r="P210" s="94" t="e">
        <x:f>HYPERLINK("https://ja.wikipedia.org/wiki/Special:Search?search=%E5%92%8C%E5%85%89%E6%A8%B9%E6%9E%97%E5%85%AC%E5%9C%92","Wikipedia・関連項目")</x:f>
      </x:c>
      <x:c r="Q210" s="27" t="str">
        <x:v>新規追加。埼玉南部で23時台まで合法駐車できる貴重な公園。</x:v>
      </x:c>
      <x:c r="R210" t="str">
        <x:v>25〜35km</x:v>
      </x:c>
      <x:c r="S210" t="str">
        <x:v>概ね25〜35km</x:v>
      </x:c>
      <x:c r="T210" t="str">
        <x:v>通常55〜90分</x:v>
      </x:c>
      <x:c r="U210" t="str">
        <x:v>平日夜・深夜</x:v>
      </x:c>
      <x:c r="V210" t="str">
        <x:v>30〜90分</x:v>
      </x:c>
      <x:c r="W210" t="n">
        <x:v>1</x:v>
      </x:c>
      <x:c r="X210" t="n">
        <x:v>1</x:v>
      </x:c>
      <x:c r="Y210" t="str">
        <x:v>平和の森公園</x:v>
      </x:c>
      <x:c r="Z210" t="str">
        <x:v>大森ふるさとの浜辺公園／森ケ崎公園</x:v>
      </x:c>
      <x:c r="AA210" s="22" t="str">
        <x:v>なし</x:v>
      </x:c>
      <x:c r="AB210" s="22" t="str">
        <x:v>-</x:v>
      </x:c>
      <x:c r="AC210" s="22" t="str"/>
      <x:c r="AD210" s="22" t="str">
        <x:v>専用・路外駐車を基本</x:v>
      </x:c>
      <x:c r="AE210" s="22" t="str"/>
    </x:row>
    <x:row r="211">
      <x:c r="A211" s="27" t="str">
        <x:v>D210</x:v>
      </x:c>
      <x:c r="B211" s="27" t="str">
        <x:v>川越水上公園</x:v>
      </x:c>
      <x:c r="C211" s="27" t="str">
        <x:v>埼玉県川越市</x:v>
      </x:c>
      <x:c r="D211" s="27" t="str">
        <x:v>池・水上公園・夜間休憩</x:v>
      </x:c>
      <x:c r="E211" s="49" t="e">
        <x:f>HYPERLINK("https://www.google.com/maps/dir/?api=1&amp;destination=%E5%B7%9D%E8%B6%8A%E6%B0%B4%E4%B8%8A%E5%85%AC%E5%9C%92&amp;travelmode=driving","現在地からナビ開始")</x:f>
      </x:c>
      <x:c r="F211" s="27" t="str">
        <x:v>大きな池、芝生、季節施設があり、川越観光の後に市街地を離れて水辺で休める。</x:v>
      </x:c>
      <x:c r="G211" s="27" t="str">
        <x:v>あり・通常無料、夏季プール期間は有料</x:v>
      </x:c>
      <x:c r="H211" s="27" t="str">
        <x:v>正門閉鎖 0:30～5:00／施設は個別時間</x:v>
      </x:c>
      <x:c r="I211" s="27" t="n">
        <x:v>4</x:v>
      </x:c>
      <x:c r="J211" s="27" t="n">
        <x:v>3</x:v>
      </x:c>
      <x:c r="K211" s="27" t="str">
        <x:v>深夜は正門閉鎖。夏季プール期間は駐車料金と混雑が変わる。公園利用目的外の駐車禁止。</x:v>
      </x:c>
      <x:c r="L211" s="28" t="n">
        <x:v>46232</x:v>
      </x:c>
      <x:c r="M211" s="27" t="str">
        <x:v>一次確認済</x:v>
      </x:c>
      <x:c r="N211" s="27" t="str">
        <x:v>https://www.parks.or.jp/kawagoesuijo/faq/001/001296.html</x:v>
      </x:c>
      <x:c r="O211" s="27" t="str">
        <x:v>夏はプール、冬はプールを活用した管理釣り場など、季節で水面の役割が変わる県営公園。</x:v>
      </x:c>
      <x:c r="P211" s="94" t="e">
        <x:f>HYPERLINK("https://ja.wikipedia.org/wiki/Special:Search?search=%E5%B7%9D%E8%B6%8A%E6%B0%B4%E4%B8%8A%E5%85%AC%E5%9C%92","Wikipedia・関連項目")</x:f>
      </x:c>
      <x:c r="Q211" s="27" t="str">
        <x:v>新規追加。川越方面の夜間Ending候補として採用。</x:v>
      </x:c>
      <x:c r="R211" t="str">
        <x:v>35km超</x:v>
      </x:c>
      <x:c r="S211" t="str">
        <x:v>概ね35km超</x:v>
      </x:c>
      <x:c r="T211" t="str">
        <x:v>通常90分超</x:v>
      </x:c>
      <x:c r="U211" t="str">
        <x:v>水辺</x:v>
      </x:c>
      <x:c r="V211" t="str">
        <x:v>30〜90分</x:v>
      </x:c>
      <x:c r="W211" t="n">
        <x:v>1</x:v>
      </x:c>
      <x:c r="X211" t="n">
        <x:v>1</x:v>
      </x:c>
      <x:c r="Y211" t="str">
        <x:v>多摩川浅間神社</x:v>
      </x:c>
      <x:c r="Z211" t="str">
        <x:v>多摩川六郷橋緑地／多摩川ガス橋緑地</x:v>
      </x:c>
      <x:c r="AA211" s="22" t="str">
        <x:v>なし</x:v>
      </x:c>
      <x:c r="AB211" s="22" t="str">
        <x:v>-</x:v>
      </x:c>
      <x:c r="AC211" s="22" t="str"/>
      <x:c r="AD211" s="22" t="str">
        <x:v>専用・路外駐車を基本</x:v>
      </x:c>
      <x:c r="AE211" s="22" t="str"/>
    </x:row>
    <x:row r="212">
      <x:c r="A212" s="27" t="str">
        <x:v>D211</x:v>
      </x:c>
      <x:c r="B212" s="27" t="str">
        <x:v>大宮公園</x:v>
      </x:c>
      <x:c r="C212" s="27" t="str">
        <x:v>さいたま市・大宮区</x:v>
      </x:c>
      <x:c r="D212" s="27" t="str">
        <x:v>歴史公園・池・24時間駐車</x:v>
      </x:c>
      <x:c r="E212" s="49" t="e">
        <x:f>HYPERLINK("https://www.google.com/maps/dir/?api=1&amp;destination=%E5%A4%A7%E5%AE%AE%E5%85%AC%E5%9C%92&amp;travelmode=driving","現在地からナビ開始")</x:f>
      </x:c>
      <x:c r="F212" s="27" t="str">
        <x:v>氷川神社、池、赤松林、スポーツ施設を抱え、夜間でも合法駐車から短い散歩ができる北側の安定Ending。</x:v>
      </x:c>
      <x:c r="G212" s="27" t="str">
        <x:v>あり・278台・有料</x:v>
      </x:c>
      <x:c r="H212" s="27" t="str">
        <x:v>駐車場24時間／公園毎日開園</x:v>
      </x:c>
      <x:c r="I212" s="27" t="n">
        <x:v>4</x:v>
      </x:c>
      <x:c r="J212" s="27" t="n">
        <x:v>2</x:v>
      </x:c>
      <x:c r="K212" s="27" t="str">
        <x:v>料金上限なし。花見、競輪、野球、サッカー開催時は満車・周辺渋滞。</x:v>
      </x:c>
      <x:c r="L212" s="28" t="n">
        <x:v>46232</x:v>
      </x:c>
      <x:c r="M212" s="27" t="str">
        <x:v>一次確認済</x:v>
      </x:c>
      <x:c r="N212" s="27" t="str">
        <x:v>https://www.pref.saitama.lg.jp/omiya-park/shisetsu.html</x:v>
      </x:c>
      <x:c r="O212" s="27" t="str">
        <x:v>1885年に『氷川公園』として開園した、埼玉県内で最も歴史の長い県営公園。</x:v>
      </x:c>
      <x:c r="P212" s="94" t="e">
        <x:f>HYPERLINK("https://ja.wikipedia.org/wiki/Special:Search?search=%E5%A4%A7%E5%AE%AE%E5%85%AC%E5%9C%92","Wikipedia・関連項目")</x:f>
      </x:c>
      <x:c r="Q212" s="27" t="str">
        <x:v>新規追加。Storyと24時間駐車の両立を評価。</x:v>
      </x:c>
      <x:c r="R212" t="str">
        <x:v>35km超</x:v>
      </x:c>
      <x:c r="S212" t="str">
        <x:v>概ね35km超</x:v>
      </x:c>
      <x:c r="T212" t="str">
        <x:v>通常90分超</x:v>
      </x:c>
      <x:c r="U212" t="str">
        <x:v>水辺</x:v>
      </x:c>
      <x:c r="V212" t="str">
        <x:v>30〜90分</x:v>
      </x:c>
      <x:c r="W212" t="n">
        <x:v>1</x:v>
      </x:c>
      <x:c r="X212" t="n">
        <x:v>1</x:v>
      </x:c>
      <x:c r="Y212" t="str">
        <x:v>多摩川浅間神社</x:v>
      </x:c>
      <x:c r="Z212" t="str">
        <x:v>多摩川六郷橋緑地／多摩川ガス橋緑地</x:v>
      </x:c>
      <x:c r="AA212" s="22" t="str">
        <x:v>なし</x:v>
      </x:c>
      <x:c r="AB212" s="22" t="str">
        <x:v>-</x:v>
      </x:c>
      <x:c r="AC212" s="22" t="str"/>
      <x:c r="AD212" s="22" t="str">
        <x:v>専用・路外駐車を基本</x:v>
      </x:c>
      <x:c r="AE212" s="22" t="str"/>
    </x:row>
    <x:row r="213">
      <x:c r="A213" s="27" t="str">
        <x:v>D212</x:v>
      </x:c>
      <x:c r="B213" s="27" t="str">
        <x:v>鉄道博物館</x:v>
      </x:c>
      <x:c r="C213" s="27" t="str">
        <x:v>さいたま市・大宮区</x:v>
      </x:c>
      <x:c r="D213" s="27" t="str">
        <x:v>鉄道・産業史・Story</x:v>
      </x:c>
      <x:c r="E213" s="49" t="e">
        <x:f>HYPERLINK("https://www.google.com/maps/dir/?api=1&amp;destination=%E9%89%84%E9%81%93%E5%8D%9A%E7%89%A9%E9%A4%A8&amp;travelmode=driving","現在地からナビ開始")</x:f>
      </x:c>
      <x:c r="F213" s="27" t="str">
        <x:v>実車、転車台、鉄道技術、食堂車文化を体験し、車で訪れて別の交通史へ切り替わる目的地。</x:v>
      </x:c>
      <x:c r="G213" s="27" t="str">
        <x:v>あり・一般車1日1,000円</x:v>
      </x:c>
      <x:c r="H213" s="27" t="str">
        <x:v>10:00～17:00／最終入館16:30</x:v>
      </x:c>
      <x:c r="I213" s="27" t="n">
        <x:v>1</x:v>
      </x:c>
      <x:c r="J213" s="27" t="n">
        <x:v>1</x:v>
      </x:c>
      <x:c r="K213" s="27" t="str">
        <x:v>火曜・年末年始休館。休日は駐車場満車。入館券・体験予約を当日公式確認。</x:v>
      </x:c>
      <x:c r="L213" s="28" t="n">
        <x:v>46232</x:v>
      </x:c>
      <x:c r="M213" s="27" t="str">
        <x:v>一次確認済</x:v>
      </x:c>
      <x:c r="N213" s="27" t="str">
        <x:v>https://www.railway-museum.jp/information/</x:v>
      </x:c>
      <x:c r="O213" s="27" t="str">
        <x:v>2007年に開館し、東京・神田の交通博物館から鉄道展示の役割を引き継いだJR東日本系の博物館。</x:v>
      </x:c>
      <x:c r="P213" s="94" t="e">
        <x:f>HYPERLINK("https://ja.wikipedia.org/wiki/Special:Search?search=%E9%89%84%E9%81%93%E5%8D%9A%E7%89%A9%E9%A4%A8","Wikipedia・関連項目")</x:f>
      </x:c>
      <x:c r="Q213" s="27" t="str">
        <x:v>新規追加。鉄道史そのものを最終目的にするStory型。</x:v>
      </x:c>
      <x:c r="R213" t="str">
        <x:v>35km超</x:v>
      </x:c>
      <x:c r="S213" t="str">
        <x:v>概ね35km超</x:v>
      </x:c>
      <x:c r="T213" t="str">
        <x:v>通常90分超</x:v>
      </x:c>
      <x:c r="U213" t="str">
        <x:v>Story</x:v>
      </x:c>
      <x:c r="V213" t="str">
        <x:v>30〜60分</x:v>
      </x:c>
      <x:c r="W213" t="n">
        <x:v>2</x:v>
      </x:c>
      <x:c r="X213" t="n">
        <x:v>1</x:v>
      </x:c>
      <x:c r="Y213" t="str">
        <x:v>羽田空港 第3ターミナル展望デッキ</x:v>
      </x:c>
      <x:c r="Z213" t="str">
        <x:v>城南島海浜公園／潮風公園</x:v>
      </x:c>
      <x:c r="AA213" s="22" t="str">
        <x:v>なし</x:v>
      </x:c>
      <x:c r="AB213" s="22" t="str">
        <x:v>-</x:v>
      </x:c>
      <x:c r="AC213" s="22" t="str"/>
      <x:c r="AD213" s="22" t="str">
        <x:v>専用・路外駐車を基本</x:v>
      </x:c>
      <x:c r="AE213" s="22" t="str"/>
    </x:row>
    <x:row r="214">
      <x:c r="A214" s="27" t="str">
        <x:v>D213</x:v>
      </x:c>
      <x:c r="B214" s="27" t="str">
        <x:v>滝山城跡</x:v>
      </x:c>
      <x:c r="C214" s="27" t="str">
        <x:v>八王子市・丹木町</x:v>
      </x:c>
      <x:c r="D214" s="27" t="str">
        <x:v>山城・堀・城址</x:v>
      </x:c>
      <x:c r="E214" s="49" t="e">
        <x:f>HYPERLINK("https://www.google.com/maps/dir/?api=1&amp;destination=%E6%BB%9D%E5%B1%B1%E5%9F%8E%E8%B7%A1&amp;travelmode=driving","現在地からナビ開始")</x:f>
      </x:c>
      <x:c r="F214" s="27" t="str">
        <x:v>深い空堀と土塁を歩き、北条氏照の山城防御を地形で理解できる到達型Ending。</x:v>
      </x:c>
      <x:c r="G214" s="27" t="str">
        <x:v>あり・29台・無料</x:v>
      </x:c>
      <x:c r="H214" s="27" t="str">
        <x:v>駐車場8:00～18:00／11～2月は16:00閉場</x:v>
      </x:c>
      <x:c r="I214" s="27" t="n">
        <x:v>1</x:v>
      </x:c>
      <x:c r="J214" s="27" t="n">
        <x:v>4</x:v>
      </x:c>
      <x:c r="K214" s="27" t="str">
        <x:v>閉場後は出庫不可。桜期は満車。城跡まで徒歩と高低差あり。</x:v>
      </x:c>
      <x:c r="L214" s="28" t="n">
        <x:v>46232</x:v>
      </x:c>
      <x:c r="M214" s="27" t="str">
        <x:v>一次確認済</x:v>
      </x:c>
      <x:c r="N214" s="27" t="str">
        <x:v>https://www.city.hachioji.tokyo.jp/shisetsu/011/p011767.html</x:v>
      </x:c>
      <x:c r="O214" s="27" t="str">
        <x:v>北条氏照の居城で、武田信玄の攻撃を受けた後に八王子城へ本拠が移されたとされる山城。</x:v>
      </x:c>
      <x:c r="P214" s="94" t="e">
        <x:f>HYPERLINK("https://ja.wikipedia.org/wiki/Special:Search?search=%E6%BB%9D%E5%B1%B1%E5%9F%8E%E8%B7%A1","Wikipedia・関連項目")</x:f>
      </x:c>
      <x:c r="Q214" s="27" t="str">
        <x:v>新規追加。八王子城とは異なる『土の城』の見え方を評価。</x:v>
      </x:c>
      <x:c r="R214" t="str">
        <x:v>35km超</x:v>
      </x:c>
      <x:c r="S214" t="str">
        <x:v>概ね35km超</x:v>
      </x:c>
      <x:c r="T214" t="str">
        <x:v>通常90分超</x:v>
      </x:c>
      <x:c r="U214" t="str">
        <x:v>Story</x:v>
      </x:c>
      <x:c r="V214" t="str">
        <x:v>30〜60分</x:v>
      </x:c>
      <x:c r="W214" t="n">
        <x:v>2</x:v>
      </x:c>
      <x:c r="X214" t="n">
        <x:v>1</x:v>
      </x:c>
      <x:c r="Y214" t="str">
        <x:v>羽田空港 第3ターミナル展望デッキ</x:v>
      </x:c>
      <x:c r="Z214" t="str">
        <x:v>城南島海浜公園／潮風公園</x:v>
      </x:c>
      <x:c r="AA214" s="22" t="str">
        <x:v>なし</x:v>
      </x:c>
      <x:c r="AB214" s="22" t="str">
        <x:v>-</x:v>
      </x:c>
      <x:c r="AC214" s="22" t="str"/>
      <x:c r="AD214" s="22" t="str">
        <x:v>専用・路外駐車を基本</x:v>
      </x:c>
      <x:c r="AE214" s="22" t="str"/>
    </x:row>
    <x:row r="215">
      <x:c r="A215" s="27" t="str">
        <x:v>D214</x:v>
      </x:c>
      <x:c r="B215" s="27" t="str">
        <x:v>片倉城跡公園</x:v>
      </x:c>
      <x:c r="C215" s="27" t="str">
        <x:v>八王子市・片倉町</x:v>
      </x:c>
      <x:c r="D215" s="27" t="str">
        <x:v>城址・湧水・彫刻</x:v>
      </x:c>
      <x:c r="E215" s="49" t="e">
        <x:f>HYPERLINK("https://www.google.com/maps/dir/?api=1&amp;destination=%E7%89%87%E5%80%89%E5%9F%8E%E8%B7%A1%E5%85%AC%E5%9C%92&amp;travelmode=driving","現在地からナビ開始")</x:f>
      </x:c>
      <x:c r="F215" s="27" t="str">
        <x:v>空堀・土塁・湧水地・彫刻が近距離にまとまり、短い徒歩でも城跡の地形変化を感じられる。</x:v>
      </x:c>
      <x:c r="G215" s="27" t="str">
        <x:v>あり・小規模</x:v>
      </x:c>
      <x:c r="H215" s="27" t="str">
        <x:v>駐車場常時開放</x:v>
      </x:c>
      <x:c r="I215" s="27" t="n">
        <x:v>3</x:v>
      </x:c>
      <x:c r="J215" s="27" t="n">
        <x:v>4</x:v>
      </x:c>
      <x:c r="K215" s="27" t="str">
        <x:v>夜は暗く散策不向き。台数が少ないため満車時は通過。湿地・斜面で足元注意。</x:v>
      </x:c>
      <x:c r="L215" s="28" t="n">
        <x:v>46232</x:v>
      </x:c>
      <x:c r="M215" s="27" t="str">
        <x:v>一次確認済</x:v>
      </x:c>
      <x:c r="N215" s="27" t="str">
        <x:v>https://www.city.hachioji.tokyo.jp/shisetsu/009/p011931.html</x:v>
      </x:c>
      <x:c r="O215" s="27" t="str">
        <x:v>室町期の丘城と考えられ、現在も二の丸周辺などに空堀や土塁が残る。</x:v>
      </x:c>
      <x:c r="P215" s="94" t="e">
        <x:f>HYPERLINK("https://ja.wikipedia.org/wiki/Special:Search?search=%E7%89%87%E5%80%89%E5%9F%8E%E8%B7%A1%E5%85%AC%E5%9C%92","Wikipedia・関連項目")</x:f>
      </x:c>
      <x:c r="Q215" s="27" t="str">
        <x:v>新規追加。滝山・八王子城より短時間で城郭地形を味わえる。</x:v>
      </x:c>
      <x:c r="R215" t="str">
        <x:v>35km超</x:v>
      </x:c>
      <x:c r="S215" t="str">
        <x:v>概ね35km超</x:v>
      </x:c>
      <x:c r="T215" t="str">
        <x:v>通常90分超</x:v>
      </x:c>
      <x:c r="U215" t="str">
        <x:v>Story</x:v>
      </x:c>
      <x:c r="V215" t="str">
        <x:v>30〜60分</x:v>
      </x:c>
      <x:c r="W215" t="n">
        <x:v>2</x:v>
      </x:c>
      <x:c r="X215" t="n">
        <x:v>1</x:v>
      </x:c>
      <x:c r="Y215" t="str">
        <x:v>羽田空港 第3ターミナル展望デッキ</x:v>
      </x:c>
      <x:c r="Z215" t="str">
        <x:v>城南島海浜公園／潮風公園</x:v>
      </x:c>
      <x:c r="AA215" s="22" t="str">
        <x:v>なし</x:v>
      </x:c>
      <x:c r="AB215" s="22" t="str">
        <x:v>-</x:v>
      </x:c>
      <x:c r="AC215" s="22" t="str"/>
      <x:c r="AD215" s="22" t="str">
        <x:v>専用・路外駐車を基本</x:v>
      </x:c>
      <x:c r="AE215" s="22" t="str"/>
    </x:row>
    <x:row r="216">
      <x:c r="A216" s="27" t="str">
        <x:v>D215</x:v>
      </x:c>
      <x:c r="B216" s="27" t="str">
        <x:v>寒川神社</x:v>
      </x:c>
      <x:c r="C216" s="27" t="str">
        <x:v>神奈川県寒川町</x:v>
      </x:c>
      <x:c r="D216" s="27" t="str">
        <x:v>神社・相模国一宮・八方除</x:v>
      </x:c>
      <x:c r="E216" s="49" t="e">
        <x:f>HYPERLINK("https://www.google.com/maps/dir/?api=1&amp;destination=%E5%AF%92%E5%B7%9D%E7%A5%9E%E7%A4%BE&amp;travelmode=driving","現在地からナビ開始")</x:f>
      </x:c>
      <x:c r="F216" s="27" t="str">
        <x:v>旅の方向や安全を整える『八方除』の物語が、目的地決めサービスのProject Cruiseと相性が良い。</x:v>
      </x:c>
      <x:c r="G216" s="27" t="str">
        <x:v>あり・参拝者駐車場</x:v>
      </x:c>
      <x:c r="H216" s="27" t="str">
        <x:v>神門6:00～日没／時間外は神門前で参拝可</x:v>
      </x:c>
      <x:c r="I216" s="27" t="n">
        <x:v>2</x:v>
      </x:c>
      <x:c r="J216" s="27" t="n">
        <x:v>2</x:v>
      </x:c>
      <x:c r="K216" s="27" t="str">
        <x:v>正月・祭事は大規模規制と渋滞。深夜の境内滞在は避け、静粛に参拝。</x:v>
      </x:c>
      <x:c r="L216" s="28" t="n">
        <x:v>46232</x:v>
      </x:c>
      <x:c r="M216" s="27" t="str">
        <x:v>一次確認済</x:v>
      </x:c>
      <x:c r="N216" s="27" t="str">
        <x:v>https://samukawajinjya.jp/faq/</x:v>
      </x:c>
      <x:c r="O216" s="27" t="str">
        <x:v>相模国一宮とされ、全国でも珍しい『八方除』の守護神として方位・地相・家相の災い除けで知られる。</x:v>
      </x:c>
      <x:c r="P216" s="94" t="e">
        <x:f>HYPERLINK("https://ja.wikipedia.org/wiki/Special:Search?search=%E5%AF%92%E5%B7%9D%E7%A5%9E%E7%A4%BE","Wikipedia・関連項目")</x:f>
      </x:c>
      <x:c r="Q216" s="27" t="str">
        <x:v>新規追加。ドライブの出発・帰着に意味を持たせるStory Ending。</x:v>
      </x:c>
      <x:c r="R216" t="str">
        <x:v>35km超</x:v>
      </x:c>
      <x:c r="S216" t="str">
        <x:v>概ね35km超</x:v>
      </x:c>
      <x:c r="T216" t="str">
        <x:v>通常90分超</x:v>
      </x:c>
      <x:c r="U216" t="str">
        <x:v>休日半日</x:v>
      </x:c>
      <x:c r="V216" t="str">
        <x:v>30〜60分</x:v>
      </x:c>
      <x:c r="W216" t="n">
        <x:v>2</x:v>
      </x:c>
      <x:c r="X216" t="n">
        <x:v>1</x:v>
      </x:c>
      <x:c r="Y216" t="str">
        <x:v>羽田空港 第3ターミナル展望デッキ</x:v>
      </x:c>
      <x:c r="Z216" t="str">
        <x:v>城南島海浜公園／潮風公園</x:v>
      </x:c>
      <x:c r="AA216" s="22" t="str">
        <x:v>なし</x:v>
      </x:c>
      <x:c r="AB216" s="22" t="str">
        <x:v>-</x:v>
      </x:c>
      <x:c r="AC216" s="22" t="str"/>
      <x:c r="AD216" s="22" t="str">
        <x:v>専用・路外駐車を基本</x:v>
      </x:c>
      <x:c r="AE216" s="22" t="str"/>
    </x:row>
    <x:row r="217">
      <x:c r="A217" s="27" t="str">
        <x:v>D216</x:v>
      </x:c>
      <x:c r="B217" s="27" t="str">
        <x:v>俣野別邸庭園</x:v>
      </x:c>
      <x:c r="C217" s="27" t="str">
        <x:v>横浜市・戸塚区</x:v>
      </x:c>
      <x:c r="D217" s="27" t="str">
        <x:v>洋館・庭園・昭和建築</x:v>
      </x:c>
      <x:c r="E217" s="49" t="e">
        <x:f>HYPERLINK("https://www.google.com/maps/dir/?api=1&amp;destination=%E4%BF%A3%E9%87%8E%E5%88%A5%E9%82%B8%E5%BA%AD%E5%9C%92&amp;travelmode=driving","現在地からナビ開始")</x:f>
      </x:c>
      <x:c r="F217" s="27" t="str">
        <x:v>昭和初期の和洋折衷住宅と芝庭を巡り、湘南・戸塚方面の走行を静かな建築体験で締められる。</x:v>
      </x:c>
      <x:c r="G217" s="27" t="str">
        <x:v>あり・有料・小規模</x:v>
      </x:c>
      <x:c r="H217" s="27" t="str">
        <x:v>通常9:00～17:00／7～8月は延長日程あり</x:v>
      </x:c>
      <x:c r="I217" s="27" t="n">
        <x:v>1</x:v>
      </x:c>
      <x:c r="J217" s="27" t="n">
        <x:v>4</x:v>
      </x:c>
      <x:c r="K217" s="27" t="str">
        <x:v>第3木曜・年末年始休園を基本に当日確認。駐車場も閉園時刻で終了。</x:v>
      </x:c>
      <x:c r="L217" s="28" t="n">
        <x:v>46232</x:v>
      </x:c>
      <x:c r="M217" s="27" t="str">
        <x:v>一次確認済</x:v>
      </x:c>
      <x:c r="N217" s="27" t="str">
        <x:v>https://www.hama-midorinokyokai.or.jp/park/matanobettei/</x:v>
      </x:c>
      <x:c r="O217" s="27" t="str">
        <x:v>1939年築の和洋折衷住宅を復元した横浜市認定歴史的建造物で、昭和の郊外別邸文化を伝える。</x:v>
      </x:c>
      <x:c r="P217" s="94" t="e">
        <x:f>HYPERLINK("https://ja.wikipedia.org/wiki/Special:Search?search=%E4%BF%A3%E9%87%8E%E5%88%A5%E9%82%B8%E5%BA%AD%E5%9C%92","Wikipedia・関連項目")</x:f>
      </x:c>
      <x:c r="Q217" s="27" t="str">
        <x:v>新規追加。庭園と建築を同時に味わう昼Ending。</x:v>
      </x:c>
      <x:c r="R217" t="str">
        <x:v>25〜35km</x:v>
      </x:c>
      <x:c r="S217" t="str">
        <x:v>概ね25〜35km</x:v>
      </x:c>
      <x:c r="T217" t="str">
        <x:v>通常55〜90分</x:v>
      </x:c>
      <x:c r="U217" t="str">
        <x:v>休日半日</x:v>
      </x:c>
      <x:c r="V217" t="str">
        <x:v>30〜90分</x:v>
      </x:c>
      <x:c r="W217" t="n">
        <x:v>1</x:v>
      </x:c>
      <x:c r="X217" t="n">
        <x:v>1</x:v>
      </x:c>
      <x:c r="Y217" t="str">
        <x:v>羽田空港 第3ターミナル展望デッキ</x:v>
      </x:c>
      <x:c r="Z217" t="str">
        <x:v>城南島海浜公園／潮風公園</x:v>
      </x:c>
      <x:c r="AA217" s="22" t="str">
        <x:v>なし</x:v>
      </x:c>
      <x:c r="AB217" s="22" t="str">
        <x:v>-</x:v>
      </x:c>
      <x:c r="AC217" s="22" t="str"/>
      <x:c r="AD217" s="22" t="str">
        <x:v>専用・路外駐車を基本</x:v>
      </x:c>
      <x:c r="AE217" s="22" t="str"/>
    </x:row>
    <x:row r="218">
      <x:c r="A218" s="27" t="str">
        <x:v>D217</x:v>
      </x:c>
      <x:c r="B218" s="27" t="str">
        <x:v>相模原麻溝公園</x:v>
      </x:c>
      <x:c r="C218" s="27" t="str">
        <x:v>相模原市・南区</x:v>
      </x:c>
      <x:c r="D218" s="27" t="str">
        <x:v>展望塔・大規模公園・夜間駐車</x:v>
      </x:c>
      <x:c r="E218" s="49" t="e">
        <x:f>HYPERLINK("https://www.google.com/maps/dir/?api=1&amp;destination=%E7%9B%B8%E6%A8%A1%E5%8E%9F%E9%BA%BB%E6%BA%9D%E5%85%AC%E5%9C%92&amp;travelmode=driving","現在地からナビ開始")</x:f>
      </x:c>
      <x:c r="F218" s="27" t="str">
        <x:v>グリーンタワーから相模原台地を見渡し、隣接する相模原公園と合わせて広い園地を巡れる。</x:v>
      </x:c>
      <x:c r="G218" s="27" t="str">
        <x:v>あり・第1駐車場常時開放、第2は混雑時</x:v>
      </x:c>
      <x:c r="H218" s="27" t="str">
        <x:v>第1駐車場常時開放／各施設は個別時間</x:v>
      </x:c>
      <x:c r="I218" s="27" t="n">
        <x:v>4</x:v>
      </x:c>
      <x:c r="J218" s="27" t="n">
        <x:v>3</x:v>
      </x:c>
      <x:c r="K218" s="27" t="str">
        <x:v>展望塔・動物広場等は時間制。イベント時は一部駐車場規制。夜は駐車場周辺中心。</x:v>
      </x:c>
      <x:c r="L218" s="28" t="n">
        <x:v>46232</x:v>
      </x:c>
      <x:c r="M218" s="27" t="str">
        <x:v>一次確認済</x:v>
      </x:c>
      <x:c r="N218" s="27" t="str">
        <x:v>https://www.city.sagamihara.kanagawa.jp/kurashi/shisetsu/kouen_kankou/kouen_ryokuchi/1003087.html</x:v>
      </x:c>
      <x:c r="O218" s="27" t="str">
        <x:v>高さ55mのグリーンタワー相模原は公園の象徴で、相模原市制施行30周年を記念して建てられた。</x:v>
      </x:c>
      <x:c r="P218" s="94" t="e">
        <x:f>HYPERLINK("https://ja.wikipedia.org/wiki/Special:Search?search=%E7%9B%B8%E6%A8%A1%E5%8E%9F%E9%BA%BB%E6%BA%9D%E5%85%AC%E5%9C%92","Wikipedia・関連項目")</x:f>
      </x:c>
      <x:c r="Q218" s="27" t="str">
        <x:v>新規追加。夜間駐車の確実性と昼の展望を両立。</x:v>
      </x:c>
      <x:c r="R218" t="str">
        <x:v>35km超</x:v>
      </x:c>
      <x:c r="S218" t="str">
        <x:v>概ね35km超</x:v>
      </x:c>
      <x:c r="T218" t="str">
        <x:v>通常90分超</x:v>
      </x:c>
      <x:c r="U218" t="str">
        <x:v>平日夜・深夜</x:v>
      </x:c>
      <x:c r="V218" t="str">
        <x:v>30〜60分</x:v>
      </x:c>
      <x:c r="W218" t="n">
        <x:v>1</x:v>
      </x:c>
      <x:c r="X218" t="n">
        <x:v>1</x:v>
      </x:c>
      <x:c r="Y218" t="str">
        <x:v>平和の森公園</x:v>
      </x:c>
      <x:c r="Z218" t="str">
        <x:v>大森ふるさとの浜辺公園／森ケ崎公園</x:v>
      </x:c>
      <x:c r="AA218" s="22" t="str">
        <x:v>なし</x:v>
      </x:c>
      <x:c r="AB218" s="22" t="str">
        <x:v>-</x:v>
      </x:c>
      <x:c r="AC218" s="22" t="str"/>
      <x:c r="AD218" s="22" t="str">
        <x:v>専用・路外駐車を基本</x:v>
      </x:c>
      <x:c r="AE218" s="22" t="str"/>
    </x:row>
    <x:row r="219">
      <x:c r="A219" s="27" t="str">
        <x:v>D218</x:v>
      </x:c>
      <x:c r="B219" s="27" t="str">
        <x:v>県立相模三川公園</x:v>
      </x:c>
      <x:c r="C219" s="27" t="str">
        <x:v>海老名市・上郷</x:v>
      </x:c>
      <x:c r="D219" s="27" t="str">
        <x:v>河川敷・三河川・桜</x:v>
      </x:c>
      <x:c r="E219" s="49" t="e">
        <x:f>HYPERLINK("https://www.google.com/maps/dir/?api=1&amp;destination=%E7%9C%8C%E7%AB%8B%E7%9B%B8%E6%A8%A1%E4%B8%89%E5%B7%9D%E5%85%AC%E5%9C%92&amp;travelmode=driving","現在地からナビ開始")</x:f>
      </x:c>
      <x:c r="F219" s="27" t="str">
        <x:v>相模川、中津川、小鮎川の水系が集まる広い河川景観で、空の広さと丹沢方面の山並みを味わえる。</x:v>
      </x:c>
      <x:c r="G219" s="27" t="str">
        <x:v>あり・公園駐車場</x:v>
      </x:c>
      <x:c r="H219" s="27" t="str">
        <x:v>8:30～17:00</x:v>
      </x:c>
      <x:c r="I219" s="27" t="n">
        <x:v>1</x:v>
      </x:c>
      <x:c r="J219" s="27" t="n">
        <x:v>4</x:v>
      </x:c>
      <x:c r="K219" s="27" t="str">
        <x:v>河川増水・荒天時は閉鎖あり。大型車不可。臨時駐車場は混雑時のみ。</x:v>
      </x:c>
      <x:c r="L219" s="28" t="n">
        <x:v>46232</x:v>
      </x:c>
      <x:c r="M219" s="27" t="str">
        <x:v>一次確認済</x:v>
      </x:c>
      <x:c r="N219" s="27" t="str">
        <x:v>https://www.kanagawa-park.or.jp/sagamisansen/access.html</x:v>
      </x:c>
      <x:c r="O219" s="27" t="str">
        <x:v>県立都市公園として初めて河川区域内に整備された公園で、『三川』は相模川・中津川・小鮎川を指す。</x:v>
      </x:c>
      <x:c r="P219" s="94" t="e">
        <x:f>HYPERLINK("https://ja.wikipedia.org/wiki/Special:Search?search=%E7%9C%8C%E7%AB%8B%E7%9B%B8%E6%A8%A1%E4%B8%89%E5%B7%9D%E5%85%AC%E5%9C%92","Wikipedia・関連項目")</x:f>
      </x:c>
      <x:c r="Q219" s="27" t="str">
        <x:v>新規追加。河川地形と公園制度のStoryを評価。</x:v>
      </x:c>
      <x:c r="R219" t="str">
        <x:v>35km超</x:v>
      </x:c>
      <x:c r="S219" t="str">
        <x:v>概ね35km超</x:v>
      </x:c>
      <x:c r="T219" t="str">
        <x:v>通常90分超</x:v>
      </x:c>
      <x:c r="U219" t="str">
        <x:v>水辺</x:v>
      </x:c>
      <x:c r="V219" t="str">
        <x:v>30〜90分</x:v>
      </x:c>
      <x:c r="W219" t="n">
        <x:v>1</x:v>
      </x:c>
      <x:c r="X219" t="n">
        <x:v>1</x:v>
      </x:c>
      <x:c r="Y219" t="str">
        <x:v>多摩川浅間神社</x:v>
      </x:c>
      <x:c r="Z219" t="str">
        <x:v>多摩川六郷橋緑地／多摩川ガス橋緑地</x:v>
      </x:c>
      <x:c r="AA219" s="22" t="str">
        <x:v>なし</x:v>
      </x:c>
      <x:c r="AB219" s="22" t="str">
        <x:v>-</x:v>
      </x:c>
      <x:c r="AC219" s="22" t="str"/>
      <x:c r="AD219" s="22" t="str">
        <x:v>専用・路外駐車を基本</x:v>
      </x:c>
      <x:c r="AE219" s="22" t="str"/>
    </x:row>
    <x:row r="220">
      <x:c r="A220" s="27" t="str">
        <x:v>D219</x:v>
      </x:c>
      <x:c r="B220" s="27" t="str">
        <x:v>ぼうさいの丘公園</x:v>
      </x:c>
      <x:c r="C220" s="27" t="str">
        <x:v>厚木市・温水</x:v>
      </x:c>
      <x:c r="D220" s="27" t="str">
        <x:v>高台・防災・丹沢展望</x:v>
      </x:c>
      <x:c r="E220" s="49" t="e">
        <x:f>HYPERLINK("https://www.google.com/maps/dir/?api=1&amp;destination=%E3%81%BC%E3%81%86%E3%81%95%E3%81%84%E3%81%AE%E4%B8%98%E5%85%AC%E5%9C%92&amp;travelmode=driving","現在地からナビ開始")</x:f>
      </x:c>
      <x:c r="F220" s="27" t="str">
        <x:v>丹沢・大山を望む高台が、災害時には避難地とヘリポートへ変わる二重機能を持つ。</x:v>
      </x:c>
      <x:c r="G220" s="27" t="str">
        <x:v>あり・350台・無料</x:v>
      </x:c>
      <x:c r="H220" s="27" t="str">
        <x:v>9:00～21:00</x:v>
      </x:c>
      <x:c r="I220" s="27" t="n">
        <x:v>4</x:v>
      </x:c>
      <x:c r="J220" s="27" t="n">
        <x:v>4</x:v>
      </x:c>
      <x:c r="K220" s="27" t="str">
        <x:v>21時閉場。熱中症アラート時は遊具休止あり。災害対応・イベント時は利用制限。</x:v>
      </x:c>
      <x:c r="L220" s="28" t="n">
        <x:v>46232</x:v>
      </x:c>
      <x:c r="M220" s="27" t="str">
        <x:v>一次確認済</x:v>
      </x:c>
      <x:c r="N220" s="27" t="str">
        <x:v>https://www.atsugi-midori.jp/park/bosai/</x:v>
      </x:c>
      <x:c r="O220" s="27" t="str">
        <x:v>約2万人を受け入れる広域避難場所として、生活用水になる流れ、備蓄、防災設備、ヘリポートを備える。</x:v>
      </x:c>
      <x:c r="P220" s="94" t="e">
        <x:f>HYPERLINK("https://ja.wikipedia.org/wiki/Special:Search?search=%E3%81%BC%E3%81%86%E3%81%95%E3%81%84%E3%81%AE%E4%B8%98%E5%85%AC%E5%9C%92","Wikipedia・関連項目")</x:f>
      </x:c>
      <x:c r="Q220" s="27" t="str">
        <x:v>新規追加。夜まで利用できる防災Storyの高台Ending。</x:v>
      </x:c>
      <x:c r="R220" t="str">
        <x:v>35km超</x:v>
      </x:c>
      <x:c r="S220" t="str">
        <x:v>概ね35km超</x:v>
      </x:c>
      <x:c r="T220" t="str">
        <x:v>通常90分超</x:v>
      </x:c>
      <x:c r="U220" t="str">
        <x:v>平日夜・深夜</x:v>
      </x:c>
      <x:c r="V220" t="str">
        <x:v>30〜60分</x:v>
      </x:c>
      <x:c r="W220" t="n">
        <x:v>1</x:v>
      </x:c>
      <x:c r="X220" t="n">
        <x:v>1</x:v>
      </x:c>
      <x:c r="Y220" t="str">
        <x:v>羽田空港 第3ターミナル展望デッキ</x:v>
      </x:c>
      <x:c r="Z220" t="str">
        <x:v>城南島海浜公園／潮風公園</x:v>
      </x:c>
      <x:c r="AA220" s="22" t="str">
        <x:v>なし</x:v>
      </x:c>
      <x:c r="AB220" s="22" t="str">
        <x:v>-</x:v>
      </x:c>
      <x:c r="AC220" s="22" t="str"/>
      <x:c r="AD220" s="22" t="str">
        <x:v>専用・路外駐車を基本</x:v>
      </x:c>
      <x:c r="AE220" s="22" t="str"/>
    </x:row>
    <x:row r="221">
      <x:c r="A221" s="27" t="str">
        <x:v>D220</x:v>
      </x:c>
      <x:c r="B221" s="27" t="str">
        <x:v>F・マリノス 成城石井パーク（大和ゆとりの森）</x:v>
      </x:c>
      <x:c r="C221" s="27" t="str">
        <x:v>大和市・福田</x:v>
      </x:c>
      <x:c r="D221" s="27" t="str">
        <x:v>飛行機・芝生・24時間駐車</x:v>
      </x:c>
      <x:c r="E221" s="49" t="e">
        <x:f>HYPERLINK("https://www.google.com/maps/dir/?api=1&amp;destination=F%E3%83%BB%E3%83%9E%E3%83%AA%E3%83%8E%E3%82%B9%20%E6%88%90%E5%9F%8E%E7%9F%B3%E4%BA%95%E3%83%91%E3%83%BC%E3%82%AF%EF%BC%88%E5%A4%A7%E5%92%8C%E3%82%86%E3%81%A8%E3%82%8A%E3%81%AE%E6%A3%AE%EF%BC%89&amp;travelmode=driving","現在地からナビ開始")</x:f>
      </x:c>
      <x:c r="F221" s="27" t="str">
        <x:v>厚木飛行場の南側で広い空と航空機を感じながら、芝生・遊具・スポーツ施設で休める。</x:v>
      </x:c>
      <x:c r="G221" s="27" t="str">
        <x:v>あり・東198台、南99台、南第2 197台・有料</x:v>
      </x:c>
      <x:c r="H221" s="27" t="str">
        <x:v>駐車場24時間／各施設は個別時間</x:v>
      </x:c>
      <x:c r="I221" s="27" t="n">
        <x:v>5</x:v>
      </x:c>
      <x:c r="J221" s="27" t="n">
        <x:v>3</x:v>
      </x:c>
      <x:c r="K221" s="27" t="str">
        <x:v>航空機運用は日による。夜は園内や周辺道路が暗い区域あり。基地施設の撮影ルールに配慮。</x:v>
      </x:c>
      <x:c r="L221" s="28" t="n">
        <x:v>46232</x:v>
      </x:c>
      <x:c r="M221" s="27" t="str">
        <x:v>一次確認済</x:v>
      </x:c>
      <x:c r="N221" s="27" t="str">
        <x:v>https://www.sakata-greenservice.co.jp/yutori/access/</x:v>
      </x:c>
      <x:c r="O221" s="27" t="str">
        <x:v>2007年開園。厚木飛行場に隣接し、公園名は引地川沿いの広い公共空間として整備された経緯を持つ。</x:v>
      </x:c>
      <x:c r="P221" s="94" t="e">
        <x:f>HYPERLINK("https://ja.wikipedia.org/wiki/Special:Search?search=F%E3%83%BB%E3%83%9E%E3%83%AA%E3%83%8E%E3%82%B9%20%E6%88%90%E5%9F%8E%E7%9F%B3%E4%BA%95%E3%83%91%E3%83%BC%E3%82%AF%EF%BC%88%E5%A4%A7%E5%92%8C%E3%82%86%E3%81%A8%E3%82%8A%E3%81%AE%E6%A3%AE%EF%BC%89","Wikipedia・関連項目")</x:f>
      </x:c>
      <x:c r="Q221" s="27" t="str">
        <x:v>新規追加。綾瀬スポーツ公園とは滑走路の南側・24時間駐車という役割で差別化。</x:v>
      </x:c>
      <x:c r="R221" t="str">
        <x:v>35km超</x:v>
      </x:c>
      <x:c r="S221" t="str">
        <x:v>概ね35km超</x:v>
      </x:c>
      <x:c r="T221" t="str">
        <x:v>通常90分超</x:v>
      </x:c>
      <x:c r="U221" t="str">
        <x:v>飛行機</x:v>
      </x:c>
      <x:c r="V221" t="str">
        <x:v>30〜60分</x:v>
      </x:c>
      <x:c r="W221" t="n">
        <x:v>2</x:v>
      </x:c>
      <x:c r="X221" t="n">
        <x:v>4</x:v>
      </x:c>
      <x:c r="Y221" t="str">
        <x:v>城南島海浜公園</x:v>
      </x:c>
      <x:c r="Z221" t="str">
        <x:v>京浜島つばさ公園／羽田空港 第3ターミナル展望デッキ</x:v>
      </x:c>
      <x:c r="AA221" s="22" t="str">
        <x:v>なし</x:v>
      </x:c>
      <x:c r="AB221" s="22" t="str">
        <x:v>-</x:v>
      </x:c>
      <x:c r="AC221" s="22" t="str"/>
      <x:c r="AD221" s="22" t="str">
        <x:v>専用・路外駐車を基本</x:v>
      </x:c>
      <x:c r="AE221" s="22" t="str"/>
    </x:row>
    <x:row r="222">
      <x:c r="A222" s="27" t="str">
        <x:v>D221</x:v>
      </x:c>
      <x:c r="B222" s="27" t="str">
        <x:v>葛西海浜公園</x:v>
      </x:c>
      <x:c r="C222" s="27" t="str">
        <x:v>東京都江戸川区</x:v>
      </x:c>
      <x:c r="D222" s="27" t="str">
        <x:v>干潟・海浜・東京湾</x:v>
      </x:c>
      <x:c r="E222" s="48" t="e">
        <x:f>HYPERLINK("https://www.google.com/maps/dir/?api=1&amp;destination=%E8%91%9B%E8%A5%BF%E6%B5%B7%E6%B5%9C%E5%85%AC%E5%9C%92&amp;travelmode=driving","現在地からナビ開始")</x:f>
      </x:c>
      <x:c r="F222" s="27" t="str">
        <x:v>都心近くで干潟と東京湾の水平線を感じられ、臨海公園の人工景観から自然海浜へ抜けるEndingになる。</x:v>
      </x:c>
      <x:c r="G222" s="27" t="str">
        <x:v>葛西臨海公園駐車場を利用・有料</x:v>
      </x:c>
      <x:c r="H222" s="27" t="str">
        <x:v>駐車場24時間／西なぎさ利用は季節・潮位条件を確認</x:v>
      </x:c>
      <x:c r="I222" s="27" t="n">
        <x:v>4</x:v>
      </x:c>
      <x:c r="J222" s="27" t="n">
        <x:v>2</x:v>
      </x:c>
      <x:c r="K222" s="27" t="str">
        <x:v>大型連休は早朝から満車。入庫規制中の路上待機禁止。荒天・高波・潮位上昇時は海浜へ入らない。</x:v>
      </x:c>
      <x:c r="L222" s="28" t="n">
        <x:v>46232</x:v>
      </x:c>
      <x:c r="M222" s="27" t="str">
        <x:v>一次確認済</x:v>
      </x:c>
      <x:c r="N222" s="27" t="str">
        <x:v>https://www.tokyo-park.or.jp/park/kasaikaihin/index.html</x:v>
      </x:c>
      <x:c r="O222" s="27" t="str">
        <x:v>葛西沖の干潟を保全・再生した海浜公園で、西なぎさは東京23区内で海へ直接近づける数少ない公共海浜。</x:v>
      </x:c>
      <x:c r="P222" s="84" t="e">
        <x:f>HYPERLINK("https://ja.wikipedia.org/wiki/Special:Search?search=%E8%91%9B%E8%A5%BF%E6%B5%B7%E6%B5%9C%E5%85%AC%E5%9C%92","Wikipedia・関連項目")</x:f>
      </x:c>
      <x:c r="Q222" s="27" t="str">
        <x:v>新規追加。既存の葛西臨海公園とは『干潟・海へ降りる体験』で差別化。</x:v>
      </x:c>
      <x:c r="R222" t="str">
        <x:v>20〜25km</x:v>
      </x:c>
      <x:c r="S222" t="str">
        <x:v>概ね20〜25km</x:v>
      </x:c>
      <x:c r="T222" t="str">
        <x:v>通常40〜70分</x:v>
      </x:c>
      <x:c r="U222" t="str">
        <x:v>海・港</x:v>
      </x:c>
      <x:c r="V222" t="str">
        <x:v>30〜60分</x:v>
      </x:c>
      <x:c r="W222" t="n">
        <x:v>1</x:v>
      </x:c>
      <x:c r="X222" t="n">
        <x:v>3</x:v>
      </x:c>
      <x:c r="Y222" t="str">
        <x:v>城南島海浜公園</x:v>
      </x:c>
      <x:c r="Z222" t="str">
        <x:v>潮風公園／晴海ふ頭公園</x:v>
      </x:c>
      <x:c r="AA222" s="22" t="str">
        <x:v>なし</x:v>
      </x:c>
      <x:c r="AB222" s="22" t="str">
        <x:v>-</x:v>
      </x:c>
      <x:c r="AC222" s="22" t="str"/>
      <x:c r="AD222" s="22" t="str">
        <x:v>専用・路外駐車を基本</x:v>
      </x:c>
      <x:c r="AE222" s="22" t="str"/>
    </x:row>
    <x:row r="223">
      <x:c r="A223" s="27" t="str">
        <x:v>D222</x:v>
      </x:c>
      <x:c r="B223" s="27" t="str">
        <x:v>東品川海上公園</x:v>
      </x:c>
      <x:c r="C223" s="27" t="str">
        <x:v>東京都品川区</x:v>
      </x:c>
      <x:c r="D223" s="27" t="str">
        <x:v>運河・屋上庭園・Story</x:v>
      </x:c>
      <x:c r="E223" s="48" t="e">
        <x:f>HYPERLINK("https://www.google.com/maps/dir/?api=1&amp;destination=%E6%9D%B1%E5%93%81%E5%B7%9D%E6%B5%B7%E4%B8%8A%E5%85%AC%E5%9C%92&amp;travelmode=driving","現在地からナビ開始")</x:f>
      </x:c>
      <x:c r="F223" s="27" t="str">
        <x:v>目黒川が天王洲南運河へ注ぐ河口で、運河、橋、ポンプ場屋上庭園、ミッフィー花壇を短時間で巡れる。</x:v>
      </x:c>
      <x:c r="G223" s="27" t="str">
        <x:v>園内専用なし／隣接時間貸し19台・24時間</x:v>
      </x:c>
      <x:c r="H223" s="27" t="str">
        <x:v>公園常時利用可／工事・イベント範囲は当日確認</x:v>
      </x:c>
      <x:c r="I223" s="27" t="n">
        <x:v>4</x:v>
      </x:c>
      <x:c r="J223" s="27" t="n">
        <x:v>3</x:v>
      </x:c>
      <x:c r="K223" s="27" t="str">
        <x:v>専用駐車場はない。必ず合法な時間貸し駐車場を利用し、周辺道路での乗降・待機をしない。Park-PFI工事確認。</x:v>
      </x:c>
      <x:c r="L223" s="28" t="n">
        <x:v>46232</x:v>
      </x:c>
      <x:c r="M223" s="27" t="str">
        <x:v>条件付き採用</x:v>
      </x:c>
      <x:c r="N223" s="27" t="str">
        <x:v>https://shinagawa-kanko.or.jp/spot/higasishinagawakaijoukouen/</x:v>
      </x:c>
      <x:c r="O223" s="27" t="str">
        <x:v>天王洲の運河景観に、下水ポンプ場上部の屋上庭園を重ねた立体的な都市公園。ディック・ブルーナの意匠もある。</x:v>
      </x:c>
      <x:c r="P223" s="84" t="e">
        <x:f>HYPERLINK("https://ja.wikipedia.org/wiki/Special:Search?search=%E6%9D%B1%E5%93%81%E5%B7%9D%E6%B5%B7%E4%B8%8A%E5%85%AC%E5%9C%92","Wikipedia・関連項目")</x:f>
      </x:c>
      <x:c r="Q223" s="27" t="str">
        <x:v>新規追加。駐車場条件を明示した近距離・短時間Ending。</x:v>
      </x:c>
      <x:c r="R223" t="str">
        <x:v>0〜10km</x:v>
      </x:c>
      <x:c r="S223" t="str">
        <x:v>概ね0〜10km</x:v>
      </x:c>
      <x:c r="T223" t="str">
        <x:v>通常10〜30分</x:v>
      </x:c>
      <x:c r="U223" t="str">
        <x:v>Story</x:v>
      </x:c>
      <x:c r="V223" t="str">
        <x:v>30〜90分</x:v>
      </x:c>
      <x:c r="W223" t="n">
        <x:v>1</x:v>
      </x:c>
      <x:c r="X223" t="n">
        <x:v>1</x:v>
      </x:c>
      <x:c r="Y223" t="str">
        <x:v>羽田空港 第3ターミナル展望デッキ</x:v>
      </x:c>
      <x:c r="Z223" t="str">
        <x:v>城南島海浜公園／潮風公園</x:v>
      </x:c>
      <x:c r="AA223" s="22" t="str">
        <x:v>なし</x:v>
      </x:c>
      <x:c r="AB223" s="22" t="str">
        <x:v>-</x:v>
      </x:c>
      <x:c r="AC223" s="22" t="str"/>
      <x:c r="AD223" s="22" t="str">
        <x:v>専用・路外駐車を基本</x:v>
      </x:c>
      <x:c r="AE223" s="22" t="str"/>
    </x:row>
    <x:row r="224">
      <x:c r="A224" s="27" t="str">
        <x:v>D223</x:v>
      </x:c>
      <x:c r="B224" s="27" t="str">
        <x:v>こどもの国</x:v>
      </x:c>
      <x:c r="C224" s="27" t="str">
        <x:v>横浜市青葉区</x:v>
      </x:c>
      <x:c r="D224" s="27" t="str">
        <x:v>丘陵・牧場・遊具</x:v>
      </x:c>
      <x:c r="E224" s="48" t="e">
        <x:f>HYPERLINK("https://www.google.com/maps/dir/?api=1&amp;destination=%E3%81%93%E3%81%A9%E3%82%82%E3%81%AE%E5%9B%BD&amp;travelmode=driving","現在地からナビ開始")</x:f>
      </x:c>
      <x:c r="F224" s="27" t="str">
        <x:v>多摩丘陵の起伏、牧場、湖、森林鉄道跡を一日かけて巡れ、家族向けでも地形と歴史のStoryがある。</x:v>
      </x:c>
      <x:c r="G224" s="27" t="str">
        <x:v>あり・正面820台・有料</x:v>
      </x:c>
      <x:c r="H224" s="27" t="str">
        <x:v>9:30～16:30／正面駐車場8:30～、最終入場15:20（夏15:50）</x:v>
      </x:c>
      <x:c r="I224" s="27" t="n">
        <x:v>1</x:v>
      </x:c>
      <x:c r="J224" s="27" t="n">
        <x:v>1</x:v>
      </x:c>
      <x:c r="K224" s="27" t="str">
        <x:v>休日は周辺道路が大混雑。入場締切が早い。牧場口駐車場の開場日は当日確認。</x:v>
      </x:c>
      <x:c r="L224" s="28" t="n">
        <x:v>46232</x:v>
      </x:c>
      <x:c r="M224" s="27" t="str">
        <x:v>一次確認済</x:v>
      </x:c>
      <x:c r="N224" s="27" t="str">
        <x:v>https://www.kodomonokuni.org/access/</x:v>
      </x:c>
      <x:c r="O224" s="27" t="str">
        <x:v>戦前の旧陸軍弾薬庫跡地を、戦後に子どものための自然公園として整備した経緯を持つ。</x:v>
      </x:c>
      <x:c r="P224" s="84" t="e">
        <x:f>HYPERLINK("https://ja.wikipedia.org/wiki/Special:Search?search=%E3%81%93%E3%81%A9%E3%82%82%E3%81%AE%E5%9B%BD","Wikipedia・関連項目")</x:f>
      </x:c>
      <x:c r="Q224" s="27" t="str">
        <x:v>新規追加。遊具だけでなく戦争遺構から平和利用への転換をStory化。</x:v>
      </x:c>
      <x:c r="R224" t="str">
        <x:v>35km超</x:v>
      </x:c>
      <x:c r="S224" t="str">
        <x:v>概ね35km超</x:v>
      </x:c>
      <x:c r="T224" t="str">
        <x:v>通常90分超</x:v>
      </x:c>
      <x:c r="U224" t="str">
        <x:v>休日半日</x:v>
      </x:c>
      <x:c r="V224" t="str">
        <x:v>30〜60分</x:v>
      </x:c>
      <x:c r="W224" t="n">
        <x:v>2</x:v>
      </x:c>
      <x:c r="X224" t="n">
        <x:v>1</x:v>
      </x:c>
      <x:c r="Y224" t="str">
        <x:v>羽田空港 第3ターミナル展望デッキ</x:v>
      </x:c>
      <x:c r="Z224" t="str">
        <x:v>城南島海浜公園／潮風公園</x:v>
      </x:c>
      <x:c r="AA224" s="22" t="str">
        <x:v>なし</x:v>
      </x:c>
      <x:c r="AB224" s="22" t="str">
        <x:v>-</x:v>
      </x:c>
      <x:c r="AC224" s="22" t="str"/>
      <x:c r="AD224" s="22" t="str">
        <x:v>専用・路外駐車を基本</x:v>
      </x:c>
      <x:c r="AE224" s="22" t="str"/>
    </x:row>
    <x:row r="225">
      <x:c r="A225" s="27" t="str">
        <x:v>D224</x:v>
      </x:c>
      <x:c r="B225" s="27" t="str">
        <x:v>こども自然公園</x:v>
      </x:c>
      <x:c r="C225" s="27" t="str">
        <x:v>横浜市旭区</x:v>
      </x:c>
      <x:c r="D225" s="27" t="str">
        <x:v>大池・雑木林・動物園</x:v>
      </x:c>
      <x:c r="E225" s="48" t="e">
        <x:f>HYPERLINK("https://www.google.com/maps/dir/?api=1&amp;destination=%E3%81%93%E3%81%A9%E3%82%82%E8%87%AA%E7%84%B6%E5%85%AC%E5%9C%92&amp;travelmode=driving","現在地からナビ開始")</x:f>
      </x:c>
      <x:c r="F225" s="27" t="str">
        <x:v>大池を中心に谷戸・雑木林・ちびっこ動物園が広がり、横浜西部で自然密度の高い昼Endingになる。</x:v>
      </x:c>
      <x:c r="G225" s="27" t="str">
        <x:v>あり・第一／第二駐車場・有料</x:v>
      </x:c>
      <x:c r="H225" s="27" t="str">
        <x:v>公園常時／駐車場は各運営ページの当日時間確認</x:v>
      </x:c>
      <x:c r="I225" s="27" t="n">
        <x:v>2</x:v>
      </x:c>
      <x:c r="J225" s="27" t="n">
        <x:v>2</x:v>
      </x:c>
      <x:c r="K225" s="27" t="str">
        <x:v>桜期・休日は満車。駐車場閉場時間を現地掲示で確認し、公園周辺で路上待機しない。</x:v>
      </x:c>
      <x:c r="L225" s="28" t="n">
        <x:v>46232</x:v>
      </x:c>
      <x:c r="M225" s="27" t="str">
        <x:v>当日再確認</x:v>
      </x:c>
      <x:c r="N225" s="27" t="str">
        <x:v>https://www.city.yokohama.lg.jp/kurashi/machizukuri-kankyo/midori-koen/koen/koen/daihyoteki/ko-sizen.html</x:v>
      </x:c>
      <x:c r="O225" s="27" t="str">
        <x:v>通称『大池公園』。横浜の谷戸地形を残す大規模公園で、池・丘陵・動物園が一体になっている。</x:v>
      </x:c>
      <x:c r="P225" s="84" t="e">
        <x:f>HYPERLINK("https://ja.wikipedia.org/wiki/Special:Search?search=%E3%81%93%E3%81%A9%E3%82%82%E8%87%AA%E7%84%B6%E5%85%AC%E5%9C%92","Wikipedia・関連項目")</x:f>
      </x:c>
      <x:c r="Q225" s="27" t="str">
        <x:v>新規追加。横浜郊外の谷戸Storyとして採用。</x:v>
      </x:c>
      <x:c r="R225" t="str">
        <x:v>35km超</x:v>
      </x:c>
      <x:c r="S225" t="str">
        <x:v>概ね35km超</x:v>
      </x:c>
      <x:c r="T225" t="str">
        <x:v>通常90分超</x:v>
      </x:c>
      <x:c r="U225" t="str">
        <x:v>水辺</x:v>
      </x:c>
      <x:c r="V225" t="str">
        <x:v>60〜150分</x:v>
      </x:c>
      <x:c r="W225" t="n">
        <x:v>2</x:v>
      </x:c>
      <x:c r="X225" t="n">
        <x:v>1</x:v>
      </x:c>
      <x:c r="Y225" t="str">
        <x:v>多摩川浅間神社</x:v>
      </x:c>
      <x:c r="Z225" t="str">
        <x:v>多摩川六郷橋緑地／多摩川ガス橋緑地</x:v>
      </x:c>
      <x:c r="AA225" s="22" t="str">
        <x:v>なし</x:v>
      </x:c>
      <x:c r="AB225" s="22" t="str">
        <x:v>-</x:v>
      </x:c>
      <x:c r="AC225" s="22" t="str"/>
      <x:c r="AD225" s="22" t="str">
        <x:v>専用・路外駐車を基本</x:v>
      </x:c>
      <x:c r="AE225" s="22" t="str"/>
    </x:row>
    <x:row r="226">
      <x:c r="A226" s="27" t="str">
        <x:v>D225</x:v>
      </x:c>
      <x:c r="B226" s="27" t="str">
        <x:v>吾妻山公園</x:v>
      </x:c>
      <x:c r="C226" s="27" t="str">
        <x:v>神奈川県二宮町</x:v>
      </x:c>
      <x:c r="D226" s="27" t="str">
        <x:v>高台・富士山・相模湾</x:v>
      </x:c>
      <x:c r="E226" s="48" t="e">
        <x:f>HYPERLINK("https://www.google.com/maps/dir/?api=1&amp;destination=%E5%90%BE%E5%A6%BB%E5%B1%B1%E5%85%AC%E5%9C%92&amp;travelmode=driving","現在地からナビ開始")</x:f>
      </x:c>
      <x:c r="F226" s="27" t="str">
        <x:v>標高136mの山頂から富士山、相模湾、箱根を一望でき、徒歩登頂を含めて明確な到達感がある。</x:v>
      </x:c>
      <x:c r="G226" s="27" t="str">
        <x:v>専用なし／町営・周辺駐車場利用</x:v>
      </x:c>
      <x:c r="H226" s="27" t="str">
        <x:v>8:30～17:00</x:v>
      </x:c>
      <x:c r="I226" s="27" t="n">
        <x:v>1</x:v>
      </x:c>
      <x:c r="J226" s="27" t="n">
        <x:v>3</x:v>
      </x:c>
      <x:c r="K226" s="27" t="str">
        <x:v>山頂まで階段・山道を約20分。花期は臨時駐車場も混雑。公園内への車両進入禁止。</x:v>
      </x:c>
      <x:c r="L226" s="28" t="n">
        <x:v>46232</x:v>
      </x:c>
      <x:c r="M226" s="27" t="str">
        <x:v>一次確認済</x:v>
      </x:c>
      <x:c r="N226" s="27" t="str">
        <x:v>https://www.town.ninomiya.kanagawa.jp/0000001277.html</x:v>
      </x:c>
      <x:c r="O226" s="27" t="str">
        <x:v>『関東の富士見百景』に選ばれ、菜の花と富士山を同時に望む冬の景観で知られる。</x:v>
      </x:c>
      <x:c r="P226" s="84" t="e">
        <x:f>HYPERLINK("https://ja.wikipedia.org/wiki/Special:Search?search=%E5%90%BE%E5%A6%BB%E5%B1%B1%E5%85%AC%E5%9C%92","Wikipedia・関連項目")</x:f>
      </x:c>
      <x:c r="Q226" s="27" t="str">
        <x:v>新規追加。駐車後の徒歩を含む高台型最終目的地。</x:v>
      </x:c>
      <x:c r="R226" t="str">
        <x:v>35km超</x:v>
      </x:c>
      <x:c r="S226" t="str">
        <x:v>概ね35km超</x:v>
      </x:c>
      <x:c r="T226" t="str">
        <x:v>通常90分超</x:v>
      </x:c>
      <x:c r="U226" t="str">
        <x:v>休日半日</x:v>
      </x:c>
      <x:c r="V226" t="str">
        <x:v>30〜60分</x:v>
      </x:c>
      <x:c r="W226" t="n">
        <x:v>1</x:v>
      </x:c>
      <x:c r="X226" t="n">
        <x:v>1</x:v>
      </x:c>
      <x:c r="Y226" t="str">
        <x:v>羽田空港 第3ターミナル展望デッキ</x:v>
      </x:c>
      <x:c r="Z226" t="str">
        <x:v>城南島海浜公園／潮風公園</x:v>
      </x:c>
      <x:c r="AA226" s="22" t="str">
        <x:v>なし</x:v>
      </x:c>
      <x:c r="AB226" s="22" t="str">
        <x:v>-</x:v>
      </x:c>
      <x:c r="AC226" s="22" t="str"/>
      <x:c r="AD226" s="22" t="str">
        <x:v>専用・路外駐車を基本</x:v>
      </x:c>
      <x:c r="AE226" s="22" t="str"/>
    </x:row>
    <x:row r="227">
      <x:c r="A227" s="27" t="str">
        <x:v>D226</x:v>
      </x:c>
      <x:c r="B227" s="27" t="str">
        <x:v>西平畑公園</x:v>
      </x:c>
      <x:c r="C227" s="27" t="str">
        <x:v>神奈川県松田町</x:v>
      </x:c>
      <x:c r="D227" s="27" t="str">
        <x:v>高台・富士山・鉄道Story</x:v>
      </x:c>
      <x:c r="E227" s="48" t="e">
        <x:f>HYPERLINK("https://www.google.com/maps/dir/?api=1&amp;destination=%E8%A5%BF%E5%B9%B3%E7%95%91%E5%85%AC%E5%9C%92&amp;travelmode=driving","現在地からナビ開始")</x:f>
      </x:c>
      <x:c r="F227" s="27" t="str">
        <x:v>松田山から足柄平野、富士山、相模湾方向を望み、ミニ鉄道とハーブ園で物語性を足せる。</x:v>
      </x:c>
      <x:c r="G227" s="27" t="str">
        <x:v>あり・70台・有料</x:v>
      </x:c>
      <x:c r="H227" s="27" t="str">
        <x:v>水～日・祝 9:00～17:00／冬季一部施設16:00</x:v>
      </x:c>
      <x:c r="I227" s="27" t="n">
        <x:v>1</x:v>
      </x:c>
      <x:c r="J227" s="27" t="n">
        <x:v>3</x:v>
      </x:c>
      <x:c r="K227" s="27" t="str">
        <x:v>月・火休園を基本。桜まつり等は料金・交通規制変更。急坂路と閉場時刻に注意。</x:v>
      </x:c>
      <x:c r="L227" s="28" t="n">
        <x:v>46232</x:v>
      </x:c>
      <x:c r="M227" s="27" t="str">
        <x:v>一次確認済</x:v>
      </x:c>
      <x:c r="N227" s="27" t="str">
        <x:v>https://town.matsuda.kanagawa.jp/site/kankou-sub/nishihira-park.html</x:v>
      </x:c>
      <x:c r="O227" s="27" t="str">
        <x:v>旧松田山ハーブガーデンを中心に、ふるさと鉄道や河津桜を組み合わせた山腹公園。</x:v>
      </x:c>
      <x:c r="P227" s="84" t="e">
        <x:f>HYPERLINK("https://ja.wikipedia.org/wiki/Special:Search?search=%E8%A5%BF%E5%B9%B3%E7%95%91%E5%85%AC%E5%9C%92","Wikipedia・関連項目")</x:f>
      </x:c>
      <x:c r="Q227" s="27" t="str">
        <x:v>新規追加。吾妻山とは違う『車で上がる足柄高台』。</x:v>
      </x:c>
      <x:c r="R227" t="str">
        <x:v>35km超</x:v>
      </x:c>
      <x:c r="S227" t="str">
        <x:v>概ね35km超</x:v>
      </x:c>
      <x:c r="T227" t="str">
        <x:v>通常90分超</x:v>
      </x:c>
      <x:c r="U227" t="str">
        <x:v>Story</x:v>
      </x:c>
      <x:c r="V227" t="str">
        <x:v>30〜60分</x:v>
      </x:c>
      <x:c r="W227" t="n">
        <x:v>1</x:v>
      </x:c>
      <x:c r="X227" t="n">
        <x:v>1</x:v>
      </x:c>
      <x:c r="Y227" t="str">
        <x:v>羽田空港 第3ターミナル展望デッキ</x:v>
      </x:c>
      <x:c r="Z227" t="str">
        <x:v>城南島海浜公園／潮風公園</x:v>
      </x:c>
      <x:c r="AA227" s="22" t="str">
        <x:v>なし</x:v>
      </x:c>
      <x:c r="AB227" s="22" t="str">
        <x:v>-</x:v>
      </x:c>
      <x:c r="AC227" s="22" t="str"/>
      <x:c r="AD227" s="22" t="str">
        <x:v>専用・路外駐車を基本</x:v>
      </x:c>
      <x:c r="AE227" s="22" t="str"/>
    </x:row>
    <x:row r="228">
      <x:c r="A228" s="27" t="str">
        <x:v>D227</x:v>
      </x:c>
      <x:c r="B228" s="27" t="str">
        <x:v>弘法山公園</x:v>
      </x:c>
      <x:c r="C228" s="27" t="str">
        <x:v>神奈川県秦野市</x:v>
      </x:c>
      <x:c r="D228" s="27" t="str">
        <x:v>展望・山稜・富士山</x:v>
      </x:c>
      <x:c r="E228" s="48" t="e">
        <x:f>HYPERLINK("https://www.google.com/maps/dir/?api=1&amp;destination=%E5%BC%98%E6%B3%95%E5%B1%B1%E5%85%AC%E5%9C%92&amp;travelmode=driving","現在地からナビ開始")</x:f>
      </x:c>
      <x:c r="F228" s="27" t="str">
        <x:v>秦野盆地を眼下に、富士山、丹沢、相模湾まで見渡せる360度展望で、短い山歩きのEndingになる。</x:v>
      </x:c>
      <x:c r="G228" s="27" t="str">
        <x:v>あり・約25台・無料</x:v>
      </x:c>
      <x:c r="H228" s="27" t="str">
        <x:v>公園常時／駐車場・山道状況は当日確認</x:v>
      </x:c>
      <x:c r="I228" s="27" t="n">
        <x:v>2</x:v>
      </x:c>
      <x:c r="J228" s="27" t="n">
        <x:v>3</x:v>
      </x:c>
      <x:c r="K228" s="27" t="str">
        <x:v>桜期は混雑。駐車場から展望台まで徒歩・坂道あり。夜間は照明が乏しく不向き。</x:v>
      </x:c>
      <x:c r="L228" s="28" t="n">
        <x:v>46232</x:v>
      </x:c>
      <x:c r="M228" s="27" t="str">
        <x:v>一次確認済</x:v>
      </x:c>
      <x:c r="N228" s="27" t="str">
        <x:v>https://www.city.hadano.kanagawa.jp/kanko/tozan-hiking/2452.html</x:v>
      </x:c>
      <x:c r="O228" s="27" t="str">
        <x:v>権現山山頂は『千畳敷』とも呼ばれ、昭和期から神奈川の代表的展望地として整備されてきた。</x:v>
      </x:c>
      <x:c r="P228" s="84" t="e">
        <x:f>HYPERLINK("https://ja.wikipedia.org/wiki/Special:Search?search=%E5%BC%98%E6%B3%95%E5%B1%B1%E5%85%AC%E5%9C%92","Wikipedia・関連項目")</x:f>
      </x:c>
      <x:c r="Q228" s="27" t="str">
        <x:v>新規追加。秦野盆地を読む地形型Ending。</x:v>
      </x:c>
      <x:c r="R228" t="str">
        <x:v>35km超</x:v>
      </x:c>
      <x:c r="S228" t="str">
        <x:v>概ね35km超</x:v>
      </x:c>
      <x:c r="T228" t="str">
        <x:v>通常90分超</x:v>
      </x:c>
      <x:c r="U228" t="str">
        <x:v>休日半日</x:v>
      </x:c>
      <x:c r="V228" t="str">
        <x:v>30〜60分</x:v>
      </x:c>
      <x:c r="W228" t="n">
        <x:v>2</x:v>
      </x:c>
      <x:c r="X228" t="n">
        <x:v>1</x:v>
      </x:c>
      <x:c r="Y228" t="str">
        <x:v>羽田空港 第3ターミナル展望デッキ</x:v>
      </x:c>
      <x:c r="Z228" t="str">
        <x:v>城南島海浜公園／潮風公園</x:v>
      </x:c>
      <x:c r="AA228" s="22" t="str">
        <x:v>なし</x:v>
      </x:c>
      <x:c r="AB228" s="22" t="str">
        <x:v>-</x:v>
      </x:c>
      <x:c r="AC228" s="22" t="str"/>
      <x:c r="AD228" s="22" t="str">
        <x:v>専用・路外駐車を基本</x:v>
      </x:c>
      <x:c r="AE228" s="22" t="str"/>
    </x:row>
    <x:row r="229">
      <x:c r="A229" s="27" t="str">
        <x:v>D228</x:v>
      </x:c>
      <x:c r="B229" s="27" t="str">
        <x:v>彩の森入間公園</x:v>
      </x:c>
      <x:c r="C229" s="27" t="str">
        <x:v>埼玉県入間市</x:v>
      </x:c>
      <x:c r="D229" s="27" t="str">
        <x:v>池・防災・旧軍用地</x:v>
      </x:c>
      <x:c r="E229" s="48" t="e">
        <x:f>HYPERLINK("https://www.google.com/maps/dir/?api=1&amp;destination=%E5%BD%A9%E3%81%AE%E6%A3%AE%E5%85%A5%E9%96%93%E5%85%AC%E5%9C%92&amp;travelmode=driving","現在地からナビ開始")</x:f>
      </x:c>
      <x:c r="F229" s="27" t="str">
        <x:v>二つの池と噴水、芝生、防災設備がまとまり、入間市街で空を広く感じる回復系Ending。</x:v>
      </x:c>
      <x:c r="G229" s="27" t="str">
        <x:v>あり・無料</x:v>
      </x:c>
      <x:c r="H229" s="27" t="str">
        <x:v>駐車場6:00～19:00</x:v>
      </x:c>
      <x:c r="I229" s="27" t="n">
        <x:v>2</x:v>
      </x:c>
      <x:c r="J229" s="27" t="n">
        <x:v>3</x:v>
      </x:c>
      <x:c r="K229" s="27" t="str">
        <x:v>19時閉場。入間基地航空祭などの開催日は交通規制・駐車条件変更。犬連れルールに注意。</x:v>
      </x:c>
      <x:c r="L229" s="28" t="n">
        <x:v>46232</x:v>
      </x:c>
      <x:c r="M229" s="27" t="str">
        <x:v>一次確認済</x:v>
      </x:c>
      <x:c r="N229" s="27" t="str">
        <x:v>https://www.seibu-green.co.jp/sainomori/facility.html</x:v>
      </x:c>
      <x:c r="O229" s="27" t="str">
        <x:v>米軍ジョンソン基地返還地周辺の都市整備と、防災活動拠点の役割を併せ持つ県営公園。</x:v>
      </x:c>
      <x:c r="P229" s="84" t="e">
        <x:f>HYPERLINK("https://ja.wikipedia.org/wiki/Special:Search?search=%E5%BD%A9%E3%81%AE%E6%A3%AE%E5%85%A5%E9%96%93%E5%85%AC%E5%9C%92","Wikipedia・関連項目")</x:f>
      </x:c>
      <x:c r="Q229" s="27" t="str">
        <x:v>新規追加。公園景観と基地返還史、防災Storyを統合。</x:v>
      </x:c>
      <x:c r="R229" t="str">
        <x:v>35km超</x:v>
      </x:c>
      <x:c r="S229" t="str">
        <x:v>概ね35km超</x:v>
      </x:c>
      <x:c r="T229" t="str">
        <x:v>通常90分超</x:v>
      </x:c>
      <x:c r="U229" t="str">
        <x:v>水辺</x:v>
      </x:c>
      <x:c r="V229" t="str">
        <x:v>30〜60分</x:v>
      </x:c>
      <x:c r="W229" t="n">
        <x:v>2</x:v>
      </x:c>
      <x:c r="X229" t="n">
        <x:v>1</x:v>
      </x:c>
      <x:c r="Y229" t="str">
        <x:v>多摩川浅間神社</x:v>
      </x:c>
      <x:c r="Z229" t="str">
        <x:v>多摩川六郷橋緑地／多摩川ガス橋緑地</x:v>
      </x:c>
      <x:c r="AA229" s="22" t="str">
        <x:v>なし</x:v>
      </x:c>
      <x:c r="AB229" s="22" t="str">
        <x:v>-</x:v>
      </x:c>
      <x:c r="AC229" s="22" t="str"/>
      <x:c r="AD229" s="22" t="str">
        <x:v>専用・路外駐車を基本</x:v>
      </x:c>
      <x:c r="AE229" s="22" t="str"/>
    </x:row>
    <x:row r="230">
      <x:c r="A230" s="27" t="str">
        <x:v>D229</x:v>
      </x:c>
      <x:c r="B230" s="27" t="str">
        <x:v>狭山稲荷山公園</x:v>
      </x:c>
      <x:c r="C230" s="27" t="str">
        <x:v>埼玉県狭山市</x:v>
      </x:c>
      <x:c r="D230" s="27" t="str">
        <x:v>芝生・桜・飛行場跡</x:v>
      </x:c>
      <x:c r="E230" s="48" t="e">
        <x:f>HYPERLINK("https://www.google.com/maps/dir/?api=1&amp;destination=%E7%8B%AD%E5%B1%B1%E7%A8%B2%E8%8D%B7%E5%B1%B1%E5%85%AC%E5%9C%92&amp;travelmode=driving","現在地からナビ開始")</x:f>
      </x:c>
      <x:c r="F230" s="27" t="str">
        <x:v>広大な芝生と桜並木があり、入間基地に近い空の広さと旧飛行場の歴史を感じられる。</x:v>
      </x:c>
      <x:c r="G230" s="27" t="str">
        <x:v>あり・101台・無料</x:v>
      </x:c>
      <x:c r="H230" s="27" t="str">
        <x:v>駐車場8:30～19:30</x:v>
      </x:c>
      <x:c r="I230" s="27" t="n">
        <x:v>2</x:v>
      </x:c>
      <x:c r="J230" s="27" t="n">
        <x:v>3</x:v>
      </x:c>
      <x:c r="K230" s="27" t="str">
        <x:v>季節により冬季閉場が早まる可能性があるため現地掲示優先。航空祭日は周辺大混雑。</x:v>
      </x:c>
      <x:c r="L230" s="28" t="n">
        <x:v>46232</x:v>
      </x:c>
      <x:c r="M230" s="27" t="str">
        <x:v>一次確認済</x:v>
      </x:c>
      <x:c r="N230" s="27" t="str">
        <x:v>https://www.seibu-green.co.jp/inariyama/facility.html</x:v>
      </x:c>
      <x:c r="O230" s="27" t="str">
        <x:v>米軍ジョンソン飛行場内にあった公園が返還され、県営公園として整備された。</x:v>
      </x:c>
      <x:c r="P230" s="84" t="e">
        <x:f>HYPERLINK("https://ja.wikipedia.org/wiki/Special:Search?search=%E7%8B%AD%E5%B1%B1%E7%A8%B2%E8%8D%B7%E5%B1%B1%E5%85%AC%E5%9C%92","Wikipedia・関連項目")</x:f>
      </x:c>
      <x:c r="Q230" s="27" t="str">
        <x:v>新規追加。彩の森と組み合わせると基地返還地の異なる再利用を比較できる。</x:v>
      </x:c>
      <x:c r="R230" t="str">
        <x:v>35km超</x:v>
      </x:c>
      <x:c r="S230" t="str">
        <x:v>概ね35km超</x:v>
      </x:c>
      <x:c r="T230" t="str">
        <x:v>通常90分超</x:v>
      </x:c>
      <x:c r="U230" t="str">
        <x:v>休日半日</x:v>
      </x:c>
      <x:c r="V230" t="str">
        <x:v>30〜60分</x:v>
      </x:c>
      <x:c r="W230" t="n">
        <x:v>2</x:v>
      </x:c>
      <x:c r="X230" t="n">
        <x:v>1</x:v>
      </x:c>
      <x:c r="Y230" t="str">
        <x:v>羽田空港 第3ターミナル展望デッキ</x:v>
      </x:c>
      <x:c r="Z230" t="str">
        <x:v>城南島海浜公園／潮風公園</x:v>
      </x:c>
      <x:c r="AA230" s="22" t="str">
        <x:v>なし</x:v>
      </x:c>
      <x:c r="AB230" s="22" t="str">
        <x:v>-</x:v>
      </x:c>
      <x:c r="AC230" s="22" t="str"/>
      <x:c r="AD230" s="22" t="str">
        <x:v>専用・路外駐車を基本</x:v>
      </x:c>
      <x:c r="AE230" s="22" t="str"/>
    </x:row>
    <x:row r="231">
      <x:c r="A231" s="27" t="str">
        <x:v>D230</x:v>
      </x:c>
      <x:c r="B231" s="27" t="str">
        <x:v>智光山公園</x:v>
      </x:c>
      <x:c r="C231" s="27" t="str">
        <x:v>埼玉県狭山市</x:v>
      </x:c>
      <x:c r="D231" s="27" t="str">
        <x:v>池・動物園・植物園</x:v>
      </x:c>
      <x:c r="E231" s="48" t="e">
        <x:f>HYPERLINK("https://www.google.com/maps/dir/?api=1&amp;destination=%E6%99%BA%E5%85%89%E5%B1%B1%E5%85%AC%E5%9C%92&amp;travelmode=driving","現在地からナビ開始")</x:f>
      </x:c>
      <x:c r="F231" s="27" t="str">
        <x:v>池、植物園、動物園、森林が一つの大規模公園に集まり、季節や滞在時間で目的を変えられる。</x:v>
      </x:c>
      <x:c r="G231" s="27" t="str">
        <x:v>あり・複数駐車場・無料</x:v>
      </x:c>
      <x:c r="H231" s="27" t="str">
        <x:v>公園常時／主要駐車場7:00～19:00または8:30～22:00</x:v>
      </x:c>
      <x:c r="I231" s="27" t="n">
        <x:v>3</x:v>
      </x:c>
      <x:c r="J231" s="27" t="n">
        <x:v>2</x:v>
      </x:c>
      <x:c r="K231" s="27" t="str">
        <x:v>目的施設により駐車場と閉場時間が異なる。動物園は16:30、最終入園16:00。</x:v>
      </x:c>
      <x:c r="L231" s="28" t="n">
        <x:v>46232</x:v>
      </x:c>
      <x:c r="M231" s="27" t="str">
        <x:v>一次確認済</x:v>
      </x:c>
      <x:c r="N231" s="27" t="str">
        <x:v>https://www.parks.or.jp/chikozan/guide/000/000817.html</x:v>
      </x:c>
      <x:c r="O231" s="27" t="str">
        <x:v>狭山市の総合公園として、都市緑化植物園・こども動物園・釣り池・スポーツ施設を段階的に整備した。</x:v>
      </x:c>
      <x:c r="P231" s="84" t="e">
        <x:f>HYPERLINK("https://ja.wikipedia.org/wiki/Special:Search?search=%E6%99%BA%E5%85%89%E5%B1%B1%E5%85%AC%E5%9C%92","Wikipedia・関連項目")</x:f>
      </x:c>
      <x:c r="Q231" s="27" t="str">
        <x:v>新規追加。22時まで使える駐車区画がある西側大型公園。</x:v>
      </x:c>
      <x:c r="R231" t="str">
        <x:v>35km超</x:v>
      </x:c>
      <x:c r="S231" t="str">
        <x:v>概ね35km超</x:v>
      </x:c>
      <x:c r="T231" t="str">
        <x:v>通常90分超</x:v>
      </x:c>
      <x:c r="U231" t="str">
        <x:v>水辺</x:v>
      </x:c>
      <x:c r="V231" t="str">
        <x:v>60〜150分</x:v>
      </x:c>
      <x:c r="W231" t="n">
        <x:v>2</x:v>
      </x:c>
      <x:c r="X231" t="n">
        <x:v>1</x:v>
      </x:c>
      <x:c r="Y231" t="str">
        <x:v>多摩川浅間神社</x:v>
      </x:c>
      <x:c r="Z231" t="str">
        <x:v>多摩川六郷橋緑地／多摩川ガス橋緑地</x:v>
      </x:c>
      <x:c r="AA231" s="22" t="str">
        <x:v>なし</x:v>
      </x:c>
      <x:c r="AB231" s="22" t="str">
        <x:v>-</x:v>
      </x:c>
      <x:c r="AC231" s="22" t="str"/>
      <x:c r="AD231" s="22" t="str">
        <x:v>専用・路外駐車を基本</x:v>
      </x:c>
      <x:c r="AE231" s="22" t="str"/>
    </x:row>
    <x:row r="232">
      <x:c r="A232" s="27" t="str">
        <x:v>D231</x:v>
      </x:c>
      <x:c r="B232" s="27" t="str">
        <x:v>野川公園</x:v>
      </x:c>
      <x:c r="C232" s="27" t="str">
        <x:v>東京都調布市・小金井市・三鷹市</x:v>
      </x:c>
      <x:c r="D232" s="27" t="str">
        <x:v>湧水・河川・草地</x:v>
      </x:c>
      <x:c r="E232" s="48" t="e">
        <x:f>HYPERLINK("https://www.google.com/maps/dir/?api=1&amp;destination=%E9%87%8E%E5%B7%9D%E5%85%AC%E5%9C%92&amp;travelmode=driving","現在地からナビ開始")</x:f>
      </x:c>
      <x:c r="F232" s="27" t="str">
        <x:v>国分寺崖線の湧水と野川、広い草地がつながり、都市西部で水と地形を感じる静かなEnding。</x:v>
      </x:c>
      <x:c r="G232" s="27" t="str">
        <x:v>あり・有料</x:v>
      </x:c>
      <x:c r="H232" s="27" t="str">
        <x:v>入庫7:00～20:00／出庫24時間</x:v>
      </x:c>
      <x:c r="I232" s="27" t="n">
        <x:v>3</x:v>
      </x:c>
      <x:c r="J232" s="27" t="n">
        <x:v>2</x:v>
      </x:c>
      <x:c r="K232" s="27" t="str">
        <x:v>20時以降入庫不可。自然観察園等の施設時間は別。休日は満車になりやすい。</x:v>
      </x:c>
      <x:c r="L232" s="28" t="n">
        <x:v>46232</x:v>
      </x:c>
      <x:c r="M232" s="27" t="str">
        <x:v>一次確認済</x:v>
      </x:c>
      <x:c r="N232" s="27" t="str">
        <x:v>https://www.tokyo-park.or.jp/park/nogawa/index.html</x:v>
      </x:c>
      <x:c r="O232" s="27" t="str">
        <x:v>国際基督教大学のゴルフ場跡を公園化し、国分寺崖線の湧水と野川の自然を保全している。</x:v>
      </x:c>
      <x:c r="P232" s="84" t="e">
        <x:f>HYPERLINK("https://ja.wikipedia.org/wiki/Special:Search?search=%E9%87%8E%E5%B7%9D%E5%85%AC%E5%9C%92","Wikipedia・関連項目")</x:f>
      </x:c>
      <x:c r="Q232" s="27" t="str">
        <x:v>新規追加。武蔵野公園とは湧水・自然観察の密度で差別化。</x:v>
      </x:c>
      <x:c r="R232" t="str">
        <x:v>20〜25km</x:v>
      </x:c>
      <x:c r="S232" t="str">
        <x:v>概ね20〜25km</x:v>
      </x:c>
      <x:c r="T232" t="str">
        <x:v>通常40〜70分</x:v>
      </x:c>
      <x:c r="U232" t="str">
        <x:v>水辺</x:v>
      </x:c>
      <x:c r="V232" t="str">
        <x:v>30〜90分</x:v>
      </x:c>
      <x:c r="W232" t="n">
        <x:v>1</x:v>
      </x:c>
      <x:c r="X232" t="n">
        <x:v>1</x:v>
      </x:c>
      <x:c r="Y232" t="str">
        <x:v>多摩川浅間神社</x:v>
      </x:c>
      <x:c r="Z232" t="str">
        <x:v>多摩川六郷橋緑地／多摩川ガス橋緑地</x:v>
      </x:c>
      <x:c r="AA232" s="22" t="str">
        <x:v>なし</x:v>
      </x:c>
      <x:c r="AB232" s="22" t="str">
        <x:v>-</x:v>
      </x:c>
      <x:c r="AC232" s="22" t="str"/>
      <x:c r="AD232" s="22" t="str">
        <x:v>専用・路外駐車を基本</x:v>
      </x:c>
      <x:c r="AE232" s="22" t="str"/>
    </x:row>
    <x:row r="233">
      <x:c r="A233" s="27" t="str">
        <x:v>D232</x:v>
      </x:c>
      <x:c r="B233" s="27" t="str">
        <x:v>武蔵国分寺公園</x:v>
      </x:c>
      <x:c r="C233" s="27" t="str">
        <x:v>東京都国分寺市</x:v>
      </x:c>
      <x:c r="D233" s="27" t="str">
        <x:v>歴史・鉄道学園跡・24時間駐車</x:v>
      </x:c>
      <x:c r="E233" s="48" t="e">
        <x:f>HYPERLINK("https://www.google.com/maps/dir/?api=1&amp;destination=%E6%AD%A6%E8%94%B5%E5%9B%BD%E5%88%86%E5%AF%BA%E5%85%AC%E5%9C%92&amp;travelmode=driving","現在地からナビ開始")</x:f>
      </x:c>
      <x:c r="F233" s="27" t="str">
        <x:v>芝生と円形広場の地下・周辺に古代国分寺と鉄道学園の記憶が重なる、夜間も使えるStory公園。</x:v>
      </x:c>
      <x:c r="G233" s="27" t="str">
        <x:v>あり・有料</x:v>
      </x:c>
      <x:c r="H233" s="27" t="str">
        <x:v>駐車場24時間</x:v>
      </x:c>
      <x:c r="I233" s="27" t="n">
        <x:v>4</x:v>
      </x:c>
      <x:c r="J233" s="27" t="n">
        <x:v>3</x:v>
      </x:c>
      <x:c r="K233" s="27" t="str">
        <x:v>駐車台数が多くない。住宅地に近いため夜間は静粛にし、史跡区域への車両進入禁止。</x:v>
      </x:c>
      <x:c r="L233" s="28" t="n">
        <x:v>46232</x:v>
      </x:c>
      <x:c r="M233" s="27" t="str">
        <x:v>一次確認済</x:v>
      </x:c>
      <x:c r="N233" s="27" t="str">
        <x:v>https://www.tokyo-park.or.jp/park/musashikokubunji/index.html</x:v>
      </x:c>
      <x:c r="O233" s="27" t="str">
        <x:v>旧国鉄中央鉄道学園跡地を公園化し、近隣には奈良時代の武蔵国分寺跡が残る。</x:v>
      </x:c>
      <x:c r="P233" s="84" t="e">
        <x:f>HYPERLINK("https://ja.wikipedia.org/wiki/Special:Search?search=%E6%AD%A6%E8%94%B5%E5%9B%BD%E5%88%86%E5%AF%BA%E5%85%AC%E5%9C%92","Wikipedia・関連項目")</x:f>
      </x:c>
      <x:c r="Q233" s="27" t="str">
        <x:v>新規追加。古代史と鉄道教育史を重ねる夜間対応地点。</x:v>
      </x:c>
      <x:c r="R233" t="str">
        <x:v>35km超</x:v>
      </x:c>
      <x:c r="S233" t="str">
        <x:v>概ね35km超</x:v>
      </x:c>
      <x:c r="T233" t="str">
        <x:v>通常90分超</x:v>
      </x:c>
      <x:c r="U233" t="str">
        <x:v>Story</x:v>
      </x:c>
      <x:c r="V233" t="str">
        <x:v>30〜60分</x:v>
      </x:c>
      <x:c r="W233" t="n">
        <x:v>2</x:v>
      </x:c>
      <x:c r="X233" t="n">
        <x:v>1</x:v>
      </x:c>
      <x:c r="Y233" t="str">
        <x:v>羽田空港 第3ターミナル展望デッキ</x:v>
      </x:c>
      <x:c r="Z233" t="str">
        <x:v>城南島海浜公園／潮風公園</x:v>
      </x:c>
      <x:c r="AA233" s="22" t="str">
        <x:v>なし</x:v>
      </x:c>
      <x:c r="AB233" s="22" t="str">
        <x:v>-</x:v>
      </x:c>
      <x:c r="AC233" s="22" t="str"/>
      <x:c r="AD233" s="22" t="str">
        <x:v>専用・路外駐車を基本</x:v>
      </x:c>
      <x:c r="AE233" s="22" t="str"/>
    </x:row>
    <x:row r="234">
      <x:c r="A234" s="27" t="str">
        <x:v>D233</x:v>
      </x:c>
      <x:c r="B234" s="27" t="str">
        <x:v>千葉県立幕張海浜公園</x:v>
      </x:c>
      <x:c r="C234" s="27" t="str">
        <x:v>千葉市美浜区</x:v>
      </x:c>
      <x:c r="D234" s="27" t="str">
        <x:v>計画都市・日本庭園・24時間駐車</x:v>
      </x:c>
      <x:c r="E234" s="48" t="e">
        <x:f>HYPERLINK("https://www.google.com/maps/dir/?api=1&amp;destination=%E5%8D%83%E8%91%89%E7%9C%8C%E7%AB%8B%E5%B9%95%E5%BC%B5%E6%B5%B7%E6%B5%9C%E5%85%AC%E5%9C%92&amp;travelmode=driving","現在地からナビ開始")</x:f>
      </x:c>
      <x:c r="F234" s="27" t="str">
        <x:v>幕張新都心の高層ビル、広場、日本庭園を歩き、計画都市のスケールを感じる都市型Ending。</x:v>
      </x:c>
      <x:c r="G234" s="27" t="str">
        <x:v>あり・A63台／B92台／C46台・有料</x:v>
      </x:c>
      <x:c r="H234" s="27" t="str">
        <x:v>公園終日／各駐車場24時間</x:v>
      </x:c>
      <x:c r="I234" s="27" t="n">
        <x:v>5</x:v>
      </x:c>
      <x:c r="J234" s="27" t="n">
        <x:v>2</x:v>
      </x:c>
      <x:c r="K234" s="27" t="str">
        <x:v>イベント開催時は満車・交通規制。見浜園は別営業時間。2025年に料金改定・C駐車場機械化。</x:v>
      </x:c>
      <x:c r="L234" s="28" t="n">
        <x:v>46232</x:v>
      </x:c>
      <x:c r="M234" s="27" t="str">
        <x:v>一次確認済</x:v>
      </x:c>
      <x:c r="N234" s="27" t="str">
        <x:v>https://www.seibu-la.co.jp/makuhari/access.html</x:v>
      </x:c>
      <x:c r="O234" s="27" t="str">
        <x:v>幕張新都心は1970年代後半から整備された計画都市で、公園は業務・住宅・国際展示場を結ぶ緑の骨格となる。</x:v>
      </x:c>
      <x:c r="P234" s="84" t="e">
        <x:f>HYPERLINK("https://ja.wikipedia.org/wiki/Special:Search?search=%E5%8D%83%E8%91%89%E7%9C%8C%E7%AB%8B%E5%B9%95%E5%BC%B5%E6%B5%B7%E6%B5%9C%E5%85%AC%E5%9C%92","Wikipedia・関連項目")</x:f>
      </x:c>
      <x:c r="Q234" s="27" t="str">
        <x:v>新規追加。海浜大通り展望駐車場と異なる都市・庭園型。</x:v>
      </x:c>
      <x:c r="R234" t="str">
        <x:v>35km超</x:v>
      </x:c>
      <x:c r="S234" t="str">
        <x:v>概ね35km超</x:v>
      </x:c>
      <x:c r="T234" t="str">
        <x:v>通常90分超</x:v>
      </x:c>
      <x:c r="U234" t="str">
        <x:v>平日夜・深夜</x:v>
      </x:c>
      <x:c r="V234" t="str">
        <x:v>30〜90分</x:v>
      </x:c>
      <x:c r="W234" t="n">
        <x:v>1</x:v>
      </x:c>
      <x:c r="X234" t="n">
        <x:v>1</x:v>
      </x:c>
      <x:c r="Y234" t="str">
        <x:v>羽田空港 第3ターミナル展望デッキ</x:v>
      </x:c>
      <x:c r="Z234" t="str">
        <x:v>城南島海浜公園／潮風公園</x:v>
      </x:c>
      <x:c r="AA234" s="22" t="str">
        <x:v>なし</x:v>
      </x:c>
      <x:c r="AB234" s="22" t="str">
        <x:v>-</x:v>
      </x:c>
      <x:c r="AC234" s="22" t="str"/>
      <x:c r="AD234" s="22" t="str">
        <x:v>専用・路外駐車を基本</x:v>
      </x:c>
      <x:c r="AE234" s="22" t="str"/>
    </x:row>
    <x:row r="235">
      <x:c r="A235" s="27" t="str">
        <x:v>D234</x:v>
      </x:c>
      <x:c r="B235" s="27" t="str">
        <x:v>千葉市動物公園</x:v>
      </x:c>
      <x:c r="C235" s="27" t="str">
        <x:v>千葉市若葉区</x:v>
      </x:c>
      <x:c r="D235" s="27" t="str">
        <x:v>動物・モノレール・Story</x:v>
      </x:c>
      <x:c r="E235" s="48" t="e">
        <x:f>HYPERLINK("https://www.google.com/maps/dir/?api=1&amp;destination=%E5%8D%83%E8%91%89%E5%B8%82%E5%8B%95%E7%89%A9%E5%85%AC%E5%9C%92&amp;travelmode=driving","現在地からナビ開始")</x:f>
      </x:c>
      <x:c r="F235" s="27" t="str">
        <x:v>動物展示、レッサーパンダ、サバンナ、モノレール景観を一日目的として楽しめる。</x:v>
      </x:c>
      <x:c r="G235" s="27" t="str">
        <x:v>あり・有料800円</x:v>
      </x:c>
      <x:c r="H235" s="27" t="str">
        <x:v>開園9:30～16:30／駐車場9:00～17:00</x:v>
      </x:c>
      <x:c r="I235" s="27" t="n">
        <x:v>1</x:v>
      </x:c>
      <x:c r="J235" s="27" t="n">
        <x:v>1</x:v>
      </x:c>
      <x:c r="K235" s="27" t="str">
        <x:v>水曜休園を基本に当日確認。夏季の夜間延長日は日時・入庫締切が別。アイドリング禁止。</x:v>
      </x:c>
      <x:c r="L235" s="28" t="n">
        <x:v>46232</x:v>
      </x:c>
      <x:c r="M235" s="27" t="str">
        <x:v>一次確認済</x:v>
      </x:c>
      <x:c r="N235" s="27" t="str">
        <x:v>https://www.city.chiba.jp/zoo/guide/index.html</x:v>
      </x:c>
      <x:c r="O235" s="27" t="str">
        <x:v>かつて立つ姿で人気となったレッサーパンダ『風太』で全国的に知られた動物園。</x:v>
      </x:c>
      <x:c r="P235" s="84" t="e">
        <x:f>HYPERLINK("https://ja.wikipedia.org/wiki/Special:Search?search=%E5%8D%83%E8%91%89%E5%B8%82%E5%8B%95%E7%89%A9%E5%85%AC%E5%9C%92","Wikipedia・関連項目")</x:f>
      </x:c>
      <x:c r="Q235" s="27" t="str">
        <x:v>新規追加。Story性の高い一日型目的地。</x:v>
      </x:c>
      <x:c r="R235" t="str">
        <x:v>35km超</x:v>
      </x:c>
      <x:c r="S235" t="str">
        <x:v>概ね35km超</x:v>
      </x:c>
      <x:c r="T235" t="str">
        <x:v>通常90分超</x:v>
      </x:c>
      <x:c r="U235" t="str">
        <x:v>Story</x:v>
      </x:c>
      <x:c r="V235" t="str">
        <x:v>60〜150分</x:v>
      </x:c>
      <x:c r="W235" t="n">
        <x:v>2</x:v>
      </x:c>
      <x:c r="X235" t="n">
        <x:v>1</x:v>
      </x:c>
      <x:c r="Y235" t="str">
        <x:v>羽田空港 第3ターミナル展望デッキ</x:v>
      </x:c>
      <x:c r="Z235" t="str">
        <x:v>城南島海浜公園／潮風公園</x:v>
      </x:c>
      <x:c r="AA235" s="22" t="str">
        <x:v>なし</x:v>
      </x:c>
      <x:c r="AB235" s="22" t="str">
        <x:v>-</x:v>
      </x:c>
      <x:c r="AC235" s="22" t="str"/>
      <x:c r="AD235" s="22" t="str">
        <x:v>専用・路外駐車を基本</x:v>
      </x:c>
      <x:c r="AE235" s="22" t="str"/>
    </x:row>
    <x:row r="236">
      <x:c r="A236" s="27" t="str">
        <x:v>D235</x:v>
      </x:c>
      <x:c r="B236" s="27" t="str">
        <x:v>道の駅 いちかわ</x:v>
      </x:c>
      <x:c r="C236" s="27" t="str">
        <x:v>千葉県市川市</x:v>
      </x:c>
      <x:c r="D236" s="27" t="str">
        <x:v>道の駅・外環・都市農業</x:v>
      </x:c>
      <x:c r="E236" s="48" t="e">
        <x:f>HYPERLINK("https://www.google.com/maps/dir/?api=1&amp;destination=%E9%81%93%E3%81%AE%E9%A7%85%20%E3%81%84%E3%81%A1%E3%81%8B%E3%82%8F&amp;travelmode=driving","現在地からナビ開始")</x:f>
      </x:c>
      <x:c r="F236" s="27" t="str">
        <x:v>東京外環沿いで食事、地元農産物、珈琲焙煎を楽しめ、近距離ドライブを目的地化できる。</x:v>
      </x:c>
      <x:c r="G236" s="27" t="str">
        <x:v>あり・小型69台ほか</x:v>
      </x:c>
      <x:c r="H236" s="27" t="str">
        <x:v>開館9:00～22:00／店舗別</x:v>
      </x:c>
      <x:c r="I236" s="27" t="n">
        <x:v>4</x:v>
      </x:c>
      <x:c r="J236" s="27" t="n">
        <x:v>2</x:v>
      </x:c>
      <x:c r="K236" s="27" t="str">
        <x:v>高速道路から直接入れない。混雑表示を確認。長時間休憩や車中泊前提の占有を避ける。</x:v>
      </x:c>
      <x:c r="L236" s="28" t="n">
        <x:v>46232</x:v>
      </x:c>
      <x:c r="M236" s="27" t="str">
        <x:v>一次確認済</x:v>
      </x:c>
      <x:c r="N236" s="27" t="str">
        <x:v>https://www.michinoeki-ichikawa.jp/access/</x:v>
      </x:c>
      <x:c r="O236" s="27" t="str">
        <x:v>都市化の進む市川で、梨など近郊農業と外環道路の交通結節を結びつける道の駅。</x:v>
      </x:c>
      <x:c r="P236" s="84" t="e">
        <x:f>HYPERLINK("https://ja.wikipedia.org/wiki/Special:Search?search=%E9%81%93%E3%81%AE%E9%A7%85%20%E3%81%84%E3%81%A1%E3%81%8B%E3%82%8F","Wikipedia・関連項目")</x:f>
      </x:c>
      <x:c r="Q236" s="27" t="str">
        <x:v>新規追加。大田区から短時間で到達する食・休憩Ending。</x:v>
      </x:c>
      <x:c r="R236" t="str">
        <x:v>25〜35km</x:v>
      </x:c>
      <x:c r="S236" t="str">
        <x:v>概ね25〜35km</x:v>
      </x:c>
      <x:c r="T236" t="str">
        <x:v>通常55〜90分</x:v>
      </x:c>
      <x:c r="U236" t="str">
        <x:v>平日夜・深夜</x:v>
      </x:c>
      <x:c r="V236" t="str">
        <x:v>30〜60分</x:v>
      </x:c>
      <x:c r="W236" t="n">
        <x:v>4</x:v>
      </x:c>
      <x:c r="X236" t="n">
        <x:v>1</x:v>
      </x:c>
      <x:c r="Y236" t="str">
        <x:v>羽田空港 第3ターミナル展望デッキ</x:v>
      </x:c>
      <x:c r="Z236" t="str">
        <x:v>城南島海浜公園／潮風公園</x:v>
      </x:c>
      <x:c r="AA236" s="22" t="str">
        <x:v>なし</x:v>
      </x:c>
      <x:c r="AB236" s="22" t="str">
        <x:v>-</x:v>
      </x:c>
      <x:c r="AC236" s="22" t="str"/>
      <x:c r="AD236" s="22" t="str">
        <x:v>専用・路外駐車を基本</x:v>
      </x:c>
      <x:c r="AE236" s="22" t="str"/>
    </x:row>
    <x:row r="237">
      <x:c r="A237" s="27" t="str">
        <x:v>D236</x:v>
      </x:c>
      <x:c r="B237" s="27" t="str">
        <x:v>ラディアン花の丘公園</x:v>
      </x:c>
      <x:c r="C237" s="27" t="str">
        <x:v>神奈川県二宮町</x:v>
      </x:c>
      <x:c r="D237" s="27" t="str">
        <x:v>花・果樹・小高台</x:v>
      </x:c>
      <x:c r="E237" s="48" t="e">
        <x:f>HYPERLINK("https://www.google.com/maps/dir/?api=1&amp;destination=%E3%83%A9%E3%83%87%E3%82%A3%E3%82%A2%E3%83%B3%E8%8A%B1%E3%81%AE%E4%B8%98%E5%85%AC%E5%9C%92&amp;travelmode=driving","現在地からナビ開始")</x:f>
      </x:c>
      <x:c r="F237" s="27" t="str">
        <x:v>果樹公園に隣接する小さな丘で、吾妻山ほど歩かず花と相模湾側の空気を楽しめる。</x:v>
      </x:c>
      <x:c r="G237" s="27" t="str">
        <x:v>あり・28台・無料</x:v>
      </x:c>
      <x:c r="H237" s="27" t="str">
        <x:v>8:30～17:00</x:v>
      </x:c>
      <x:c r="I237" s="27" t="n">
        <x:v>1</x:v>
      </x:c>
      <x:c r="J237" s="27" t="n">
        <x:v>4</x:v>
      </x:c>
      <x:c r="K237" s="27" t="str">
        <x:v>果樹公園の薬剤散布日は休園。公園利用以外の駐車禁止。台数が少なく満車時は通過。</x:v>
      </x:c>
      <x:c r="L237" s="28" t="n">
        <x:v>46232</x:v>
      </x:c>
      <x:c r="M237" s="27" t="str">
        <x:v>一次確認済</x:v>
      </x:c>
      <x:c r="N237" s="27" t="str">
        <x:v>https://www.town.ninomiya.kanagawa.jp/0000001268.html</x:v>
      </x:c>
      <x:c r="O237" s="27" t="str">
        <x:v>二宮町の生涯学習施設ラディアンと果樹公園に隣接し、地域の日常に近い花の丘として整備された。</x:v>
      </x:c>
      <x:c r="P237" s="84" t="e">
        <x:f>HYPERLINK("https://ja.wikipedia.org/wiki/Special:Search?search=%E3%83%A9%E3%83%87%E3%82%A3%E3%82%A2%E3%83%B3%E8%8A%B1%E3%81%AE%E4%B8%98%E5%85%AC%E5%9C%92","Wikipedia・関連項目")</x:f>
      </x:c>
      <x:c r="Q237" s="27" t="str">
        <x:v>新規追加。吾妻山混雑時の小規模代替候補。</x:v>
      </x:c>
      <x:c r="R237" t="str">
        <x:v>35km超</x:v>
      </x:c>
      <x:c r="S237" t="str">
        <x:v>概ね35km超</x:v>
      </x:c>
      <x:c r="T237" t="str">
        <x:v>通常90分超</x:v>
      </x:c>
      <x:c r="U237" t="str">
        <x:v>休日半日</x:v>
      </x:c>
      <x:c r="V237" t="str">
        <x:v>30〜60分</x:v>
      </x:c>
      <x:c r="W237" t="n">
        <x:v>1</x:v>
      </x:c>
      <x:c r="X237" t="n">
        <x:v>1</x:v>
      </x:c>
      <x:c r="Y237" t="str">
        <x:v>羽田空港 第3ターミナル展望デッキ</x:v>
      </x:c>
      <x:c r="Z237" t="str">
        <x:v>城南島海浜公園／潮風公園</x:v>
      </x:c>
      <x:c r="AA237" s="22" t="str">
        <x:v>なし</x:v>
      </x:c>
      <x:c r="AB237" s="22" t="str">
        <x:v>-</x:v>
      </x:c>
      <x:c r="AC237" s="22" t="str"/>
      <x:c r="AD237" s="22" t="str">
        <x:v>専用・路外駐車を基本</x:v>
      </x:c>
      <x:c r="AE237" s="22" t="str"/>
    </x:row>
    <x:row r="238">
      <x:c r="A238" s="27" t="str">
        <x:v>D237</x:v>
      </x:c>
      <x:c r="B238" s="27" t="str">
        <x:v>道の駅 足柄・金太郎のふるさと</x:v>
      </x:c>
      <x:c r="C238" s="27" t="str">
        <x:v>神奈川県南足柄市</x:v>
      </x:c>
      <x:c r="D238" s="27" t="str">
        <x:v>道の駅・金太郎Story・24時間</x:v>
      </x:c>
      <x:c r="E238" s="48" t="e">
        <x:f>HYPERLINK("https://www.google.com/maps/dir/?api=1&amp;destination=%E9%81%93%E3%81%AE%E9%A7%85%20%E8%B6%B3%E6%9F%84%E3%83%BB%E9%87%91%E5%A4%AA%E9%83%8E%E3%81%AE%E3%81%B5%E3%82%8B%E3%81%95%E3%81%A8&amp;travelmode=driving","現在地からナビ開始")</x:f>
      </x:c>
      <x:c r="F238" s="27" t="str">
        <x:v>足柄の農産物と金太郎伝説を食・土産へ変換し、箱根・小田原方面の帰路Endingとして使える。</x:v>
      </x:c>
      <x:c r="G238" s="27" t="str">
        <x:v>あり・24時間利用可</x:v>
      </x:c>
      <x:c r="H238" s="27" t="str">
        <x:v>店舗9:00～17:00／駐車場・トイレ24時間</x:v>
      </x:c>
      <x:c r="I238" s="27" t="n">
        <x:v>5</x:v>
      </x:c>
      <x:c r="J238" s="27" t="n">
        <x:v>2</x:v>
      </x:c>
      <x:c r="K238" s="27" t="str">
        <x:v>満車時は右折入場できない場合あり。竹松交差点側から左折入場を推奨。長時間占有禁止。</x:v>
      </x:c>
      <x:c r="L238" s="28" t="n">
        <x:v>46232</x:v>
      </x:c>
      <x:c r="M238" s="27" t="str">
        <x:v>一次確認済</x:v>
      </x:c>
      <x:c r="N238" s="27" t="str">
        <x:v>https://www.michinoeki-ashigara.com/</x:v>
      </x:c>
      <x:c r="O238" s="27" t="str">
        <x:v>足柄山は坂田金時＝金太郎伝説の舞台の一つとされ、地域ブランドの中心になっている。</x:v>
      </x:c>
      <x:c r="P238" s="84" t="e">
        <x:f>HYPERLINK("https://ja.wikipedia.org/wiki/Special:Search?search=%E9%81%93%E3%81%AE%E9%A7%85%20%E8%B6%B3%E6%9F%84%E3%83%BB%E9%87%91%E5%A4%AA%E9%83%8E%E3%81%AE%E3%81%B5%E3%82%8B%E3%81%95%E3%81%A8","Wikipedia・関連項目")</x:f>
      </x:c>
      <x:c r="Q238" s="27" t="str">
        <x:v>新規追加。Storyと24時間休憩を両立。</x:v>
      </x:c>
      <x:c r="R238" t="str">
        <x:v>35km超</x:v>
      </x:c>
      <x:c r="S238" t="str">
        <x:v>概ね35km超</x:v>
      </x:c>
      <x:c r="T238" t="str">
        <x:v>通常90分超</x:v>
      </x:c>
      <x:c r="U238" t="str">
        <x:v>Story</x:v>
      </x:c>
      <x:c r="V238" t="str">
        <x:v>30〜60分</x:v>
      </x:c>
      <x:c r="W238" t="n">
        <x:v>4</x:v>
      </x:c>
      <x:c r="X238" t="n">
        <x:v>1</x:v>
      </x:c>
      <x:c r="Y238" t="str">
        <x:v>羽田空港 第3ターミナル展望デッキ</x:v>
      </x:c>
      <x:c r="Z238" t="str">
        <x:v>城南島海浜公園／潮風公園</x:v>
      </x:c>
      <x:c r="AA238" s="22" t="str">
        <x:v>なし</x:v>
      </x:c>
      <x:c r="AB238" s="22" t="str">
        <x:v>-</x:v>
      </x:c>
      <x:c r="AC238" s="22" t="str"/>
      <x:c r="AD238" s="22" t="str">
        <x:v>専用・路外駐車を基本</x:v>
      </x:c>
      <x:c r="AE238" s="22" t="str"/>
    </x:row>
    <x:row r="239">
      <x:c r="A239" s="27" t="str">
        <x:v>D238</x:v>
      </x:c>
      <x:c r="B239" s="27" t="str">
        <x:v>道の駅 しょうなん</x:v>
      </x:c>
      <x:c r="C239" s="27" t="str">
        <x:v>千葉県柏市</x:v>
      </x:c>
      <x:c r="D239" s="27" t="str">
        <x:v>道の駅・手賀沼・農産物</x:v>
      </x:c>
      <x:c r="E239" s="48" t="e">
        <x:f>HYPERLINK("https://www.google.com/maps/dir/?api=1&amp;destination=%E9%81%93%E3%81%AE%E9%A7%85%20%E3%81%97%E3%82%87%E3%81%86%E3%81%AA%E3%82%93&amp;travelmode=driving","現在地からナビ開始")</x:f>
      </x:c>
      <x:c r="F239" s="27" t="str">
        <x:v>手賀沼の水辺と柏の農産物を組み合わせ、東葛方面の昼ドライブを食と休憩で締められる。</x:v>
      </x:c>
      <x:c r="G239" s="27" t="str">
        <x:v>あり・第1・第2駐車場は24時間</x:v>
      </x:c>
      <x:c r="H239" s="27" t="str">
        <x:v>店舗9:00～18:00</x:v>
      </x:c>
      <x:c r="I239" s="27" t="n">
        <x:v>4</x:v>
      </x:c>
      <x:c r="J239" s="27" t="n">
        <x:v>2</x:v>
      </x:c>
      <x:c r="K239" s="27" t="str">
        <x:v>花火大会・イベント日は入出庫規制あり。駐車場拡張後も休日は混雑。手賀沼周辺の虫・濃霧注意。</x:v>
      </x:c>
      <x:c r="L239" s="28" t="n">
        <x:v>46232</x:v>
      </x:c>
      <x:c r="M239" s="27" t="str">
        <x:v>一次確認済</x:v>
      </x:c>
      <x:c r="N239" s="27" t="str">
        <x:v>https://www.michinoeki-shonan.jp/access/</x:v>
      </x:c>
      <x:c r="O239" s="27" t="str">
        <x:v>旧沼南町の名称を残す道の駅で、手賀沼の農業・水辺観光拠点として再整備された。</x:v>
      </x:c>
      <x:c r="P239" s="84" t="e">
        <x:f>HYPERLINK("https://ja.wikipedia.org/wiki/Special:Search?search=%E9%81%93%E3%81%AE%E9%A7%85%20%E3%81%97%E3%82%87%E3%81%86%E3%81%AA%E3%82%93","Wikipedia・関連項目")</x:f>
      </x:c>
      <x:c r="Q239" s="27" t="str">
        <x:v>新規追加。夜間駐車可能だが、店舗目的は18時まで。</x:v>
      </x:c>
      <x:c r="R239" t="str">
        <x:v>35km超</x:v>
      </x:c>
      <x:c r="S239" t="str">
        <x:v>概ね35km超</x:v>
      </x:c>
      <x:c r="T239" t="str">
        <x:v>通常90分超</x:v>
      </x:c>
      <x:c r="U239" t="str">
        <x:v>平日夜・深夜</x:v>
      </x:c>
      <x:c r="V239" t="str">
        <x:v>30〜60分</x:v>
      </x:c>
      <x:c r="W239" t="n">
        <x:v>4</x:v>
      </x:c>
      <x:c r="X239" t="n">
        <x:v>1</x:v>
      </x:c>
      <x:c r="Y239" t="str">
        <x:v>羽田空港 第3ターミナル展望デッキ</x:v>
      </x:c>
      <x:c r="Z239" t="str">
        <x:v>城南島海浜公園／潮風公園</x:v>
      </x:c>
      <x:c r="AA239" s="22" t="str">
        <x:v>なし</x:v>
      </x:c>
      <x:c r="AB239" s="22" t="str">
        <x:v>-</x:v>
      </x:c>
      <x:c r="AC239" s="22" t="str"/>
      <x:c r="AD239" s="22" t="str">
        <x:v>専用・路外駐車を基本</x:v>
      </x:c>
      <x:c r="AE239" s="22" t="str"/>
    </x:row>
    <x:row r="240">
      <x:c r="A240" s="27" t="str">
        <x:v>D239</x:v>
      </x:c>
      <x:c r="B240" s="27" t="str">
        <x:v>小山内裏公園</x:v>
      </x:c>
      <x:c r="C240" s="27" t="str">
        <x:v>東京都町田市</x:v>
      </x:c>
      <x:c r="D240" s="27" t="str">
        <x:v>多摩丘陵・戦車道路・尾根</x:v>
      </x:c>
      <x:c r="E240" s="48" t="e">
        <x:f>HYPERLINK("https://www.google.com/maps/dir/?api=1&amp;destination=%E5%B0%8F%E5%B1%B1%E5%86%85%E8%A3%8F%E5%85%AC%E5%9C%92&amp;travelmode=driving","現在地からナビ開始")</x:f>
      </x:c>
      <x:c r="F240" s="27" t="str">
        <x:v>尾根緑道と深い谷戸を歩き、旧軍用道路の直線と多摩丘陵の自然を同時に味わえる。</x:v>
      </x:c>
      <x:c r="G240" s="27" t="str">
        <x:v>あり・23台・無料</x:v>
      </x:c>
      <x:c r="H240" s="27" t="str">
        <x:v>9:00～17:00</x:v>
      </x:c>
      <x:c r="I240" s="27" t="n">
        <x:v>1</x:v>
      </x:c>
      <x:c r="J240" s="27" t="n">
        <x:v>4</x:v>
      </x:c>
      <x:c r="K240" s="27" t="str">
        <x:v>17時夜間閉鎖。台数が少なく路上待機禁止。工事・イベントによる一時閉鎖を当日確認。</x:v>
      </x:c>
      <x:c r="L240" s="28" t="n">
        <x:v>46232</x:v>
      </x:c>
      <x:c r="M240" s="27" t="str">
        <x:v>一次確認済</x:v>
      </x:c>
      <x:c r="N240" s="27" t="str">
        <x:v>https://www.tokyo-park.or.jp/park/oyamadairi/index.html</x:v>
      </x:c>
      <x:c r="O240" s="27" t="str">
        <x:v>園内を通る尾根緑道は、戦時中に戦車の走行試験道路として使われ『戦車道路』と呼ばれた。</x:v>
      </x:c>
      <x:c r="P240" s="84" t="e">
        <x:f>HYPERLINK("https://ja.wikipedia.org/wiki/Special:Search?search=%E5%B0%8F%E5%B1%B1%E5%86%85%E8%A3%8F%E5%85%AC%E5%9C%92","Wikipedia・関連項目")</x:f>
      </x:c>
      <x:c r="Q240" s="27" t="str">
        <x:v>新規追加。軍事インフラが緑道へ転換したStory Layer。</x:v>
      </x:c>
      <x:c r="R240" t="str">
        <x:v>35km超</x:v>
      </x:c>
      <x:c r="S240" t="str">
        <x:v>概ね35km超</x:v>
      </x:c>
      <x:c r="T240" t="str">
        <x:v>通常90分超</x:v>
      </x:c>
      <x:c r="U240" t="str">
        <x:v>休日半日</x:v>
      </x:c>
      <x:c r="V240" t="str">
        <x:v>30〜60分</x:v>
      </x:c>
      <x:c r="W240" t="n">
        <x:v>2</x:v>
      </x:c>
      <x:c r="X240" t="n">
        <x:v>1</x:v>
      </x:c>
      <x:c r="Y240" t="str">
        <x:v>羽田空港 第3ターミナル展望デッキ</x:v>
      </x:c>
      <x:c r="Z240" t="str">
        <x:v>城南島海浜公園／潮風公園</x:v>
      </x:c>
      <x:c r="AA240" s="22" t="str">
        <x:v>なし</x:v>
      </x:c>
      <x:c r="AB240" s="22" t="str">
        <x:v>-</x:v>
      </x:c>
      <x:c r="AC240" s="22" t="str"/>
      <x:c r="AD240" s="22" t="str">
        <x:v>専用・路外駐車を基本</x:v>
      </x:c>
      <x:c r="AE240" s="22" t="str"/>
    </x:row>
    <x:row r="241">
      <x:c r="A241" s="27" t="str">
        <x:v>D240</x:v>
      </x:c>
      <x:c r="B241" s="27" t="str">
        <x:v>長池公園</x:v>
      </x:c>
      <x:c r="C241" s="27" t="str">
        <x:v>東京都八王子市</x:v>
      </x:c>
      <x:c r="D241" s="27" t="str">
        <x:v>里山・溜池・見附橋</x:v>
      </x:c>
      <x:c r="E241" s="48" t="e">
        <x:f>HYPERLINK("https://www.google.com/maps/dir/?api=1&amp;destination=%E9%95%B7%E6%B1%A0%E5%85%AC%E5%9C%92&amp;travelmode=driving","現在地からナビ開始")</x:f>
      </x:c>
      <x:c r="F241" s="27" t="str">
        <x:v>溜池、田んぼ、雑木林、移築橋がまとまり、多摩ニュータウンの中に残された里山を体感できる。</x:v>
      </x:c>
      <x:c r="G241" s="27" t="str">
        <x:v>あり・自然館70台／南17台・無料</x:v>
      </x:c>
      <x:c r="H241" s="27" t="str">
        <x:v>3～9月8:30～18:30等／冬季17:00～17:30閉場</x:v>
      </x:c>
      <x:c r="I241" s="27" t="n">
        <x:v>1</x:v>
      </x:c>
      <x:c r="J241" s="27" t="n">
        <x:v>3</x:v>
      </x:c>
      <x:c r="K241" s="27" t="str">
        <x:v>駐車場ごとに閉場時刻が異なる。雨後の木道・斜面注意。夜間不可。</x:v>
      </x:c>
      <x:c r="L241" s="28" t="n">
        <x:v>46232</x:v>
      </x:c>
      <x:c r="M241" s="27" t="str">
        <x:v>一次確認済</x:v>
      </x:c>
      <x:c r="N241" s="27" t="str">
        <x:v>https://www.city.hachioji.tokyo.jp/shisetsu/009/p023779.html</x:v>
      </x:c>
      <x:c r="O241" s="27" t="str">
        <x:v>長池見附橋は旧四谷見附橋を移築したもので、近代東京の橋梁が多摩ニュータウンの公園景観へ再利用された。</x:v>
      </x:c>
      <x:c r="P241" s="84" t="e">
        <x:f>HYPERLINK("https://ja.wikipedia.org/wiki/Special:Search?search=%E9%95%B7%E6%B1%A0%E5%85%AC%E5%9C%92","Wikipedia・関連項目")</x:f>
      </x:c>
      <x:c r="Q241" s="27" t="str">
        <x:v>新規追加。里山保全と近代橋梁の再利用を重ねる。</x:v>
      </x:c>
      <x:c r="R241" t="str">
        <x:v>35km超</x:v>
      </x:c>
      <x:c r="S241" t="str">
        <x:v>概ね35km超</x:v>
      </x:c>
      <x:c r="T241" t="str">
        <x:v>通常90分超</x:v>
      </x:c>
      <x:c r="U241" t="str">
        <x:v>水辺</x:v>
      </x:c>
      <x:c r="V241" t="str">
        <x:v>30〜60分</x:v>
      </x:c>
      <x:c r="W241" t="n">
        <x:v>2</x:v>
      </x:c>
      <x:c r="X241" t="n">
        <x:v>1</x:v>
      </x:c>
      <x:c r="Y241" t="str">
        <x:v>多摩川浅間神社</x:v>
      </x:c>
      <x:c r="Z241" t="str">
        <x:v>多摩川六郷橋緑地／多摩川ガス橋緑地</x:v>
      </x:c>
      <x:c r="AA241" s="22" t="str">
        <x:v>なし</x:v>
      </x:c>
      <x:c r="AB241" s="22" t="str">
        <x:v>-</x:v>
      </x:c>
      <x:c r="AC241" s="22" t="str"/>
      <x:c r="AD241" s="22" t="str">
        <x:v>専用・路外駐車を基本</x:v>
      </x:c>
      <x:c r="AE241" s="22" t="str"/>
    </x:row>
    <x:row r="242">
      <x:c r="A242" s="27" t="str">
        <x:v>D241</x:v>
      </x:c>
      <x:c r="B242" s="27" t="str">
        <x:v>大森ふるさとの浜辺公園</x:v>
      </x:c>
      <x:c r="C242" s="27" t="str">
        <x:v>大田区・大森東</x:v>
      </x:c>
      <x:c r="D242" s="27" t="str">
        <x:v>人工海浜・干潟・海苔Story</x:v>
      </x:c>
      <x:c r="E242" s="48" t="e">
        <x:f>HYPERLINK("https://www.google.com/maps/dir/?api=1&amp;destination=%E5%A4%A7%E6%A3%AE%E3%81%B5%E3%82%8B%E3%81%95%E3%81%A8%E3%81%AE%E6%B5%9C%E8%BE%BA%E5%85%AC%E5%9C%92&amp;travelmode=driving","現在地からナビ開始")</x:f>
      </x:c>
      <x:c r="F242" s="27" t="str">
        <x:v>蒲田から短時間で、砂浜・干潟・芝生・運河を味わえる。遠出せず『海へ来た感覚』を得られる近距離の主力Ending。</x:v>
      </x:c>
      <x:c r="G242" s="27" t="str">
        <x:v>共用駐車場・平日121台／土日祝142台・30分100円・24時間</x:v>
      </x:c>
      <x:c r="H242" s="27" t="str">
        <x:v>広場エリア終日／浜辺エリア5:30～21:00</x:v>
      </x:c>
      <x:c r="I242" s="27" t="n">
        <x:v>4</x:v>
      </x:c>
      <x:c r="J242" s="27" t="n">
        <x:v>2</x:v>
      </x:c>
      <x:c r="K242" s="27" t="str">
        <x:v>浜辺は21時閉門。休日は駐車待ちが発生。遊泳・釣り・火気は禁止。</x:v>
      </x:c>
      <x:c r="L242" s="28" t="n">
        <x:v>46232</x:v>
      </x:c>
      <x:c r="M242" s="27" t="str">
        <x:v>一次確認済</x:v>
      </x:c>
      <x:c r="N242" s="27" t="str">
        <x:v>https://www.city.ota.tokyo.jp/shisetsu/park/oomorifurusatonohamabe.html</x:v>
      </x:c>
      <x:c r="O242" s="27" t="str">
        <x:v>かつて海苔養殖で栄えた大森海岸の記憶を、人工海浜と隣接する海苔のふるさと館が伝えている。</x:v>
      </x:c>
      <x:c r="P242" s="84" t="e">
        <x:f>HYPERLINK("https://ja.wikipedia.org/wiki/Special:Search?search=%E5%A4%A7%E6%A3%AE%E3%81%B5%E3%82%8B%E3%81%95%E3%81%A8%E3%81%AE%E6%B5%9C%E8%BE%BA%E5%85%AC%E5%9C%92","Wikipedia・関連項目")</x:f>
      </x:c>
      <x:c r="Q242" s="27" t="str">
        <x:v>2026-07-29公式再確認：駐車台数、24時間駐車、浜辺21時閉門を更新。</x:v>
      </x:c>
      <x:c r="R242" s="27" t="str">
        <x:v>0〜10km</x:v>
      </x:c>
      <x:c r="S242" s="27" t="str">
        <x:v>蒲田から約4〜7km</x:v>
      </x:c>
      <x:c r="T242" s="27" t="str">
        <x:v>通常15〜25分</x:v>
      </x:c>
      <x:c r="U242" s="27" t="str">
        <x:v>平日夜・休日短時間</x:v>
      </x:c>
      <x:c r="V242" s="27" t="str">
        <x:v>30〜75分</x:v>
      </x:c>
      <x:c r="W242" s="27" t="n">
        <x:v>1</x:v>
      </x:c>
      <x:c r="X242" s="27" t="n">
        <x:v>2</x:v>
      </x:c>
      <x:c r="Y242" s="27" t="str">
        <x:v>平和の森公園</x:v>
      </x:c>
      <x:c r="Z242" s="27" t="str">
        <x:v>平和の森公園／城南島海浜公園</x:v>
      </x:c>
      <x:c r="AA242" s="22" t="str">
        <x:v>なし</x:v>
      </x:c>
      <x:c r="AB242" s="22" t="str">
        <x:v>-</x:v>
      </x:c>
      <x:c r="AC242" s="22" t="str"/>
      <x:c r="AD242" s="22" t="str">
        <x:v>専用・路外駐車を基本</x:v>
      </x:c>
      <x:c r="AE242" s="22" t="str"/>
    </x:row>
    <x:row r="243">
      <x:c r="A243" s="27" t="str">
        <x:v>D242</x:v>
      </x:c>
      <x:c r="B243" s="27" t="str">
        <x:v>平和の森公園</x:v>
      </x:c>
      <x:c r="C243" s="27" t="str">
        <x:v>大田区・平和の森公園</x:v>
      </x:c>
      <x:c r="D243" s="27" t="str">
        <x:v>大規模公園・池・平和Story</x:v>
      </x:c>
      <x:c r="E243" s="48" t="e">
        <x:f>HYPERLINK("https://www.google.com/maps/dir/?api=1&amp;destination=%E5%B9%B3%E5%92%8C%E3%81%AE%E6%A3%AE%E5%85%AC%E5%9C%92&amp;travelmode=driving","現在地からナビ開始")</x:f>
      </x:c>
      <x:c r="F243" s="27" t="str">
        <x:v>区内最大級の公園で、ひょうたん池、梅、広場、アスレチックを近距離で選べる。浜辺公園とのセット性能が高い。</x:v>
      </x:c>
      <x:c r="G243" s="27" t="str">
        <x:v>あり・186台・30分100円</x:v>
      </x:c>
      <x:c r="H243" s="27" t="str">
        <x:v>公園常時利用可／施設ごとに時間制</x:v>
      </x:c>
      <x:c r="I243" s="27" t="n">
        <x:v>4</x:v>
      </x:c>
      <x:c r="J243" s="27" t="n">
        <x:v>2</x:v>
      </x:c>
      <x:c r="K243" s="27" t="str">
        <x:v>施設利用時間は個別。休日は大森ふるさとの浜辺公園と共用で混雑する。</x:v>
      </x:c>
      <x:c r="L243" s="28" t="n">
        <x:v>46232</x:v>
      </x:c>
      <x:c r="M243" s="27" t="str">
        <x:v>一次確認済</x:v>
      </x:c>
      <x:c r="N243" s="27" t="str">
        <x:v>https://www.city.ota.tokyo.jp/shisetsu/park/heiwanomori.html</x:v>
      </x:c>
      <x:c r="O243" s="27" t="str">
        <x:v>名称には大田区の恒久平和への願いが込められ、平和都市宣言を象徴する像が置かれている。</x:v>
      </x:c>
      <x:c r="P243" s="84" t="e">
        <x:f>HYPERLINK("https://ja.wikipedia.org/wiki/Special:Search?search=%E5%B9%B3%E5%92%8C%E3%81%AE%E6%A3%AE%E5%85%AC%E5%9C%92","Wikipedia・関連項目")</x:f>
      </x:c>
      <x:c r="Q243" s="27" t="str">
        <x:v>近距離コア新規追加</x:v>
      </x:c>
      <x:c r="R243" s="27" t="str">
        <x:v>0〜10km</x:v>
      </x:c>
      <x:c r="S243" s="27" t="str">
        <x:v>蒲田から約4〜7km</x:v>
      </x:c>
      <x:c r="T243" s="27" t="str">
        <x:v>通常15〜25分</x:v>
      </x:c>
      <x:c r="U243" s="27" t="str">
        <x:v>平日夜・休日半日</x:v>
      </x:c>
      <x:c r="V243" s="27" t="str">
        <x:v>30〜90分</x:v>
      </x:c>
      <x:c r="W243" s="27" t="n">
        <x:v>1</x:v>
      </x:c>
      <x:c r="X243" s="27" t="n">
        <x:v>1</x:v>
      </x:c>
      <x:c r="Y243" s="27" t="str">
        <x:v>大森ふるさとの浜辺公園</x:v>
      </x:c>
      <x:c r="Z243" s="27" t="str">
        <x:v>大森ふるさとの浜辺公園／都堀公園</x:v>
      </x:c>
      <x:c r="AA243" s="22" t="str">
        <x:v>なし</x:v>
      </x:c>
      <x:c r="AB243" s="22" t="str">
        <x:v>-</x:v>
      </x:c>
      <x:c r="AC243" s="22" t="str"/>
      <x:c r="AD243" s="22" t="str">
        <x:v>専用・路外駐車を基本</x:v>
      </x:c>
      <x:c r="AE243" s="22" t="str"/>
    </x:row>
    <x:row r="244">
      <x:c r="A244" s="27" t="str">
        <x:v>D243</x:v>
      </x:c>
      <x:c r="B244" s="27" t="str">
        <x:v>森ケ崎公園</x:v>
      </x:c>
      <x:c r="C244" s="27" t="str">
        <x:v>大田区・大森南</x:v>
      </x:c>
      <x:c r="D244" s="27" t="str">
        <x:v>屋上公園・飛行機・富士山</x:v>
      </x:c>
      <x:c r="E244" s="48" t="e">
        <x:f>HYPERLINK("https://www.google.com/maps/dir/?api=1&amp;destination=%E6%A3%AE%E3%82%B1%E5%B4%8E%E5%85%AC%E5%9C%92&amp;travelmode=driving","現在地からナビ開始")</x:f>
      </x:c>
      <x:c r="F244" s="27" t="str">
        <x:v>水再生センター屋上という特殊な立地から、羽田空港と富士山方向を望める。近いのに地上から切り離された感覚がある。</x:v>
      </x:c>
      <x:c r="G244" s="27" t="str">
        <x:v>あり・47台・30分100円</x:v>
      </x:c>
      <x:c r="H244" s="27" t="str">
        <x:v>4～11月・2～3月 6:30～21:30／12～1月 7:30～20:30</x:v>
      </x:c>
      <x:c r="I244" s="27" t="n">
        <x:v>4</x:v>
      </x:c>
      <x:c r="J244" s="27" t="n">
        <x:v>4</x:v>
      </x:c>
      <x:c r="K244" s="27" t="str">
        <x:v>利用時間外は入出庫不可。土日祝は入場待ちが発生しやすく、急ぐ場合は近隣民間駐車場へ切替。</x:v>
      </x:c>
      <x:c r="L244" s="28" t="n">
        <x:v>46232</x:v>
      </x:c>
      <x:c r="M244" s="27" t="str">
        <x:v>一次確認済</x:v>
      </x:c>
      <x:c r="N244" s="27" t="str">
        <x:v>https://www.city.ota.tokyo.jp/shisetsu/park/morigasaki.html</x:v>
      </x:c>
      <x:c r="O244" s="27" t="str">
        <x:v>森ケ崎水再生センターの屋上を公園として再利用した都市インフラ上の緑地である。</x:v>
      </x:c>
      <x:c r="P244" s="84" t="e">
        <x:f>HYPERLINK("https://ja.wikipedia.org/wiki/Special:Search?search=%E6%A3%AE%E3%82%B1%E5%B4%8E%E5%85%AC%E5%9C%92","Wikipedia・関連項目")</x:f>
      </x:c>
      <x:c r="Q244" s="27" t="str">
        <x:v>2026-07-29公式再確認：2026-04-01以降の延長時間と47台駐車場を反映。</x:v>
      </x:c>
      <x:c r="R244" s="27" t="str">
        <x:v>0〜10km</x:v>
      </x:c>
      <x:c r="S244" s="27" t="str">
        <x:v>蒲田から約5〜8km</x:v>
      </x:c>
      <x:c r="T244" s="27" t="str">
        <x:v>通常15〜30分</x:v>
      </x:c>
      <x:c r="U244" s="27" t="str">
        <x:v>夕景・飛行機・平日夜</x:v>
      </x:c>
      <x:c r="V244" s="27" t="str">
        <x:v>30〜60分</x:v>
      </x:c>
      <x:c r="W244" s="27" t="n">
        <x:v>1</x:v>
      </x:c>
      <x:c r="X244" s="27" t="n">
        <x:v>2</x:v>
      </x:c>
      <x:c r="Y244" s="27" t="str">
        <x:v>HANEDA INNOVATION CITY 足湯スカイデッキ</x:v>
      </x:c>
      <x:c r="Z244" s="27" t="str">
        <x:v>ソラムナード羽田緑地／城南島海浜公園</x:v>
      </x:c>
      <x:c r="AA244" s="22" t="str">
        <x:v>なし</x:v>
      </x:c>
      <x:c r="AB244" s="22" t="str">
        <x:v>-</x:v>
      </x:c>
      <x:c r="AC244" s="22" t="str"/>
      <x:c r="AD244" s="22" t="str">
        <x:v>専用・路外駐車を基本</x:v>
      </x:c>
      <x:c r="AE244" s="22" t="str"/>
    </x:row>
    <x:row r="245">
      <x:c r="A245" s="27" t="str">
        <x:v>D244</x:v>
      </x:c>
      <x:c r="B245" s="27" t="str">
        <x:v>ソラムナード羽田緑地</x:v>
      </x:c>
      <x:c r="C245" s="27" t="str">
        <x:v>大田区・羽田空港</x:v>
      </x:c>
      <x:c r="D245" s="27" t="str">
        <x:v>飛行機・多摩川0km・工場夜景</x:v>
      </x:c>
      <x:c r="E245" s="48" t="e">
        <x:f>HYPERLINK("https://www.google.com/maps/dir/?api=1&amp;destination=%E3%82%BD%E3%83%A9%E3%83%A0%E3%83%8A%E3%83%BC%E3%83%89%E7%BE%BD%E7%94%B0%E7%B7%91%E5%9C%B0&amp;travelmode=driving","現在地からナビ開始")</x:f>
      </x:c>
      <x:c r="F245" s="27" t="str">
        <x:v>多摩川河口、離着陸機、対岸の川崎工場夜景、日の出と夕日を一本の遊歩道で切り替えられる。</x:v>
      </x:c>
      <x:c r="G245" s="27" t="str">
        <x:v>専用駐車場なし／HIC P1等の合法駐車場から徒歩</x:v>
      </x:c>
      <x:c r="H245" s="27" t="str">
        <x:v>緑地常時利用を基本／照明・工事情報は当日確認</x:v>
      </x:c>
      <x:c r="I245" s="27" t="n">
        <x:v>5</x:v>
      </x:c>
      <x:c r="J245" s="27" t="n">
        <x:v>5</x:v>
      </x:c>
      <x:c r="K245" s="27" t="str">
        <x:v>路上駐車禁止。HICなど合法駐車場から徒歩。強風・高潮・増水時は利用を避ける。</x:v>
      </x:c>
      <x:c r="L245" s="28" t="n">
        <x:v>46232</x:v>
      </x:c>
      <x:c r="M245" s="27" t="str">
        <x:v>一次確認済</x:v>
      </x:c>
      <x:c r="N245" s="27" t="str">
        <x:v>https://www.city.ota.tokyo.jp/seikatsu/sumaimachinami/haneda_airport/hgw/waterside/soramunadohanedaryokuti.html</x:v>
      </x:c>
      <x:c r="O245" s="27" t="str">
        <x:v>全長約2km。多摩川0km地点標、干潟、約14,600株のスカシユリなど、空港と河口環境が同居する。</x:v>
      </x:c>
      <x:c r="P245" s="84" t="e">
        <x:f>HYPERLINK("https://ja.wikipedia.org/wiki/Special:Search?search=%E3%82%BD%E3%83%A9%E3%83%A0%E3%83%8A%E3%83%BC%E3%83%89%E7%BE%BD%E7%94%B0%E7%B7%91%E5%9C%B0","Wikipedia・関連項目")</x:f>
      </x:c>
      <x:c r="Q245" s="27" t="str">
        <x:v>近距離コア新規追加</x:v>
      </x:c>
      <x:c r="R245" s="27" t="str">
        <x:v>0〜10km</x:v>
      </x:c>
      <x:c r="S245" s="27" t="str">
        <x:v>蒲田から約7〜10km</x:v>
      </x:c>
      <x:c r="T245" s="27" t="str">
        <x:v>通常20〜35分</x:v>
      </x:c>
      <x:c r="U245" s="27" t="str">
        <x:v>飛行機・夕景・工場夜景</x:v>
      </x:c>
      <x:c r="V245" s="27" t="str">
        <x:v>30〜75分</x:v>
      </x:c>
      <x:c r="W245" s="27" t="n">
        <x:v>1</x:v>
      </x:c>
      <x:c r="X245" s="27" t="n">
        <x:v>2</x:v>
      </x:c>
      <x:c r="Y245" s="27" t="str">
        <x:v>HANEDA INNOVATION CITY 足湯スカイデッキ</x:v>
      </x:c>
      <x:c r="Z245" s="27" t="str">
        <x:v>羽田空港 第3ターミナル展望デッキ／殿町緑地</x:v>
      </x:c>
      <x:c r="AA245" s="22" t="str">
        <x:v>なし</x:v>
      </x:c>
      <x:c r="AB245" s="22" t="str">
        <x:v>-</x:v>
      </x:c>
      <x:c r="AC245" s="22" t="str"/>
      <x:c r="AD245" s="22" t="str">
        <x:v>専用・路外駐車を基本</x:v>
      </x:c>
      <x:c r="AE245" s="22" t="str"/>
    </x:row>
    <x:row r="246">
      <x:c r="A246" s="27" t="str">
        <x:v>D245</x:v>
      </x:c>
      <x:c r="B246" s="27" t="str">
        <x:v>HANEDA INNOVATION CITY 足湯スカイデッキ</x:v>
      </x:c>
      <x:c r="C246" s="27" t="str">
        <x:v>大田区・天空橋</x:v>
      </x:c>
      <x:c r="D246" s="27" t="str">
        <x:v>足湯・飛行機・夜景</x:v>
      </x:c>
      <x:c r="E246" s="48" t="e">
        <x:f>HYPERLINK("https://www.google.com/maps/dir/?api=1&amp;destination=HANEDA%20INNOVATION%20CITY%20%E8%B6%B3%E6%B9%AF%E3%82%B9%E3%82%AB%E3%82%A4%E3%83%87%E3%83%83%E3%82%AD&amp;travelmode=driving","現在地からナビ開始")</x:f>
      </x:c>
      <x:c r="F246" s="27" t="str">
        <x:v>無料の足湯に浸かりながら飛行機を眺められ、短時間でも『出かけた満足感』が非常に高い。</x:v>
      </x:c>
      <x:c r="G246" s="27" t="str">
        <x:v>HIC P1 190台・24時間／P2 18台・7:00～23:00</x:v>
      </x:c>
      <x:c r="H246" s="27" t="str">
        <x:v>足湯5:30～23:30</x:v>
      </x:c>
      <x:c r="I246" s="27" t="n">
        <x:v>5</x:v>
      </x:c>
      <x:c r="J246" s="27" t="n">
        <x:v>3</x:v>
      </x:c>
      <x:c r="K246" s="27" t="str">
        <x:v>貸切利用時は入場不可。食事は禁止。深夜帯は静粛にし、P2は営業時間外出庫不可。</x:v>
      </x:c>
      <x:c r="L246" s="28" t="n">
        <x:v>46232</x:v>
      </x:c>
      <x:c r="M246" s="27" t="str">
        <x:v>一次確認済</x:v>
      </x:c>
      <x:c r="N246" s="27" t="str">
        <x:v>https://haneda-innovation-city.com/facility/page/2/</x:v>
      </x:c>
      <x:c r="O246" s="27" t="str">
        <x:v>羽田空港跡地に整備されたイノベーション拠点の屋上施設で、足湯と航空機撮影を組み合わせた珍しい公共的空間。</x:v>
      </x:c>
      <x:c r="P246" s="84" t="e">
        <x:f>HYPERLINK("https://ja.wikipedia.org/wiki/Special:Search?search=HANEDA%20INNOVATION%20CITY%20%E8%B6%B3%E6%B9%AF%E3%82%B9%E3%82%AB%E3%82%A4%E3%83%87%E3%83%83%E3%82%AD","Wikipedia・関連項目")</x:f>
      </x:c>
      <x:c r="Q246" s="27" t="str">
        <x:v>近距離コア新規追加</x:v>
      </x:c>
      <x:c r="R246" s="27" t="str">
        <x:v>0〜10km</x:v>
      </x:c>
      <x:c r="S246" s="27" t="str">
        <x:v>蒲田から約6〜9km</x:v>
      </x:c>
      <x:c r="T246" s="27" t="str">
        <x:v>通常15〜30分</x:v>
      </x:c>
      <x:c r="U246" s="27" t="str">
        <x:v>平日夜・雨上がり・飛行機</x:v>
      </x:c>
      <x:c r="V246" s="27" t="str">
        <x:v>20〜60分</x:v>
      </x:c>
      <x:c r="W246" s="27" t="n">
        <x:v>3</x:v>
      </x:c>
      <x:c r="X246" s="27" t="n">
        <x:v>3</x:v>
      </x:c>
      <x:c r="Y246" s="27" t="str">
        <x:v>羽田空港 第3ターミナル展望デッキ</x:v>
      </x:c>
      <x:c r="Z246" s="27" t="str">
        <x:v>ソラムナード羽田緑地／森ケ崎公園</x:v>
      </x:c>
      <x:c r="AA246" s="22" t="str">
        <x:v>なし</x:v>
      </x:c>
      <x:c r="AB246" s="22" t="str">
        <x:v>-</x:v>
      </x:c>
      <x:c r="AC246" s="22" t="str"/>
      <x:c r="AD246" s="22" t="str">
        <x:v>専用・路外駐車を基本</x:v>
      </x:c>
      <x:c r="AE246" s="22" t="str"/>
    </x:row>
    <x:row r="247">
      <x:c r="A247" s="27" t="str">
        <x:v>D246</x:v>
      </x:c>
      <x:c r="B247" s="27" t="str">
        <x:v>羽田空港 第1ターミナル展望デッキ</x:v>
      </x:c>
      <x:c r="C247" s="27" t="str">
        <x:v>大田区・羽田空港</x:v>
      </x:c>
      <x:c r="D247" s="27" t="str">
        <x:v>飛行機・国内線・空港</x:v>
      </x:c>
      <x:c r="E247" s="48" t="e">
        <x:f>HYPERLINK("https://www.google.com/maps/dir/?api=1&amp;destination=%E7%BE%BD%E7%94%B0%E7%A9%BA%E6%B8%AF%20%E7%AC%AC1%E3%82%BF%E3%83%BC%E3%83%9F%E3%83%8A%E3%83%AB%E5%B1%95%E6%9C%9B%E3%83%87%E3%83%83%E3%82%AD&amp;travelmode=driving","現在地からナビ開始")</x:f>
      </x:c>
      <x:c r="F247" s="27" t="str">
        <x:v>JAL系の国内線機材や滑走路運用を見ながら、空港飲食と組み合わせられる雨天対応の近距離Ending。</x:v>
      </x:c>
      <x:c r="G247" s="27" t="str">
        <x:v>P1 2,351台／P2 2,315台・料金は時期別</x:v>
      </x:c>
      <x:c r="H247" s="27" t="str">
        <x:v>展望デッキ6:30～22:00</x:v>
      </x:c>
      <x:c r="I247" s="27" t="n">
        <x:v>5</x:v>
      </x:c>
      <x:c r="J247" s="27" t="n">
        <x:v>2</x:v>
      </x:c>
      <x:c r="K247" s="27" t="str">
        <x:v>悪天候・保安上の閉鎖あり。多客期5:30～20:00は駐車場が数時間待ちになる場合がある。</x:v>
      </x:c>
      <x:c r="L247" s="28" t="n">
        <x:v>46232</x:v>
      </x:c>
      <x:c r="M247" s="27" t="str">
        <x:v>一次確認済</x:v>
      </x:c>
      <x:c r="N247" s="27" t="str">
        <x:v>https://tokyo-haneda.com/service/facilities/observation_deck.html</x:v>
      </x:c>
      <x:c r="O247" s="27" t="str">
        <x:v>1955年開業の旧国内線ターミナルを起源に持ち、現在も羽田国内線の主要拠点の一つ。</x:v>
      </x:c>
      <x:c r="P247" s="84" t="e">
        <x:f>HYPERLINK("https://ja.wikipedia.org/wiki/Special:Search?search=%E7%BE%BD%E7%94%B0%E7%A9%BA%E6%B8%AF%20%E7%AC%AC1%E3%82%BF%E3%83%BC%E3%83%9F%E3%83%8A%E3%83%AB%E5%B1%95%E6%9C%9B%E3%83%87%E3%83%83%E3%82%AD","Wikipedia・関連項目")</x:f>
      </x:c>
      <x:c r="Q247" s="27" t="str">
        <x:v>近距離コア新規追加</x:v>
      </x:c>
      <x:c r="R247" s="27" t="str">
        <x:v>0〜10km</x:v>
      </x:c>
      <x:c r="S247" s="27" t="str">
        <x:v>蒲田から約9〜13km</x:v>
      </x:c>
      <x:c r="T247" s="27" t="str">
        <x:v>通常20〜40分</x:v>
      </x:c>
      <x:c r="U247" s="27" t="str">
        <x:v>飛行機・雨天・食事</x:v>
      </x:c>
      <x:c r="V247" s="27" t="str">
        <x:v>30〜90分</x:v>
      </x:c>
      <x:c r="W247" s="27" t="n">
        <x:v>4</x:v>
      </x:c>
      <x:c r="X247" s="27" t="n">
        <x:v>2</x:v>
      </x:c>
      <x:c r="Y247" s="27" t="str">
        <x:v>羽田空港 第2ターミナル展望デッキ／FLIGHT DECK TOKYO</x:v>
      </x:c>
      <x:c r="Z247" s="27" t="str">
        <x:v>羽田空港 第3ターミナル展望デッキ／城南島海浜公園</x:v>
      </x:c>
      <x:c r="AA247" s="22" t="str">
        <x:v>なし</x:v>
      </x:c>
      <x:c r="AB247" s="22" t="str">
        <x:v>-</x:v>
      </x:c>
      <x:c r="AC247" s="22" t="str"/>
      <x:c r="AD247" s="22" t="str">
        <x:v>専用・路外駐車を基本</x:v>
      </x:c>
      <x:c r="AE247" s="22" t="str"/>
    </x:row>
    <x:row r="248">
      <x:c r="A248" s="27" t="str">
        <x:v>D247</x:v>
      </x:c>
      <x:c r="B248" s="27" t="str">
        <x:v>羽田空港 第2ターミナル展望デッキ／FLIGHT DECK TOKYO</x:v>
      </x:c>
      <x:c r="C248" s="27" t="str">
        <x:v>大田区・羽田空港</x:v>
      </x:c>
      <x:c r="D248" s="27" t="str">
        <x:v>飛行機・屋内展望・雨天</x:v>
      </x:c>
      <x:c r="E248" s="48" t="e">
        <x:f>HYPERLINK("https://www.google.com/maps/dir/?api=1&amp;destination=%E7%BE%BD%E7%94%B0%E7%A9%BA%E6%B8%AF%20%E7%AC%AC2%E3%82%BF%E3%83%BC%E3%83%9F%E3%83%8A%E3%83%AB%E5%B1%95%E6%9C%9B%E3%83%87%E3%83%83%E3%82%AD%EF%BC%8FFLIGHT%20DECK%20TOKYO&amp;travelmode=driving","現在地からナビ開始")</x:f>
      </x:c>
      <x:c r="F248" s="27" t="str">
        <x:v>屋外デッキと屋内展望フロアを使い分けられ、雨天や強風でも航空機を目的地化しやすい。</x:v>
      </x:c>
      <x:c r="G248" s="27" t="str">
        <x:v>P3 2,449台／P4 3,087台・有料</x:v>
      </x:c>
      <x:c r="H248" s="27" t="str">
        <x:v>屋外展望デッキ6:30～22:00／屋内FLIGHT DECK 5:00～23:00</x:v>
      </x:c>
      <x:c r="I248" s="27" t="n">
        <x:v>5</x:v>
      </x:c>
      <x:c r="J248" s="27" t="n">
        <x:v>2</x:v>
      </x:c>
      <x:c r="K248" s="27" t="str">
        <x:v>悪天候時は屋外閉鎖。多客期は駐車場混雑。雨天ルートでは屋内FLIGHT DECKを優先。</x:v>
      </x:c>
      <x:c r="L248" s="28" t="n">
        <x:v>46232</x:v>
      </x:c>
      <x:c r="M248" s="27" t="str">
        <x:v>一次確認済</x:v>
      </x:c>
      <x:c r="N248" s="27" t="str">
        <x:v>https://tokyo-haneda.com/service/facilities/observation_deck.html</x:v>
      </x:c>
      <x:c r="O248" s="27" t="str">
        <x:v>第2ターミナルはANA系国内線の拠点として開業し、現在は国際線機能も備える。</x:v>
      </x:c>
      <x:c r="P248" s="84" t="e">
        <x:f>HYPERLINK("https://ja.wikipedia.org/wiki/Special:Search?search=%E7%BE%BD%E7%94%B0%E7%A9%BA%E6%B8%AF%20%E7%AC%AC2%E3%82%BF%E3%83%BC%E3%83%9F%E3%83%8A%E3%83%AB%E5%B1%95%E6%9C%9B%E3%83%87%E3%83%83%E3%82%AD%EF%BC%8FFLIGHT%20DECK%20TOKYO","Wikipedia・関連項目")</x:f>
      </x:c>
      <x:c r="Q248" s="27" t="str">
        <x:v>2026-07-29公式再確認：屋外22時、屋内23時、大規模駐車場を反映。</x:v>
      </x:c>
      <x:c r="R248" s="27" t="str">
        <x:v>0〜10km</x:v>
      </x:c>
      <x:c r="S248" s="27" t="str">
        <x:v>蒲田から約10〜14km</x:v>
      </x:c>
      <x:c r="T248" s="27" t="str">
        <x:v>通常25〜45分</x:v>
      </x:c>
      <x:c r="U248" s="27" t="str">
        <x:v>飛行機・雨天・夜</x:v>
      </x:c>
      <x:c r="V248" s="27" t="str">
        <x:v>30〜90分</x:v>
      </x:c>
      <x:c r="W248" s="27" t="n">
        <x:v>5</x:v>
      </x:c>
      <x:c r="X248" s="27" t="n">
        <x:v>2</x:v>
      </x:c>
      <x:c r="Y248" s="27" t="str">
        <x:v>羽田空港 第1ターミナル展望デッキ</x:v>
      </x:c>
      <x:c r="Z248" s="27" t="str">
        <x:v>羽田空港 第3ターミナル展望デッキ／京浜島つばさ公園</x:v>
      </x:c>
      <x:c r="AA248" s="22" t="str">
        <x:v>なし</x:v>
      </x:c>
      <x:c r="AB248" s="22" t="str">
        <x:v>-</x:v>
      </x:c>
      <x:c r="AC248" s="22" t="str"/>
      <x:c r="AD248" s="22" t="str">
        <x:v>専用・路外駐車を基本</x:v>
      </x:c>
      <x:c r="AE248" s="22" t="str"/>
    </x:row>
    <x:row r="249">
      <x:c r="A249" s="27" t="str">
        <x:v>D248</x:v>
      </x:c>
      <x:c r="B249" s="27" t="str">
        <x:v>池上梅園</x:v>
      </x:c>
      <x:c r="C249" s="27" t="str">
        <x:v>大田区・池上</x:v>
      </x:c>
      <x:c r="D249" s="27" t="str">
        <x:v>日本庭園・梅・茶室Story</x:v>
      </x:c>
      <x:c r="E249" s="48" t="e">
        <x:f>HYPERLINK("https://www.google.com/maps/dir/?api=1&amp;destination=%E6%B1%A0%E4%B8%8A%E6%A2%85%E5%9C%92&amp;travelmode=driving","現在地からナビ開始")</x:f>
      </x:c>
      <x:c r="F249" s="27" t="str">
        <x:v>丘陵斜面を使った小さな庭園で、短時間でも季節と静けさを得られる。近距離の昼Endingとして密度が高い。</x:v>
      </x:c>
      <x:c r="G249" s="27" t="str">
        <x:v>あり・一般6台＋身障者1台・30分100円</x:v>
      </x:c>
      <x:c r="H249" s="27" t="str">
        <x:v>9:00～16:30／入園16:00まで</x:v>
      </x:c>
      <x:c r="I249" s="27" t="n">
        <x:v>1</x:v>
      </x:c>
      <x:c r="J249" s="27" t="n">
        <x:v>4</x:v>
      </x:c>
      <x:c r="K249" s="27" t="str">
        <x:v>梅見頃の2月・3月上旬の土日祝は駐車場利用不可。月曜休園期あり。</x:v>
      </x:c>
      <x:c r="L249" s="28" t="n">
        <x:v>46232</x:v>
      </x:c>
      <x:c r="M249" s="27" t="str">
        <x:v>一次確認済</x:v>
      </x:c>
      <x:c r="N249" s="27" t="str">
        <x:v>https://www.city.ota.tokyo.jp/shisetsu/park/ikegamibaien.html</x:v>
      </x:c>
      <x:c r="O249" s="27" t="str">
        <x:v>園内の聴雨庵は、戦時中に東条内閣打倒の密議が行われたとされる茶室を移築したもの。</x:v>
      </x:c>
      <x:c r="P249" s="84" t="e">
        <x:f>HYPERLINK("https://ja.wikipedia.org/wiki/Special:Search?search=%E6%B1%A0%E4%B8%8A%E6%A2%85%E5%9C%92","Wikipedia・関連項目")</x:f>
      </x:c>
      <x:c r="Q249" s="27" t="str">
        <x:v>近距離コア新規追加</x:v>
      </x:c>
      <x:c r="R249" s="27" t="str">
        <x:v>0〜10km</x:v>
      </x:c>
      <x:c r="S249" s="27" t="str">
        <x:v>蒲田から約4〜7km</x:v>
      </x:c>
      <x:c r="T249" s="27" t="str">
        <x:v>通常15〜25分</x:v>
      </x:c>
      <x:c r="U249" s="27" t="str">
        <x:v>静かな昼・季節Story</x:v>
      </x:c>
      <x:c r="V249" s="27" t="str">
        <x:v>30〜60分</x:v>
      </x:c>
      <x:c r="W249" s="27" t="n">
        <x:v>2</x:v>
      </x:c>
      <x:c r="X249" s="27" t="n">
        <x:v>1</x:v>
      </x:c>
      <x:c r="Y249" s="27" t="str">
        <x:v>平和の森公園</x:v>
      </x:c>
      <x:c r="Z249" s="27" t="str">
        <x:v>池上本門寺周辺／大森ふるさとの浜辺公園</x:v>
      </x:c>
      <x:c r="AA249" s="22" t="str">
        <x:v>なし</x:v>
      </x:c>
      <x:c r="AB249" s="22" t="str">
        <x:v>-</x:v>
      </x:c>
      <x:c r="AC249" s="22" t="str"/>
      <x:c r="AD249" s="22" t="str">
        <x:v>専用・路外駐車を基本</x:v>
      </x:c>
      <x:c r="AE249" s="22" t="str"/>
    </x:row>
    <x:row r="250">
      <x:c r="A250" s="27" t="str">
        <x:v>D249</x:v>
      </x:c>
      <x:c r="B250" s="27" t="str">
        <x:v>多摩川六郷橋緑地</x:v>
      </x:c>
      <x:c r="C250" s="27" t="str">
        <x:v>大田区・東六郷</x:v>
      </x:c>
      <x:c r="D250" s="27" t="str">
        <x:v>河川敷・橋・広い空</x:v>
      </x:c>
      <x:c r="E250" s="48" t="e">
        <x:f>HYPERLINK("https://www.google.com/maps/dir/?api=1&amp;destination=%E5%A4%9A%E6%91%A9%E5%B7%9D%E5%85%AD%E9%83%B7%E6%A9%8B%E7%B7%91%E5%9C%B0&amp;travelmode=driving","現在地からナビ開始")</x:f>
      </x:c>
      <x:c r="F250" s="27" t="str">
        <x:v>蒲田から極めて近く、六郷橋と多摩川の広い空を車で気軽に取りに行ける週末型Ending。</x:v>
      </x:c>
      <x:c r="G250" s="27" t="str">
        <x:v>あり・195台・土日祝のみ・1日500円</x:v>
      </x:c>
      <x:c r="H250" s="27" t="str">
        <x:v>季節により5:30～19:30／冬7:30～17:30</x:v>
      </x:c>
      <x:c r="I250" s="27" t="n">
        <x:v>2</x:v>
      </x:c>
      <x:c r="J250" s="27" t="n">
        <x:v>4</x:v>
      </x:c>
      <x:c r="K250" s="27" t="str">
        <x:v>平日は駐車場閉鎖。閉鎖時刻後は出庫不可。台風・増水・イベント時は閉鎖。</x:v>
      </x:c>
      <x:c r="L250" s="28" t="n">
        <x:v>46232</x:v>
      </x:c>
      <x:c r="M250" s="27" t="str">
        <x:v>一次確認済</x:v>
      </x:c>
      <x:c r="N250" s="27" t="str">
        <x:v>https://www.city.ota.tokyo.jp/shisetsu/kuei_park/rokugobashiryokuchi_chusyajyo.html</x:v>
      </x:c>
      <x:c r="O250" s="27" t="str">
        <x:v>六郷は東海道の多摩川渡河点として栄え、六郷橋は東京と川崎を結ぶ歴史的な交通軸に位置する。</x:v>
      </x:c>
      <x:c r="P250" s="84" t="e">
        <x:f>HYPERLINK("https://ja.wikipedia.org/wiki/Special:Search?search=%E5%A4%9A%E6%91%A9%E5%B7%9D%E5%85%AD%E9%83%B7%E6%A9%8B%E7%B7%91%E5%9C%B0","Wikipedia・関連項目")</x:f>
      </x:c>
      <x:c r="Q250" s="27" t="str">
        <x:v>近距離コア新規追加</x:v>
      </x:c>
      <x:c r="R250" s="27" t="str">
        <x:v>0〜10km</x:v>
      </x:c>
      <x:c r="S250" s="27" t="str">
        <x:v>蒲田から約3〜6km</x:v>
      </x:c>
      <x:c r="T250" s="27" t="str">
        <x:v>通常10〜20分</x:v>
      </x:c>
      <x:c r="U250" s="27" t="str">
        <x:v>休日朝夕・河川</x:v>
      </x:c>
      <x:c r="V250" s="27" t="str">
        <x:v>30〜60分</x:v>
      </x:c>
      <x:c r="W250" s="27" t="n">
        <x:v>1</x:v>
      </x:c>
      <x:c r="X250" s="27" t="n">
        <x:v>3</x:v>
      </x:c>
      <x:c r="Y250" s="27" t="str">
        <x:v>多摩川ガス橋緑地</x:v>
      </x:c>
      <x:c r="Z250" s="27" t="str">
        <x:v>多摩川浅間神社／御幸公園</x:v>
      </x:c>
      <x:c r="AA250" s="22" t="str">
        <x:v>なし</x:v>
      </x:c>
      <x:c r="AB250" s="22" t="str">
        <x:v>-</x:v>
      </x:c>
      <x:c r="AC250" s="22" t="str"/>
      <x:c r="AD250" s="22" t="str">
        <x:v>専用・路外駐車を基本</x:v>
      </x:c>
      <x:c r="AE250" s="22" t="str"/>
    </x:row>
    <x:row r="251">
      <x:c r="A251" s="27" t="str">
        <x:v>D250</x:v>
      </x:c>
      <x:c r="B251" s="27" t="str">
        <x:v>多摩川ガス橋緑地</x:v>
      </x:c>
      <x:c r="C251" s="27" t="str">
        <x:v>大田区・下丸子</x:v>
      </x:c>
      <x:c r="D251" s="27" t="str">
        <x:v>河川敷・橋・芝生</x:v>
      </x:c>
      <x:c r="E251" s="48" t="e">
        <x:f>HYPERLINK("https://www.google.com/maps/dir/?api=1&amp;destination=%E5%A4%9A%E6%91%A9%E5%B7%9D%E3%82%AC%E3%82%B9%E6%A9%8B%E7%B7%91%E5%9C%B0&amp;travelmode=driving","現在地からナビ開始")</x:f>
      </x:c>
      <x:c r="F251" s="27" t="str">
        <x:v>ガス橋の構造、武蔵小杉方面の空、広い河川敷を近距離で楽しめる。休日の短時間リセットに向く。</x:v>
      </x:c>
      <x:c r="G251" s="27" t="str">
        <x:v>あり・196台・土日祝のみ・1日500円</x:v>
      </x:c>
      <x:c r="H251" s="27" t="str">
        <x:v>季節により5:30～19:30／冬7:30～17:30</x:v>
      </x:c>
      <x:c r="I251" s="27" t="n">
        <x:v>2</x:v>
      </x:c>
      <x:c r="J251" s="27" t="n">
        <x:v>4</x:v>
      </x:c>
      <x:c r="K251" s="27" t="str">
        <x:v>平日は駐車場閉鎖。閉鎖時刻後は出庫不可。増水・台風・イベント時は閉鎖。</x:v>
      </x:c>
      <x:c r="L251" s="28" t="n">
        <x:v>46232</x:v>
      </x:c>
      <x:c r="M251" s="27" t="str">
        <x:v>一次確認済</x:v>
      </x:c>
      <x:c r="N251" s="27" t="str">
        <x:v>https://www.city.ota.tokyo.jp/shisetsu/kuei_park/gasbashiryokuchi_chusyajyo.html</x:v>
      </x:c>
      <x:c r="O251" s="27" t="str">
        <x:v>ガス橋は東京ガスのガス管を通す橋として架けられ、現在は道路橋として多摩川両岸を結ぶ。</x:v>
      </x:c>
      <x:c r="P251" s="84" t="e">
        <x:f>HYPERLINK("https://ja.wikipedia.org/wiki/Special:Search?search=%E5%A4%9A%E6%91%A9%E5%B7%9D%E3%82%AC%E3%82%B9%E6%A9%8B%E7%B7%91%E5%9C%B0","Wikipedia・関連項目")</x:f>
      </x:c>
      <x:c r="Q251" s="27" t="str">
        <x:v>近距離コア新規追加</x:v>
      </x:c>
      <x:c r="R251" s="27" t="str">
        <x:v>0〜10km</x:v>
      </x:c>
      <x:c r="S251" s="27" t="str">
        <x:v>蒲田から約4〜7km</x:v>
      </x:c>
      <x:c r="T251" s="27" t="str">
        <x:v>通常15〜25分</x:v>
      </x:c>
      <x:c r="U251" s="27" t="str">
        <x:v>休日朝夕・河川</x:v>
      </x:c>
      <x:c r="V251" s="27" t="str">
        <x:v>30〜60分</x:v>
      </x:c>
      <x:c r="W251" s="27" t="n">
        <x:v>1</x:v>
      </x:c>
      <x:c r="X251" s="27" t="n">
        <x:v>3</x:v>
      </x:c>
      <x:c r="Y251" s="27" t="str">
        <x:v>多摩川六郷橋緑地</x:v>
      </x:c>
      <x:c r="Z251" s="27" t="str">
        <x:v>多摩川浅間神社／御幸公園</x:v>
      </x:c>
      <x:c r="AA251" s="22" t="str">
        <x:v>なし</x:v>
      </x:c>
      <x:c r="AB251" s="22" t="str">
        <x:v>-</x:v>
      </x:c>
      <x:c r="AC251" s="22" t="str"/>
      <x:c r="AD251" s="22" t="str">
        <x:v>専用・路外駐車を基本</x:v>
      </x:c>
      <x:c r="AE251" s="22" t="str"/>
    </x:row>
    <x:row r="252">
      <x:c r="A252" s="27" t="str">
        <x:v>D251</x:v>
      </x:c>
      <x:c r="B252" s="27" t="str">
        <x:v>お台場海浜公園</x:v>
      </x:c>
      <x:c r="C252" s="27" t="str">
        <x:v>港区・台場</x:v>
      </x:c>
      <x:c r="D252" s="27" t="str">
        <x:v>海浜・第三台場・都市夜景</x:v>
      </x:c>
      <x:c r="E252" s="48" t="e">
        <x:f>HYPERLINK("https://www.google.com/maps/dir/?api=1&amp;destination=%E3%81%8A%E5%8F%B0%E5%A0%B4%E6%B5%B7%E6%B5%9C%E5%85%AC%E5%9C%92&amp;travelmode=driving","現在地からナビ開始")</x:f>
      </x:c>
      <x:c r="F252" s="27" t="str">
        <x:v>レインボーブリッジ、砂浜、第三台場、都心夜景が一つにまとまり、近距離でも王道の到達感を得られる。</x:v>
      </x:c>
      <x:c r="G252" s="27" t="str">
        <x:v>中央101台／北口244台・有料・24時間</x:v>
      </x:c>
      <x:c r="H252" s="27" t="str">
        <x:v>公園・駐車場24時間</x:v>
      </x:c>
      <x:c r="I252" s="27" t="n">
        <x:v>5</x:v>
      </x:c>
      <x:c r="J252" s="27" t="n">
        <x:v>1</x:v>
      </x:c>
      <x:c r="K252" s="27" t="str">
        <x:v>大規模イベント時は駐車場閉鎖・交通規制あり。北口のみ24時間最大料金設定。</x:v>
      </x:c>
      <x:c r="L252" s="28" t="n">
        <x:v>46232</x:v>
      </x:c>
      <x:c r="M252" s="27" t="str">
        <x:v>一次確認済</x:v>
      </x:c>
      <x:c r="N252" s="27" t="str">
        <x:v>https://www.tptc.co.jp/park/01_02/access</x:v>
      </x:c>
      <x:c r="O252" s="27" t="str">
        <x:v>第三台場はペリー来航後に江戸幕府が東京湾防備のため築いた砲台跡で、公園から徒歩で入れる。</x:v>
      </x:c>
      <x:c r="P252" s="84" t="e">
        <x:f>HYPERLINK("https://ja.wikipedia.org/wiki/Special:Search?search=%E3%81%8A%E5%8F%B0%E5%A0%B4%E6%B5%B7%E6%B5%9C%E5%85%AC%E5%9C%92","Wikipedia・関連項目")</x:f>
      </x:c>
      <x:c r="Q252" s="27" t="str">
        <x:v>2026-07-29公式再確認：中央・北口とも24時間、台数・料金条件を反映。</x:v>
      </x:c>
      <x:c r="R252" s="27" t="str">
        <x:v>10〜20km</x:v>
      </x:c>
      <x:c r="S252" s="27" t="str">
        <x:v>蒲田から約12〜18km</x:v>
      </x:c>
      <x:c r="T252" s="27" t="str">
        <x:v>通常25〜45分</x:v>
      </x:c>
      <x:c r="U252" s="27" t="str">
        <x:v>平日夜・海・都市夜景</x:v>
      </x:c>
      <x:c r="V252" s="27" t="str">
        <x:v>45〜90分</x:v>
      </x:c>
      <x:c r="W252" s="27" t="n">
        <x:v>2</x:v>
      </x:c>
      <x:c r="X252" s="27" t="n">
        <x:v>3</x:v>
      </x:c>
      <x:c r="Y252" s="27" t="str">
        <x:v>潮風公園</x:v>
      </x:c>
      <x:c r="Z252" s="27" t="str">
        <x:v>晴海ふ頭公園／豊洲ぐるり公園</x:v>
      </x:c>
      <x:c r="AA252" s="22" t="str">
        <x:v>なし</x:v>
      </x:c>
      <x:c r="AB252" s="22" t="str">
        <x:v>-</x:v>
      </x:c>
      <x:c r="AC252" s="22" t="str"/>
      <x:c r="AD252" s="22" t="str">
        <x:v>専用・路外駐車を基本</x:v>
      </x:c>
      <x:c r="AE252" s="22" t="str"/>
    </x:row>
    <x:row r="253">
      <x:c r="A253" s="27" t="str">
        <x:v>D252</x:v>
      </x:c>
      <x:c r="B253" s="27" t="str">
        <x:v>豊洲市場 屋上緑化広場</x:v>
      </x:c>
      <x:c r="C253" s="27" t="str">
        <x:v>江東区・豊洲</x:v>
      </x:c>
      <x:c r="D253" s="27" t="str">
        <x:v>屋上芝生・市場・湾岸展望</x:v>
      </x:c>
      <x:c r="E253" s="48" t="e">
        <x:f>HYPERLINK("https://www.google.com/maps/dir/?api=1&amp;destination=%E8%B1%8A%E6%B4%B2%E5%B8%82%E5%A0%B4%20%E5%B1%8B%E4%B8%8A%E7%B7%91%E5%8C%96%E5%BA%83%E5%A0%B4&amp;travelmode=driving","現在地からナビ開始")</x:f>
      </x:c>
      <x:c r="F253" s="27" t="str">
        <x:v>市場建築の屋上に広い芝生と東京湾の眺望があり、食・産業・夜景を一地点でつなげられる。</x:v>
      </x:c>
      <x:c r="G253" s="27" t="str">
        <x:v>市場内一般駐車不可／周辺民間駐車場利用</x:v>
      </x:c>
      <x:c r="H253" s="27" t="str">
        <x:v>屋上5:00～23:00</x:v>
      </x:c>
      <x:c r="I253" s="27" t="n">
        <x:v>5</x:v>
      </x:c>
      <x:c r="J253" s="27" t="n">
        <x:v>3</x:v>
      </x:c>
      <x:c r="K253" s="27" t="str">
        <x:v>市場内駐車場は関係者専用。周辺道路は駐停車禁止。雨天時は芝生が滑りやすい。</x:v>
      </x:c>
      <x:c r="L253" s="28" t="n">
        <x:v>46232</x:v>
      </x:c>
      <x:c r="M253" s="27" t="str">
        <x:v>一次確認済</x:v>
      </x:c>
      <x:c r="N253" s="27" t="str">
        <x:v>https://www.shijou.metro.tokyo.lg.jp/info/0/kenngaku/kenngaku1</x:v>
      </x:c>
      <x:c r="O253" s="27" t="str">
        <x:v>築地市場から移転した中央卸売市場の屋上を緑化し、巨大な物流施設を公共的な展望空間として開放している。</x:v>
      </x:c>
      <x:c r="P253" s="84" t="e">
        <x:f>HYPERLINK("https://ja.wikipedia.org/wiki/Special:Search?search=%E8%B1%8A%E6%B4%B2%E5%B8%82%E5%A0%B4%20%E5%B1%8B%E4%B8%8A%E7%B7%91%E5%8C%96%E5%BA%83%E5%A0%B4","Wikipedia・関連項目")</x:f>
      </x:c>
      <x:c r="Q253" s="27" t="str">
        <x:v>近距離コア新規追加</x:v>
      </x:c>
      <x:c r="R253" s="27" t="str">
        <x:v>10〜20km</x:v>
      </x:c>
      <x:c r="S253" s="27" t="str">
        <x:v>蒲田から約16〜22km</x:v>
      </x:c>
      <x:c r="T253" s="27" t="str">
        <x:v>通常30〜55分</x:v>
      </x:c>
      <x:c r="U253" s="27" t="str">
        <x:v>平日夜・市場Story・湾岸</x:v>
      </x:c>
      <x:c r="V253" s="27" t="str">
        <x:v>30〜75分</x:v>
      </x:c>
      <x:c r="W253" s="27" t="n">
        <x:v>2</x:v>
      </x:c>
      <x:c r="X253" s="27" t="n">
        <x:v>1</x:v>
      </x:c>
      <x:c r="Y253" s="27" t="str">
        <x:v>豊洲ぐるり公園</x:v>
      </x:c>
      <x:c r="Z253" s="27" t="str">
        <x:v>晴海ふ頭公園／お台場海浜公園</x:v>
      </x:c>
      <x:c r="AA253" s="22" t="str">
        <x:v>なし</x:v>
      </x:c>
      <x:c r="AB253" s="22" t="str">
        <x:v>-</x:v>
      </x:c>
      <x:c r="AC253" s="22" t="str"/>
      <x:c r="AD253" s="22" t="str">
        <x:v>専用・路外駐車を基本</x:v>
      </x:c>
      <x:c r="AE253" s="22" t="str"/>
    </x:row>
    <x:row r="254">
      <x:c r="A254" s="22" t="str">
        <x:v>D253</x:v>
      </x:c>
      <x:c r="B254" s="22" t="str">
        <x:v>平和島公園</x:v>
      </x:c>
      <x:c r="C254" s="22" t="str">
        <x:v>大田区・平和島</x:v>
      </x:c>
      <x:c r="D254" s="22" t="str">
        <x:v>総合公園・防災・24時間駐車</x:v>
      </x:c>
      <x:c r="E254" s="95" t="e">
        <x:f>HYPERLINK("https://www.google.com/maps/dir/?api=1&amp;destination=%E5%B9%B3%E5%92%8C%E5%B3%B6%E5%85%AC%E5%9C%92&amp;travelmode=driving","現在地からナビ開始")</x:f>
      </x:c>
      <x:c r="F254" s="22" t="str">
        <x:v>蒲田から近く、80台の24時間駐車場がある。遠出する気力がない夜でも、緑・広場・水施設で短時間のリセット先になる。</x:v>
      </x:c>
      <x:c r="G254" s="22" t="str">
        <x:v>第1駐車場60台＋第2駐車場20台・30分100円・24時間</x:v>
      </x:c>
      <x:c r="H254" s="22" t="str">
        <x:v>公園・駐車場24時間</x:v>
      </x:c>
      <x:c r="I254" s="22" t="n">
        <x:v>4</x:v>
      </x:c>
      <x:c r="J254" s="22" t="n">
        <x:v>3</x:v>
      </x:c>
      <x:c r="K254" s="22" t="str">
        <x:v>休日は入庫待ちが長くなる場合がある。公園利用以外の駐車は禁止。夜間は住宅・スポーツ利用者へ配慮。</x:v>
      </x:c>
      <x:c r="L254" s="23" t="n">
        <x:v>46232</x:v>
      </x:c>
      <x:c r="M254" s="22" t="str">
        <x:v>一次確認済</x:v>
      </x:c>
      <x:c r="N254" s="22" t="str">
        <x:v>https://www.city.ota.tokyo.jp/shisetsu/park/heiwajima.html</x:v>
      </x:c>
      <x:c r="O254" s="22" t="str">
        <x:v>京浜運河沿いの埋立地に整備された公園で、スポーツ・レクリエーションと防災機能を兼ねる。</x:v>
      </x:c>
      <x:c r="P254" s="96" t="e">
        <x:f>HYPERLINK("https://ja.wikipedia.org/wiki/Special:Search?search=%E5%B9%B3%E5%92%8C%E5%B3%B6%E5%85%AC%E5%9C%92","Wikipedia・関連項目")</x:f>
      </x:c>
      <x:c r="Q254" s="22" t="str">
        <x:v>近距離代替経由地プール追加</x:v>
      </x:c>
      <x:c r="R254" s="22" t="str">
        <x:v>0〜10km</x:v>
      </x:c>
      <x:c r="S254" s="22" t="str">
        <x:v>蒲田から約4〜7km</x:v>
      </x:c>
      <x:c r="T254" s="22" t="str">
        <x:v>通常15〜25分</x:v>
      </x:c>
      <x:c r="U254" s="22" t="str">
        <x:v>平日夜・短時間休憩</x:v>
      </x:c>
      <x:c r="V254" s="22" t="str">
        <x:v>20〜50分</x:v>
      </x:c>
      <x:c r="W254" s="22" t="n">
        <x:v>1</x:v>
      </x:c>
      <x:c r="X254" s="22" t="n">
        <x:v>2</x:v>
      </x:c>
      <x:c r="Y254" s="22" t="str">
        <x:v>平和の森公園</x:v>
      </x:c>
      <x:c r="Z254" s="22" t="str">
        <x:v>しながわ区民公園／大森ふるさとの浜辺公園</x:v>
      </x:c>
      <x:c r="AA254" s="22" t="str">
        <x:v>なし</x:v>
      </x:c>
      <x:c r="AB254" s="22" t="str">
        <x:v>-</x:v>
      </x:c>
      <x:c r="AC254" s="22" t="str"/>
      <x:c r="AD254" s="22" t="str">
        <x:v>専用・路外駐車を基本</x:v>
      </x:c>
      <x:c r="AE254" s="22" t="str"/>
    </x:row>
    <x:row r="255">
      <x:c r="A255" s="22" t="str">
        <x:v>D254</x:v>
      </x:c>
      <x:c r="B255" s="22" t="str">
        <x:v>しながわ区民公園</x:v>
      </x:c>
      <x:c r="C255" s="22" t="str">
        <x:v>品川区・勝島</x:v>
      </x:c>
      <x:c r="D255" s="22" t="str">
        <x:v>人工湖・松並木・防災公園</x:v>
      </x:c>
      <x:c r="E255" s="95" t="e">
        <x:f>HYPERLINK("https://www.google.com/maps/dir/?api=1&amp;destination=%E3%81%97%E3%81%AA%E3%81%8C%E3%82%8F%E5%8C%BA%E6%B0%91%E5%85%AC%E5%9C%92&amp;travelmode=driving","現在地からナビ開始")</x:f>
      </x:c>
      <x:c r="F255" s="22" t="str">
        <x:v>人工湖『勝島の海』、松並木、広場がまとまり、大森海岸からすぐに水と緑へ切り替えられる近距離の昼～夕方候補。</x:v>
      </x:c>
      <x:c r="G255" s="22" t="str">
        <x:v>有料駐車場50台・20分100円</x:v>
      </x:c>
      <x:c r="H255" s="22" t="str">
        <x:v>公園6:00～20:30</x:v>
      </x:c>
      <x:c r="I255" s="22" t="n">
        <x:v>3</x:v>
      </x:c>
      <x:c r="J255" s="22" t="n">
        <x:v>2</x:v>
      </x:c>
      <x:c r="K255" s="22" t="str">
        <x:v>犬の入園不可。休日・水族館営業日は混雑。20時30分閉園のため夜遅くは使わない。</x:v>
      </x:c>
      <x:c r="L255" s="23" t="n">
        <x:v>46232</x:v>
      </x:c>
      <x:c r="M255" s="22" t="str">
        <x:v>一次確認済</x:v>
      </x:c>
      <x:c r="N255" s="22" t="str">
        <x:v>https://www.city.shinagawa.tokyo.jp/PC/shisetsu/shisetsu-bunka/shisetsu-bunka-kouen/hpg000000342.html</x:v>
      </x:c>
      <x:c r="O255" s="22" t="str">
        <x:v>勝島運河を埋め立てて整備され、約6,500平方メートルの海水人工湖『勝島の海』を持つ。</x:v>
      </x:c>
      <x:c r="P255" s="96" t="e">
        <x:f>HYPERLINK("https://ja.wikipedia.org/wiki/Special:Search?search=%E3%81%97%E3%81%AA%E3%81%8C%E3%82%8F%E5%8C%BA%E6%B0%91%E5%85%AC%E5%9C%92","Wikipedia・関連項目")</x:f>
      </x:c>
      <x:c r="Q255" s="22" t="str">
        <x:v>近距離代替経由地プール追加</x:v>
      </x:c>
      <x:c r="R255" s="22" t="str">
        <x:v>0〜10km</x:v>
      </x:c>
      <x:c r="S255" s="22" t="str">
        <x:v>蒲田から約6〜9km</x:v>
      </x:c>
      <x:c r="T255" s="22" t="str">
        <x:v>通常15〜30分</x:v>
      </x:c>
      <x:c r="U255" s="22" t="str">
        <x:v>夕方・水辺・静かな散歩</x:v>
      </x:c>
      <x:c r="V255" s="22" t="str">
        <x:v>30〜75分</x:v>
      </x:c>
      <x:c r="W255" s="22" t="n">
        <x:v>1</x:v>
      </x:c>
      <x:c r="X255" s="22" t="n">
        <x:v>1</x:v>
      </x:c>
      <x:c r="Y255" s="22" t="str">
        <x:v>平和島公園</x:v>
      </x:c>
      <x:c r="Z255" s="22" t="str">
        <x:v>大井ふ頭中央海浜公園／大森ふるさとの浜辺公園</x:v>
      </x:c>
      <x:c r="AA255" s="22" t="str">
        <x:v>なし</x:v>
      </x:c>
      <x:c r="AB255" s="22" t="str">
        <x:v>-</x:v>
      </x:c>
      <x:c r="AC255" s="22" t="str"/>
      <x:c r="AD255" s="22" t="str">
        <x:v>専用・路外駐車を基本</x:v>
      </x:c>
      <x:c r="AE255" s="22" t="str"/>
    </x:row>
    <x:row r="256">
      <x:c r="A256" s="22" t="str">
        <x:v>D255</x:v>
      </x:c>
      <x:c r="B256" s="22" t="str">
        <x:v>大井ふ頭中央海浜公園</x:v>
      </x:c>
      <x:c r="C256" s="22" t="str">
        <x:v>品川区・八潮／大田区・東海</x:v>
      </x:c>
      <x:c r="D256" s="22" t="str">
        <x:v>運河・干潟・スポーツ・産業景観</x:v>
      </x:c>
      <x:c r="E256" s="95" t="e">
        <x:f>HYPERLINK("https://www.google.com/maps/dir/?api=1&amp;destination=%E5%A4%A7%E4%BA%95%E3%81%B5%E9%A0%AD%E4%B8%AD%E5%A4%AE%E6%B5%B7%E6%B5%9C%E5%85%AC%E5%9C%92&amp;travelmode=driving","現在地からナビ開始")</x:f>
      </x:c>
      <x:c r="F256" s="22" t="str">
        <x:v>スポーツの森となぎさの森を使い分けられ、京浜運河、人工なぎさ、物流地帯の景観を近距離で回収できる。</x:v>
      </x:c>
      <x:c r="G256" s="22" t="str">
        <x:v>第2駐車場110台・1時間300円＋30分100円・現在24時間／第1駐車場190台は工事閉鎖中</x:v>
      </x:c>
      <x:c r="H256" s="22" t="str">
        <x:v>公園常時を基本／第2駐車場24時間は第1駐車場工事中のみ／12月30日～1月1日休業</x:v>
      </x:c>
      <x:c r="I256" s="22" t="n">
        <x:v>4</x:v>
      </x:c>
      <x:c r="J256" s="22" t="n">
        <x:v>3</x:v>
      </x:c>
      <x:c r="K256" s="22" t="str">
        <x:v>第1駐車場は2027年3月下旬予定まで閉鎖。自然観察路の立入制限や大会開催を当日確認。夜は明るい範囲のみ利用。</x:v>
      </x:c>
      <x:c r="L256" s="23" t="n">
        <x:v>46232</x:v>
      </x:c>
      <x:c r="M256" s="22" t="str">
        <x:v>一次確認済</x:v>
      </x:c>
      <x:c r="N256" s="22" t="str">
        <x:v>https://tokyo-south-seaside-parks.com/oi-hockey-access/</x:v>
      </x:c>
      <x:c r="O256" s="22" t="str">
        <x:v>公園は『スポーツの森』と『なぎさの森』に分かれ、東京湾岸のスポーツ拠点と水辺環境を一体化している。</x:v>
      </x:c>
      <x:c r="P256" s="96" t="e">
        <x:f>HYPERLINK("https://ja.wikipedia.org/wiki/Special:Search?search=%E5%A4%A7%E4%BA%95%E3%81%B5%E9%A0%AD%E4%B8%AD%E5%A4%AE%E6%B5%B7%E6%B5%9C%E5%85%AC%E5%9C%92","Wikipedia・関連項目")</x:f>
      </x:c>
      <x:c r="Q256" s="22" t="str">
        <x:v>近距離代替経由地プール追加</x:v>
      </x:c>
      <x:c r="R256" s="22" t="str">
        <x:v>0〜10km</x:v>
      </x:c>
      <x:c r="S256" s="22" t="str">
        <x:v>蒲田から約8〜12km</x:v>
      </x:c>
      <x:c r="T256" s="22" t="str">
        <x:v>通常20〜35分</x:v>
      </x:c>
      <x:c r="U256" s="22" t="str">
        <x:v>夕方・運河・短時間散歩</x:v>
      </x:c>
      <x:c r="V256" s="22" t="str">
        <x:v>30〜90分</x:v>
      </x:c>
      <x:c r="W256" s="22" t="n">
        <x:v>1</x:v>
      </x:c>
      <x:c r="X256" s="22" t="n">
        <x:v>2</x:v>
      </x:c>
      <x:c r="Y256" s="22" t="str">
        <x:v>東京港野鳥公園</x:v>
      </x:c>
      <x:c r="Z256" s="22" t="str">
        <x:v>しながわ区民公園／平和島公園</x:v>
      </x:c>
      <x:c r="AA256" s="22" t="str">
        <x:v>なし</x:v>
      </x:c>
      <x:c r="AB256" s="22" t="str">
        <x:v>-</x:v>
      </x:c>
      <x:c r="AC256" s="22" t="str"/>
      <x:c r="AD256" s="22" t="str">
        <x:v>専用・路外駐車を基本</x:v>
      </x:c>
      <x:c r="AE256" s="22" t="str"/>
    </x:row>
    <x:row r="257">
      <x:c r="A257" s="22" t="str">
        <x:v>D256</x:v>
      </x:c>
      <x:c r="B257" s="22" t="str">
        <x:v>ちどり公園</x:v>
      </x:c>
      <x:c r="C257" s="22" t="str">
        <x:v>川崎市川崎区・千鳥町</x:v>
      </x:c>
      <x:c r="D257" s="22" t="str">
        <x:v>川崎港・運河・小展望台</x:v>
      </x:c>
      <x:c r="E257" s="95" t="e">
        <x:f>HYPERLINK("https://www.google.com/maps/dir/?api=1&amp;destination=%E3%81%A1%E3%81%A9%E3%82%8A%E5%85%AC%E5%9C%92&amp;travelmode=driving","現在地からナビ開始")</x:f>
      </x:c>
      <x:c r="F257" s="22" t="str">
        <x:v>高さ約7mの展望台から京浜運河、船、東扇島を眺められ、工場夜景へ入る前の昼間導入地点として機能する。</x:v>
      </x:c>
      <x:c r="G257" s="22" t="str">
        <x:v>あり・約30台・無料</x:v>
      </x:c>
      <x:c r="H257" s="22" t="str">
        <x:v>公園24時間／駐車場9:00～18:00</x:v>
      </x:c>
      <x:c r="I257" s="22" t="n">
        <x:v>2</x:v>
      </x:c>
      <x:c r="J257" s="22" t="n">
        <x:v>4</x:v>
      </x:c>
      <x:c r="K257" s="22" t="str">
        <x:v>車利用は18時まで。30台程度で満車時は待たない。釣り禁止。工場敷地・岸壁へ入らない。</x:v>
      </x:c>
      <x:c r="L257" s="23" t="n">
        <x:v>46232</x:v>
      </x:c>
      <x:c r="M257" s="22" t="str">
        <x:v>一次確認済</x:v>
      </x:c>
      <x:c r="N257" s="22" t="str">
        <x:v>https://www.city.kawasaki.jp/580/page/0000167054.html</x:v>
      </x:c>
      <x:c r="O257" s="22" t="str">
        <x:v>川崎港の運河に面する約4万平方メートルの臨海公園で、船舶と港湾施設を見渡せる展望台を持つ。</x:v>
      </x:c>
      <x:c r="P257" s="96" t="e">
        <x:f>HYPERLINK("https://ja.wikipedia.org/wiki/Special:Search?search=%E3%81%A1%E3%81%A9%E3%82%8A%E5%85%AC%E5%9C%92","Wikipedia・関連項目")</x:f>
      </x:c>
      <x:c r="Q257" s="22" t="str">
        <x:v>近距離代替経由地プール追加</x:v>
      </x:c>
      <x:c r="R257" s="22" t="str">
        <x:v>10〜20km</x:v>
      </x:c>
      <x:c r="S257" s="22" t="str">
        <x:v>蒲田から約12〜17km</x:v>
      </x:c>
      <x:c r="T257" s="22" t="str">
        <x:v>通常30〜50分</x:v>
      </x:c>
      <x:c r="U257" s="22" t="str">
        <x:v>昼・川崎港Story</x:v>
      </x:c>
      <x:c r="V257" s="22" t="str">
        <x:v>20〜45分</x:v>
      </x:c>
      <x:c r="W257" s="22" t="n">
        <x:v>1</x:v>
      </x:c>
      <x:c r="X257" s="22" t="n">
        <x:v>2</x:v>
      </x:c>
      <x:c r="Y257" s="22" t="str">
        <x:v>川崎マリエン</x:v>
      </x:c>
      <x:c r="Z257" s="22" t="str">
        <x:v>東扇島中公園／富士見公園</x:v>
      </x:c>
      <x:c r="AA257" s="22" t="str">
        <x:v>なし</x:v>
      </x:c>
      <x:c r="AB257" s="22" t="str">
        <x:v>-</x:v>
      </x:c>
      <x:c r="AC257" s="22" t="str"/>
      <x:c r="AD257" s="22" t="str">
        <x:v>専用・路外駐車を基本</x:v>
      </x:c>
      <x:c r="AE257" s="22" t="str"/>
    </x:row>
    <x:row r="258">
      <x:c r="A258" s="22" t="str">
        <x:v>D257</x:v>
      </x:c>
      <x:c r="B258" s="22" t="str">
        <x:v>東扇島中公園</x:v>
      </x:c>
      <x:c r="C258" s="22" t="str">
        <x:v>川崎市川崎区・東扇島</x:v>
      </x:c>
      <x:c r="D258" s="22" t="str">
        <x:v>芝生・港湾休憩・共有駐車</x:v>
      </x:c>
      <x:c r="E258" s="95" t="e">
        <x:f>HYPERLINK("https://www.google.com/maps/dir/?api=1&amp;destination=%E6%9D%B1%E6%89%87%E5%B3%B6%E4%B8%AD%E5%85%AC%E5%9C%92&amp;travelmode=driving","現在地からナビ開始")</x:f>
      </x:c>
      <x:c r="F258" s="22" t="str">
        <x:v>川崎マリエンに隣接し、芝生・港湾の空・休憩を短時間で取り込める。マリエンと1回の駐車で組み合わせられる。</x:v>
      </x:c>
      <x:c r="G258" s="22" t="str">
        <x:v>川崎マリエン駐車場を共用・有料</x:v>
      </x:c>
      <x:c r="H258" s="22" t="str">
        <x:v>公園24時間／駐車場22:30～6:00は入出場に一部制限</x:v>
      </x:c>
      <x:c r="I258" s="22" t="n">
        <x:v>4</x:v>
      </x:c>
      <x:c r="J258" s="22" t="n">
        <x:v>4</x:v>
      </x:c>
      <x:c r="K258" s="22" t="str">
        <x:v>深夜は駐車場の入出場制限を確認。公園単独で再駐車せず、川崎マリエンとの徒歩連結を基本とする。</x:v>
      </x:c>
      <x:c r="L258" s="23" t="n">
        <x:v>46232</x:v>
      </x:c>
      <x:c r="M258" s="22" t="str">
        <x:v>一次確認済</x:v>
      </x:c>
      <x:c r="N258" s="22" t="str">
        <x:v>https://www.city.kawasaki.jp/580/page/0000041705.html</x:v>
      </x:c>
      <x:c r="O258" s="22" t="str">
        <x:v>川崎マリエンに隣接する港湾公園で、芝生広場、バーベキュー場、キャンプサイトを備える。</x:v>
      </x:c>
      <x:c r="P258" s="96" t="e">
        <x:f>HYPERLINK("https://ja.wikipedia.org/wiki/Special:Search?search=%E6%9D%B1%E6%89%87%E5%B3%B6%E4%B8%AD%E5%85%AC%E5%9C%92","Wikipedia・関連項目")</x:f>
      </x:c>
      <x:c r="Q258" s="22" t="str">
        <x:v>近距離代替経由地プール追加</x:v>
      </x:c>
      <x:c r="R258" s="22" t="str">
        <x:v>10〜20km</x:v>
      </x:c>
      <x:c r="S258" s="22" t="str">
        <x:v>蒲田から約16〜21km</x:v>
      </x:c>
      <x:c r="T258" s="22" t="str">
        <x:v>通常35〜55分</x:v>
      </x:c>
      <x:c r="U258" s="22" t="str">
        <x:v>夕方・港湾休憩・共有駐車</x:v>
      </x:c>
      <x:c r="V258" s="22" t="str">
        <x:v>15〜45分</x:v>
      </x:c>
      <x:c r="W258" s="22" t="n">
        <x:v>1</x:v>
      </x:c>
      <x:c r="X258" s="22" t="n">
        <x:v>2</x:v>
      </x:c>
      <x:c r="Y258" s="22" t="str">
        <x:v>川崎マリエン</x:v>
      </x:c>
      <x:c r="Z258" s="22" t="str">
        <x:v>東扇島西公園／ちどり公園</x:v>
      </x:c>
      <x:c r="AA258" s="22" t="str">
        <x:v>なし</x:v>
      </x:c>
      <x:c r="AB258" s="22" t="str">
        <x:v>-</x:v>
      </x:c>
      <x:c r="AC258" s="22" t="str"/>
      <x:c r="AD258" s="22" t="str">
        <x:v>専用・路外駐車を基本</x:v>
      </x:c>
      <x:c r="AE258" s="22" t="str"/>
    </x:row>
    <x:row r="259">
      <x:c r="A259" s="22" t="str">
        <x:v>D258</x:v>
      </x:c>
      <x:c r="B259" s="22" t="str">
        <x:v>横浜市高齢者保養研修施設 ふれーゆ</x:v>
      </x:c>
      <x:c r="C259" s="22" t="str">
        <x:v>横浜市鶴見区・末広町</x:v>
      </x:c>
      <x:c r="D259" s="22" t="str">
        <x:v>大浴場・プール・横浜港展望・雨天</x:v>
      </x:c>
      <x:c r="E259" s="95" t="e">
        <x:f>HYPERLINK("https://www.google.com/maps/dir/?api=1&amp;destination=%E6%A8%AA%E6%B5%9C%E5%B8%82%E9%AB%98%E9%BD%A2%E8%80%85%E4%BF%9D%E9%A4%8A%E7%A0%94%E4%BF%AE%E6%96%BD%E8%A8%AD%20%E3%81%B5%E3%82%8C%E3%83%BC%E3%82%86&amp;travelmode=driving","現在地からナビ開始")</x:f>
      </x:c>
      <x:c r="F259" s="22" t="str">
        <x:v>大浴場やプールで天候に左右されず滞在でき、大窓からベイブリッジ、鶴見つばさ橋、横浜港を望める。</x:v>
      </x:c>
      <x:c r="G259" s="22" t="str">
        <x:v>専用駐車場245台・有料</x:v>
      </x:c>
      <x:c r="H259" s="22" t="str">
        <x:v>4～9月 平日9:00～19:00・火曜18:00・土日祝20:00／10～3月 平日18:00・土日祝19:00</x:v>
      </x:c>
      <x:c r="I259" s="22" t="n">
        <x:v>2</x:v>
      </x:c>
      <x:c r="J259" s="22" t="n">
        <x:v>4</x:v>
      </x:c>
      <x:c r="K259" s="22" t="str">
        <x:v>毎月第2火曜休館（7・8月を除く）。駐車場の最終入庫は閉館1時間前。施設点検による長期休館を確認。</x:v>
      </x:c>
      <x:c r="L259" s="23" t="n">
        <x:v>46232</x:v>
      </x:c>
      <x:c r="M259" s="22" t="str">
        <x:v>一次確認済</x:v>
      </x:c>
      <x:c r="N259" s="22" t="str">
        <x:v>https://fure-yu.jp/access/</x:v>
      </x:c>
      <x:c r="O259" s="22" t="str">
        <x:v>横浜市の保養研修施設として整備され、港湾最奥部の大窓から横浜港と二つの大型橋を見渡せる。</x:v>
      </x:c>
      <x:c r="P259" s="96" t="e">
        <x:f>HYPERLINK("https://ja.wikipedia.org/wiki/Special:Search?search=%E6%A8%AA%E6%B5%9C%E5%B8%82%E9%AB%98%E9%BD%A2%E8%80%85%E4%BF%9D%E9%A4%8A%E7%A0%94%E4%BF%AE%E6%96%BD%E8%A8%AD%20%E3%81%B5%E3%82%8C%E3%83%BC%E3%82%86","Wikipedia・関連項目")</x:f>
      </x:c>
      <x:c r="Q259" s="22" t="str">
        <x:v>近距離代替経由地プール追加</x:v>
      </x:c>
      <x:c r="R259" s="22" t="str">
        <x:v>10〜20km</x:v>
      </x:c>
      <x:c r="S259" s="22" t="str">
        <x:v>蒲田から約15〜20km</x:v>
      </x:c>
      <x:c r="T259" s="22" t="str">
        <x:v>通常35〜55分</x:v>
      </x:c>
      <x:c r="U259" s="22" t="str">
        <x:v>雨天・入浴・港湾Story</x:v>
      </x:c>
      <x:c r="V259" s="22" t="str">
        <x:v>60〜150分</x:v>
      </x:c>
      <x:c r="W259" s="22" t="n">
        <x:v>5</x:v>
      </x:c>
      <x:c r="X259" s="22" t="n">
        <x:v>3</x:v>
      </x:c>
      <x:c r="Y259" s="22" t="str">
        <x:v>横浜港大さん橋</x:v>
      </x:c>
      <x:c r="Z259" s="22" t="str">
        <x:v>ちどり公園／横浜港シンボルタワー</x:v>
      </x:c>
      <x:c r="AA259" s="22" t="str">
        <x:v>なし</x:v>
      </x:c>
      <x:c r="AB259" s="22" t="str">
        <x:v>-</x:v>
      </x:c>
      <x:c r="AC259" s="22" t="str"/>
      <x:c r="AD259" s="22" t="str">
        <x:v>専用・路外駐車を基本</x:v>
      </x:c>
      <x:c r="AE259" s="22" t="str"/>
    </x:row>
    <x:row r="260">
      <x:c r="A260" s="22" t="str">
        <x:v>D259</x:v>
      </x:c>
      <x:c r="B260" s="22" t="str">
        <x:v>大森 海苔のふるさと館</x:v>
      </x:c>
      <x:c r="C260" s="22" t="str">
        <x:v>大田区・平和の森公園</x:v>
      </x:c>
      <x:c r="D260" s="22" t="str">
        <x:v>産業遺産・海苔・博物館Story</x:v>
      </x:c>
      <x:c r="E260" s="22" t="e">
        <x:f>HYPERLINK("https://www.google.com/maps/dir/?api=1&amp;destination=%E5%A4%A7%E6%A3%AE%20%E6%B5%B7%E8%8B%94%E3%81%AE%E3%81%B5%E3%82%8B%E3%81%95%E3%81%A8%E9%A4%A8&amp;travelmode=driving","現在地からナビ開始")</x:f>
      </x:c>
      <x:c r="F260" s="22" t="str">
        <x:v>大森の海苔養殖と加工の歴史を、実物資料と復元展示で短時間に理解できる。大森海岸ルートの物語密度を一気に上げる経由地。</x:v>
      </x:c>
      <x:c r="G260" s="22" t="str">
        <x:v>隣接する平和の森公園有料駐車場を利用</x:v>
      </x:c>
      <x:c r="H260" s="22" t="str">
        <x:v>9:00～17:00／6～8月は19:00まで</x:v>
      </x:c>
      <x:c r="I260" s="22" t="n">
        <x:v>1</x:v>
      </x:c>
      <x:c r="J260" s="22" t="n">
        <x:v>4</x:v>
      </x:c>
      <x:c r="K260" s="22" t="str">
        <x:v>第3月曜（祝日の場合は翌日）と年末年始は休館。駐車場混雑時は大森ふるさとの浜辺公園側へ切替。</x:v>
      </x:c>
      <x:c r="L260" s="23" t="n">
        <x:v>46232</x:v>
      </x:c>
      <x:c r="M260" s="22" t="str">
        <x:v>一次確認済</x:v>
      </x:c>
      <x:c r="N260" s="22" t="str">
        <x:v>https://www.city.ota.tokyo.jp/shisetsu/hakubutsukan/oomori_norinofurusatokan.html</x:v>
      </x:c>
      <x:c r="O260" s="22" t="str">
        <x:v>大森は東京湾を代表する海苔養殖地で、館内ではかつての海苔船や乾燥作業の道具を保存する。</x:v>
      </x:c>
      <x:c r="P260" s="22" t="e">
        <x:f>HYPERLINK("https://ja.wikipedia.org/wiki/Special:Search?search=%E5%A4%A7%E6%A3%AE%20%E6%B5%B7%E8%8B%94%E3%81%AE%E3%81%B5%E3%82%8B%E3%81%95%E3%81%A8%E9%A4%A8","Wikipedia・関連項目")</x:f>
      </x:c>
      <x:c r="Q260" s="22" t="str">
        <x:v>4区重点追加・大田区</x:v>
      </x:c>
      <x:c r="R260" s="22" t="str">
        <x:v>0〜10km</x:v>
      </x:c>
      <x:c r="S260" s="22" t="str">
        <x:v>蒲田から約4〜7km</x:v>
      </x:c>
      <x:c r="T260" s="22" t="str">
        <x:v>通常15〜25分</x:v>
      </x:c>
      <x:c r="U260" s="22" t="str">
        <x:v>昼・産業Story・雨天</x:v>
      </x:c>
      <x:c r="V260" s="22" t="str">
        <x:v>45〜90分</x:v>
      </x:c>
      <x:c r="W260" s="22" t="n">
        <x:v>5</x:v>
      </x:c>
      <x:c r="X260" s="22" t="n">
        <x:v>1</x:v>
      </x:c>
      <x:c r="Y260" s="22" t="str">
        <x:v>大田区立郷土博物館</x:v>
      </x:c>
      <x:c r="Z260" s="22" t="str">
        <x:v>大森ふるさとの浜辺公園／平和の森公園</x:v>
      </x:c>
      <x:c r="AA260" s="22" t="str">
        <x:v>なし</x:v>
      </x:c>
      <x:c r="AB260" s="22" t="str">
        <x:v>-</x:v>
      </x:c>
      <x:c r="AC260" s="22" t="str"/>
      <x:c r="AD260" s="22" t="str">
        <x:v>専用・路外駐車を基本</x:v>
      </x:c>
      <x:c r="AE260" s="22" t="str"/>
    </x:row>
    <x:row r="261">
      <x:c r="A261" s="22" t="str">
        <x:v>D260</x:v>
      </x:c>
      <x:c r="B261" s="22" t="str">
        <x:v>萩中公園</x:v>
      </x:c>
      <x:c r="C261" s="22" t="str">
        <x:v>大田区・萩中</x:v>
      </x:c>
      <x:c r="D261" s="22" t="str">
        <x:v>交通公園・SL・プール・家族Story</x:v>
      </x:c>
      <x:c r="E261" s="22" t="e">
        <x:f>HYPERLINK("https://www.google.com/maps/dir/?api=1&amp;destination=%E8%90%A9%E4%B8%AD%E5%85%AC%E5%9C%92&amp;travelmode=driving","現在地からナビ開始")</x:f>
      </x:c>
      <x:c r="F261" s="22" t="str">
        <x:v>蒸気機関車や路面電車、交通公園、屋内外プールがまとまり、飛行機以外の羽田周辺Storyを作れる近距離の大型公園。</x:v>
      </x:c>
      <x:c r="G261" s="22" t="str">
        <x:v>一般用45台（平日）／63台（休日）＋身障者用2台・普通車30分100円・24時間</x:v>
      </x:c>
      <x:c r="H261" s="22" t="str">
        <x:v>公園・駐車場24時間／児童交通公園貸出9:00～16:00／ガラクタ公園9:00～17:00／ローラースケート場8:30～20:00</x:v>
      </x:c>
      <x:c r="I261" s="22" t="n">
        <x:v>4</x:v>
      </x:c>
      <x:c r="J261" s="22" t="n">
        <x:v>3</x:v>
      </x:c>
      <x:c r="K261" s="22" t="str">
        <x:v>夜間は公園・駐車のみ成立し、保存車両・交通公園・遊具Storyは17時までが主力。土日祝は駐車場混雑。プール利用者専用駐車場ではない。</x:v>
      </x:c>
      <x:c r="L261" s="23" t="n">
        <x:v>46232</x:v>
      </x:c>
      <x:c r="M261" s="22" t="str">
        <x:v>一次確認済</x:v>
      </x:c>
      <x:c r="N261" s="22" t="str">
        <x:v>https://www.city.ota.tokyo.jp/shisetsu/park/haginaka.html</x:v>
      </x:c>
      <x:c r="O261" s="22" t="str">
        <x:v>園内には蒸気機関車と都電車両が保存され、戦後の交通史を身近に感じられる。</x:v>
      </x:c>
      <x:c r="P261" s="22" t="e">
        <x:f>HYPERLINK("https://ja.wikipedia.org/wiki/Special:Search?search=%E8%90%A9%E4%B8%AD%E5%85%AC%E5%9C%92","Wikipedia・関連項目")</x:f>
      </x:c>
      <x:c r="Q261" s="22" t="str">
        <x:v>2026-07-29公式再確認：駐車場24時間、一般45/63台＋身障者2台、交通公園・ガラクタ公園・スケート場の個別時間を分離。</x:v>
      </x:c>
      <x:c r="R261" s="22" t="str">
        <x:v>0〜10km</x:v>
      </x:c>
      <x:c r="S261" s="22" t="str">
        <x:v>蒲田から約3〜6km</x:v>
      </x:c>
      <x:c r="T261" s="22" t="str">
        <x:v>通常10〜20分</x:v>
      </x:c>
      <x:c r="U261" s="22" t="str">
        <x:v>家族・交通Story・短時間</x:v>
      </x:c>
      <x:c r="V261" s="22" t="str">
        <x:v>30〜120分</x:v>
      </x:c>
      <x:c r="W261" s="22" t="n">
        <x:v>3</x:v>
      </x:c>
      <x:c r="X261" s="22" t="n">
        <x:v>2</x:v>
      </x:c>
      <x:c r="Y261" s="22" t="str">
        <x:v>東糀谷防災公園</x:v>
      </x:c>
      <x:c r="Z261" s="22" t="str">
        <x:v>HANEDA INNOVATION CITY 足湯スカイデッキ／穴守稲荷神社</x:v>
      </x:c>
      <x:c r="AA261" s="22" t="str">
        <x:v>なし</x:v>
      </x:c>
      <x:c r="AB261" s="22" t="str">
        <x:v>-</x:v>
      </x:c>
      <x:c r="AC261" s="22" t="str"/>
      <x:c r="AD261" s="22" t="str">
        <x:v>専用・路外駐車を基本</x:v>
      </x:c>
      <x:c r="AE261" s="22" t="str"/>
    </x:row>
    <x:row r="262">
      <x:c r="A262" s="22" t="str">
        <x:v>D261</x:v>
      </x:c>
      <x:c r="B262" s="22" t="str">
        <x:v>大田区立郷土博物館</x:v>
      </x:c>
      <x:c r="C262" s="22" t="str">
        <x:v>大田区・南馬込</x:v>
      </x:c>
      <x:c r="D262" s="22" t="str">
        <x:v>郷土史・考古・民俗・雨天</x:v>
      </x:c>
      <x:c r="E262" s="22" t="e">
        <x:f>HYPERLINK("https://www.google.com/maps/dir/?api=1&amp;destination=%E5%A4%A7%E7%94%B0%E5%8C%BA%E7%AB%8B%E9%83%B7%E5%9C%9F%E5%8D%9A%E7%89%A9%E9%A4%A8&amp;travelmode=driving","現在地からナビ開始")</x:f>
      </x:c>
      <x:c r="F262" s="22" t="str">
        <x:v>大田区の地形、古墳、馬込文士村、海苔産業まで横断できる。Project CruiseのStory Layerを補強する雨天向け拠点。</x:v>
      </x:c>
      <x:c r="G262" s="22" t="str">
        <x:v>敷地内約6台・無料</x:v>
      </x:c>
      <x:c r="H262" s="22" t="str">
        <x:v>9:00～17:00</x:v>
      </x:c>
      <x:c r="I262" s="22" t="n">
        <x:v>1</x:v>
      </x:c>
      <x:c r="J262" s="22" t="n">
        <x:v>4</x:v>
      </x:c>
      <x:c r="K262" s="22" t="str">
        <x:v>月曜・年末年始等休館。2026年11月30日～2027年3月31日は改修休館予定。駐車台数が少ないため満車時は周辺民間駐車場へ。</x:v>
      </x:c>
      <x:c r="L262" s="23" t="n">
        <x:v>46232</x:v>
      </x:c>
      <x:c r="M262" s="22" t="str">
        <x:v>一次確認済</x:v>
      </x:c>
      <x:c r="N262" s="22" t="str">
        <x:v>https://www.city.ota.tokyo.jp/seikatsu/manabu/hakubutsukan/R8_kyoudohakubutsukan_annai.html</x:v>
      </x:c>
      <x:c r="O262" s="22" t="str">
        <x:v>馬込文士村や大森貝塚、古墳群など、大田区の複数の歴史層をまとめて扱う地域博物館。</x:v>
      </x:c>
      <x:c r="P262" s="22" t="e">
        <x:f>HYPERLINK("https://ja.wikipedia.org/wiki/Special:Search?search=%E5%A4%A7%E7%94%B0%E5%8C%BA%E7%AB%8B%E9%83%B7%E5%9C%9F%E5%8D%9A%E7%89%A9%E9%A4%A8","Wikipedia・関連項目")</x:f>
      </x:c>
      <x:c r="Q262" s="22" t="str">
        <x:v>4区重点追加・大田区</x:v>
      </x:c>
      <x:c r="R262" s="22" t="str">
        <x:v>0〜10km</x:v>
      </x:c>
      <x:c r="S262" s="22" t="str">
        <x:v>蒲田から約5〜8km</x:v>
      </x:c>
      <x:c r="T262" s="22" t="str">
        <x:v>通常15〜30分</x:v>
      </x:c>
      <x:c r="U262" s="22" t="str">
        <x:v>雨天・歴史Story・昼</x:v>
      </x:c>
      <x:c r="V262" s="22" t="str">
        <x:v>45〜90分</x:v>
      </x:c>
      <x:c r="W262" s="22" t="n">
        <x:v>5</x:v>
      </x:c>
      <x:c r="X262" s="22" t="n">
        <x:v>1</x:v>
      </x:c>
      <x:c r="Y262" s="22" t="str">
        <x:v>品川歴史館</x:v>
      </x:c>
      <x:c r="Z262" s="22" t="str">
        <x:v>池上梅園／大森 海苔のふるさと館</x:v>
      </x:c>
      <x:c r="AA262" s="22" t="str">
        <x:v>なし</x:v>
      </x:c>
      <x:c r="AB262" s="22" t="str">
        <x:v>-</x:v>
      </x:c>
      <x:c r="AC262" s="22" t="str"/>
      <x:c r="AD262" s="22" t="str">
        <x:v>専用・路外駐車を基本</x:v>
      </x:c>
      <x:c r="AE262" s="22" t="str"/>
    </x:row>
    <x:row r="263">
      <x:c r="A263" s="22" t="str">
        <x:v>D262</x:v>
      </x:c>
      <x:c r="B263" s="22" t="str">
        <x:v>昭和島二丁目公園</x:v>
      </x:c>
      <x:c r="C263" s="22" t="str">
        <x:v>大田区・昭和島</x:v>
      </x:c>
      <x:c r="D263" s="22" t="str">
        <x:v>工業島・運河・スポーツ・行き止まり</x:v>
      </x:c>
      <x:c r="E263" s="22" t="e">
        <x:f>HYPERLINK("https://www.google.com/maps/dir/?api=1&amp;destination=%E6%98%AD%E5%92%8C%E5%B3%B6%E4%BA%8C%E4%B8%81%E7%9B%AE%E5%85%AC%E5%9C%92&amp;travelmode=driving","現在地からナビ開始")</x:f>
      </x:c>
      <x:c r="F263" s="22" t="str">
        <x:v>工業専用島の奥まで走る到達感があり、運河、モノレール、工場の気配を近距離で味わえる。羽田系とは違う産業景観の終点。</x:v>
      </x:c>
      <x:c r="G263" s="22" t="str">
        <x:v>43台（身障者用1台含む）・30分100円</x:v>
      </x:c>
      <x:c r="H263" s="22" t="str">
        <x:v>2～11月6:30～22:00／12～1月7:30～21:00</x:v>
      </x:c>
      <x:c r="I263" s="22" t="n">
        <x:v>4</x:v>
      </x:c>
      <x:c r="J263" s="22" t="n">
        <x:v>5</x:v>
      </x:c>
      <x:c r="K263" s="22" t="str">
        <x:v>年末年始休場。競技利用・工事で混雑する場合あり。工場敷地や岸壁へ入らない。閉場後は出庫不可。</x:v>
      </x:c>
      <x:c r="L263" s="23" t="n">
        <x:v>46232</x:v>
      </x:c>
      <x:c r="M263" s="22" t="str">
        <x:v>一次確認済</x:v>
      </x:c>
      <x:c r="N263" s="22" t="str">
        <x:v>https://www.city.ota.tokyo.jp/shisetsu/park/shouwajima_ryokudou.html</x:v>
      </x:c>
      <x:c r="O263" s="22" t="str">
        <x:v>昭和島は東京湾の埋立地で、機械・金属加工などの工場が集積する工業島として整備された。</x:v>
      </x:c>
      <x:c r="P263" s="22" t="e">
        <x:f>HYPERLINK("https://ja.wikipedia.org/wiki/Special:Search?search=%E6%98%AD%E5%92%8C%E5%B3%B6%E4%BA%8C%E4%B8%81%E7%9B%AE%E5%85%AC%E5%9C%92","Wikipedia・関連項目")</x:f>
      </x:c>
      <x:c r="Q263" s="22" t="str">
        <x:v>4区重点追加・大田区</x:v>
      </x:c>
      <x:c r="R263" s="22" t="str">
        <x:v>0〜10km</x:v>
      </x:c>
      <x:c r="S263" s="22" t="str">
        <x:v>蒲田から約7〜10km</x:v>
      </x:c>
      <x:c r="T263" s="22" t="str">
        <x:v>通常20〜35分</x:v>
      </x:c>
      <x:c r="U263" s="22" t="str">
        <x:v>夕方・産業景観・穴場</x:v>
      </x:c>
      <x:c r="V263" s="22" t="str">
        <x:v>20〜50分</x:v>
      </x:c>
      <x:c r="W263" s="22" t="n">
        <x:v>1</x:v>
      </x:c>
      <x:c r="X263" s="22" t="n">
        <x:v>3</x:v>
      </x:c>
      <x:c r="Y263" s="22" t="str">
        <x:v>京浜島つばさ公園</x:v>
      </x:c>
      <x:c r="Z263" s="22" t="str">
        <x:v>大森 海苔のふるさと館／大井ふ頭中央海浜公園</x:v>
      </x:c>
      <x:c r="AA263" s="22" t="str">
        <x:v>なし</x:v>
      </x:c>
      <x:c r="AB263" s="22" t="str">
        <x:v>-</x:v>
      </x:c>
      <x:c r="AC263" s="22" t="str"/>
      <x:c r="AD263" s="22" t="str">
        <x:v>専用・路外駐車を基本</x:v>
      </x:c>
      <x:c r="AE263" s="22" t="str"/>
    </x:row>
    <x:row r="264">
      <x:c r="A264" s="22" t="str">
        <x:v>D263</x:v>
      </x:c>
      <x:c r="B264" s="22" t="str">
        <x:v>東糀谷防災公園</x:v>
      </x:c>
      <x:c r="C264" s="22" t="str">
        <x:v>大田区・東糀谷</x:v>
      </x:c>
      <x:c r="D264" s="22" t="str">
        <x:v>防災公園・ビオトープ・都市インフラ</x:v>
      </x:c>
      <x:c r="E264" s="22" t="e">
        <x:f>HYPERLINK("https://www.google.com/maps/dir/?api=1&amp;destination=%E6%9D%B1%E7%B3%80%E8%B0%B7%E9%98%B2%E7%81%BD%E5%85%AC%E5%9C%92&amp;travelmode=driving","現在地からナビ開始")</x:f>
      </x:c>
      <x:c r="F264" s="22" t="str">
        <x:v>24時間駐車できる小規模防災公園で、羽田周辺の短時間経由地として使いやすい。防災設備とビオトープという明確なStoryがある。</x:v>
      </x:c>
      <x:c r="G264" s="22" t="str">
        <x:v>一般用9台＋身障者用1台・30分100円・24時間</x:v>
      </x:c>
      <x:c r="H264" s="22" t="str">
        <x:v>公園・駐車場24時間</x:v>
      </x:c>
      <x:c r="I264" s="22" t="n">
        <x:v>4</x:v>
      </x:c>
      <x:c r="J264" s="22" t="n">
        <x:v>5</x:v>
      </x:c>
      <x:c r="K264" s="22" t="str">
        <x:v>駐車枠は合計10台だが一般枠は9台。満車時は待たずに萩中公園またはHICへ切替。災害時は防災拠点として一般利用制限の可能性あり。</x:v>
      </x:c>
      <x:c r="L264" s="23" t="n">
        <x:v>46232</x:v>
      </x:c>
      <x:c r="M264" s="22" t="str">
        <x:v>一次確認済</x:v>
      </x:c>
      <x:c r="N264" s="22" t="str">
        <x:v>https://www.city.ota.tokyo.jp/shisetsu/park/higasikoujiyabousai.html</x:v>
      </x:c>
      <x:c r="O264" s="22" t="str">
        <x:v>大田区で初めて防災機能を前面に設計した公園で、かまどベンチやマンホールトイレなどを備える。</x:v>
      </x:c>
      <x:c r="P264" s="22" t="e">
        <x:f>HYPERLINK("https://ja.wikipedia.org/wiki/Special:Search?search=%E6%9D%B1%E7%B3%80%E8%B0%B7%E9%98%B2%E7%81%BD%E5%85%AC%E5%9C%92","Wikipedia・関連項目")</x:f>
      </x:c>
      <x:c r="Q264" s="22" t="str">
        <x:v>2026-07-29公式再確認：一般9台＋身障者1台、24時間、30分100円を明記。</x:v>
      </x:c>
      <x:c r="R264" s="22" t="str">
        <x:v>0〜10km</x:v>
      </x:c>
      <x:c r="S264" s="22" t="str">
        <x:v>蒲田から約4〜7km</x:v>
      </x:c>
      <x:c r="T264" s="22" t="str">
        <x:v>通常15〜25分</x:v>
      </x:c>
      <x:c r="U264" s="22" t="str">
        <x:v>深夜短時間・防災Story</x:v>
      </x:c>
      <x:c r="V264" s="22" t="str">
        <x:v>15〜35分</x:v>
      </x:c>
      <x:c r="W264" s="22" t="n">
        <x:v>1</x:v>
      </x:c>
      <x:c r="X264" s="22" t="n">
        <x:v>3</x:v>
      </x:c>
      <x:c r="Y264" s="22" t="str">
        <x:v>萩中公園</x:v>
      </x:c>
      <x:c r="Z264" s="22" t="str">
        <x:v>HANEDA INNOVATION CITY 足湯スカイデッキ／森ケ崎公園</x:v>
      </x:c>
      <x:c r="AA264" s="22" t="str">
        <x:v>なし</x:v>
      </x:c>
      <x:c r="AB264" s="22" t="str">
        <x:v>-</x:v>
      </x:c>
      <x:c r="AC264" s="22" t="str"/>
      <x:c r="AD264" s="22" t="str">
        <x:v>専用・路外駐車を基本</x:v>
      </x:c>
      <x:c r="AE264" s="22" t="str"/>
    </x:row>
    <x:row r="265">
      <x:c r="A265" s="22" t="str">
        <x:v>D264</x:v>
      </x:c>
      <x:c r="B265" s="22" t="str">
        <x:v>品川区立 品川歴史館</x:v>
      </x:c>
      <x:c r="C265" s="22" t="str">
        <x:v>品川区・大井</x:v>
      </x:c>
      <x:c r="D265" s="22" t="str">
        <x:v>東海道・大森貝塚・地域史・雨天</x:v>
      </x:c>
      <x:c r="E265" s="22" t="e">
        <x:f>HYPERLINK("https://www.google.com/maps/dir/?api=1&amp;destination=%E5%93%81%E5%B7%9D%E5%8C%BA%E7%AB%8B%20%E5%93%81%E5%B7%9D%E6%AD%B4%E5%8F%B2%E9%A4%A8&amp;travelmode=driving","現在地からナビ開始")</x:f>
      </x:c>
      <x:c r="F265" s="22" t="str">
        <x:v>東海道品川宿、大森貝塚、品川の地形と産業を一館で理解できる。大田区から近い雨天Story経由地として優秀。</x:v>
      </x:c>
      <x:c r="G265" s="22" t="str">
        <x:v>玄関前3台・無料</x:v>
      </x:c>
      <x:c r="H265" s="22" t="str">
        <x:v>9:00～17:00／入館16:30まで</x:v>
      </x:c>
      <x:c r="I265" s="22" t="n">
        <x:v>1</x:v>
      </x:c>
      <x:c r="J265" s="22" t="n">
        <x:v>4</x:v>
      </x:c>
      <x:c r="K265" s="22" t="str">
        <x:v>月曜・年末年始休館。駐車は3台のみで館利用者限定。満車時は大井町・大森周辺の時間貸し駐車場へ切替。</x:v>
      </x:c>
      <x:c r="L265" s="23" t="n">
        <x:v>46232</x:v>
      </x:c>
      <x:c r="M265" s="22" t="str">
        <x:v>一次確認済</x:v>
      </x:c>
      <x:c r="N265" s="22" t="str">
        <x:v>https://www.city.shinagawa.tokyo.jp/jigyo/06/historyhp/raikan/raikan.html</x:v>
      </x:c>
      <x:c r="O265" s="22" t="str">
        <x:v>1985年開館、2024年に全面改修を終え、原始から現代までの品川の歴史を模型・映像で再構成した。</x:v>
      </x:c>
      <x:c r="P265" s="22" t="e">
        <x:f>HYPERLINK("https://ja.wikipedia.org/wiki/Special:Search?search=%E5%93%81%E5%B7%9D%E5%8C%BA%E7%AB%8B%20%E5%93%81%E5%B7%9D%E6%AD%B4%E5%8F%B2%E9%A4%A8","Wikipedia・関連項目")</x:f>
      </x:c>
      <x:c r="Q265" s="22" t="str">
        <x:v>4区重点追加・品川区</x:v>
      </x:c>
      <x:c r="R265" s="22" t="str">
        <x:v>0〜10km</x:v>
      </x:c>
      <x:c r="S265" s="22" t="str">
        <x:v>蒲田から約6〜9km</x:v>
      </x:c>
      <x:c r="T265" s="22" t="str">
        <x:v>通常15〜30分</x:v>
      </x:c>
      <x:c r="U265" s="22" t="str">
        <x:v>雨天・東海道Story・昼</x:v>
      </x:c>
      <x:c r="V265" s="22" t="str">
        <x:v>45〜90分</x:v>
      </x:c>
      <x:c r="W265" s="22" t="n">
        <x:v>5</x:v>
      </x:c>
      <x:c r="X265" s="22" t="n">
        <x:v>1</x:v>
      </x:c>
      <x:c r="Y265" s="22" t="str">
        <x:v>大田区立郷土博物館</x:v>
      </x:c>
      <x:c r="Z265" s="22" t="str">
        <x:v>しながわ区民公園／大井競馬場</x:v>
      </x:c>
      <x:c r="AA265" s="22" t="str">
        <x:v>なし</x:v>
      </x:c>
      <x:c r="AB265" s="22" t="str">
        <x:v>-</x:v>
      </x:c>
      <x:c r="AC265" s="22" t="str"/>
      <x:c r="AD265" s="22" t="str">
        <x:v>専用・路外駐車を基本</x:v>
      </x:c>
      <x:c r="AE265" s="22" t="str"/>
    </x:row>
    <x:row r="266">
      <x:c r="A266" s="22" t="str">
        <x:v>D265</x:v>
      </x:c>
      <x:c r="B266" s="22" t="str">
        <x:v>天王洲公園</x:v>
      </x:c>
      <x:c r="C266" s="22" t="str">
        <x:v>品川区・東品川</x:v>
      </x:c>
      <x:c r="D266" s="22" t="str">
        <x:v>運河・倉庫街・スポーツ・アート街区</x:v>
      </x:c>
      <x:c r="E266" s="22" t="e">
        <x:f>HYPERLINK("https://www.google.com/maps/dir/?api=1&amp;destination=%E5%A4%A9%E7%8E%8B%E6%B4%B2%E5%85%AC%E5%9C%92&amp;travelmode=driving","現在地からナビ開始")</x:f>
      </x:c>
      <x:c r="F266" s="22" t="str">
        <x:v>天王洲運河と倉庫街再生の空気を味わえ、都心湾岸へ入る前の短時間経由地として使える。夜は橋・運河・高層建築の対比が出る。</x:v>
      </x:c>
      <x:c r="G266" s="22" t="str">
        <x:v>有料駐車場あり・台数は公式案内で当日確認</x:v>
      </x:c>
      <x:c r="H266" s="22" t="str">
        <x:v>公園常時／スポーツ施設は概ね7:00～21:00</x:v>
      </x:c>
      <x:c r="I266" s="22" t="n">
        <x:v>4</x:v>
      </x:c>
      <x:c r="J266" s="22" t="n">
        <x:v>3</x:v>
      </x:c>
      <x:c r="K266" s="22" t="str">
        <x:v>イベント・大会日は駐車混雑。運河沿いは強風時に体感が悪化。アート施設や店舗の営業時間は個別確認。</x:v>
      </x:c>
      <x:c r="L266" s="23" t="n">
        <x:v>46232</x:v>
      </x:c>
      <x:c r="M266" s="22" t="str">
        <x:v>一次確認済</x:v>
      </x:c>
      <x:c r="N266" s="22" t="str">
        <x:v>https://www.city.shinagawa.tokyo.jp/PC/sangyo/sangyo-bunka/sangyo-bunka-kakushisetsu/sangyo-bunka-kakushisetsu-kouen/hpg000006479.html</x:v>
      </x:c>
      <x:c r="O266" s="22" t="str">
        <x:v>物流倉庫街だった天王洲は、運河沿いの再開発とアート施設の集積で文化地区へ転換した。</x:v>
      </x:c>
      <x:c r="P266" s="22" t="e">
        <x:f>HYPERLINK("https://ja.wikipedia.org/wiki/Special:Search?search=%E5%A4%A9%E7%8E%8B%E6%B4%B2%E5%85%AC%E5%9C%92","Wikipedia・関連項目")</x:f>
      </x:c>
      <x:c r="Q266" s="22" t="str">
        <x:v>4区重点追加・品川区</x:v>
      </x:c>
      <x:c r="R266" s="22" t="str">
        <x:v>10〜20km</x:v>
      </x:c>
      <x:c r="S266" s="22" t="str">
        <x:v>蒲田から約10〜14km</x:v>
      </x:c>
      <x:c r="T266" s="22" t="str">
        <x:v>通常25〜40分</x:v>
      </x:c>
      <x:c r="U266" s="22" t="str">
        <x:v>夜・運河・建築・アート</x:v>
      </x:c>
      <x:c r="V266" s="22" t="str">
        <x:v>20〜60分</x:v>
      </x:c>
      <x:c r="W266" s="22" t="n">
        <x:v>2</x:v>
      </x:c>
      <x:c r="X266" s="22" t="n">
        <x:v>2</x:v>
      </x:c>
      <x:c r="Y266" s="22" t="str">
        <x:v>東品川海上公園</x:v>
      </x:c>
      <x:c r="Z266" s="22" t="str">
        <x:v>品川シーズンテラス／八潮北公園</x:v>
      </x:c>
      <x:c r="AA266" s="22" t="str">
        <x:v>東品川1丁目 時間制限駐車区間</x:v>
      </x:c>
      <x:c r="AB266" s="22" t="str">
        <x:v>B</x:v>
      </x:c>
      <x:c r="AC266" s="22" t="str">
        <x:v>概ね9:00～19:00。制限時間・手数料・休日条件は現地標識を確認。</x:v>
      </x:c>
      <x:c r="AD266" s="22" t="str">
        <x:v>昼の短時間散策・橋や運河の撮影のみ。夜間と長時間滞在は路外駐車。</x:v>
      </x:c>
      <x:c r="AE266" s="22" t="str">
        <x:v>白線枠・稼働表示・駐車禁止併設標識・工事休止を現地確認。</x:v>
      </x:c>
    </x:row>
    <x:row r="267">
      <x:c r="A267" s="22" t="str">
        <x:v>D266</x:v>
      </x:c>
      <x:c r="B267" s="22" t="str">
        <x:v>八潮北公園</x:v>
      </x:c>
      <x:c r="C267" s="22" t="str">
        <x:v>品川区・八潮</x:v>
      </x:c>
      <x:c r="D267" s="22" t="str">
        <x:v>スケート・湾岸高架・工業景観</x:v>
      </x:c>
      <x:c r="E267" s="22" t="e">
        <x:f>HYPERLINK("https://www.google.com/maps/dir/?api=1&amp;destination=%E5%85%AB%E6%BD%AE%E5%8C%97%E5%85%AC%E5%9C%92&amp;travelmode=driving","現在地からナビ開始")</x:f>
      </x:c>
      <x:c r="F267" s="22" t="str">
        <x:v>首都高と物流街区の下でスケート施設や運動施設が成立する、東京湾岸らしい都市インフラ型の穴場経由地。</x:v>
      </x:c>
      <x:c r="G267" s="22" t="str">
        <x:v>有料駐車場あり・台数は公式案内で当日確認</x:v>
      </x:c>
      <x:c r="H267" s="22" t="str">
        <x:v>概ね7:00～21:00／施設ごとに異なる</x:v>
      </x:c>
      <x:c r="I267" s="22" t="n">
        <x:v>4</x:v>
      </x:c>
      <x:c r="J267" s="22" t="n">
        <x:v>5</x:v>
      </x:c>
      <x:c r="K267" s="22" t="str">
        <x:v>スケート場・球技利用で混雑。施設休場日と大会予定を確認。夜間は利用範囲と照明区域を守る。</x:v>
      </x:c>
      <x:c r="L267" s="23" t="n">
        <x:v>46232</x:v>
      </x:c>
      <x:c r="M267" s="22" t="str">
        <x:v>一次確認済</x:v>
      </x:c>
      <x:c r="N267" s="22" t="str">
        <x:v>https://www.city.shinagawa.tokyo.jp/PC/sangyo/sangyo-bunka/sangyo-bunka-kakushisetsu/sangyo-bunka-kakushisetsu-kouen/hpg000006479.html</x:v>
      </x:c>
      <x:c r="O267" s="22" t="str">
        <x:v>八潮は東京湾の埋立地に計画された住宅・物流地区で、高架道路と公園が近接する独特の都市景観を持つ。</x:v>
      </x:c>
      <x:c r="P267" s="22" t="e">
        <x:f>HYPERLINK("https://ja.wikipedia.org/wiki/Special:Search?search=%E5%85%AB%E6%BD%AE%E5%8C%97%E5%85%AC%E5%9C%92","Wikipedia・関連項目")</x:f>
      </x:c>
      <x:c r="Q267" s="22" t="str">
        <x:v>4区重点追加・品川区</x:v>
      </x:c>
      <x:c r="R267" s="22" t="str">
        <x:v>10〜20km</x:v>
      </x:c>
      <x:c r="S267" s="22" t="str">
        <x:v>蒲田から約9〜13km</x:v>
      </x:c>
      <x:c r="T267" s="22" t="str">
        <x:v>通常20〜40分</x:v>
      </x:c>
      <x:c r="U267" s="22" t="str">
        <x:v>夜・都市インフラ・穴場</x:v>
      </x:c>
      <x:c r="V267" s="22" t="str">
        <x:v>20〜50分</x:v>
      </x:c>
      <x:c r="W267" s="22" t="n">
        <x:v>1</x:v>
      </x:c>
      <x:c r="X267" s="22" t="n">
        <x:v>3</x:v>
      </x:c>
      <x:c r="Y267" s="22" t="str">
        <x:v>大井ふ頭中央海浜公園</x:v>
      </x:c>
      <x:c r="Z267" s="22" t="str">
        <x:v>天王洲公園／品川シーズンテラス</x:v>
      </x:c>
      <x:c r="AA267" s="22" t="str">
        <x:v>なし</x:v>
      </x:c>
      <x:c r="AB267" s="22" t="str">
        <x:v>-</x:v>
      </x:c>
      <x:c r="AC267" s="22" t="str"/>
      <x:c r="AD267" s="22" t="str">
        <x:v>専用・路外駐車を基本</x:v>
      </x:c>
      <x:c r="AE267" s="22" t="str"/>
    </x:row>
    <x:row r="268">
      <x:c r="A268" s="22" t="str">
        <x:v>D267</x:v>
      </x:c>
      <x:c r="B268" s="22" t="str">
        <x:v>東京シティ競馬 大井競馬場</x:v>
      </x:c>
      <x:c r="C268" s="22" t="str">
        <x:v>品川区・勝島</x:v>
      </x:c>
      <x:c r="D268" s="22" t="str">
        <x:v>ナイター競馬・照明・昭和娯楽Story</x:v>
      </x:c>
      <x:c r="E268" s="22" t="e">
        <x:f>HYPERLINK("https://www.google.com/maps/dir/?api=1&amp;destination=%E6%9D%B1%E4%BA%AC%E3%82%B7%E3%83%86%E3%82%A3%E7%AB%B6%E9%A6%AC%20%E5%A4%A7%E4%BA%95%E7%AB%B6%E9%A6%AC%E5%A0%B4&amp;travelmode=driving","現在地からナビ開始")</x:f>
      </x:c>
      <x:c r="F268" s="22" t="str">
        <x:v>照明、歓声、厩舎文化、運河沿いの巨大施設が一体となる。開催日は単なる観光地ではない強い夜の最終目的地になる。</x:v>
      </x:c>
      <x:c r="G268" s="22" t="str">
        <x:v>開催日の一般車駐車場・通常2,000円／特定繁忙日3,000円・予約制の場合あり</x:v>
      </x:c>
      <x:c r="H268" s="22" t="str">
        <x:v>開催日・開門時刻・最終競走は公式開催案内による</x:v>
      </x:c>
      <x:c r="I268" s="22" t="n">
        <x:v>5</x:v>
      </x:c>
      <x:c r="J268" s="22" t="n">
        <x:v>2</x:v>
      </x:c>
      <x:c r="K268" s="22" t="str">
        <x:v>非開催日は目的地として成立しにくい。繁忙日は完全予約制や料金変更あり。飲酒運転厳禁。</x:v>
      </x:c>
      <x:c r="L268" s="23" t="n">
        <x:v>46232</x:v>
      </x:c>
      <x:c r="M268" s="22" t="str">
        <x:v>一次確認済</x:v>
      </x:c>
      <x:c r="N268" s="22" t="str">
        <x:v>https://www.tokyocitykeiba.com/</x:v>
      </x:c>
      <x:c r="O268" s="22" t="str">
        <x:v>大井競馬場は『東京シティ競馬』の名称で夜間開催を定着させ、都市型ナイター競馬の代表例になった。</x:v>
      </x:c>
      <x:c r="P268" s="22" t="e">
        <x:f>HYPERLINK("https://ja.wikipedia.org/wiki/Special:Search?search=%E6%9D%B1%E4%BA%AC%E3%82%B7%E3%83%86%E3%82%A3%E7%AB%B6%E9%A6%AC%20%E5%A4%A7%E4%BA%95%E7%AB%B6%E9%A6%AC%E5%A0%B4","Wikipedia・関連項目")</x:f>
      </x:c>
      <x:c r="Q268" s="22" t="str">
        <x:v>4区重点追加・品川区</x:v>
      </x:c>
      <x:c r="R268" s="22" t="str">
        <x:v>0〜10km</x:v>
      </x:c>
      <x:c r="S268" s="22" t="str">
        <x:v>蒲田から約7〜10km</x:v>
      </x:c>
      <x:c r="T268" s="22" t="str">
        <x:v>通常20〜35分</x:v>
      </x:c>
      <x:c r="U268" s="22" t="str">
        <x:v>開催日夜・照明・娯楽Story</x:v>
      </x:c>
      <x:c r="V268" s="22" t="str">
        <x:v>90〜180分</x:v>
      </x:c>
      <x:c r="W268" s="22" t="n">
        <x:v>3</x:v>
      </x:c>
      <x:c r="X268" s="22" t="n">
        <x:v>2</x:v>
      </x:c>
      <x:c r="Y268" s="22" t="str">
        <x:v>しながわ区民公園</x:v>
      </x:c>
      <x:c r="Z268" s="22" t="str">
        <x:v>品川歴史館／大井ふ頭中央海浜公園</x:v>
      </x:c>
      <x:c r="AA268" s="22" t="str">
        <x:v>なし</x:v>
      </x:c>
      <x:c r="AB268" s="22" t="str">
        <x:v>-</x:v>
      </x:c>
      <x:c r="AC268" s="22" t="str"/>
      <x:c r="AD268" s="22" t="str">
        <x:v>専用・路外駐車を基本</x:v>
      </x:c>
      <x:c r="AE268" s="22" t="str"/>
    </x:row>
    <x:row r="269">
      <x:c r="A269" s="22" t="str">
        <x:v>D268</x:v>
      </x:c>
      <x:c r="B269" s="22" t="str">
        <x:v>東京タワー</x:v>
      </x:c>
      <x:c r="C269" s="22" t="str">
        <x:v>港区・芝公園</x:v>
      </x:c>
      <x:c r="D269" s="22" t="str">
        <x:v>展望・建築・放送塔Story・夜景</x:v>
      </x:c>
      <x:c r="E269" s="22" t="e">
        <x:f>HYPERLINK("https://www.google.com/maps/dir/?api=1&amp;destination=%E6%9D%B1%E4%BA%AC%E3%82%BF%E3%83%AF%E3%83%BC&amp;travelmode=driving","現在地からナビ開始")</x:f>
      </x:c>
      <x:c r="F269" s="22" t="str">
        <x:v>大田区から1時間以内で、東京の象徴的建築と360度夜景を確実に回収できる。王道だが最終目的地力は非常に高い。</x:v>
      </x:c>
      <x:c r="G269" s="22" t="str">
        <x:v>地上駐車場を利用・最初の1時間800円、以降30分400円／地下駐車場はメンテナンスのため営業見合わせ中</x:v>
      </x:c>
      <x:c r="H269" s="22" t="str">
        <x:v>メインデッキ9:00～23:00（最終22:30）／駐車場は現地案内を優先</x:v>
      </x:c>
      <x:c r="I269" s="22" t="n">
        <x:v>5</x:v>
      </x:c>
      <x:c r="J269" s="22" t="n">
        <x:v>1</x:v>
      </x:c>
      <x:c r="K269" s="22" t="str">
        <x:v>地下駐車場は2026年6月1日以降、営業見合わせ中。地上駐車場満車時は近隣駐車場へ。最終入場22:30を過ぎたら外観鑑賞ルートへ変更。</x:v>
      </x:c>
      <x:c r="L269" s="23" t="n">
        <x:v>46232</x:v>
      </x:c>
      <x:c r="M269" s="22" t="str">
        <x:v>一次確認済</x:v>
      </x:c>
      <x:c r="N269" s="22" t="str">
        <x:v>https://www.tokyotower.co.jp/information/20260601000623/</x:v>
      </x:c>
      <x:c r="O269" s="22" t="str">
        <x:v>1958年完成、高さ333mの総合電波塔で、戦後東京の復興と放送技術の象徴になった。</x:v>
      </x:c>
      <x:c r="P269" s="22" t="e">
        <x:f>HYPERLINK("https://ja.wikipedia.org/wiki/Special:Search?search=%E6%9D%B1%E4%BA%AC%E3%82%BF%E3%83%AF%E3%83%BC","Wikipedia・関連項目")</x:f>
      </x:c>
      <x:c r="Q269" s="22" t="str">
        <x:v>2026-07-29公式再確認：地下駐車場の営業見合わせをOperational Truthとして独立管理。</x:v>
      </x:c>
      <x:c r="R269" s="22" t="str">
        <x:v>10〜20km</x:v>
      </x:c>
      <x:c r="S269" s="22" t="str">
        <x:v>蒲田から約13〜17km</x:v>
      </x:c>
      <x:c r="T269" s="22" t="str">
        <x:v>通常30〜50分</x:v>
      </x:c>
      <x:c r="U269" s="22" t="str">
        <x:v>夜景・建築・雨天</x:v>
      </x:c>
      <x:c r="V269" s="22" t="str">
        <x:v>60〜120分</x:v>
      </x:c>
      <x:c r="W269" s="22" t="n">
        <x:v>5</x:v>
      </x:c>
      <x:c r="X269" s="22" t="n">
        <x:v>2</x:v>
      </x:c>
      <x:c r="Y269" s="22" t="str">
        <x:v>東京都庁展望室</x:v>
      </x:c>
      <x:c r="Z269" s="22" t="str">
        <x:v>品川シーズンテラス／東京ミッドタウン</x:v>
      </x:c>
      <x:c r="AA269" s="22" t="str">
        <x:v>芝5丁目7付近 パーキング・チケット</x:v>
      </x:c>
      <x:c r="AB269" s="22" t="str">
        <x:v>A</x:v>
      </x:c>
      <x:c r="AC269" s="22" t="str">
        <x:v>9:00～19:00・60分・300円・日曜休日と1月1日～3日を除く。</x:v>
      </x:c>
      <x:c r="AD269" s="22" t="str">
        <x:v>芝・三田側の街歩きや外観撮影の補助。展望台利用には距離・時間とも不向き。</x:v>
      </x:c>
      <x:c r="AE269" s="22" t="str">
        <x:v>日曜休日は利用対象外。19時以降は駐車禁止併設の可能性を前提にする。</x:v>
      </x:c>
    </x:row>
    <x:row r="270">
      <x:c r="A270" s="22" t="str">
        <x:v>D269</x:v>
      </x:c>
      <x:c r="B270" s="22" t="str">
        <x:v>東京ミッドタウン／ミッドタウン・ガーデン</x:v>
      </x:c>
      <x:c r="C270" s="22" t="str">
        <x:v>港区・赤坂</x:v>
      </x:c>
      <x:c r="D270" s="22" t="str">
        <x:v>現代建築・庭園・美術・雨天</x:v>
      </x:c>
      <x:c r="E270" s="22" t="e">
        <x:f>HYPERLINK("https://www.google.com/maps/dir/?api=1&amp;destination=%E6%9D%B1%E4%BA%AC%E3%83%9F%E3%83%83%E3%83%89%E3%82%BF%E3%82%A6%E3%83%B3%EF%BC%8F%E3%83%9F%E3%83%83%E3%83%89%E3%82%BF%E3%82%A6%E3%83%B3%E3%83%BB%E3%82%AC%E3%83%BC%E3%83%87%E3%83%B3&amp;travelmode=driving","現在地からナビ開始")</x:f>
      </x:c>
      <x:c r="F270" s="22" t="str">
        <x:v>地下駐車から建築、庭園、美術館、飲食へ切り替えられ、天候と時間に合わせて滞在内容を調整しやすい。</x:v>
      </x:c>
      <x:c r="G270" s="22" t="str">
        <x:v>駐車場24時間・30分400円・台数は公式案内で当日確認</x:v>
      </x:c>
      <x:c r="H270" s="22" t="str">
        <x:v>駐車場24時間／店舗・庭園・美術館は個別時間</x:v>
      </x:c>
      <x:c r="I270" s="22" t="n">
        <x:v>5</x:v>
      </x:c>
      <x:c r="J270" s="22" t="n">
        <x:v>1</x:v>
      </x:c>
      <x:c r="K270" s="22" t="str">
        <x:v>イベント設営や季節催事で庭園動線が変わる。美術館・店舗の休館日を個別確認。</x:v>
      </x:c>
      <x:c r="L270" s="23" t="n">
        <x:v>46232</x:v>
      </x:c>
      <x:c r="M270" s="22" t="str">
        <x:v>一次確認済</x:v>
      </x:c>
      <x:c r="N270" s="22" t="str">
        <x:v>https://www.tokyo-midtown.com/jp/access/</x:v>
      </x:c>
      <x:c r="O270" s="22" t="str">
        <x:v>旧防衛庁跡地を再開発した複合街区で、檜町公園と現代建築・デザイン施設を一体化している。</x:v>
      </x:c>
      <x:c r="P270" s="22" t="e">
        <x:f>HYPERLINK("https://ja.wikipedia.org/wiki/Special:Search?search=%E6%9D%B1%E4%BA%AC%E3%83%9F%E3%83%83%E3%83%89%E3%82%BF%E3%82%A6%E3%83%B3%EF%BC%8F%E3%83%9F%E3%83%83%E3%83%89%E3%82%BF%E3%82%A6%E3%83%B3%E3%83%BB%E3%82%AC%E3%83%BC%E3%83%87%E3%83%B3","Wikipedia・関連項目")</x:f>
      </x:c>
      <x:c r="Q270" s="22" t="str">
        <x:v>4区重点追加・港区</x:v>
      </x:c>
      <x:c r="R270" s="22" t="str">
        <x:v>10〜20km</x:v>
      </x:c>
      <x:c r="S270" s="22" t="str">
        <x:v>蒲田から約15〜19km</x:v>
      </x:c>
      <x:c r="T270" s="22" t="str">
        <x:v>通常35〜55分</x:v>
      </x:c>
      <x:c r="U270" s="22" t="str">
        <x:v>雨天・建築・夜・食事</x:v>
      </x:c>
      <x:c r="V270" s="22" t="str">
        <x:v>60〜150分</x:v>
      </x:c>
      <x:c r="W270" s="22" t="n">
        <x:v>5</x:v>
      </x:c>
      <x:c r="X270" s="22" t="n">
        <x:v>2</x:v>
      </x:c>
      <x:c r="Y270" s="22" t="str">
        <x:v>六本木ヒルズ 東京シティビュー</x:v>
      </x:c>
      <x:c r="Z270" s="22" t="str">
        <x:v>東京タワー／有栖川宮記念公園</x:v>
      </x:c>
      <x:c r="AA270" s="22" t="str">
        <x:v>なし</x:v>
      </x:c>
      <x:c r="AB270" s="22" t="str">
        <x:v>-</x:v>
      </x:c>
      <x:c r="AC270" s="22" t="str"/>
      <x:c r="AD270" s="22" t="str">
        <x:v>専用・路外駐車を基本</x:v>
      </x:c>
      <x:c r="AE270" s="22" t="str"/>
    </x:row>
    <x:row r="271">
      <x:c r="A271" s="22" t="str">
        <x:v>D270</x:v>
      </x:c>
      <x:c r="B271" s="22" t="str">
        <x:v>六本木ヒルズ 東京シティビュー</x:v>
      </x:c>
      <x:c r="C271" s="22" t="str">
        <x:v>港区・六本木</x:v>
      </x:c>
      <x:c r="D271" s="22" t="str">
        <x:v>高層展望・現代都市・美術</x:v>
      </x:c>
      <x:c r="E271" s="22" t="e">
        <x:f>HYPERLINK("https://www.google.com/maps/dir/?api=1&amp;destination=%E5%85%AD%E6%9C%AC%E6%9C%A8%E3%83%92%E3%83%AB%E3%82%BA%20%E6%9D%B1%E4%BA%AC%E3%82%B7%E3%83%86%E3%82%A3%E3%83%93%E3%83%A5%E3%83%BC&amp;travelmode=driving","現在地からナビ開始")</x:f>
      </x:c>
      <x:c r="F271" s="22" t="str">
        <x:v>52階から東京タワーと都心を正面に見る構図が強く、建築・展望・美術を一体化した夜の最終目的地になる。</x:v>
      </x:c>
      <x:c r="G271" s="22" t="str">
        <x:v>六本木ヒルズ駐車場・24時間・15分200円を基本／入口制限あり</x:v>
      </x:c>
      <x:c r="H271" s="22" t="str">
        <x:v>2026年8月1日～10月26日は10:00～22:00（最終21:30）／2026年7月31日まで休館</x:v>
      </x:c>
      <x:c r="I271" s="22" t="n">
        <x:v>5</x:v>
      </x:c>
      <x:c r="J271" s="22" t="n">
        <x:v>1</x:v>
      </x:c>
      <x:c r="K271" s="22" t="str">
        <x:v>2026年7月29日現在は休館中。8月1日再開予定。企画展切替・貸切で営業時間変更あり。</x:v>
      </x:c>
      <x:c r="L271" s="23" t="n">
        <x:v>46232</x:v>
      </x:c>
      <x:c r="M271" s="22" t="str">
        <x:v>一次確認済</x:v>
      </x:c>
      <x:c r="N271" s="22" t="str">
        <x:v>https://art-view.roppongihills.com/en/info/index.html</x:v>
      </x:c>
      <x:c r="O271" s="22" t="str">
        <x:v>森タワー52階の展望施設で、美術館と都市眺望を同じ高層階で体験できる。</x:v>
      </x:c>
      <x:c r="P271" s="22" t="e">
        <x:f>HYPERLINK("https://ja.wikipedia.org/wiki/Special:Search?search=%E5%85%AD%E6%9C%AC%E6%9C%A8%E3%83%92%E3%83%AB%E3%82%BA%20%E6%9D%B1%E4%BA%AC%E3%82%B7%E3%83%86%E3%82%A3%E3%83%93%E3%83%A5%E3%83%BC","Wikipedia・関連項目")</x:f>
      </x:c>
      <x:c r="Q271" s="22" t="str">
        <x:v>4区重点追加・港区</x:v>
      </x:c>
      <x:c r="R271" s="22" t="str">
        <x:v>10〜20km</x:v>
      </x:c>
      <x:c r="S271" s="22" t="str">
        <x:v>蒲田から約15〜19km</x:v>
      </x:c>
      <x:c r="T271" s="22" t="str">
        <x:v>通常35〜60分</x:v>
      </x:c>
      <x:c r="U271" s="22" t="str">
        <x:v>夜景・建築・美術</x:v>
      </x:c>
      <x:c r="V271" s="22" t="str">
        <x:v>60〜120分</x:v>
      </x:c>
      <x:c r="W271" s="22" t="n">
        <x:v>5</x:v>
      </x:c>
      <x:c r="X271" s="22" t="n">
        <x:v>1</x:v>
      </x:c>
      <x:c r="Y271" s="22" t="str">
        <x:v>東京タワー</x:v>
      </x:c>
      <x:c r="Z271" s="22" t="str">
        <x:v>東京ミッドタウン／東京都庁展望室</x:v>
      </x:c>
      <x:c r="AA271" s="22" t="str">
        <x:v>なし</x:v>
      </x:c>
      <x:c r="AB271" s="22" t="str">
        <x:v>-</x:v>
      </x:c>
      <x:c r="AC271" s="22" t="str"/>
      <x:c r="AD271" s="22" t="str">
        <x:v>専用・路外駐車を基本</x:v>
      </x:c>
      <x:c r="AE271" s="22" t="str"/>
    </x:row>
    <x:row r="272">
      <x:c r="A272" s="22" t="str">
        <x:v>D271</x:v>
      </x:c>
      <x:c r="B272" s="22" t="str">
        <x:v>品川シーズンテラス／芝浦中央公園</x:v>
      </x:c>
      <x:c r="C272" s="22" t="str">
        <x:v>港区・港南</x:v>
      </x:c>
      <x:c r="D272" s="22" t="str">
        <x:v>水再生センター・屋上緑地・高層建築</x:v>
      </x:c>
      <x:c r="E272" s="22" t="e">
        <x:f>HYPERLINK("https://www.google.com/maps/dir/?api=1&amp;destination=%E5%93%81%E5%B7%9D%E3%82%B7%E3%83%BC%E3%82%BA%E3%83%B3%E3%83%86%E3%83%A9%E3%82%B9%EF%BC%8F%E8%8A%9D%E6%B5%A6%E4%B8%AD%E5%A4%AE%E5%85%AC%E5%9C%92&amp;travelmode=driving","現在地からナビ開始")</x:f>
      </x:c>
      <x:c r="F272" s="22" t="str">
        <x:v>水再生センター上部の広大な緑地と高層オフィスを同時に体験でき、都市インフラStoryが強い。品川・港区ルートの接続点。</x:v>
      </x:c>
      <x:c r="G272" s="22" t="str">
        <x:v>一般313台＋身障者用6台・7:00～23:00・最初の1時間600円、以降30分300円、最大2,600円</x:v>
      </x:c>
      <x:c r="H272" s="22" t="str">
        <x:v>一般利用・駐車場7:00～23:00</x:v>
      </x:c>
      <x:c r="I272" s="22" t="n">
        <x:v>4</x:v>
      </x:c>
      <x:c r="J272" s="22" t="n">
        <x:v>4</x:v>
      </x:c>
      <x:c r="K272" s="22" t="str">
        <x:v>イベント時は芝生・水景施設が制限される場合あり。23時以降は入出庫不可。オフィス利用者への配慮。</x:v>
      </x:c>
      <x:c r="L272" s="23" t="n">
        <x:v>46232</x:v>
      </x:c>
      <x:c r="M272" s="22" t="str">
        <x:v>一次確認済</x:v>
      </x:c>
      <x:c r="N272" s="22" t="str">
        <x:v>https://shinagawa-st.jp/access/parking.html</x:v>
      </x:c>
      <x:c r="O272" s="22" t="str">
        <x:v>芝浦水再生センターの上部空間を活用し、巨大な下水処理インフラの上に緑地と業務施設を整備した。</x:v>
      </x:c>
      <x:c r="P272" s="22" t="e">
        <x:f>HYPERLINK("https://ja.wikipedia.org/wiki/Special:Search?search=%E5%93%81%E5%B7%9D%E3%82%B7%E3%83%BC%E3%82%BA%E3%83%B3%E3%83%86%E3%83%A9%E3%82%B9%EF%BC%8F%E8%8A%9D%E6%B5%A6%E4%B8%AD%E5%A4%AE%E5%85%AC%E5%9C%92","Wikipedia・関連項目")</x:f>
      </x:c>
      <x:c r="Q272" s="22" t="str">
        <x:v>4区重点追加・港区</x:v>
      </x:c>
      <x:c r="R272" s="22" t="str">
        <x:v>10〜20km</x:v>
      </x:c>
      <x:c r="S272" s="22" t="str">
        <x:v>蒲田から約11〜15km</x:v>
      </x:c>
      <x:c r="T272" s="22" t="str">
        <x:v>通常25〜45分</x:v>
      </x:c>
      <x:c r="U272" s="22" t="str">
        <x:v>夕方・都市インフラ・建築</x:v>
      </x:c>
      <x:c r="V272" s="22" t="str">
        <x:v>30〜90分</x:v>
      </x:c>
      <x:c r="W272" s="22" t="n">
        <x:v>3</x:v>
      </x:c>
      <x:c r="X272" s="22" t="n">
        <x:v>2</x:v>
      </x:c>
      <x:c r="Y272" s="22" t="str">
        <x:v>森ケ崎公園</x:v>
      </x:c>
      <x:c r="Z272" s="22" t="str">
        <x:v>天王洲公園／東京タワー</x:v>
      </x:c>
      <x:c r="AA272" s="22" t="str">
        <x:v>港南3丁目2・6付近 時間制限駐車区間</x:v>
      </x:c>
      <x:c r="AB272" s="22" t="str">
        <x:v>B</x:v>
      </x:c>
      <x:c r="AC272" s="22" t="str">
        <x:v>概ね9:00～19:00。詳細は現地のメーター・標識を確認。</x:v>
      </x:c>
      <x:c r="AD272" s="22" t="str">
        <x:v>昼の30～60分以内の都市インフラ観察のみ。夜は施設駐車場を基本。</x:v>
      </x:c>
      <x:c r="AE272" s="22" t="str">
        <x:v>普通車枠か、貨物優先枠でないか、休日利用可否を現地確認。</x:v>
      </x:c>
    </x:row>
    <x:row r="273">
      <x:c r="A273" s="22" t="str">
        <x:v>D272</x:v>
      </x:c>
      <x:c r="B273" s="22" t="str">
        <x:v>東京都庁展望室</x:v>
      </x:c>
      <x:c r="C273" s="22" t="str">
        <x:v>新宿区・西新宿</x:v>
      </x:c>
      <x:c r="D273" s="22" t="str">
        <x:v>無料展望・超高層建築・都市夜景</x:v>
      </x:c>
      <x:c r="E273" s="22" t="e">
        <x:f>HYPERLINK("https://www.google.com/maps/dir/?api=1&amp;destination=%E6%9D%B1%E4%BA%AC%E9%83%BD%E5%BA%81%E5%B1%95%E6%9C%9B%E5%AE%A4&amp;travelmode=driving","現在地からナビ開始")</x:f>
      </x:c>
      <x:c r="F273" s="22" t="str">
        <x:v>無料で高層夜景を得られ、西新宿の建築群そのものがStoryになる。大田区からの都市ドライブの明確な終点。</x:v>
      </x:c>
      <x:c r="G273" s="22" t="str">
        <x:v>第一本庁舎駐車場・最初の1時間は30分150円、以降30分250円、当日上限2,000円</x:v>
      </x:c>
      <x:c r="H273" s="22" t="str">
        <x:v>駐車場入口8:00または8:30～21:30／出庫22:00まで／展望室は当日公式案内</x:v>
      </x:c>
      <x:c r="I273" s="22" t="n">
        <x:v>5</x:v>
      </x:c>
      <x:c r="J273" s="22" t="n">
        <x:v>2</x:v>
      </x:c>
      <x:c r="K273" s="22" t="str">
        <x:v>22:00を過ぎると出庫不可。都庁通り入口8:30、公園通り入口8:00、入庫締切21:30。展望室休室・入場待ちを確認。</x:v>
      </x:c>
      <x:c r="L273" s="23" t="n">
        <x:v>46232</x:v>
      </x:c>
      <x:c r="M273" s="22" t="str">
        <x:v>一次確認済</x:v>
      </x:c>
      <x:c r="N273" s="22" t="str">
        <x:v>https://www.zaimu.metro.tokyo.lg.jp/tochousha/goannai/shisetsu</x:v>
      </x:c>
      <x:c r="O273" s="22" t="str">
        <x:v>丹下健三設計の東京都庁第一本庁舎は1991年開庁で、西新宿超高層街を代表するポストモダン建築。</x:v>
      </x:c>
      <x:c r="P273" s="22" t="e">
        <x:f>HYPERLINK("https://ja.wikipedia.org/wiki/Special:Search?search=%E6%9D%B1%E4%BA%AC%E9%83%BD%E5%BA%81%E5%B1%95%E6%9C%9B%E5%AE%A4","Wikipedia・関連項目")</x:f>
      </x:c>
      <x:c r="Q273" s="22" t="str">
        <x:v>2026-07-29公式再確認：入口別開始時刻、入庫21:30、出庫22:00、当日上限2,000円を明記。</x:v>
      </x:c>
      <x:c r="R273" s="22" t="str">
        <x:v>10〜20km</x:v>
      </x:c>
      <x:c r="S273" s="22" t="str">
        <x:v>蒲田から約18〜23km</x:v>
      </x:c>
      <x:c r="T273" s="22" t="str">
        <x:v>通常40〜65分</x:v>
      </x:c>
      <x:c r="U273" s="22" t="str">
        <x:v>夜景・建築・無料展望</x:v>
      </x:c>
      <x:c r="V273" s="22" t="str">
        <x:v>45〜90分</x:v>
      </x:c>
      <x:c r="W273" s="22" t="n">
        <x:v>5</x:v>
      </x:c>
      <x:c r="X273" s="22" t="n">
        <x:v>1</x:v>
      </x:c>
      <x:c r="Y273" s="22" t="str">
        <x:v>東京タワー</x:v>
      </x:c>
      <x:c r="Z273" s="22" t="str">
        <x:v>新宿NSビル／新宿御苑</x:v>
      </x:c>
      <x:c r="AA273" s="22" t="str">
        <x:v>西新宿6丁目10付近 時間制限駐車区間</x:v>
      </x:c>
      <x:c r="AB273" s="22" t="str">
        <x:v>B</x:v>
      </x:c>
      <x:c r="AC273" s="22" t="str">
        <x:v>概ね9:00～19:00。詳細は現地標識を確認。</x:v>
      </x:c>
      <x:c r="AD273" s="22" t="str">
        <x:v>昼の外観・新宿中央公園・超高層街の短時間観察のみ。展望室利用や夜間は路外駐車。</x:v>
      </x:c>
      <x:c r="AE273" s="22" t="str">
        <x:v>19時以降を合法とみなさない。駐車禁止併設・工事休止を確認。</x:v>
      </x:c>
    </x:row>
    <x:row r="274">
      <x:c r="A274" s="22" t="str">
        <x:v>D273</x:v>
      </x:c>
      <x:c r="B274" s="22" t="str">
        <x:v>新宿御苑</x:v>
      </x:c>
      <x:c r="C274" s="22" t="str">
        <x:v>新宿区・内藤町</x:v>
      </x:c>
      <x:c r="D274" s="22" t="str">
        <x:v>庭園・温室・都市の静けさ・Story</x:v>
      </x:c>
      <x:c r="E274" s="22" t="e">
        <x:f>HYPERLINK("https://www.google.com/maps/dir/?api=1&amp;destination=%E6%96%B0%E5%AE%BF%E5%BE%A1%E8%8B%91&amp;travelmode=driving","現在地からナビ開始")</x:f>
      </x:c>
      <x:c r="F274" s="22" t="str">
        <x:v>日本庭園、風景式庭園、温室を大都市中心部で体験でき、休日半日の最終目的地として密度が高い。</x:v>
      </x:c>
      <x:c r="G274" s="22" t="str">
        <x:v>普通車200台・7:30～21:00・入園者は120分600円、以降30分200円、最大2,900円</x:v>
      </x:c>
      <x:c r="H274" s="22" t="str">
        <x:v>季節変動：7月31日まで9:00～19:00（最終18:30）／駐車場7:30～21:00・出庫24時間可</x:v>
      </x:c>
      <x:c r="I274" s="22" t="n">
        <x:v>1</x:v>
      </x:c>
      <x:c r="J274" s="22" t="n">
        <x:v>1</x:v>
      </x:c>
      <x:c r="K274" s="22" t="str">
        <x:v>開園時間は季節変動。酒類持込・遊具等の規制あり。花見期は駐車混雑と入場制限を想定。</x:v>
      </x:c>
      <x:c r="L274" s="23" t="n">
        <x:v>46232</x:v>
      </x:c>
      <x:c r="M274" s="22" t="str">
        <x:v>一次確認済</x:v>
      </x:c>
      <x:c r="N274" s="22" t="str">
        <x:v>https://policies.env.go.jp/national-garden/shinjukugyoen/guide/information/</x:v>
      </x:c>
      <x:c r="O274" s="22" t="str">
        <x:v>江戸期の内藤家屋敷地を起源とし、皇室庭園を経て戦後に国民公園として公開された。</x:v>
      </x:c>
      <x:c r="P274" s="22" t="e">
        <x:f>HYPERLINK("https://ja.wikipedia.org/wiki/Special:Search?search=%E6%96%B0%E5%AE%BF%E5%BE%A1%E8%8B%91","Wikipedia・関連項目")</x:f>
      </x:c>
      <x:c r="Q274" s="22" t="str">
        <x:v>4区重点追加・新宿区</x:v>
      </x:c>
      <x:c r="R274" s="22" t="str">
        <x:v>10〜20km</x:v>
      </x:c>
      <x:c r="S274" s="22" t="str">
        <x:v>蒲田から約17〜22km</x:v>
      </x:c>
      <x:c r="T274" s="22" t="str">
        <x:v>通常40〜65分</x:v>
      </x:c>
      <x:c r="U274" s="22" t="str">
        <x:v>休日半日・庭園・雨天温室</x:v>
      </x:c>
      <x:c r="V274" s="22" t="str">
        <x:v>90〜180分</x:v>
      </x:c>
      <x:c r="W274" s="22" t="n">
        <x:v>4</x:v>
      </x:c>
      <x:c r="X274" s="22" t="n">
        <x:v>1</x:v>
      </x:c>
      <x:c r="Y274" s="22" t="str">
        <x:v>明治神宮外苑 聖徳記念絵画館</x:v>
      </x:c>
      <x:c r="Z274" s="22" t="str">
        <x:v>東京都庁展望室／新宿NSビル</x:v>
      </x:c>
      <x:c r="AA274" s="22" t="str">
        <x:v>新宿3丁目37付近 パーキング・メーター</x:v>
      </x:c>
      <x:c r="AB274" s="22" t="str">
        <x:v>A</x:v>
      </x:c>
      <x:c r="AC274" s="22" t="str">
        <x:v>7:00～20:00・40分・200円・1月1日～3日を除く。現地標識優先。</x:v>
      </x:c>
      <x:c r="AD274" s="22" t="str">
        <x:v>入口・外周・短時間撮影だけ。園内を回る通常滞在には使用しない。</x:v>
      </x:c>
      <x:c r="AE274" s="22" t="str">
        <x:v>40分を超えない。枠外・延長利用不可。イベント規制を確認。</x:v>
      </x:c>
    </x:row>
    <x:row r="275">
      <x:c r="A275" s="22" t="str">
        <x:v>D274</x:v>
      </x:c>
      <x:c r="B275" s="22" t="str">
        <x:v>明治神宮外苑 聖徳記念絵画館</x:v>
      </x:c>
      <x:c r="C275" s="22" t="str">
        <x:v>新宿区・霞ヶ丘町</x:v>
      </x:c>
      <x:c r="D275" s="22" t="str">
        <x:v>近代建築・絵画・明治史Story</x:v>
      </x:c>
      <x:c r="E275" s="22" t="e">
        <x:f>HYPERLINK("https://www.google.com/maps/dir/?api=1&amp;destination=%E6%98%8E%E6%B2%BB%E7%A5%9E%E5%AE%AE%E5%A4%96%E8%8B%91%20%E8%81%96%E5%BE%B3%E8%A8%98%E5%BF%B5%E7%B5%B5%E7%94%BB%E9%A4%A8&amp;travelmode=driving","現在地からナビ開始")</x:f>
      </x:c>
      <x:c r="F275" s="22" t="str">
        <x:v>重厚な石造建築と明治史を描く大壁画群があり、庭園・建築・歴史を一度に回収できる昼の経由地。</x:v>
      </x:c>
      <x:c r="G275" s="22" t="str">
        <x:v>絵画館駐車場・通常396台だが保存修理工事中は約100台減少・5:30～21:00・普通車1日2,000円</x:v>
      </x:c>
      <x:c r="H275" s="22" t="str">
        <x:v>絵画館10:00～16:30（最終16:00）／水曜休館</x:v>
      </x:c>
      <x:c r="I275" s="22" t="n">
        <x:v>2</x:v>
      </x:c>
      <x:c r="J275" s="22" t="n">
        <x:v>3</x:v>
      </x:c>
      <x:c r="K275" s="22" t="str">
        <x:v>日曜・祝日の交通規制、イベント・スポーツ開催による駐車制限を確認。保存修理工事中は通常396台から約100台減少。</x:v>
      </x:c>
      <x:c r="L275" s="23" t="n">
        <x:v>46232</x:v>
      </x:c>
      <x:c r="M275" s="22" t="str">
        <x:v>一次確認済</x:v>
      </x:c>
      <x:c r="N275" s="22" t="str">
        <x:v>https://www.meijijingugaien.jp/parking/</x:v>
      </x:c>
      <x:c r="O275" s="22" t="str">
        <x:v>1926年竣工の絵画館には、明治天皇の生涯と明治期の出来事を描く大型絵画が展示される。</x:v>
      </x:c>
      <x:c r="P275" s="22" t="e">
        <x:f>HYPERLINK("https://ja.wikipedia.org/wiki/Special:Search?search=%E6%98%8E%E6%B2%BB%E7%A5%9E%E5%AE%AE%E5%A4%96%E8%8B%91%20%E8%81%96%E5%BE%B3%E8%A8%98%E5%BF%B5%E7%B5%B5%E7%94%BB%E9%A4%A8","Wikipedia・関連項目")</x:f>
      </x:c>
      <x:c r="Q275" s="22" t="str">
        <x:v>2026-07-29公式再確認：普通車料金2,000円、保存修理工事中の収容台数約100台減少を反映。</x:v>
      </x:c>
      <x:c r="R275" s="22" t="str">
        <x:v>10〜20km</x:v>
      </x:c>
      <x:c r="S275" s="22" t="str">
        <x:v>蒲田から約16〜21km</x:v>
      </x:c>
      <x:c r="T275" s="22" t="str">
        <x:v>通常35〜60分</x:v>
      </x:c>
      <x:c r="U275" s="22" t="str">
        <x:v>建築・歴史Story・昼</x:v>
      </x:c>
      <x:c r="V275" s="22" t="str">
        <x:v>45〜90分</x:v>
      </x:c>
      <x:c r="W275" s="22" t="n">
        <x:v>4</x:v>
      </x:c>
      <x:c r="X275" s="22" t="n">
        <x:v>1</x:v>
      </x:c>
      <x:c r="Y275" s="22" t="str">
        <x:v>新宿御苑</x:v>
      </x:c>
      <x:c r="Z275" s="22" t="str">
        <x:v>東京都庁展望室／東京ミッドタウン</x:v>
      </x:c>
      <x:c r="AA275" s="22" t="str">
        <x:v>なし</x:v>
      </x:c>
      <x:c r="AB275" s="22" t="str">
        <x:v>-</x:v>
      </x:c>
      <x:c r="AC275" s="22" t="str"/>
      <x:c r="AD275" s="22" t="str">
        <x:v>専用・路外駐車を基本</x:v>
      </x:c>
      <x:c r="AE275" s="22" t="str"/>
    </x:row>
    <x:row r="276">
      <x:c r="A276" s="22" t="str">
        <x:v>D275</x:v>
      </x:c>
      <x:c r="B276" s="22" t="str">
        <x:v>新宿NSビル アトリウム・大時計</x:v>
      </x:c>
      <x:c r="C276" s="22" t="str">
        <x:v>新宿区・西新宿</x:v>
      </x:c>
      <x:c r="D276" s="22" t="str">
        <x:v>巨大吹抜け・大時計・超高層建築・雨天</x:v>
      </x:c>
      <x:c r="E276" s="22" t="e">
        <x:f>HYPERLINK("https://www.google.com/maps/dir/?api=1&amp;destination=%E6%96%B0%E5%AE%BFNS%E3%83%93%E3%83%AB%20%E3%82%A2%E3%83%88%E3%83%AA%E3%82%A6%E3%83%A0%E3%83%BB%E5%A4%A7%E6%99%82%E8%A8%88&amp;travelmode=driving","現在地からナビ開始")</x:f>
      </x:c>
      <x:c r="F276" s="22" t="str">
        <x:v>巨大アトリウムと大時計を短時間で見られ、雨天でも西新宿の超高層建築体験を作れる。都庁前の実用的な経由地。</x:v>
      </x:c>
      <x:c r="G276" s="22" t="str">
        <x:v>駐車場336台・時間貸し約100台・6:30～23:30・30分300円</x:v>
      </x:c>
      <x:c r="H276" s="22" t="str">
        <x:v>駐車場6:30～23:30／館内施設は個別時間</x:v>
      </x:c>
      <x:c r="I276" s="22" t="n">
        <x:v>4</x:v>
      </x:c>
      <x:c r="J276" s="22" t="n">
        <x:v>3</x:v>
      </x:c>
      <x:c r="K276" s="22" t="str">
        <x:v>イベント・テナント営業時間を確認。深夜はアトリウム立入範囲が限定される場合あり。</x:v>
      </x:c>
      <x:c r="L276" s="23" t="n">
        <x:v>46232</x:v>
      </x:c>
      <x:c r="M276" s="22" t="str">
        <x:v>一次確認済</x:v>
      </x:c>
      <x:c r="N276" s="22" t="str">
        <x:v>https://www.shinjuku-ns.jp/access/</x:v>
      </x:c>
      <x:c r="O276" s="22" t="str">
        <x:v>西新宿超高層街を代表する建築の一つで、中央の巨大吹抜けと大時計が内部空間の象徴になっている。</x:v>
      </x:c>
      <x:c r="P276" s="22" t="e">
        <x:f>HYPERLINK("https://ja.wikipedia.org/wiki/Special:Search?search=%E6%96%B0%E5%AE%BFNS%E3%83%93%E3%83%AB%20%E3%82%A2%E3%83%88%E3%83%AA%E3%82%A6%E3%83%A0%E3%83%BB%E5%A4%A7%E6%99%82%E8%A8%88","Wikipedia・関連項目")</x:f>
      </x:c>
      <x:c r="Q276" s="22" t="str">
        <x:v>4区重点追加・新宿区</x:v>
      </x:c>
      <x:c r="R276" s="22" t="str">
        <x:v>10〜20km</x:v>
      </x:c>
      <x:c r="S276" s="22" t="str">
        <x:v>蒲田から約18〜23km</x:v>
      </x:c>
      <x:c r="T276" s="22" t="str">
        <x:v>通常40〜65分</x:v>
      </x:c>
      <x:c r="U276" s="22" t="str">
        <x:v>雨天・建築・夜</x:v>
      </x:c>
      <x:c r="V276" s="22" t="str">
        <x:v>30〜75分</x:v>
      </x:c>
      <x:c r="W276" s="22" t="n">
        <x:v>5</x:v>
      </x:c>
      <x:c r="X276" s="22" t="n">
        <x:v>2</x:v>
      </x:c>
      <x:c r="Y276" s="22" t="str">
        <x:v>東京都庁展望室</x:v>
      </x:c>
      <x:c r="Z276" s="22" t="str">
        <x:v>新宿御苑／聖徳記念絵画館</x:v>
      </x:c>
      <x:c r="AA276" s="22" t="str">
        <x:v>西新宿6丁目10付近 時間制限駐車区間</x:v>
      </x:c>
      <x:c r="AB276" s="22" t="str">
        <x:v>B</x:v>
      </x:c>
      <x:c r="AC276" s="22" t="str">
        <x:v>概ね9:00～19:00。詳細は現地標識を確認。</x:v>
      </x:c>
      <x:c r="AD276" s="22" t="str">
        <x:v>昼の30～60分以内の建築観察用。夜間・イベント滞在はNSビル駐車場。</x:v>
      </x:c>
      <x:c r="AE276" s="22" t="str">
        <x:v>枠内駐車、制限時間、利用曜日、駐車禁止時間を確認。</x:v>
      </x:c>
    </x:row>
  </x:sheetData>
  <x:conditionalFormatting sqref="I2:J41">
    <x:cfRule type="colorScale" priority="1">
      <x:colorScale>
        <x:cfvo type="min"/>
        <x:cfvo type="percentile" val="50"/>
        <x:cfvo type="max"/>
        <x:color rgb="FFFEE2E2"/>
        <x:color rgb="FFFEF3C7"/>
        <x:color rgb="FFDCFCE7"/>
      </x:colorScale>
    </x:cfRule>
  </x:conditionalFormatting>
  <x:conditionalFormatting sqref="I2:J61">
    <x:cfRule type="colorScale" priority="2">
      <x:colorScale>
        <x:cfvo type="min"/>
        <x:cfvo type="percentile" val="50"/>
        <x:cfvo type="max"/>
        <x:color rgb="FFFEE2E2"/>
        <x:color rgb="FFFEF3C7"/>
        <x:color rgb="FFDCFCE7"/>
      </x:colorScale>
    </x:cfRule>
  </x:conditionalFormatting>
  <x:conditionalFormatting sqref="I2:J81">
    <x:cfRule type="colorScale" priority="3">
      <x:colorScale>
        <x:cfvo type="min"/>
        <x:cfvo type="percentile" val="50"/>
        <x:cfvo type="max"/>
        <x:color rgb="FFFEE2E2"/>
        <x:color rgb="FFFEF3C7"/>
        <x:color rgb="FFDCFCE7"/>
      </x:colorScale>
    </x:cfRule>
  </x:conditionalFormatting>
  <x:conditionalFormatting sqref="I2:J101">
    <x:cfRule type="colorScale" priority="4">
      <x:colorScale>
        <x:cfvo type="min"/>
        <x:cfvo type="percentile" val="50"/>
        <x:cfvo type="max"/>
        <x:color rgb="FFFEE2E2"/>
        <x:color rgb="FFFEF3C7"/>
        <x:color rgb="FFDCFCE7"/>
      </x:colorScale>
    </x:cfRule>
  </x:conditionalFormatting>
  <x:conditionalFormatting sqref="I2:I101">
    <x:cfRule type="colorScale" priority="5">
      <x:colorScale>
        <x:cfvo type="min"/>
        <x:cfvo type="percentile" val="50"/>
        <x:cfvo type="max"/>
        <x:color rgb="FFFEE2E2"/>
        <x:color rgb="FFFEF3C7"/>
        <x:color rgb="FFDCFCE7"/>
      </x:colorScale>
    </x:cfRule>
  </x:conditionalFormatting>
  <x:conditionalFormatting sqref="I2:I121">
    <x:cfRule type="colorScale" priority="6">
      <x:colorScale>
        <x:cfvo type="min"/>
        <x:cfvo type="percentile" val="50"/>
        <x:cfvo type="max"/>
        <x:color rgb="FFFEE2E2"/>
        <x:color rgb="FFFEF3C7"/>
        <x:color rgb="FFDCFCE7"/>
      </x:colorScale>
    </x:cfRule>
  </x:conditionalFormatting>
  <x:conditionalFormatting sqref="I2:J141">
    <x:cfRule type="colorScale" priority="7">
      <x:colorScale>
        <x:cfvo type="min"/>
        <x:cfvo type="percentile" val="50"/>
        <x:cfvo type="max"/>
        <x:color rgb="FFFEE2E2"/>
        <x:color rgb="FFFEF3C7"/>
        <x:color rgb="FFDCFCE7"/>
      </x:colorScale>
    </x:cfRule>
  </x:conditionalFormatting>
  <x:conditionalFormatting sqref="I2:J161">
    <x:cfRule type="colorScale" priority="8">
      <x:colorScale>
        <x:cfvo type="min"/>
        <x:cfvo type="percentile" val="50"/>
        <x:cfvo type="max"/>
        <x:color rgb="FFFEE2E2"/>
        <x:color rgb="FFFEF3C7"/>
        <x:color rgb="FFDCFCE7"/>
      </x:colorScale>
    </x:cfRule>
  </x:conditionalFormatting>
  <x:conditionalFormatting sqref="I2:J181">
    <x:cfRule type="colorScale" priority="9">
      <x:colorScale>
        <x:cfvo type="min"/>
        <x:cfvo type="percentile" val="50"/>
        <x:cfvo type="max"/>
        <x:color rgb="FFFEE2E2"/>
        <x:color rgb="FFFEF3C7"/>
        <x:color rgb="FFDCFCE7"/>
      </x:colorScale>
    </x:cfRule>
  </x:conditionalFormatting>
  <x:conditionalFormatting sqref="I2:J201">
    <x:cfRule type="colorScale" priority="10">
      <x:colorScale>
        <x:cfvo type="min"/>
        <x:cfvo type="percentile" val="50"/>
        <x:cfvo type="max"/>
        <x:color rgb="FFFEE2E2"/>
        <x:color rgb="FFFEF3C7"/>
        <x:color rgb="FFDCFCE7"/>
      </x:colorScale>
    </x:cfRule>
  </x:conditionalFormatting>
  <x:conditionalFormatting sqref="I2:J221">
    <x:cfRule type="colorScale" priority="11">
      <x:colorScale>
        <x:cfvo type="min"/>
        <x:cfvo type="percentile" val="50"/>
        <x:cfvo type="max"/>
        <x:color rgb="FFFEE2E2"/>
        <x:color rgb="FFFEF3C7"/>
        <x:color rgb="FFDCFCE7"/>
      </x:colorScale>
    </x:cfRule>
  </x:conditionalFormatting>
  <x:conditionalFormatting sqref="I2:J241">
    <x:cfRule type="colorScale" priority="12">
      <x:colorScale>
        <x:cfvo type="min"/>
        <x:cfvo type="percentile" val="50"/>
        <x:cfvo type="max"/>
        <x:color rgb="FFFEE2E2"/>
        <x:color rgb="FFFEF3C7"/>
        <x:color rgb="FFDCFCE7"/>
      </x:colorScale>
    </x:cfRule>
  </x:conditionalFormatting>
  <x:conditionalFormatting sqref="W2:X253">
    <x:cfRule type="colorScale" priority="13">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736546036f744353"/>
  </x:tableParts>
</x:worksheet>
</file>

<file path=xl/worksheets/sheet3.xml><?xml version="1.0" encoding="utf-8"?>
<x:worksheet xmlns:x="http://schemas.openxmlformats.org/spreadsheetml/2006/main">
  <x:sheetFormatPr defaultRowHeight="15"/>
  <x:cols>
    <x:col min="1" max="1" width="10" hidden="0" customWidth="1"/>
    <x:col min="2" max="2" width="30" hidden="0" customWidth="1"/>
    <x:col min="3" max="3" width="28" hidden="0" customWidth="1"/>
    <x:col min="4" max="4" width="12" hidden="0" customWidth="1"/>
    <x:col min="5" max="5" width="30" hidden="0" customWidth="1"/>
    <x:col min="6" max="6" width="30" hidden="0" customWidth="1"/>
    <x:col min="7" max="7" width="30" hidden="0" customWidth="1"/>
    <x:col min="8" max="8" width="30" hidden="0" customWidth="1"/>
    <x:col min="9" max="9" width="16" hidden="0" customWidth="1"/>
    <x:col min="10" max="10" width="12" hidden="0" customWidth="1"/>
    <x:col min="11" max="11" width="50" hidden="0" customWidth="1"/>
    <x:col min="12" max="12" width="22" hidden="0" customWidth="1"/>
    <x:col min="13" max="13" width="18" hidden="0" customWidth="1"/>
    <x:col min="14" max="14" width="15" hidden="0" customWidth="1"/>
    <x:col min="15" max="15" width="14" hidden="0" customWidth="1"/>
    <x:col min="16" max="16" width="50" hidden="0" customWidth="1"/>
    <x:col min="17" max="17" width="50" hidden="0" customWidth="1"/>
    <x:col min="18" max="18" width="13" hidden="0" customWidth="1"/>
    <x:col min="19" max="19" width="14" hidden="0" customWidth="1"/>
    <x:col min="20" max="20" width="15" hidden="0" customWidth="1"/>
    <x:col min="21" max="21" width="48" hidden="0" customWidth="1"/>
    <x:col min="22" max="22" width="52" hidden="0" customWidth="1"/>
    <x:col min="23" max="23" width="48" hidden="0" customWidth="1"/>
    <x:col min="24" max="24" width="50" hidden="0" customWidth="1"/>
    <x:col min="25" max="25" width="20" hidden="0" customWidth="1"/>
    <x:col min="26" max="26" width="34" hidden="0" customWidth="1"/>
  </x:cols>
  <x:sheetData>
    <x:row r="1">
      <x:c r="A1" s="359" t="str">
        <x:v>ルートID</x:v>
      </x:c>
      <x:c r="B1" s="359" t="str">
        <x:v>タイトル</x:v>
      </x:c>
      <x:c r="C1" s="359" t="str">
        <x:v>テーマ</x:v>
      </x:c>
      <x:c r="D1" s="359" t="str">
        <x:v>起点</x:v>
      </x:c>
      <x:c r="E1" s="359" t="str">
        <x:v>経由地1</x:v>
      </x:c>
      <x:c r="F1" s="359" t="str">
        <x:v>経由地2</x:v>
      </x:c>
      <x:c r="G1" s="359" t="str">
        <x:v>経由地3</x:v>
      </x:c>
      <x:c r="H1" s="359" t="str">
        <x:v>最終目的地</x:v>
      </x:c>
      <x:c r="I1" s="359" t="str">
        <x:v>想定総時間</x:v>
      </x:c>
      <x:c r="J1" s="359" t="str">
        <x:v>夜間適性（並べ替え可）</x:v>
      </x:c>
      <x:c r="K1" s="359" t="str">
        <x:v>注意事項</x:v>
      </x:c>
      <x:c r="L1" s="359" t="str">
        <x:v>現在地→経由地→最終目的地（クリック）</x:v>
      </x:c>
      <x:c r="M1" s="359" t="str">
        <x:v>ルート区分</x:v>
      </x:c>
      <x:c r="N1" s="359" t="str">
        <x:v>経由地品質(0-100)</x:v>
      </x:c>
      <x:c r="O1" s="359" t="str">
        <x:v>改善状態</x:v>
      </x:c>
      <x:c r="P1" s="359" t="str">
        <x:v>経由地設計意図</x:v>
      </x:c>
      <x:c r="Q1" s="359" t="str">
        <x:v>差替え・役割履歴</x:v>
      </x:c>
      <x:c r="R1" s="359" t="str">
        <x:v>更新日</x:v>
      </x:c>
      <x:c r="S1" s="359" t="str">
        <x:v>経由地多様性</x:v>
      </x:c>
      <x:c r="T1" s="359" t="str">
        <x:v>使用過多ペナルティ</x:v>
      </x:c>
      <x:c r="U1" s="359" t="str">
        <x:v>体験遷移</x:v>
      </x:c>
      <x:c r="V1" s="359" t="str">
        <x:v>推奨滞在配分</x:v>
      </x:c>
      <x:c r="W1" s="359" t="str">
        <x:v>駐車方式</x:v>
      </x:c>
      <x:c r="X1" s="359" t="str">
        <x:v>スキップ基準</x:v>
      </x:c>
      <x:c r="Y1" s="359" t="str">
        <x:v>ルート系統</x:v>
      </x:c>
      <x:c r="Z1" s="359" t="str">
        <x:v>走行演出</x:v>
      </x:c>
    </x:row>
    <x:row r="2">
      <x:c r="A2" s="27" t="str">
        <x:v>R001</x:v>
      </x:c>
      <x:c r="B2" s="27" t="str">
        <x:v>羽田・航空機ショート</x:v>
      </x:c>
      <x:c r="C2" s="27" t="str">
        <x:v>足湯／空港展望／飛行機</x:v>
      </x:c>
      <x:c r="D2" s="27" t="str">
        <x:v>蒲田駅</x:v>
      </x:c>
      <x:c r="E2" s="27" t="str">
        <x:v>HANEDA INNOVATION CITY 足湯スカイデッキ</x:v>
      </x:c>
      <x:c r="F2" s="27" t="str">
        <x:v>羽田空港 第3ターミナル展望デッキ</x:v>
      </x:c>
      <x:c r="G2" s="27"/>
      <x:c r="H2" s="27" t="str">
        <x:v>京浜島つばさ公園</x:v>
      </x:c>
      <x:c r="I2" s="27" t="str">
        <x:v>85～120分</x:v>
      </x:c>
      <x:c r="J2" s="27" t="n">
        <x:v>5</x:v>
      </x:c>
      <x:c r="K2" s="27" t="str">
        <x:v>HIC P1で足湯を短時間利用し、T3を経て京浜島へ。京浜島満車時はT3で終了。</x:v>
      </x:c>
      <x:c r="L2" s="49" t="e">
        <x:f>HYPERLINK("https://www.google.com/maps/dir/?api=1&amp;destination=%E4%BA%AC%E6%B5%9C%E5%B3%B6%E3%81%A4%E3%81%B0%E3%81%95%E5%85%AC%E5%9C%92&amp;travelmode=driving&amp;waypoints=HANEDA%20INNOVATION%20CITY%20%E8%B6%B3%E6%B9%AF%E3%82%B9%E3%82%AB%E3%82%A4%E3%83%87%E3%83%83%E3%82%AD%7C%E7%BE%BD%E7%94%B0%E7%A9%BA%E6%B8%AF%20%E7%AC%AC3%E3%82%BF%E3%83%BC%E3%83%9F%E3%83%8A%E3%83%AB%E5%B1%95%E6%9C%9B%E3%83%87%E3%83%83%E3%82%AD","現在地からルート開始")</x:f>
      </x:c>
      <x:c r="M2" s="22" t="str">
        <x:v>通常</x:v>
      </x:c>
      <x:c r="N2" s="22" t="n">
        <x:v>80</x:v>
      </x:c>
      <x:c r="O2" s="22" t="str">
        <x:v>差替え済</x:v>
      </x:c>
      <x:c r="P2" s="22" t="str">
        <x:v>足湯で身体を切り替え、空港建築と航空機を見た後、工業島の低い視点で飛行機の迫力を回収する。</x:v>
      </x:c>
      <x:c r="Q2" s="22" t="str">
        <x:v>曖昧名称『羽田イノベーションシティ』を、DB登録済みの足湯スカイデッキへ統一。</x:v>
      </x:c>
      <x:c r="R2" s="23" t="n">
        <x:v>46232</x:v>
      </x:c>
      <x:c r="S2" s="22" t="n">
        <x:v>49</x:v>
      </x:c>
      <x:c r="T2" s="22" t="n">
        <x:v>30</x:v>
      </x:c>
      <x:c r="U2" s="22" t="str">
        <x:v>飛行機・都市夜景 → 飛行機・都市夜景 → 飛行機・都市夜景 → 飛行機・工場夜景</x:v>
      </x:c>
      <x:c r="V2" s="22" t="str">
        <x:v>HANEDA INNOVATION CITY 足湯スカイデッキ:25分／羽田空港 第3ターミナル展望デッキ:25分／京浜島つばさ公園:40分</x:v>
      </x:c>
      <x:c r="W2" s="22" t="str">
        <x:v>専用・公式駐車場へ直接入庫／小規模。満車なら待たずに省略</x:v>
      </x:c>
      <x:c r="X2" s="22" t="str">
        <x:v>23:30に間に合わない時／工事・閉鎖時／満車時</x:v>
      </x:c>
      <x:c r="Y2" s="22" t="str">
        <x:v>羽田・航空</x:v>
      </x:c>
      <x:c r="Z2" s="22"/>
    </x:row>
    <x:row r="3">
      <x:c r="A3" s="27" t="str">
        <x:v>R002</x:v>
      </x:c>
      <x:c r="B3" s="27" t="str">
        <x:v>大森海岸から飛行機へ</x:v>
      </x:c>
      <x:c r="C3" s="27" t="str">
        <x:v>海苔Story／飛行機／海</x:v>
      </x:c>
      <x:c r="D3" s="27" t="str">
        <x:v>蒲田駅</x:v>
      </x:c>
      <x:c r="E3" s="27" t="str">
        <x:v>大森ふるさとの浜辺公園</x:v>
      </x:c>
      <x:c r="F3" s="27" t="str">
        <x:v>京浜島つばさ公園</x:v>
      </x:c>
      <x:c r="G3" s="27"/>
      <x:c r="H3" s="27" t="str">
        <x:v>城南島海浜公園</x:v>
      </x:c>
      <x:c r="I3" s="27" t="str">
        <x:v>90～130分</x:v>
      </x:c>
      <x:c r="J3" s="27" t="n">
        <x:v>4</x:v>
      </x:c>
      <x:c r="K3" s="27" t="str">
        <x:v>浜辺エリアと城南島駐車場は21時まで。20時以降は大森を省略し、京浜島→城南島へ短縮。</x:v>
      </x:c>
      <x:c r="L3" s="49" t="e">
        <x:f>HYPERLINK("https://www.google.com/maps/dir/?api=1&amp;destination=%E5%9F%8E%E5%8D%97%E5%B3%B6%E6%B5%B7%E6%B5%9C%E5%85%AC%E5%9C%92&amp;travelmode=driving&amp;waypoints=%E5%A4%A7%E6%A3%AE%E3%81%B5%E3%82%8B%E3%81%95%E3%81%A8%E3%81%AE%E6%B5%9C%E8%BE%BA%E5%85%AC%E5%9C%92%7C%E4%BA%AC%E6%B5%9C%E5%B3%B6%E3%81%A4%E3%81%B0%E3%81%95%E5%85%AC%E5%9C%92","現在地からルート開始")</x:f>
      </x:c>
      <x:c r="M3" s="22" t="str">
        <x:v>通常</x:v>
      </x:c>
      <x:c r="N3" s="22" t="n">
        <x:v>79</x:v>
      </x:c>
      <x:c r="O3" s="22" t="str">
        <x:v>差替え済</x:v>
      </x:c>
      <x:c r="P3" s="22" t="str">
        <x:v>大森の海苔・人工海浜から工業島の航空機へ進み、城南島の海と飛行機で終える一方向の流れ。</x:v>
      </x:c>
      <x:c r="Q3" s="22" t="str">
        <x:v>多摩川浅間神社と羽田T3の大きな往復を解消。大森浜辺と京浜島へ差替え。</x:v>
      </x:c>
      <x:c r="R3" s="23" t="n">
        <x:v>46232</x:v>
      </x:c>
      <x:c r="S3" s="22" t="n">
        <x:v>67</x:v>
      </x:c>
      <x:c r="T3" s="22" t="n">
        <x:v>18</x:v>
      </x:c>
      <x:c r="U3" s="22" t="str">
        <x:v>海・港・Story → 飛行機・工場夜景 → 飛行機・工場夜景 → 飛行機・海・港</x:v>
      </x:c>
      <x:c r="V3" s="22" t="str">
        <x:v>大森ふるさとの浜辺公園:20分／京浜島つばさ公園:25分／城南島海浜公園:40分</x:v>
      </x:c>
      <x:c r="W3" s="22" t="str">
        <x:v>専用・公式駐車場へ直接入庫／小規模。満車なら待たずに省略</x:v>
      </x:c>
      <x:c r="X3" s="22" t="str">
        <x:v>臨時閉鎖・イベント混雑時／満車時／21:00に間に合わない時／工事・閉鎖時</x:v>
      </x:c>
      <x:c r="Y3" s="22" t="str">
        <x:v>羽田・航空</x:v>
      </x:c>
      <x:c r="Z3" s="22"/>
    </x:row>
    <x:row r="4">
      <x:c r="A4" s="27" t="str">
        <x:v>R003</x:v>
      </x:c>
      <x:c r="B4" s="27" t="str">
        <x:v>東京港最奥ナイト</x:v>
      </x:c>
      <x:c r="C4" s="27" t="str">
        <x:v>港／行き止まり／都市夜景</x:v>
      </x:c>
      <x:c r="D4" s="27" t="str">
        <x:v>蒲田駅</x:v>
      </x:c>
      <x:c r="E4" s="27" t="str">
        <x:v>晴海ふ頭公園</x:v>
      </x:c>
      <x:c r="F4" s="27" t="str">
        <x:v>豊洲ぐるり公園</x:v>
      </x:c>
      <x:c r="G4" s="27"/>
      <x:c r="H4" s="27" t="str">
        <x:v>暁ふ頭公園</x:v>
      </x:c>
      <x:c r="I4" s="27" t="str">
        <x:v>120～160分</x:v>
      </x:c>
      <x:c r="J4" s="27" t="n">
        <x:v>5</x:v>
      </x:c>
      <x:c r="K4" s="27" t="str">
        <x:v>強風時は暁ふ頭を潮風公園へ変更。</x:v>
      </x:c>
      <x:c r="L4" s="49" t="e">
        <x:f>HYPERLINK("https://www.google.com/maps/dir/?api=1&amp;destination=%E6%9A%81%E3%81%B5%E9%A0%AD%E5%85%AC%E5%9C%92&amp;travelmode=driving&amp;waypoints=%E6%99%B4%E6%B5%B7%E3%81%B5%E9%A0%AD%E5%85%AC%E5%9C%92%7C%E8%B1%8A%E6%B4%B2%E3%81%90%E3%82%8B%E3%82%8A%E5%85%AC%E5%9C%92","現在地からルート開始")</x:f>
      </x:c>
      <x:c r="M4" s="22" t="str">
        <x:v>通常</x:v>
      </x:c>
      <x:c r="N4" s="22" t="n">
        <x:v>77</x:v>
      </x:c>
      <x:c r="O4" s="22" t="str">
        <x:v>維持</x:v>
      </x:c>
      <x:c r="P4" s="22" t="str">
        <x:v>晴海ふ頭公園 → 豊洲ぐるり公園 → 暁ふ頭公園 の順に、景観と滞在強度を変化させる。</x:v>
      </x:c>
      <x:c r="Q4" s="22"/>
      <x:c r="R4" s="23" t="n">
        <x:v>46232</x:v>
      </x:c>
      <x:c r="S4" s="22" t="n">
        <x:v>85</x:v>
      </x:c>
      <x:c r="T4" s="22" t="n">
        <x:v>0</x:v>
      </x:c>
      <x:c r="U4" s="22" t="str">
        <x:v>海・港・都市夜景 → 都市夜景 → 都市夜景 → 海・港・休息</x:v>
      </x:c>
      <x:c r="V4" s="22" t="str">
        <x:v>晴海ふ頭公園:20分／豊洲ぐるり公園:18分／暁ふ頭公園:45分</x:v>
      </x:c>
      <x:c r="W4" s="22" t="str">
        <x:v>小規模。満車なら待たずに省略／専用・公式駐車場へ直接入庫</x:v>
      </x:c>
      <x:c r="X4" s="22" t="str">
        <x:v>満車時／臨時閉鎖・イベント混雑時／満車時／工事・閉鎖時</x:v>
      </x:c>
      <x:c r="Y4" s="22" t="str">
        <x:v>東京港・水辺</x:v>
      </x:c>
      <x:c r="Z4" s="22"/>
    </x:row>
    <x:row r="5">
      <x:c r="A5" s="27" t="str">
        <x:v>R004</x:v>
      </x:c>
      <x:c r="B5" s="27" t="str">
        <x:v>ゲートブリッジ夜景ショート</x:v>
      </x:c>
      <x:c r="C5" s="27" t="str">
        <x:v>都市夜景／橋の走行演出／海</x:v>
      </x:c>
      <x:c r="D5" s="27" t="str">
        <x:v>蒲田駅</x:v>
      </x:c>
      <x:c r="E5" s="27" t="str">
        <x:v>潮風公園</x:v>
      </x:c>
      <x:c r="F5" s="27" t="str">
        <x:v>東京ゲートブリッジ</x:v>
      </x:c>
      <x:c r="G5" s="27"/>
      <x:c r="H5" s="27" t="str">
        <x:v>若洲海浜公園</x:v>
      </x:c>
      <x:c r="I5" s="27" t="str">
        <x:v>105～145分</x:v>
      </x:c>
      <x:c r="J5" s="27" t="n">
        <x:v>5</x:v>
      </x:c>
      <x:c r="K5" s="27" t="str">
        <x:v>東京ゲートブリッジは停車せず走行演出として通過。若洲駐車場は6:00～22:00で、一部工事情報を当日確認。</x:v>
      </x:c>
      <x:c r="L5" s="49" t="e">
        <x:f>HYPERLINK("https://www.google.com/maps/dir/?api=1&amp;destination=%E8%8B%A5%E6%B4%B2%E6%B5%B7%E6%B5%9C%E5%85%AC%E5%9C%92&amp;travelmode=driving&amp;waypoints=%E6%BD%AE%E9%A2%A8%E5%85%AC%E5%9C%92%7C%E6%9D%B1%E4%BA%AC%E3%82%B2%E3%83%BC%E3%83%88%E3%83%96%E3%83%AA%E3%83%83%E3%82%B8","現在地からルート開始")</x:f>
      </x:c>
      <x:c r="M5" s="22" t="str">
        <x:v>走行演出あり</x:v>
      </x:c>
      <x:c r="N5" s="22" t="n">
        <x:v>80</x:v>
      </x:c>
      <x:c r="O5" s="22" t="str">
        <x:v>差替え済</x:v>
      </x:c>
      <x:c r="P5" s="22" t="str">
        <x:v>お台場の都市夜景から橋を走り抜け、若洲側で橋そのものを海越しに見返して終える。</x:v>
      </x:c>
      <x:c r="Q5" s="22" t="str">
        <x:v>橋を通常経由地として扱う誤りを修正。『走行演出・滞在0分』として明文化し、若洲を最終地点へ。</x:v>
      </x:c>
      <x:c r="R5" s="23" t="n">
        <x:v>46232</x:v>
      </x:c>
      <x:c r="S5" s="22" t="n">
        <x:v>68</x:v>
      </x:c>
      <x:c r="T5" s="22" t="n">
        <x:v>0</x:v>
      </x:c>
      <x:c r="U5" s="22" t="str">
        <x:v>海・港・都市夜景 → 海・港 → 海・港 → 海・港</x:v>
      </x:c>
      <x:c r="V5" s="22" t="str">
        <x:v>潮風公園:20分／東京ゲートブリッジ:0分／若洲海浜公園:45分</x:v>
      </x:c>
      <x:c r="W5" s="22" t="str">
        <x:v>専用・公式駐車場へ直接入庫／停車しない／小規模。満車なら待たずに省略</x:v>
      </x:c>
      <x:c r="X5" s="22" t="str">
        <x:v>工事・閉鎖時／渋滞・通行規制時は走行演出を省略／満車時／22:00に間に合わない時／強風・高潮・増水時／工事・閉鎖時</x:v>
      </x:c>
      <x:c r="Y5" s="22" t="str">
        <x:v>東京港・水辺</x:v>
      </x:c>
      <x:c r="Z5" s="22" t="str">
        <x:v>東京ゲートブリッジを停車せず通過</x:v>
      </x:c>
    </x:row>
    <x:row r="6">
      <x:c r="A6" s="27" t="str">
        <x:v>R005</x:v>
      </x:c>
      <x:c r="B6" s="27" t="str">
        <x:v>東京港・環境再生ライン</x:v>
      </x:c>
      <x:c r="C6" s="27" t="str">
        <x:v>湿地／埋立地再生／橋景観</x:v>
      </x:c>
      <x:c r="D6" s="27" t="str">
        <x:v>蒲田駅</x:v>
      </x:c>
      <x:c r="E6" s="27" t="str">
        <x:v>東京港野鳥公園</x:v>
      </x:c>
      <x:c r="F6" s="27" t="str">
        <x:v>海の森公園</x:v>
      </x:c>
      <x:c r="G6" s="27"/>
      <x:c r="H6" s="27" t="str">
        <x:v>若洲海浜公園</x:v>
      </x:c>
      <x:c r="I6" s="27" t="str">
        <x:v>150～210分</x:v>
      </x:c>
      <x:c r="J6" s="27" t="n">
        <x:v>1</x:v>
      </x:c>
      <x:c r="K6" s="27" t="str">
        <x:v>昼専用。野鳥公園と海の森は17時まで。若洲駐車場は22時までだが、工事による一部利用休止を確認。</x:v>
      </x:c>
      <x:c r="L6" s="49" t="e">
        <x:f>HYPERLINK("https://www.google.com/maps/dir/?api=1&amp;destination=%E8%8B%A5%E6%B4%B2%E6%B5%B7%E6%B5%9C%E5%85%AC%E5%9C%92&amp;travelmode=driving&amp;waypoints=%E6%9D%B1%E4%BA%AC%E6%B8%AF%E9%87%8E%E9%B3%A5%E5%85%AC%E5%9C%92%7C%E6%B5%B7%E3%81%AE%E6%A3%AE%E5%85%AC%E5%9C%92","現在地からルート開始")</x:f>
      </x:c>
      <x:c r="M6" s="22" t="str">
        <x:v>昼専用</x:v>
      </x:c>
      <x:c r="N6" s="22" t="n">
        <x:v>80</x:v>
      </x:c>
      <x:c r="O6" s="22" t="str">
        <x:v>差替え済</x:v>
      </x:c>
      <x:c r="P6" s="22" t="str">
        <x:v>埋立地に生まれた湿地、廃棄物処分場から育てた森、巨大橋と海という東京港の環境変化を順に読む。</x:v>
      </x:c>
      <x:c r="Q6" s="22" t="str">
        <x:v>海の森から晴海へ戻る逆方向を解消し、若洲海浜公園を最終地点へ変更。</x:v>
      </x:c>
      <x:c r="R6" s="23" t="n">
        <x:v>46232</x:v>
      </x:c>
      <x:c r="S6" s="22" t="n">
        <x:v>79</x:v>
      </x:c>
      <x:c r="T6" s="22" t="n">
        <x:v>0</x:v>
      </x:c>
      <x:c r="U6" s="22" t="str">
        <x:v>飛行機・海・港 → 海・港・都市夜景 → 海・港・都市夜景 → 海・港</x:v>
      </x:c>
      <x:c r="V6" s="22" t="str">
        <x:v>東京港野鳥公園:25分／海の森公園:20分／若洲海浜公園:45分</x:v>
      </x:c>
      <x:c r="W6" s="22" t="str">
        <x:v>専用・公式駐車場へ直接入庫／小規模。満車なら待たずに省略</x:v>
      </x:c>
      <x:c r="X6" s="22" t="str">
        <x:v>17:00に間に合わない時／満車時／22:00に間に合わない時／強風・高潮・増水時／工事・閉鎖時</x:v>
      </x:c>
      <x:c r="Y6" s="22" t="str">
        <x:v>東京港・水辺</x:v>
      </x:c>
      <x:c r="Z6" s="22"/>
    </x:row>
    <x:row r="7">
      <x:c r="A7" s="27" t="str">
        <x:v>R006</x:v>
      </x:c>
      <x:c r="B7" s="27" t="str">
        <x:v>京浜島から東扇島西端へ</x:v>
      </x:c>
      <x:c r="C7" s="27" t="str">
        <x:v>飛行機／高所展望／港の行き止まり</x:v>
      </x:c>
      <x:c r="D7" s="27" t="str">
        <x:v>蒲田駅</x:v>
      </x:c>
      <x:c r="E7" s="27" t="str">
        <x:v>京浜島つばさ公園</x:v>
      </x:c>
      <x:c r="F7" s="27" t="str">
        <x:v>川崎マリエン</x:v>
      </x:c>
      <x:c r="G7" s="27"/>
      <x:c r="H7" s="27" t="str">
        <x:v>東扇島西公園</x:v>
      </x:c>
      <x:c r="I7" s="27" t="str">
        <x:v>120～170分</x:v>
      </x:c>
      <x:c r="J7" s="27" t="n">
        <x:v>5</x:v>
      </x:c>
      <x:c r="K7" s="27" t="str">
        <x:v>川崎マリエン展望室は21時まで。遅れた場合はマリエンを省略し、24時間利用可能な東扇島西公園へ直行。</x:v>
      </x:c>
      <x:c r="L7" s="49" t="e">
        <x:f>HYPERLINK("https://www.google.com/maps/dir/?api=1&amp;destination=%E6%9D%B1%E6%89%87%E5%B3%B6%E8%A5%BF%E5%85%AC%E5%9C%92&amp;travelmode=driving&amp;waypoints=%E4%BA%AC%E6%B5%9C%E5%B3%B6%E3%81%A4%E3%81%B0%E3%81%95%E5%85%AC%E5%9C%92%7C%E5%B7%9D%E5%B4%8E%E3%83%9E%E3%83%AA%E3%82%A8%E3%83%B3","現在地からルート開始")</x:f>
      </x:c>
      <x:c r="M7" s="22" t="str">
        <x:v>通常</x:v>
      </x:c>
      <x:c r="N7" s="22" t="n">
        <x:v>75</x:v>
      </x:c>
      <x:c r="O7" s="22" t="str">
        <x:v>差替え済</x:v>
      </x:c>
      <x:c r="P7" s="22" t="str">
        <x:v>低い目線の航空機→高所の港湾展望→24時間の島端Endingへ、景観高度と到達感を段階的に変える。</x:v>
      </x:c>
      <x:c r="Q7" s="22" t="str">
        <x:v>20:30以降入庫不可の東扇島東公園を外し、24時間駐車の東扇島西公園を最終地点へ。</x:v>
      </x:c>
      <x:c r="R7" s="23" t="n">
        <x:v>46232</x:v>
      </x:c>
      <x:c r="S7" s="22" t="n">
        <x:v>70</x:v>
      </x:c>
      <x:c r="T7" s="22" t="n">
        <x:v>9</x:v>
      </x:c>
      <x:c r="U7" s="22" t="str">
        <x:v>飛行機・工場夜景 → 海・港・工場夜景 → 海・港・工場夜景 → 海・港・工場夜景</x:v>
      </x:c>
      <x:c r="V7" s="22" t="str">
        <x:v>京浜島つばさ公園:25分／川崎マリエン:25分／東扇島西公園:45分</x:v>
      </x:c>
      <x:c r="W7" s="22" t="str">
        <x:v>小規模。満車なら待たずに省略／専用・公式駐車場へ直接入庫／車の経由地には不向き。合法駐車から徒歩のみ</x:v>
      </x:c>
      <x:c r="X7" s="22" t="str">
        <x:v>満車時／工事・閉鎖時</x:v>
      </x:c>
      <x:c r="Y7" s="22" t="str">
        <x:v>羽田・航空</x:v>
      </x:c>
      <x:c r="Z7" s="22"/>
    </x:row>
    <x:row r="8">
      <x:c r="A8" s="27" t="str">
        <x:v>R007</x:v>
      </x:c>
      <x:c r="B8" s="27" t="str">
        <x:v>横浜高台から港へ</x:v>
      </x:c>
      <x:c r="C8" s="27" t="str">
        <x:v>高台／港／都市夜景</x:v>
      </x:c>
      <x:c r="D8" s="27" t="str">
        <x:v>蒲田駅</x:v>
      </x:c>
      <x:c r="E8" s="27" t="str">
        <x:v>港の見える丘公園</x:v>
      </x:c>
      <x:c r="F8" s="27" t="str">
        <x:v>本牧山頂公園</x:v>
      </x:c>
      <x:c r="G8" s="27"/>
      <x:c r="H8" s="27" t="str">
        <x:v>横浜港大さん橋</x:v>
      </x:c>
      <x:c r="I8" s="27" t="str">
        <x:v>150～190分</x:v>
      </x:c>
      <x:c r="J8" s="27" t="n">
        <x:v>5</x:v>
      </x:c>
      <x:c r="K8" s="27" t="str">
        <x:v>高台から水面近くへ下り、余韻を強くする。</x:v>
      </x:c>
      <x:c r="L8" s="49" t="e">
        <x:f>HYPERLINK("https://www.google.com/maps/dir/?api=1&amp;destination=%E6%A8%AA%E6%B5%9C%E6%B8%AF%E5%A4%A7%E3%81%95%E3%82%93%E6%A9%8B&amp;travelmode=driving&amp;waypoints=%E6%B8%AF%E3%81%AE%E8%A6%8B%E3%81%88%E3%82%8B%E4%B8%98%E5%85%AC%E5%9C%92%7C%E6%9C%AC%E7%89%A7%E5%B1%B1%E9%A0%82%E5%85%AC%E5%9C%92","現在地からルート開始")</x:f>
      </x:c>
      <x:c r="M8" s="22" t="str">
        <x:v>通常</x:v>
      </x:c>
      <x:c r="N8" s="22" t="n">
        <x:v>76</x:v>
      </x:c>
      <x:c r="O8" s="22" t="str">
        <x:v>維持</x:v>
      </x:c>
      <x:c r="P8" s="22" t="str">
        <x:v>港の見える丘公園 → 本牧山頂公園 → 横浜港大さん橋 の順に、景観と滞在強度を変化させる。</x:v>
      </x:c>
      <x:c r="Q8" s="22"/>
      <x:c r="R8" s="23" t="n">
        <x:v>46232</x:v>
      </x:c>
      <x:c r="S8" s="22"/>
      <x:c r="T8" s="22"/>
      <x:c r="U8" s="22"/>
      <x:c r="V8" s="22"/>
      <x:c r="W8" s="22"/>
      <x:c r="X8" s="22"/>
      <x:c r="Y8" s="22" t="str">
        <x:v>東京港・水辺</x:v>
      </x:c>
      <x:c r="Z8" s="22"/>
    </x:row>
    <x:row r="9">
      <x:c r="A9" s="27" t="str">
        <x:v>R008</x:v>
      </x:c>
      <x:c r="B9" s="27" t="str">
        <x:v>本牧ふ頭の行き止まり</x:v>
      </x:c>
      <x:c r="C9" s="27" t="str">
        <x:v>横浜港／ふ頭／船</x:v>
      </x:c>
      <x:c r="D9" s="27" t="str">
        <x:v>蒲田駅</x:v>
      </x:c>
      <x:c r="E9" s="27" t="str">
        <x:v>横浜港大さん橋</x:v>
      </x:c>
      <x:c r="F9" s="27" t="str">
        <x:v>本牧山頂公園</x:v>
      </x:c>
      <x:c r="G9" s="27"/>
      <x:c r="H9" s="27" t="str">
        <x:v>横浜港シンボルタワー</x:v>
      </x:c>
      <x:c r="I9" s="27" t="str">
        <x:v>150～200分</x:v>
      </x:c>
      <x:c r="J9" s="27" t="n">
        <x:v>3</x:v>
      </x:c>
      <x:c r="K9" s="27" t="str">
        <x:v>季節別閉場時間に合わせる夕方専用。</x:v>
      </x:c>
      <x:c r="L9" s="49" t="e">
        <x:f>HYPERLINK("https://www.google.com/maps/dir/?api=1&amp;destination=%E6%A8%AA%E6%B5%9C%E6%B8%AF%E3%82%B7%E3%83%B3%E3%83%9C%E3%83%AB%E3%82%BF%E3%83%AF%E3%83%BC&amp;travelmode=driving&amp;waypoints=%E6%A8%AA%E6%B5%9C%E6%B8%AF%E5%A4%A7%E3%81%95%E3%82%93%E6%A9%8B%7C%E6%9C%AC%E7%89%A7%E5%B1%B1%E9%A0%82%E5%85%AC%E5%9C%92","現在地からルート開始")</x:f>
      </x:c>
      <x:c r="M9" s="22" t="str">
        <x:v>通常</x:v>
      </x:c>
      <x:c r="N9" s="22" t="n">
        <x:v>78</x:v>
      </x:c>
      <x:c r="O9" s="22" t="str">
        <x:v>維持</x:v>
      </x:c>
      <x:c r="P9" s="22" t="str">
        <x:v>横浜港大さん橋 → 本牧山頂公園 → 横浜港シンボルタワー の順に、景観と滞在強度を変化させる。</x:v>
      </x:c>
      <x:c r="Q9" s="22"/>
      <x:c r="R9" s="23" t="n">
        <x:v>46232</x:v>
      </x:c>
      <x:c r="S9" s="22" t="n">
        <x:v>68</x:v>
      </x:c>
      <x:c r="T9" s="22" t="n">
        <x:v>3</x:v>
      </x:c>
      <x:c r="U9" s="22" t="str">
        <x:v>海・港・都市夜景 → 海・港・工場夜景 → 海・港・工場夜景 → 海・港・都市夜景</x:v>
      </x:c>
      <x:c r="V9" s="22" t="str">
        <x:v>横浜港大さん橋:20分／本牧山頂公園:25分／横浜港シンボルタワー:40分</x:v>
      </x:c>
      <x:c r="W9" s="22" t="str">
        <x:v>専用・公式駐車場へ直接入庫</x:v>
      </x:c>
      <x:c r="X9" s="22" t="str">
        <x:v>臨時閉鎖・イベント混雑時／20:00に間に合わない時／工事・閉鎖時</x:v>
      </x:c>
      <x:c r="Y9" s="22" t="str">
        <x:v>東京港・水辺</x:v>
      </x:c>
      <x:c r="Z9" s="22"/>
    </x:row>
    <x:row r="10">
      <x:c r="A10" s="27" t="str">
        <x:v>R009</x:v>
      </x:c>
      <x:c r="B10" s="27" t="str">
        <x:v>金沢シーサイド</x:v>
      </x:c>
      <x:c r="C10" s="27" t="str">
        <x:v>人工海浜／島／静けさ</x:v>
      </x:c>
      <x:c r="D10" s="27" t="str">
        <x:v>蒲田駅</x:v>
      </x:c>
      <x:c r="E10" s="27" t="str">
        <x:v>本牧山頂公園</x:v>
      </x:c>
      <x:c r="F10" s="27" t="str">
        <x:v>海の公園</x:v>
      </x:c>
      <x:c r="G10" s="27"/>
      <x:c r="H10" s="27" t="str">
        <x:v>野島公園</x:v>
      </x:c>
      <x:c r="I10" s="27" t="str">
        <x:v>170～220分</x:v>
      </x:c>
      <x:c r="J10" s="27" t="n">
        <x:v>4</x:v>
      </x:c>
      <x:c r="K10" s="27" t="str">
        <x:v>野島公園23時閉鎖。潮干狩り期は避ける。</x:v>
      </x:c>
      <x:c r="L10" s="49" t="e">
        <x:f>HYPERLINK("https://www.google.com/maps/dir/?api=1&amp;destination=%E9%87%8E%E5%B3%B6%E5%85%AC%E5%9C%92&amp;travelmode=driving&amp;waypoints=%E6%9C%AC%E7%89%A7%E5%B1%B1%E9%A0%82%E5%85%AC%E5%9C%92%7C%E6%B5%B7%E3%81%AE%E5%85%AC%E5%9C%92","現在地からルート開始")</x:f>
      </x:c>
      <x:c r="M10" s="22" t="str">
        <x:v>通常</x:v>
      </x:c>
      <x:c r="N10" s="22" t="n">
        <x:v>77</x:v>
      </x:c>
      <x:c r="O10" s="22" t="str">
        <x:v>維持</x:v>
      </x:c>
      <x:c r="P10" s="22" t="str">
        <x:v>本牧山頂公園 → 海の公園 → 野島公園 の順に、景観と滞在強度を変化させる。</x:v>
      </x:c>
      <x:c r="Q10" s="22"/>
      <x:c r="R10" s="23" t="n">
        <x:v>46232</x:v>
      </x:c>
      <x:c r="S10" s="22" t="n">
        <x:v>76</x:v>
      </x:c>
      <x:c r="T10" s="22" t="n">
        <x:v>3</x:v>
      </x:c>
      <x:c r="U10" s="22" t="str">
        <x:v>海・港・工場夜景 → 海・港 → 海・港 → 海・港・都市夜景</x:v>
      </x:c>
      <x:c r="V10" s="22" t="str">
        <x:v>本牧山頂公園:25分／海の公園:20分／野島公園:40分</x:v>
      </x:c>
      <x:c r="W10" s="22" t="str">
        <x:v>専用・公式駐車場へ直接入庫</x:v>
      </x:c>
      <x:c r="X10" s="22" t="str">
        <x:v>臨時閉鎖・イベント混雑時／工事・閉鎖時／23:00に間に合わない時</x:v>
      </x:c>
      <x:c r="Y10" s="22" t="str">
        <x:v>東京港・水辺</x:v>
      </x:c>
      <x:c r="Z10" s="22"/>
    </x:row>
    <x:row r="11">
      <x:c r="A11" s="27" t="str">
        <x:v>R010</x:v>
      </x:c>
      <x:c r="B11" s="27" t="str">
        <x:v>横須賀・軍港から入り江へ</x:v>
      </x:c>
      <x:c r="C11" s="27" t="str">
        <x:v>軍港／海／歴史</x:v>
      </x:c>
      <x:c r="D11" s="27" t="str">
        <x:v>蒲田駅</x:v>
      </x:c>
      <x:c r="E11" s="27" t="str">
        <x:v>ヴェルニー公園</x:v>
      </x:c>
      <x:c r="F11" s="27" t="str">
        <x:v>うみかぜ公園</x:v>
      </x:c>
      <x:c r="G11" s="27"/>
      <x:c r="H11" s="27" t="str">
        <x:v>燈明堂緑地</x:v>
      </x:c>
      <x:c r="I11" s="27" t="str">
        <x:v>180～230分</x:v>
      </x:c>
      <x:c r="J11" s="27" t="n">
        <x:v>4</x:v>
      </x:c>
      <x:c r="K11" s="27" t="str">
        <x:v>燈明堂は21:30以降入庫不可。</x:v>
      </x:c>
      <x:c r="L11" s="49" t="e">
        <x:f>HYPERLINK("https://www.google.com/maps/dir/?api=1&amp;destination=%E7%87%88%E6%98%8E%E5%A0%82%E7%B7%91%E5%9C%B0&amp;travelmode=driving&amp;waypoints=%E3%83%B4%E3%82%A7%E3%83%AB%E3%83%8B%E3%83%BC%E5%85%AC%E5%9C%92%7C%E3%81%86%E3%81%BF%E3%81%8B%E3%81%9C%E5%85%AC%E5%9C%92","現在地からルート開始")</x:f>
      </x:c>
      <x:c r="M11" s="22" t="str">
        <x:v>通常</x:v>
      </x:c>
      <x:c r="N11" s="22" t="n">
        <x:v>82</x:v>
      </x:c>
      <x:c r="O11" s="22" t="str">
        <x:v>維持</x:v>
      </x:c>
      <x:c r="P11" s="22" t="str">
        <x:v>ヴェルニー公園 → うみかぜ公園 → 燈明堂緑地 の順に、景観と滞在強度を変化させる。</x:v>
      </x:c>
      <x:c r="Q11" s="22"/>
      <x:c r="R11" s="23" t="n">
        <x:v>46232</x:v>
      </x:c>
      <x:c r="S11" s="22"/>
      <x:c r="T11" s="22"/>
      <x:c r="U11" s="22"/>
      <x:c r="V11" s="22"/>
      <x:c r="W11" s="22"/>
      <x:c r="X11" s="22"/>
      <x:c r="Y11" s="22" t="str">
        <x:v>東京港・水辺</x:v>
      </x:c>
      <x:c r="Z11" s="22"/>
    </x:row>
    <x:row r="12">
      <x:c r="A12" s="27" t="str">
        <x:v>R011</x:v>
      </x:c>
      <x:c r="B12" s="27" t="str">
        <x:v>三浦西岸サンセット</x:v>
      </x:c>
      <x:c r="C12" s="27" t="str">
        <x:v>高台／夕日／岩礁</x:v>
      </x:c>
      <x:c r="D12" s="27" t="str">
        <x:v>蒲田駅</x:v>
      </x:c>
      <x:c r="E12" s="27" t="str">
        <x:v>披露山公園</x:v>
      </x:c>
      <x:c r="F12" s="27" t="str">
        <x:v>立石公園</x:v>
      </x:c>
      <x:c r="G12" s="27"/>
      <x:c r="H12" s="27" t="str">
        <x:v>荒崎公園</x:v>
      </x:c>
      <x:c r="I12" s="27" t="str">
        <x:v>210～280分</x:v>
      </x:c>
      <x:c r="J12" s="27" t="n">
        <x:v>1</x:v>
      </x:c>
      <x:c r="K12" s="27" t="str">
        <x:v>昼～夕方専用。閉鎖時刻から逆算。</x:v>
      </x:c>
      <x:c r="L12" s="49" t="e">
        <x:f>HYPERLINK("https://www.google.com/maps/dir/?api=1&amp;destination=%E8%8D%92%E5%B4%8E%E5%85%AC%E5%9C%92&amp;travelmode=driving&amp;waypoints=%E6%8A%AB%E9%9C%B2%E5%B1%B1%E5%85%AC%E5%9C%92%7C%E7%AB%8B%E7%9F%B3%E5%85%AC%E5%9C%92","現在地からルート開始")</x:f>
      </x:c>
      <x:c r="M12" s="22" t="str">
        <x:v>昼専用</x:v>
      </x:c>
      <x:c r="N12" s="22" t="n">
        <x:v>70</x:v>
      </x:c>
      <x:c r="O12" s="22" t="str">
        <x:v>維持</x:v>
      </x:c>
      <x:c r="P12" s="22" t="str">
        <x:v>披露山公園 → 立石公園 → 荒崎公園 の順に、景観と滞在強度を変化させる。</x:v>
      </x:c>
      <x:c r="Q12" s="22"/>
      <x:c r="R12" s="23" t="n">
        <x:v>46232</x:v>
      </x:c>
      <x:c r="S12" s="22"/>
      <x:c r="T12" s="22"/>
      <x:c r="U12" s="22"/>
      <x:c r="V12" s="22"/>
      <x:c r="W12" s="22"/>
      <x:c r="X12" s="22"/>
      <x:c r="Y12" s="22" t="str">
        <x:v>森林・高台</x:v>
      </x:c>
      <x:c r="Z12" s="22"/>
    </x:row>
    <x:row r="13">
      <x:c r="A13" s="27" t="str">
        <x:v>R012</x:v>
      </x:c>
      <x:c r="B13" s="27" t="str">
        <x:v>三浦半島・南端到達</x:v>
      </x:c>
      <x:c r="C13" s="27" t="str">
        <x:v>風車／漁港／島</x:v>
      </x:c>
      <x:c r="D13" s="27" t="str">
        <x:v>蒲田駅</x:v>
      </x:c>
      <x:c r="E13" s="27" t="str">
        <x:v>宮川公園</x:v>
      </x:c>
      <x:c r="F13" s="27" t="str">
        <x:v>三崎港 うらり</x:v>
      </x:c>
      <x:c r="G13" s="27"/>
      <x:c r="H13" s="27" t="str">
        <x:v>県立城ヶ島公園</x:v>
      </x:c>
      <x:c r="I13" s="27" t="str">
        <x:v>240～320分</x:v>
      </x:c>
      <x:c r="J13" s="27" t="n">
        <x:v>2</x:v>
      </x:c>
      <x:c r="K13" s="27" t="str">
        <x:v>強風・高波時は中止。季節別閉場時刻に注意。</x:v>
      </x:c>
      <x:c r="L13" s="49" t="e">
        <x:f>HYPERLINK("https://www.google.com/maps/dir/?api=1&amp;destination=%E7%9C%8C%E7%AB%8B%E5%9F%8E%E3%83%B6%E5%B3%B6%E5%85%AC%E5%9C%92&amp;travelmode=driving&amp;waypoints=%E5%AE%AE%E5%B7%9D%E5%85%AC%E5%9C%92%7C%E4%B8%89%E5%B4%8E%E6%B8%AF%20%E3%81%86%E3%82%89%E3%82%8A","現在地からルート開始")</x:f>
      </x:c>
      <x:c r="M13" s="22" t="str">
        <x:v>昼専用</x:v>
      </x:c>
      <x:c r="N13" s="22" t="n">
        <x:v>66</x:v>
      </x:c>
      <x:c r="O13" s="22" t="str">
        <x:v>維持</x:v>
      </x:c>
      <x:c r="P13" s="22" t="str">
        <x:v>宮川公園 → 三崎港 うらり → 県立城ヶ島公園 の順に、景観と滞在強度を変化させる。</x:v>
      </x:c>
      <x:c r="Q13" s="22"/>
      <x:c r="R13" s="23" t="n">
        <x:v>46232</x:v>
      </x:c>
      <x:c r="S13" s="22"/>
      <x:c r="T13" s="22"/>
      <x:c r="U13" s="22"/>
      <x:c r="V13" s="22"/>
      <x:c r="W13" s="22"/>
      <x:c r="X13" s="22"/>
      <x:c r="Y13" s="22" t="str">
        <x:v>東京港・水辺</x:v>
      </x:c>
      <x:c r="Z13" s="22"/>
    </x:row>
    <x:row r="14">
      <x:c r="A14" s="27" t="str">
        <x:v>R013</x:v>
      </x:c>
      <x:c r="B14" s="27" t="str">
        <x:v>隅田川から水郷へ</x:v>
      </x:c>
      <x:c r="C14" s="27" t="str">
        <x:v>河川／水辺／夜間公園</x:v>
      </x:c>
      <x:c r="D14" s="27" t="str">
        <x:v>蒲田駅</x:v>
      </x:c>
      <x:c r="E14" s="27" t="str">
        <x:v>汐入公園</x:v>
      </x:c>
      <x:c r="F14" s="27" t="str">
        <x:v>水元公園</x:v>
      </x:c>
      <x:c r="G14" s="27"/>
      <x:c r="H14" s="27" t="str">
        <x:v>みさと公園</x:v>
      </x:c>
      <x:c r="I14" s="27" t="str">
        <x:v>170～220分</x:v>
      </x:c>
      <x:c r="J14" s="27" t="n">
        <x:v>4</x:v>
      </x:c>
      <x:c r="K14" s="27" t="str">
        <x:v>3地点とも水辺。深夜はみさと公園第2駐車場を利用。</x:v>
      </x:c>
      <x:c r="L14" s="49" t="e">
        <x:f>HYPERLINK("https://www.google.com/maps/dir/?api=1&amp;destination=%E3%81%BF%E3%81%95%E3%81%A8%E5%85%AC%E5%9C%92&amp;travelmode=driving&amp;waypoints=%E6%B1%90%E5%85%A5%E5%85%AC%E5%9C%92%7C%E6%B0%B4%E5%85%83%E5%85%AC%E5%9C%92","現在地からルート開始")</x:f>
      </x:c>
      <x:c r="M14" s="22" t="str">
        <x:v>通常</x:v>
      </x:c>
      <x:c r="N14" s="22" t="n">
        <x:v>88</x:v>
      </x:c>
      <x:c r="O14" s="22" t="str">
        <x:v>維持</x:v>
      </x:c>
      <x:c r="P14" s="22" t="str">
        <x:v>汐入公園 → 水元公園 → みさと公園 の順に、景観と滞在強度を変化させる。</x:v>
      </x:c>
      <x:c r="Q14" s="22"/>
      <x:c r="R14" s="23" t="n">
        <x:v>46232</x:v>
      </x:c>
      <x:c r="S14" s="22"/>
      <x:c r="T14" s="22"/>
      <x:c r="U14" s="22"/>
      <x:c r="V14" s="22"/>
      <x:c r="W14" s="22"/>
      <x:c r="X14" s="22"/>
      <x:c r="Y14" s="22" t="str">
        <x:v>河川・多摩川</x:v>
      </x:c>
      <x:c r="Z14" s="22"/>
    </x:row>
    <x:row r="15">
      <x:c r="A15" s="27" t="str">
        <x:v>R014</x:v>
      </x:c>
      <x:c r="B15" s="27" t="str">
        <x:v>北東京レイクショート</x:v>
      </x:c>
      <x:c r="C15" s="27" t="str">
        <x:v>池／公園／夜間休憩</x:v>
      </x:c>
      <x:c r="D15" s="27" t="str">
        <x:v>蒲田駅</x:v>
      </x:c>
      <x:c r="E15" s="27" t="str">
        <x:v>浮間公園</x:v>
      </x:c>
      <x:c r="F15" s="27" t="str">
        <x:v>舎人公園</x:v>
      </x:c>
      <x:c r="G15" s="27"/>
      <x:c r="H15" s="27" t="str">
        <x:v>水元公園</x:v>
      </x:c>
      <x:c r="I15" s="27" t="str">
        <x:v>170～230分</x:v>
      </x:c>
      <x:c r="J15" s="27" t="n">
        <x:v>4</x:v>
      </x:c>
      <x:c r="K15" s="27" t="str">
        <x:v>24時間駐車場中心。夜は園内奥へ入らず短時間滞在。</x:v>
      </x:c>
      <x:c r="L15" s="49" t="e">
        <x:f>HYPERLINK("https://www.google.com/maps/dir/?api=1&amp;destination=%E6%B0%B4%E5%85%83%E5%85%AC%E5%9C%92&amp;travelmode=driving&amp;waypoints=%E6%B5%AE%E9%96%93%E5%85%AC%E5%9C%92%7C%E8%88%8E%E4%BA%BA%E5%85%AC%E5%9C%92","現在地からルート開始")</x:f>
      </x:c>
      <x:c r="M15" s="22" t="str">
        <x:v>通常</x:v>
      </x:c>
      <x:c r="N15" s="22" t="n">
        <x:v>83</x:v>
      </x:c>
      <x:c r="O15" s="22" t="str">
        <x:v>維持</x:v>
      </x:c>
      <x:c r="P15" s="22" t="str">
        <x:v>浮間公園 → 舎人公園 → 水元公園 の順に、景観と滞在強度を変化させる。</x:v>
      </x:c>
      <x:c r="Q15" s="22"/>
      <x:c r="R15" s="23" t="n">
        <x:v>46232</x:v>
      </x:c>
      <x:c r="S15" s="22"/>
      <x:c r="T15" s="22"/>
      <x:c r="U15" s="22"/>
      <x:c r="V15" s="22"/>
      <x:c r="W15" s="22"/>
      <x:c r="X15" s="22"/>
      <x:c r="Y15" s="22" t="str">
        <x:v>都市公園・休憩</x:v>
      </x:c>
      <x:c r="Z15" s="22"/>
    </x:row>
    <x:row r="16">
      <x:c r="A16" s="27" t="str">
        <x:v>R015</x:v>
      </x:c>
      <x:c r="B16" s="27" t="str">
        <x:v>彩湖と荒川の余白</x:v>
      </x:c>
      <x:c r="C16" s="27" t="str">
        <x:v>湖／河川敷／森林</x:v>
      </x:c>
      <x:c r="D16" s="27" t="str">
        <x:v>蒲田駅</x:v>
      </x:c>
      <x:c r="E16" s="27" t="str">
        <x:v>浮間公園</x:v>
      </x:c>
      <x:c r="F16" s="27" t="str">
        <x:v>彩湖・道満グリーンパーク</x:v>
      </x:c>
      <x:c r="G16" s="27"/>
      <x:c r="H16" s="27" t="str">
        <x:v>秋ヶ瀬公園</x:v>
      </x:c>
      <x:c r="I16" s="27" t="str">
        <x:v>190～250分</x:v>
      </x:c>
      <x:c r="J16" s="27" t="n">
        <x:v>2</x:v>
      </x:c>
      <x:c r="K16" s="27" t="str">
        <x:v>彩湖・秋ヶ瀬の閉門時間から逆算する昼～夕方専用。</x:v>
      </x:c>
      <x:c r="L16" s="49" t="e">
        <x:f>HYPERLINK("https://www.google.com/maps/dir/?api=1&amp;destination=%E7%A7%8B%E3%83%B6%E7%80%AC%E5%85%AC%E5%9C%92&amp;travelmode=driving&amp;waypoints=%E6%B5%AE%E9%96%93%E5%85%AC%E5%9C%92%7C%E5%BD%A9%E6%B9%96%E3%83%BB%E9%81%93%E6%BA%80%E3%82%B0%E3%83%AA%E3%83%BC%E3%83%B3%E3%83%91%E3%83%BC%E3%82%AF","現在地からルート開始")</x:f>
      </x:c>
      <x:c r="M16" s="22" t="str">
        <x:v>昼専用</x:v>
      </x:c>
      <x:c r="N16" s="22" t="n">
        <x:v>82</x:v>
      </x:c>
      <x:c r="O16" s="22" t="str">
        <x:v>維持</x:v>
      </x:c>
      <x:c r="P16" s="22" t="str">
        <x:v>浮間公園 → 彩湖・道満グリーンパーク → 秋ヶ瀬公園 の順に、景観と滞在強度を変化させる。</x:v>
      </x:c>
      <x:c r="Q16" s="22"/>
      <x:c r="R16" s="23" t="n">
        <x:v>46232</x:v>
      </x:c>
      <x:c r="S16" s="22"/>
      <x:c r="T16" s="22"/>
      <x:c r="U16" s="22"/>
      <x:c r="V16" s="22"/>
      <x:c r="W16" s="22"/>
      <x:c r="X16" s="22"/>
      <x:c r="Y16" s="22" t="str">
        <x:v>河川・多摩川</x:v>
      </x:c>
      <x:c r="Z16" s="22"/>
    </x:row>
    <x:row r="17">
      <x:c r="A17" s="27" t="str">
        <x:v>R016</x:v>
      </x:c>
      <x:c r="B17" s="27" t="str">
        <x:v>権現堂フラワーライン</x:v>
      </x:c>
      <x:c r="C17" s="27" t="str">
        <x:v>水辺／堤／季節</x:v>
      </x:c>
      <x:c r="D17" s="27" t="str">
        <x:v>蒲田駅</x:v>
      </x:c>
      <x:c r="E17" s="27" t="str">
        <x:v>水元公園</x:v>
      </x:c>
      <x:c r="F17" s="27" t="str">
        <x:v>みさと公園</x:v>
      </x:c>
      <x:c r="G17" s="27"/>
      <x:c r="H17" s="27" t="str">
        <x:v>県営権現堂公園</x:v>
      </x:c>
      <x:c r="I17" s="27" t="str">
        <x:v>210～280分</x:v>
      </x:c>
      <x:c r="J17" s="27" t="n">
        <x:v>1</x:v>
      </x:c>
      <x:c r="K17" s="27" t="str">
        <x:v>花期は大混雑。権現堂の季節別閉鎖時刻に注意。</x:v>
      </x:c>
      <x:c r="L17" s="49" t="e">
        <x:f>HYPERLINK("https://www.google.com/maps/dir/?api=1&amp;destination=%E7%9C%8C%E5%96%B6%E6%A8%A9%E7%8F%BE%E5%A0%82%E5%85%AC%E5%9C%92&amp;travelmode=driving&amp;waypoints=%E6%B0%B4%E5%85%83%E5%85%AC%E5%9C%92%7C%E3%81%BF%E3%81%95%E3%81%A8%E5%85%AC%E5%9C%92","現在地からルート開始")</x:f>
      </x:c>
      <x:c r="M17" s="22" t="str">
        <x:v>昼専用</x:v>
      </x:c>
      <x:c r="N17" s="22" t="n">
        <x:v>86</x:v>
      </x:c>
      <x:c r="O17" s="22" t="str">
        <x:v>維持</x:v>
      </x:c>
      <x:c r="P17" s="22" t="str">
        <x:v>水元公園 → みさと公園 → 県営権現堂公園 の順に、景観と滞在強度を変化させる。</x:v>
      </x:c>
      <x:c r="Q17" s="22"/>
      <x:c r="R17" s="23" t="n">
        <x:v>46232</x:v>
      </x:c>
      <x:c r="S17" s="22"/>
      <x:c r="T17" s="22"/>
      <x:c r="U17" s="22"/>
      <x:c r="V17" s="22"/>
      <x:c r="W17" s="22"/>
      <x:c r="X17" s="22"/>
      <x:c r="Y17" s="22" t="str">
        <x:v>都市公園・休憩</x:v>
      </x:c>
      <x:c r="Z17" s="22"/>
    </x:row>
    <x:row r="18">
      <x:c r="A18" s="27" t="str">
        <x:v>R017</x:v>
      </x:c>
      <x:c r="B18" s="27" t="str">
        <x:v>多摩丘陵から津久井湖</x:v>
      </x:c>
      <x:c r="C18" s="27" t="str">
        <x:v>高台／湖／夕景</x:v>
      </x:c>
      <x:c r="D18" s="27" t="str">
        <x:v>蒲田駅</x:v>
      </x:c>
      <x:c r="E18" s="27" t="str">
        <x:v>桜ヶ丘公園 ゆうひの丘</x:v>
      </x:c>
      <x:c r="F18" s="27" t="str">
        <x:v>津久井湖城山公園 水の苑地</x:v>
      </x:c>
      <x:c r="G18" s="27"/>
      <x:c r="H18" s="27" t="str">
        <x:v>鳥居原園地</x:v>
      </x:c>
      <x:c r="I18" s="27" t="str">
        <x:v>220～300分</x:v>
      </x:c>
      <x:c r="J18" s="27" t="n">
        <x:v>2</x:v>
      </x:c>
      <x:c r="K18" s="27" t="str">
        <x:v>鳥居原17時閉鎖のため午前～午後開始。</x:v>
      </x:c>
      <x:c r="L18" s="49" t="e">
        <x:f>HYPERLINK("https://www.google.com/maps/dir/?api=1&amp;destination=%E9%B3%A5%E5%B1%85%E5%8E%9F%E5%9C%92%E5%9C%B0&amp;travelmode=driving&amp;waypoints=%E6%A1%9C%E3%83%B6%E4%B8%98%E5%85%AC%E5%9C%92%20%E3%82%86%E3%81%86%E3%81%B2%E3%81%AE%E4%B8%98%7C%E6%B4%A5%E4%B9%85%E4%BA%95%E6%B9%96%E5%9F%8E%E5%B1%B1%E5%85%AC%E5%9C%92%20%E6%B0%B4%E3%81%AE%E8%8B%91%E5%9C%B0","現在地からルート開始")</x:f>
      </x:c>
      <x:c r="M18" s="22" t="str">
        <x:v>昼専用</x:v>
      </x:c>
      <x:c r="N18" s="22" t="n">
        <x:v>82</x:v>
      </x:c>
      <x:c r="O18" s="22" t="str">
        <x:v>維持</x:v>
      </x:c>
      <x:c r="P18" s="22" t="str">
        <x:v>桜ヶ丘公園 ゆうひの丘 → 津久井湖城山公園 水の苑地 → 鳥居原園地 の順に、景観と滞在強度を変化させる。</x:v>
      </x:c>
      <x:c r="Q18" s="22"/>
      <x:c r="R18" s="23" t="n">
        <x:v>46232</x:v>
      </x:c>
      <x:c r="S18" s="22"/>
      <x:c r="T18" s="22"/>
      <x:c r="U18" s="22"/>
      <x:c r="V18" s="22"/>
      <x:c r="W18" s="22"/>
      <x:c r="X18" s="22"/>
      <x:c r="Y18" s="22" t="str">
        <x:v>森林・高台</x:v>
      </x:c>
      <x:c r="Z18" s="22"/>
    </x:row>
    <x:row r="19">
      <x:c r="A19" s="27" t="str">
        <x:v>R018</x:v>
      </x:c>
      <x:c r="B19" s="27" t="str">
        <x:v>宮ヶ瀬リカバリーライン</x:v>
      </x:c>
      <x:c r="C19" s="27" t="str">
        <x:v>森林／湖／山道</x:v>
      </x:c>
      <x:c r="D19" s="27" t="str">
        <x:v>蒲田駅</x:v>
      </x:c>
      <x:c r="E19" s="27" t="str">
        <x:v>七沢森林公園</x:v>
      </x:c>
      <x:c r="F19" s="27" t="str">
        <x:v>宮ヶ瀬湖畔園地</x:v>
      </x:c>
      <x:c r="G19" s="27"/>
      <x:c r="H19" s="27" t="str">
        <x:v>鳥居原園地</x:v>
      </x:c>
      <x:c r="I19" s="27" t="str">
        <x:v>230～310分</x:v>
      </x:c>
      <x:c r="J19" s="27" t="n">
        <x:v>2</x:v>
      </x:c>
      <x:c r="K19" s="27" t="str">
        <x:v>各施設の閉場が早い。雨・霧・凍結時は中止。</x:v>
      </x:c>
      <x:c r="L19" s="49" t="e">
        <x:f>HYPERLINK("https://www.google.com/maps/dir/?api=1&amp;destination=%E9%B3%A5%E5%B1%85%E5%8E%9F%E5%9C%92%E5%9C%B0&amp;travelmode=driving&amp;waypoints=%E4%B8%83%E6%B2%A2%E6%A3%AE%E6%9E%97%E5%85%AC%E5%9C%92%7C%E5%AE%AE%E3%83%B6%E7%80%AC%E6%B9%96%E7%95%94%E5%9C%92%E5%9C%B0","現在地からルート開始")</x:f>
      </x:c>
      <x:c r="M19" s="22" t="str">
        <x:v>昼専用</x:v>
      </x:c>
      <x:c r="N19" s="22" t="n">
        <x:v>81</x:v>
      </x:c>
      <x:c r="O19" s="22" t="str">
        <x:v>維持</x:v>
      </x:c>
      <x:c r="P19" s="22" t="str">
        <x:v>七沢森林公園 → 宮ヶ瀬湖畔園地 → 鳥居原園地 の順に、景観と滞在強度を変化させる。</x:v>
      </x:c>
      <x:c r="Q19" s="22"/>
      <x:c r="R19" s="23" t="n">
        <x:v>46232</x:v>
      </x:c>
      <x:c r="S19" s="22"/>
      <x:c r="T19" s="22"/>
      <x:c r="U19" s="22"/>
      <x:c r="V19" s="22"/>
      <x:c r="W19" s="22"/>
      <x:c r="X19" s="22"/>
      <x:c r="Y19" s="22" t="str">
        <x:v>森林・高台</x:v>
      </x:c>
      <x:c r="Z19" s="22"/>
    </x:row>
    <x:row r="20">
      <x:c r="A20" s="27" t="str">
        <x:v>R019</x:v>
      </x:c>
      <x:c r="B20" s="27" t="str">
        <x:v>浦安ベイナイト</x:v>
      </x:c>
      <x:c r="C20" s="27" t="str">
        <x:v>海／芝生／都市夜景</x:v>
      </x:c>
      <x:c r="D20" s="27" t="str">
        <x:v>蒲田駅</x:v>
      </x:c>
      <x:c r="E20" s="27" t="str">
        <x:v>浦安市総合公園</x:v>
      </x:c>
      <x:c r="F20" s="27" t="str">
        <x:v>幕張海浜公園 Cブロック</x:v>
      </x:c>
      <x:c r="G20" s="27"/>
      <x:c r="H20" s="27" t="str">
        <x:v>稲毛海浜公園・いなげの浜</x:v>
      </x:c>
      <x:c r="I20" s="27" t="str">
        <x:v>190～250分</x:v>
      </x:c>
      <x:c r="J20" s="27" t="n">
        <x:v>4</x:v>
      </x:c>
      <x:c r="K20" s="27" t="str">
        <x:v>稲毛海浜公園は23時閉鎖。イベント開催日の幕張を回避。</x:v>
      </x:c>
      <x:c r="L20" s="49" t="e">
        <x:f>HYPERLINK("https://www.google.com/maps/dir/?api=1&amp;destination=%E7%A8%B2%E6%AF%9B%E6%B5%B7%E6%B5%9C%E5%85%AC%E5%9C%92%E3%83%BB%E3%81%84%E3%81%AA%E3%81%92%E3%81%AE%E6%B5%9C&amp;travelmode=driving&amp;waypoints=%E6%B5%A6%E5%AE%89%E5%B8%82%E7%B7%8F%E5%90%88%E5%85%AC%E5%9C%92%7C%E5%B9%95%E5%BC%B5%E6%B5%B7%E6%B5%9C%E5%85%AC%E5%9C%92%20C%E3%83%96%E3%83%AD%E3%83%83%E3%82%AF","現在地からルート開始")</x:f>
      </x:c>
      <x:c r="M20" s="22" t="str">
        <x:v>通常</x:v>
      </x:c>
      <x:c r="N20" s="22" t="n">
        <x:v>78</x:v>
      </x:c>
      <x:c r="O20" s="22" t="str">
        <x:v>維持</x:v>
      </x:c>
      <x:c r="P20" s="22" t="str">
        <x:v>浦安市総合公園 → 幕張海浜公園 Cブロック → 稲毛海浜公園・いなげの浜 の順に、景観と滞在強度を変化させる。</x:v>
      </x:c>
      <x:c r="Q20" s="22"/>
      <x:c r="R20" s="23" t="n">
        <x:v>46232</x:v>
      </x:c>
      <x:c r="S20" s="22"/>
      <x:c r="T20" s="22"/>
      <x:c r="U20" s="22"/>
      <x:c r="V20" s="22"/>
      <x:c r="W20" s="22"/>
      <x:c r="X20" s="22"/>
      <x:c r="Y20" s="22" t="str">
        <x:v>東京港・水辺</x:v>
      </x:c>
      <x:c r="Z20" s="22"/>
    </x:row>
    <x:row r="21">
      <x:c r="A21" s="27" t="str">
        <x:v>R020</x:v>
      </x:c>
      <x:c r="B21" s="27" t="str">
        <x:v>三番瀬から千葉港へ</x:v>
      </x:c>
      <x:c r="C21" s="27" t="str">
        <x:v>干潟／都市海岸／港</x:v>
      </x:c>
      <x:c r="D21" s="27" t="str">
        <x:v>蒲田駅</x:v>
      </x:c>
      <x:c r="E21" s="27" t="str">
        <x:v>ふなばし三番瀬海浜公園</x:v>
      </x:c>
      <x:c r="F21" s="27" t="str">
        <x:v>幕張海浜公園 Cブロック</x:v>
      </x:c>
      <x:c r="G21" s="27"/>
      <x:c r="H21" s="27" t="str">
        <x:v>千葉ポートパーク</x:v>
      </x:c>
      <x:c r="I21" s="27" t="str">
        <x:v>200～270分</x:v>
      </x:c>
      <x:c r="J21" s="27" t="n">
        <x:v>3</x:v>
      </x:c>
      <x:c r="K21" s="27" t="str">
        <x:v>三番瀬・千葉ポートの閉場時間に合わせる夕方専用。</x:v>
      </x:c>
      <x:c r="L21" s="49" t="e">
        <x:f>HYPERLINK("https://www.google.com/maps/dir/?api=1&amp;destination=%E5%8D%83%E8%91%89%E3%83%9D%E3%83%BC%E3%83%88%E3%83%91%E3%83%BC%E3%82%AF&amp;travelmode=driving&amp;waypoints=%E3%81%B5%E3%81%AA%E3%81%B0%E3%81%97%E4%B8%89%E7%95%AA%E7%80%AC%E6%B5%B7%E6%B5%9C%E5%85%AC%E5%9C%92%7C%E5%B9%95%E5%BC%B5%E6%B5%B7%E6%B5%9C%E5%85%AC%E5%9C%92%20C%E3%83%96%E3%83%AD%E3%83%83%E3%82%AF","現在地からルート開始")</x:f>
      </x:c>
      <x:c r="M21" s="22" t="str">
        <x:v>通常</x:v>
      </x:c>
      <x:c r="N21" s="22" t="n">
        <x:v>74</x:v>
      </x:c>
      <x:c r="O21" s="22" t="str">
        <x:v>維持</x:v>
      </x:c>
      <x:c r="P21" s="22" t="str">
        <x:v>ふなばし三番瀬海浜公園 → 幕張海浜公園 Cブロック → 千葉ポートパーク の順に、景観と滞在強度を変化させる。</x:v>
      </x:c>
      <x:c r="Q21" s="22"/>
      <x:c r="R21" s="23" t="n">
        <x:v>46232</x:v>
      </x:c>
      <x:c r="S21" s="22"/>
      <x:c r="T21" s="22"/>
      <x:c r="U21" s="22"/>
      <x:c r="V21" s="22"/>
      <x:c r="W21" s="22"/>
      <x:c r="X21" s="22"/>
      <x:c r="Y21" s="22" t="str">
        <x:v>東京港・水辺</x:v>
      </x:c>
      <x:c r="Z21" s="22"/>
    </x:row>
    <x:row r="22">
      <x:c r="A22" s="27" t="str">
        <x:v>R021</x:v>
      </x:c>
      <x:c r="B22" s="27" t="str">
        <x:v>千葉ベイ・サンセット</x:v>
      </x:c>
      <x:c r="C22" s="27" t="str">
        <x:v>人工海浜／港／工場夜景</x:v>
      </x:c>
      <x:c r="D22" s="27" t="str">
        <x:v>蒲田駅</x:v>
      </x:c>
      <x:c r="E22" s="27" t="str">
        <x:v>稲毛海浜公園・いなげの浜</x:v>
      </x:c>
      <x:c r="F22" s="27" t="str">
        <x:v>千葉ポートパーク</x:v>
      </x:c>
      <x:c r="G22" s="27"/>
      <x:c r="H22" s="27" t="str">
        <x:v>袖ケ浦海浜公園</x:v>
      </x:c>
      <x:c r="I22" s="27" t="str">
        <x:v>230～310分</x:v>
      </x:c>
      <x:c r="J22" s="27" t="n">
        <x:v>4</x:v>
      </x:c>
      <x:c r="K22" s="27" t="str">
        <x:v>袖ケ浦海浜公園の駐車時間は当日確認。強風時は袖ケ浦公園へ変更。</x:v>
      </x:c>
      <x:c r="L22" s="49" t="e">
        <x:f>HYPERLINK("https://www.google.com/maps/dir/?api=1&amp;destination=%E8%A2%96%E3%82%B1%E6%B5%A6%E6%B5%B7%E6%B5%9C%E5%85%AC%E5%9C%92&amp;travelmode=driving&amp;waypoints=%E7%A8%B2%E6%AF%9B%E6%B5%B7%E6%B5%9C%E5%85%AC%E5%9C%92%E3%83%BB%E3%81%84%E3%81%AA%E3%81%92%E3%81%AE%E6%B5%9C%7C%E5%8D%83%E8%91%89%E3%83%9D%E3%83%BC%E3%83%88%E3%83%91%E3%83%BC%E3%82%AF","現在地からルート開始")</x:f>
      </x:c>
      <x:c r="M22" s="22" t="str">
        <x:v>通常</x:v>
      </x:c>
      <x:c r="N22" s="22" t="n">
        <x:v>81</x:v>
      </x:c>
      <x:c r="O22" s="22" t="str">
        <x:v>維持</x:v>
      </x:c>
      <x:c r="P22" s="22" t="str">
        <x:v>稲毛海浜公園・いなげの浜 → 千葉ポートパーク → 袖ケ浦海浜公園 の順に、景観と滞在強度を変化させる。</x:v>
      </x:c>
      <x:c r="Q22" s="22"/>
      <x:c r="R22" s="23" t="n">
        <x:v>46232</x:v>
      </x:c>
      <x:c r="S22" s="22"/>
      <x:c r="T22" s="22"/>
      <x:c r="U22" s="22"/>
      <x:c r="V22" s="22"/>
      <x:c r="W22" s="22"/>
      <x:c r="X22" s="22"/>
      <x:c r="Y22" s="22" t="str">
        <x:v>川崎・工場夜景</x:v>
      </x:c>
      <x:c r="Z22" s="22"/>
    </x:row>
    <x:row r="23">
      <x:c r="A23" s="27" t="str">
        <x:v>R022</x:v>
      </x:c>
      <x:c r="B23" s="27" t="str">
        <x:v>アクアライン後の静けさ</x:v>
      </x:c>
      <x:c r="C23" s="27" t="str">
        <x:v>海上／工場夜景／池</x:v>
      </x:c>
      <x:c r="D23" s="27" t="str">
        <x:v>蒲田駅</x:v>
      </x:c>
      <x:c r="E23" s="27" t="str">
        <x:v>海ほたるPA</x:v>
      </x:c>
      <x:c r="F23" s="27" t="str">
        <x:v>袖ケ浦海浜公園</x:v>
      </x:c>
      <x:c r="G23" s="27"/>
      <x:c r="H23" s="27" t="str">
        <x:v>袖ケ浦公園</x:v>
      </x:c>
      <x:c r="I23" s="27" t="str">
        <x:v>180～240分</x:v>
      </x:c>
      <x:c r="J23" s="27" t="n">
        <x:v>4</x:v>
      </x:c>
      <x:c r="K23" s="27" t="str">
        <x:v>アクアライン規制確認。最後を内陸の静かな公園で終える。</x:v>
      </x:c>
      <x:c r="L23" s="49" t="e">
        <x:f>HYPERLINK("https://www.google.com/maps/dir/?api=1&amp;destination=%E8%A2%96%E3%82%B1%E6%B5%A6%E5%85%AC%E5%9C%92&amp;travelmode=driving&amp;waypoints=%E6%B5%B7%E3%81%BB%E3%81%9F%E3%82%8BPA%7C%E8%A2%96%E3%82%B1%E6%B5%A6%E6%B5%B7%E6%B5%9C%E5%85%AC%E5%9C%92","現在地からルート開始")</x:f>
      </x:c>
      <x:c r="M23" s="22" t="str">
        <x:v>通常</x:v>
      </x:c>
      <x:c r="N23" s="22" t="n">
        <x:v>86</x:v>
      </x:c>
      <x:c r="O23" s="22" t="str">
        <x:v>維持</x:v>
      </x:c>
      <x:c r="P23" s="22" t="str">
        <x:v>海ほたるPA → 袖ケ浦海浜公園 → 袖ケ浦公園 の順に、景観と滞在強度を変化させる。</x:v>
      </x:c>
      <x:c r="Q23" s="22"/>
      <x:c r="R23" s="23" t="n">
        <x:v>46232</x:v>
      </x:c>
      <x:c r="S23" s="22"/>
      <x:c r="T23" s="22"/>
      <x:c r="U23" s="22"/>
      <x:c r="V23" s="22"/>
      <x:c r="W23" s="22"/>
      <x:c r="X23" s="22"/>
      <x:c r="Y23" s="22" t="str">
        <x:v>川崎・工場夜景</x:v>
      </x:c>
      <x:c r="Z23" s="22"/>
    </x:row>
    <x:row r="24">
      <x:c r="A24" s="27" t="str">
        <x:v>R023</x:v>
      </x:c>
      <x:c r="B24" s="27" t="str">
        <x:v>房総湾岸ロング</x:v>
      </x:c>
      <x:c r="C24" s="27" t="str">
        <x:v>港／人工海浜／海上</x:v>
      </x:c>
      <x:c r="D24" s="27" t="str">
        <x:v>蒲田駅</x:v>
      </x:c>
      <x:c r="E24" s="27" t="str">
        <x:v>千葉ポートパーク</x:v>
      </x:c>
      <x:c r="F24" s="27" t="str">
        <x:v>稲毛海浜公園・いなげの浜</x:v>
      </x:c>
      <x:c r="G24" s="27" t="str">
        <x:v>袖ケ浦海浜公園</x:v>
      </x:c>
      <x:c r="H24" s="27" t="str">
        <x:v>海ほたるPA</x:v>
      </x:c>
      <x:c r="I24" s="27" t="str">
        <x:v>260～340分</x:v>
      </x:c>
      <x:c r="J24" s="27" t="n">
        <x:v>4</x:v>
      </x:c>
      <x:c r="K24" s="27" t="str">
        <x:v>各公園の閉鎖時刻とアクアライン規制を確認。</x:v>
      </x:c>
      <x:c r="L24" s="49" t="e">
        <x:f>HYPERLINK("https://www.google.com/maps/dir/?api=1&amp;destination=%E6%B5%B7%E3%81%BB%E3%81%9F%E3%82%8BPA&amp;travelmode=driving&amp;waypoints=%E5%8D%83%E8%91%89%E3%83%9D%E3%83%BC%E3%83%88%E3%83%91%E3%83%BC%E3%82%AF%7C%E7%A8%B2%E6%AF%9B%E6%B5%B7%E6%B5%9C%E5%85%AC%E5%9C%92%E3%83%BB%E3%81%84%E3%81%AA%E3%81%92%E3%81%AE%E6%B5%9C%7C%E8%A2%96%E3%82%B1%E6%B5%A6%E6%B5%B7%E6%B5%9C%E5%85%AC%E5%9C%92","現在地からルート開始")</x:f>
      </x:c>
      <x:c r="M24" s="22" t="str">
        <x:v>通常</x:v>
      </x:c>
      <x:c r="N24" s="22" t="n">
        <x:v>78</x:v>
      </x:c>
      <x:c r="O24" s="22" t="str">
        <x:v>維持</x:v>
      </x:c>
      <x:c r="P24" s="22" t="str">
        <x:v>千葉ポートパーク → 稲毛海浜公園・いなげの浜 → 袖ケ浦海浜公園 → 海ほたるPA の順に、景観と滞在強度を変化させる。</x:v>
      </x:c>
      <x:c r="Q24" s="22"/>
      <x:c r="R24" s="23" t="n">
        <x:v>46232</x:v>
      </x:c>
      <x:c r="S24" s="22"/>
      <x:c r="T24" s="22"/>
      <x:c r="U24" s="22"/>
      <x:c r="V24" s="22"/>
      <x:c r="W24" s="22"/>
      <x:c r="X24" s="22"/>
      <x:c r="Y24" s="22" t="str">
        <x:v>東京港・水辺</x:v>
      </x:c>
      <x:c r="Z24" s="22"/>
    </x:row>
    <x:row r="25">
      <x:c r="A25" s="27" t="str">
        <x:v>R024</x:v>
      </x:c>
      <x:c r="B25" s="27" t="str">
        <x:v>東側24時間公園巡回</x:v>
      </x:c>
      <x:c r="C25" s="27" t="str">
        <x:v>公園／水辺／回復</x:v>
      </x:c>
      <x:c r="D25" s="27" t="str">
        <x:v>蒲田駅</x:v>
      </x:c>
      <x:c r="E25" s="27" t="str">
        <x:v>舎人公園</x:v>
      </x:c>
      <x:c r="F25" s="27" t="str">
        <x:v>みさと公園</x:v>
      </x:c>
      <x:c r="G25" s="27"/>
      <x:c r="H25" s="27" t="str">
        <x:v>浦安市総合公園</x:v>
      </x:c>
      <x:c r="I25" s="27" t="str">
        <x:v>220～290分</x:v>
      </x:c>
      <x:c r="J25" s="27" t="n">
        <x:v>4</x:v>
      </x:c>
      <x:c r="K25" s="27" t="str">
        <x:v>全体距離は長め。走行そのものを主役にする夜間向け。</x:v>
      </x:c>
      <x:c r="L25" s="49" t="e">
        <x:f>HYPERLINK("https://www.google.com/maps/dir/?api=1&amp;destination=%E6%B5%A6%E5%AE%89%E5%B8%82%E7%B7%8F%E5%90%88%E5%85%AC%E5%9C%92&amp;travelmode=driving&amp;waypoints=%E8%88%8E%E4%BA%BA%E5%85%AC%E5%9C%92%7C%E3%81%BF%E3%81%95%E3%81%A8%E5%85%AC%E5%9C%92","現在地からルート開始")</x:f>
      </x:c>
      <x:c r="M25" s="22" t="str">
        <x:v>通常</x:v>
      </x:c>
      <x:c r="N25" s="22" t="n">
        <x:v>80</x:v>
      </x:c>
      <x:c r="O25" s="22" t="str">
        <x:v>維持</x:v>
      </x:c>
      <x:c r="P25" s="22" t="str">
        <x:v>舎人公園 → みさと公園 → 浦安市総合公園 の順に、景観と滞在強度を変化させる。</x:v>
      </x:c>
      <x:c r="Q25" s="22"/>
      <x:c r="R25" s="23" t="n">
        <x:v>46232</x:v>
      </x:c>
      <x:c r="S25" s="22"/>
      <x:c r="T25" s="22"/>
      <x:c r="U25" s="22"/>
      <x:c r="V25" s="22"/>
      <x:c r="W25" s="22"/>
      <x:c r="X25" s="22"/>
      <x:c r="Y25" s="22" t="str">
        <x:v>都市公園・休憩</x:v>
      </x:c>
      <x:c r="Z25" s="22"/>
    </x:row>
    <x:row r="26">
      <x:c r="A26" s="27" t="str">
        <x:v>R025</x:v>
      </x:c>
      <x:c r="B26" s="27" t="str">
        <x:v>首都高ミニマム・ナイト</x:v>
      </x:c>
      <x:c r="C26" s="27" t="str">
        <x:v>PA／近距離／高架</x:v>
      </x:c>
      <x:c r="D26" s="27" t="str">
        <x:v>蒲田駅</x:v>
      </x:c>
      <x:c r="E26" s="27" t="str">
        <x:v>平和島PA（上り）</x:v>
      </x:c>
      <x:c r="F26" s="27" t="str">
        <x:v>芝浦PA</x:v>
      </x:c>
      <x:c r="G26" s="27"/>
      <x:c r="H26" s="27" t="str">
        <x:v>辰巳第一PA</x:v>
      </x:c>
      <x:c r="I26" s="27" t="str">
        <x:v>75～110分</x:v>
      </x:c>
      <x:c r="J26" s="27" t="n">
        <x:v>5</x:v>
      </x:c>
      <x:c r="K26" s="27" t="str">
        <x:v>各PAの臨時閉鎖確認。短時間休憩だけに限定。</x:v>
      </x:c>
      <x:c r="L26" s="49" t="e">
        <x:f>HYPERLINK("https://www.google.com/maps/dir/?api=1&amp;destination=%E8%BE%B0%E5%B7%B3%E7%AC%AC%E4%B8%80PA&amp;travelmode=driving&amp;waypoints=%E5%B9%B3%E5%92%8C%E5%B3%B6PA%EF%BC%88%E4%B8%8A%E3%82%8A%EF%BC%89%7C%E8%8A%9D%E6%B5%A6PA","現在地からルート開始")</x:f>
      </x:c>
      <x:c r="M26" s="22" t="str">
        <x:v>高速方向制約</x:v>
      </x:c>
      <x:c r="N26" s="22" t="n">
        <x:v>81</x:v>
      </x:c>
      <x:c r="O26" s="22" t="str">
        <x:v>維持</x:v>
      </x:c>
      <x:c r="P26" s="22" t="str">
        <x:v>平和島PA（上り） → 芝浦PA → 辰巳第一PA の順に、景観と滞在強度を変化させる。</x:v>
      </x:c>
      <x:c r="Q26" s="22"/>
      <x:c r="R26" s="23" t="n">
        <x:v>46232</x:v>
      </x:c>
      <x:c r="S26" s="22" t="n">
        <x:v>71</x:v>
      </x:c>
      <x:c r="T26" s="22" t="n">
        <x:v>0</x:v>
      </x:c>
      <x:c r="U26" s="22" t="str">
        <x:v>休息 → 海・港・都市夜景 → 海・港・都市夜景 → 海・港・都市夜景</x:v>
      </x:c>
      <x:c r="V26" s="22" t="str">
        <x:v>平和島PA（上り）:12分／芝浦PA:12分／辰巳第一PA:20分</x:v>
      </x:c>
      <x:c r="W26" s="22" t="str">
        <x:v>専用・公式駐車場へ直接入庫／小規模。満車なら待たずに省略</x:v>
      </x:c>
      <x:c r="X26" s="22" t="str">
        <x:v>工事・閉鎖時／満車時／工事・閉鎖時</x:v>
      </x:c>
      <x:c r="Y26" s="22" t="str">
        <x:v>PA・高速</x:v>
      </x:c>
      <x:c r="Z26" s="22"/>
    </x:row>
    <x:row r="27">
      <x:c r="A27" s="27" t="str">
        <x:v>R026</x:v>
      </x:c>
      <x:c r="B27" s="27" t="str">
        <x:v>湾岸PAコレクション</x:v>
      </x:c>
      <x:c r="C27" s="27" t="str">
        <x:v>PA／湾岸／車文化</x:v>
      </x:c>
      <x:c r="D27" s="27" t="str">
        <x:v>蒲田駅</x:v>
      </x:c>
      <x:c r="E27" s="27" t="str">
        <x:v>大井PA（東行き）</x:v>
      </x:c>
      <x:c r="F27" s="27" t="str">
        <x:v>辰巳第一PA</x:v>
      </x:c>
      <x:c r="G27" s="27"/>
      <x:c r="H27" s="27" t="str">
        <x:v>大黒PA</x:v>
      </x:c>
      <x:c r="I27" s="27" t="str">
        <x:v>120～170分</x:v>
      </x:c>
      <x:c r="J27" s="27" t="n">
        <x:v>5</x:v>
      </x:c>
      <x:c r="K27" s="27" t="str">
        <x:v>大黒PA閉鎖時は潮風公園へ変更。周回目的にしない。</x:v>
      </x:c>
      <x:c r="L27" s="49" t="e">
        <x:f>HYPERLINK("https://www.google.com/maps/dir/?api=1&amp;destination=%E5%A4%A7%E9%BB%92PA&amp;travelmode=driving&amp;waypoints=%E5%A4%A7%E4%BA%95PA%EF%BC%88%E6%9D%B1%E8%A1%8C%E3%81%8D%EF%BC%89%7C%E8%BE%B0%E5%B7%B3%E7%AC%AC%E4%B8%80PA","現在地からルート開始")</x:f>
      </x:c>
      <x:c r="M27" s="22" t="str">
        <x:v>高速方向制約</x:v>
      </x:c>
      <x:c r="N27" s="22" t="n">
        <x:v>92</x:v>
      </x:c>
      <x:c r="O27" s="22" t="str">
        <x:v>維持</x:v>
      </x:c>
      <x:c r="P27" s="22" t="str">
        <x:v>大井PA（東行き） → 辰巳第一PA → 大黒PA の順に、景観と滞在強度を変化させる。</x:v>
      </x:c>
      <x:c r="Q27" s="22"/>
      <x:c r="R27" s="23" t="n">
        <x:v>46232</x:v>
      </x:c>
      <x:c r="S27" s="22"/>
      <x:c r="T27" s="22"/>
      <x:c r="U27" s="22"/>
      <x:c r="V27" s="22"/>
      <x:c r="W27" s="22"/>
      <x:c r="X27" s="22"/>
      <x:c r="Y27" s="22" t="str">
        <x:v>東京港・水辺</x:v>
      </x:c>
      <x:c r="Z27" s="22"/>
    </x:row>
    <x:row r="28">
      <x:c r="A28" s="27" t="str">
        <x:v>R027</x:v>
      </x:c>
      <x:c r="B28" s="27" t="str">
        <x:v>木更津港と高台</x:v>
      </x:c>
      <x:c r="C28" s="27" t="str">
        <x:v>港／橋／展望</x:v>
      </x:c>
      <x:c r="D28" s="27" t="str">
        <x:v>蒲田駅</x:v>
      </x:c>
      <x:c r="E28" s="27" t="str">
        <x:v>鳥居崎海浜公園</x:v>
      </x:c>
      <x:c r="F28" s="27" t="str">
        <x:v>中の島公園</x:v>
      </x:c>
      <x:c r="G28" s="27"/>
      <x:c r="H28" s="27" t="str">
        <x:v>太田山公園</x:v>
      </x:c>
      <x:c r="I28" s="27" t="str">
        <x:v>180～240分</x:v>
      </x:c>
      <x:c r="J28" s="27" t="n">
        <x:v>4</x:v>
      </x:c>
      <x:c r="K28" s="27" t="str">
        <x:v>中の島は徒歩移動。強風時は橋を省略。</x:v>
      </x:c>
      <x:c r="L28" s="49" t="e">
        <x:f>HYPERLINK("https://www.google.com/maps/dir/?api=1&amp;destination=%E5%A4%AA%E7%94%B0%E5%B1%B1%E5%85%AC%E5%9C%92&amp;travelmode=driving&amp;waypoints=%E9%B3%A5%E5%B1%85%E5%B4%8E%E6%B5%B7%E6%B5%9C%E5%85%AC%E5%9C%92%7C%E4%B8%AD%E3%81%AE%E5%B3%B6%E5%85%AC%E5%9C%92","現在地からルート開始")</x:f>
      </x:c>
      <x:c r="M28" s="22" t="str">
        <x:v>通常</x:v>
      </x:c>
      <x:c r="N28" s="22" t="n">
        <x:v>77</x:v>
      </x:c>
      <x:c r="O28" s="22" t="str">
        <x:v>維持</x:v>
      </x:c>
      <x:c r="P28" s="22" t="str">
        <x:v>鳥居崎海浜公園 → 中の島公園 → 太田山公園 の順に、景観と滞在強度を変化させる。</x:v>
      </x:c>
      <x:c r="Q28" s="22"/>
      <x:c r="R28" s="23" t="n">
        <x:v>46232</x:v>
      </x:c>
      <x:c r="S28" s="22"/>
      <x:c r="T28" s="22"/>
      <x:c r="U28" s="22"/>
      <x:c r="V28" s="22"/>
      <x:c r="W28" s="22"/>
      <x:c r="X28" s="22"/>
      <x:c r="Y28" s="22" t="str">
        <x:v>東京港・水辺</x:v>
      </x:c>
      <x:c r="Z28" s="22"/>
    </x:row>
    <x:row r="29">
      <x:c r="A29" s="27" t="str">
        <x:v>R028</x:v>
      </x:c>
      <x:c r="B29" s="27" t="str">
        <x:v>木更津・海から川へ</x:v>
      </x:c>
      <x:c r="C29" s="27" t="str">
        <x:v>港／河川／静けさ</x:v>
      </x:c>
      <x:c r="D29" s="27" t="str">
        <x:v>蒲田駅</x:v>
      </x:c>
      <x:c r="E29" s="27" t="str">
        <x:v>鳥居崎海浜公園</x:v>
      </x:c>
      <x:c r="F29" s="27" t="str">
        <x:v>太田山公園</x:v>
      </x:c>
      <x:c r="G29" s="27"/>
      <x:c r="H29" s="27" t="str">
        <x:v>小櫃堰公園</x:v>
      </x:c>
      <x:c r="I29" s="27" t="str">
        <x:v>190～250分</x:v>
      </x:c>
      <x:c r="J29" s="27" t="n">
        <x:v>3</x:v>
      </x:c>
      <x:c r="K29" s="27" t="str">
        <x:v>夜は小櫃堰の景観価値が下がるため夕方開始。</x:v>
      </x:c>
      <x:c r="L29" s="49" t="e">
        <x:f>HYPERLINK("https://www.google.com/maps/dir/?api=1&amp;destination=%E5%B0%8F%E6%AB%83%E5%A0%B0%E5%85%AC%E5%9C%92&amp;travelmode=driving&amp;waypoints=%E9%B3%A5%E5%B1%85%E5%B4%8E%E6%B5%B7%E6%B5%9C%E5%85%AC%E5%9C%92%7C%E5%A4%AA%E7%94%B0%E5%B1%B1%E5%85%AC%E5%9C%92","現在地からルート開始")</x:f>
      </x:c>
      <x:c r="M29" s="22" t="str">
        <x:v>通常</x:v>
      </x:c>
      <x:c r="N29" s="22" t="n">
        <x:v>81</x:v>
      </x:c>
      <x:c r="O29" s="22" t="str">
        <x:v>維持</x:v>
      </x:c>
      <x:c r="P29" s="22" t="str">
        <x:v>鳥居崎海浜公園 → 太田山公園 → 小櫃堰公園 の順に、景観と滞在強度を変化させる。</x:v>
      </x:c>
      <x:c r="Q29" s="22"/>
      <x:c r="R29" s="23" t="n">
        <x:v>46232</x:v>
      </x:c>
      <x:c r="S29" s="22"/>
      <x:c r="T29" s="22"/>
      <x:c r="U29" s="22"/>
      <x:c r="V29" s="22"/>
      <x:c r="W29" s="22"/>
      <x:c r="X29" s="22"/>
      <x:c r="Y29" s="22" t="str">
        <x:v>東京港・水辺</x:v>
      </x:c>
      <x:c r="Z29" s="22"/>
    </x:row>
    <x:row r="30">
      <x:c r="A30" s="27" t="str">
        <x:v>R029</x:v>
      </x:c>
      <x:c r="B30" s="27" t="str">
        <x:v>房総丘陵パノラマ</x:v>
      </x:c>
      <x:c r="C30" s="27" t="str">
        <x:v>高台／湖／山道</x:v>
      </x:c>
      <x:c r="D30" s="27" t="str">
        <x:v>蒲田駅</x:v>
      </x:c>
      <x:c r="E30" s="27" t="str">
        <x:v>太田山公園</x:v>
      </x:c>
      <x:c r="F30" s="27" t="str">
        <x:v>鹿野山 九十九谷展望公園</x:v>
      </x:c>
      <x:c r="G30" s="27"/>
      <x:c r="H30" s="27" t="str">
        <x:v>亀山湖・亀山ダム周辺</x:v>
      </x:c>
      <x:c r="I30" s="27" t="str">
        <x:v>250～330分</x:v>
      </x:c>
      <x:c r="J30" s="27" t="n">
        <x:v>2</x:v>
      </x:c>
      <x:c r="K30" s="27" t="str">
        <x:v>山道・濃霧・野生動物に注意。昼限定。</x:v>
      </x:c>
      <x:c r="L30" s="49" t="e">
        <x:f>HYPERLINK("https://www.google.com/maps/dir/?api=1&amp;destination=%E4%BA%80%E5%B1%B1%E6%B9%96%E3%83%BB%E4%BA%80%E5%B1%B1%E3%83%80%E3%83%A0%E5%91%A8%E8%BE%BA&amp;travelmode=driving&amp;waypoints=%E5%A4%AA%E7%94%B0%E5%B1%B1%E5%85%AC%E5%9C%92%7C%E9%B9%BF%E9%87%8E%E5%B1%B1%20%E4%B9%9D%E5%8D%81%E4%B9%9D%E8%B0%B7%E5%B1%95%E6%9C%9B%E5%85%AC%E5%9C%92","現在地からルート開始")</x:f>
      </x:c>
      <x:c r="M30" s="22" t="str">
        <x:v>昼専用</x:v>
      </x:c>
      <x:c r="N30" s="22" t="n">
        <x:v>84</x:v>
      </x:c>
      <x:c r="O30" s="22" t="str">
        <x:v>維持</x:v>
      </x:c>
      <x:c r="P30" s="22" t="str">
        <x:v>太田山公園 → 鹿野山 九十九谷展望公園 → 亀山湖・亀山ダム周辺 の順に、景観と滞在強度を変化させる。</x:v>
      </x:c>
      <x:c r="Q30" s="22"/>
      <x:c r="R30" s="23" t="n">
        <x:v>46232</x:v>
      </x:c>
      <x:c r="S30" s="22"/>
      <x:c r="T30" s="22"/>
      <x:c r="U30" s="22"/>
      <x:c r="V30" s="22"/>
      <x:c r="W30" s="22"/>
      <x:c r="X30" s="22"/>
      <x:c r="Y30" s="22" t="str">
        <x:v>森林・高台</x:v>
      </x:c>
      <x:c r="Z30" s="22"/>
    </x:row>
    <x:row r="31">
      <x:c r="A31" s="27" t="str">
        <x:v>R030</x:v>
      </x:c>
      <x:c r="B31" s="27" t="str">
        <x:v>房総内陸・水の道</x:v>
      </x:c>
      <x:c r="C31" s="27" t="str">
        <x:v>渓谷／湖／森林</x:v>
      </x:c>
      <x:c r="D31" s="27" t="str">
        <x:v>蒲田駅</x:v>
      </x:c>
      <x:c r="E31" s="27" t="str">
        <x:v>濃溝の滝・亀岩の洞窟</x:v>
      </x:c>
      <x:c r="F31" s="27" t="str">
        <x:v>亀山湖・亀山ダム周辺</x:v>
      </x:c>
      <x:c r="G31" s="27"/>
      <x:c r="H31" s="27" t="str">
        <x:v>鹿野山 九十九谷展望公園</x:v>
      </x:c>
      <x:c r="I31" s="27" t="str">
        <x:v>280～360分</x:v>
      </x:c>
      <x:c r="J31" s="27" t="n">
        <x:v>1</x:v>
      </x:c>
      <x:c r="K31" s="27" t="str">
        <x:v>完全な昼ルート。日没前に山道を抜ける。</x:v>
      </x:c>
      <x:c r="L31" s="49" t="e">
        <x:f>HYPERLINK("https://www.google.com/maps/dir/?api=1&amp;destination=%E9%B9%BF%E9%87%8E%E5%B1%B1%20%E4%B9%9D%E5%8D%81%E4%B9%9D%E8%B0%B7%E5%B1%95%E6%9C%9B%E5%85%AC%E5%9C%92&amp;travelmode=driving&amp;waypoints=%E6%BF%83%E6%BA%9D%E3%81%AE%E6%BB%9D%E3%83%BB%E4%BA%80%E5%B2%A9%E3%81%AE%E6%B4%9E%E7%AA%9F%7C%E4%BA%80%E5%B1%B1%E6%B9%96%E3%83%BB%E4%BA%80%E5%B1%B1%E3%83%80%E3%83%A0%E5%91%A8%E8%BE%BA","現在地からルート開始")</x:f>
      </x:c>
      <x:c r="M31" s="22" t="str">
        <x:v>昼専用</x:v>
      </x:c>
      <x:c r="N31" s="22" t="n">
        <x:v>82</x:v>
      </x:c>
      <x:c r="O31" s="22" t="str">
        <x:v>維持</x:v>
      </x:c>
      <x:c r="P31" s="22" t="str">
        <x:v>濃溝の滝・亀岩の洞窟 → 亀山湖・亀山ダム周辺 → 鹿野山 九十九谷展望公園 の順に、景観と滞在強度を変化させる。</x:v>
      </x:c>
      <x:c r="Q31" s="22"/>
      <x:c r="R31" s="23" t="n">
        <x:v>46232</x:v>
      </x:c>
      <x:c r="S31" s="22"/>
      <x:c r="T31" s="22"/>
      <x:c r="U31" s="22"/>
      <x:c r="V31" s="22"/>
      <x:c r="W31" s="22"/>
      <x:c r="X31" s="22"/>
      <x:c r="Y31" s="22" t="str">
        <x:v>森林・高台</x:v>
      </x:c>
      <x:c r="Z31" s="22"/>
    </x:row>
    <x:row r="32">
      <x:c r="A32" s="27" t="str">
        <x:v>R031</x:v>
      </x:c>
      <x:c r="B32" s="27" t="str">
        <x:v>千葉内陸リカバリー</x:v>
      </x:c>
      <x:c r="C32" s="27" t="str">
        <x:v>森林／池／高台</x:v>
      </x:c>
      <x:c r="D32" s="27" t="str">
        <x:v>蒲田駅</x:v>
      </x:c>
      <x:c r="E32" s="27" t="str">
        <x:v>泉自然公園</x:v>
      </x:c>
      <x:c r="F32" s="27" t="str">
        <x:v>昭和の森</x:v>
      </x:c>
      <x:c r="G32" s="27"/>
      <x:c r="H32" s="27" t="str">
        <x:v>千葉ポートパーク</x:v>
      </x:c>
      <x:c r="I32" s="27" t="str">
        <x:v>230～310分</x:v>
      </x:c>
      <x:c r="J32" s="27" t="n">
        <x:v>2</x:v>
      </x:c>
      <x:c r="K32" s="27" t="str">
        <x:v>森林公園の閉場後、港の夕景へつなぐ。</x:v>
      </x:c>
      <x:c r="L32" s="49" t="e">
        <x:f>HYPERLINK("https://www.google.com/maps/dir/?api=1&amp;destination=%E5%8D%83%E8%91%89%E3%83%9D%E3%83%BC%E3%83%88%E3%83%91%E3%83%BC%E3%82%AF&amp;travelmode=driving&amp;waypoints=%E6%B3%89%E8%87%AA%E7%84%B6%E5%85%AC%E5%9C%92%7C%E6%98%AD%E5%92%8C%E3%81%AE%E6%A3%AE","現在地からルート開始")</x:f>
      </x:c>
      <x:c r="M32" s="22" t="str">
        <x:v>昼専用</x:v>
      </x:c>
      <x:c r="N32" s="22" t="n">
        <x:v>84</x:v>
      </x:c>
      <x:c r="O32" s="22" t="str">
        <x:v>維持</x:v>
      </x:c>
      <x:c r="P32" s="22" t="str">
        <x:v>泉自然公園 → 昭和の森 → 千葉ポートパーク の順に、景観と滞在強度を変化させる。</x:v>
      </x:c>
      <x:c r="Q32" s="22"/>
      <x:c r="R32" s="23" t="n">
        <x:v>46232</x:v>
      </x:c>
      <x:c r="S32" s="22"/>
      <x:c r="T32" s="22"/>
      <x:c r="U32" s="22"/>
      <x:c r="V32" s="22"/>
      <x:c r="W32" s="22"/>
      <x:c r="X32" s="22"/>
      <x:c r="Y32" s="22" t="str">
        <x:v>森林・高台</x:v>
      </x:c>
      <x:c r="Z32" s="22"/>
    </x:row>
    <x:row r="33">
      <x:c r="A33" s="27" t="str">
        <x:v>R032</x:v>
      </x:c>
      <x:c r="B33" s="27" t="str">
        <x:v>横浜・谷戸から高台へ</x:v>
      </x:c>
      <x:c r="C33" s="27" t="str">
        <x:v>谷戸／森林／芝生</x:v>
      </x:c>
      <x:c r="D33" s="27" t="str">
        <x:v>蒲田駅</x:v>
      </x:c>
      <x:c r="E33" s="27" t="str">
        <x:v>県立四季の森公園</x:v>
      </x:c>
      <x:c r="F33" s="27" t="str">
        <x:v>根岸森林公園</x:v>
      </x:c>
      <x:c r="G33" s="27"/>
      <x:c r="H33" s="27" t="str">
        <x:v>港の見える丘公園</x:v>
      </x:c>
      <x:c r="I33" s="27" t="str">
        <x:v>150～210分</x:v>
      </x:c>
      <x:c r="J33" s="27" t="n">
        <x:v>4</x:v>
      </x:c>
      <x:c r="K33" s="27" t="str">
        <x:v>四季の森閉場時刻に合わせる。最後は24時間駐車場系へ。</x:v>
      </x:c>
      <x:c r="L33" s="49" t="e">
        <x:f>HYPERLINK("https://www.google.com/maps/dir/?api=1&amp;destination=%E6%B8%AF%E3%81%AE%E8%A6%8B%E3%81%88%E3%82%8B%E4%B8%98%E5%85%AC%E5%9C%92&amp;travelmode=driving&amp;waypoints=%E7%9C%8C%E7%AB%8B%E5%9B%9B%E5%AD%A3%E3%81%AE%E6%A3%AE%E5%85%AC%E5%9C%92%7C%E6%A0%B9%E5%B2%B8%E6%A3%AE%E6%9E%97%E5%85%AC%E5%9C%92","現在地からルート開始")</x:f>
      </x:c>
      <x:c r="M33" s="22" t="str">
        <x:v>通常</x:v>
      </x:c>
      <x:c r="N33" s="22" t="n">
        <x:v>78</x:v>
      </x:c>
      <x:c r="O33" s="22" t="str">
        <x:v>維持</x:v>
      </x:c>
      <x:c r="P33" s="22" t="str">
        <x:v>県立四季の森公園 → 根岸森林公園 → 港の見える丘公園 の順に、景観と滞在強度を変化させる。</x:v>
      </x:c>
      <x:c r="Q33" s="22"/>
      <x:c r="R33" s="23" t="n">
        <x:v>46232</x:v>
      </x:c>
      <x:c r="S33" s="22"/>
      <x:c r="T33" s="22"/>
      <x:c r="U33" s="22"/>
      <x:c r="V33" s="22"/>
      <x:c r="W33" s="22"/>
      <x:c r="X33" s="22"/>
      <x:c r="Y33" s="22" t="str">
        <x:v>森林・高台</x:v>
      </x:c>
      <x:c r="Z33" s="22"/>
    </x:row>
    <x:row r="34">
      <x:c r="A34" s="27" t="str">
        <x:v>R033</x:v>
      </x:c>
      <x:c r="B34" s="27" t="str">
        <x:v>丹沢入口リカバリー</x:v>
      </x:c>
      <x:c r="C34" s="27" t="str">
        <x:v>里山／吊り橋／山</x:v>
      </x:c>
      <x:c r="D34" s="27" t="str">
        <x:v>蒲田駅</x:v>
      </x:c>
      <x:c r="E34" s="27" t="str">
        <x:v>茅ケ崎里山公園</x:v>
      </x:c>
      <x:c r="F34" s="27" t="str">
        <x:v>県立秦野戸川公園</x:v>
      </x:c>
      <x:c r="G34" s="27"/>
      <x:c r="H34" s="27" t="str">
        <x:v>湘南平</x:v>
      </x:c>
      <x:c r="I34" s="27" t="str">
        <x:v>240～320分</x:v>
      </x:c>
      <x:c r="J34" s="27" t="n">
        <x:v>3</x:v>
      </x:c>
      <x:c r="K34" s="27" t="str">
        <x:v>秦野戸川の閉場と湘南平の山道を確認。</x:v>
      </x:c>
      <x:c r="L34" s="49" t="e">
        <x:f>HYPERLINK("https://www.google.com/maps/dir/?api=1&amp;destination=%E6%B9%98%E5%8D%97%E5%B9%B3&amp;travelmode=driving&amp;waypoints=%E8%8C%85%E3%82%B1%E5%B4%8E%E9%87%8C%E5%B1%B1%E5%85%AC%E5%9C%92%7C%E7%9C%8C%E7%AB%8B%E7%A7%A6%E9%87%8E%E6%88%B8%E5%B7%9D%E5%85%AC%E5%9C%92","現在地からルート開始")</x:f>
      </x:c>
      <x:c r="M34" s="22" t="str">
        <x:v>通常</x:v>
      </x:c>
      <x:c r="N34" s="22" t="n">
        <x:v>80</x:v>
      </x:c>
      <x:c r="O34" s="22" t="str">
        <x:v>維持</x:v>
      </x:c>
      <x:c r="P34" s="22" t="str">
        <x:v>茅ケ崎里山公園 → 県立秦野戸川公園 → 湘南平 の順に、景観と滞在強度を変化させる。</x:v>
      </x:c>
      <x:c r="Q34" s="22"/>
      <x:c r="R34" s="23" t="n">
        <x:v>46232</x:v>
      </x:c>
      <x:c r="S34" s="22"/>
      <x:c r="T34" s="22"/>
      <x:c r="U34" s="22"/>
      <x:c r="V34" s="22"/>
      <x:c r="W34" s="22"/>
      <x:c r="X34" s="22"/>
      <x:c r="Y34" s="22" t="str">
        <x:v>東京港・水辺</x:v>
      </x:c>
      <x:c r="Z34" s="22"/>
    </x:row>
    <x:row r="35">
      <x:c r="A35" s="27" t="str">
        <x:v>R034</x:v>
      </x:c>
      <x:c r="B35" s="27" t="str">
        <x:v>多摩湖・丘陵ライン</x:v>
      </x:c>
      <x:c r="C35" s="27" t="str">
        <x:v>湖／堤防／里山</x:v>
      </x:c>
      <x:c r="D35" s="27" t="str">
        <x:v>蒲田駅</x:v>
      </x:c>
      <x:c r="E35" s="27" t="str">
        <x:v>狭山公園</x:v>
      </x:c>
      <x:c r="F35" s="27" t="str">
        <x:v>野山北・六道山公園</x:v>
      </x:c>
      <x:c r="G35" s="27"/>
      <x:c r="H35" s="27" t="str">
        <x:v>桜ヶ丘公園 ゆうひの丘</x:v>
      </x:c>
      <x:c r="I35" s="27" t="str">
        <x:v>240～320分</x:v>
      </x:c>
      <x:c r="J35" s="27" t="n">
        <x:v>2</x:v>
      </x:c>
      <x:c r="K35" s="27" t="str">
        <x:v>全地点閉場が早い。午後早めの出発専用。</x:v>
      </x:c>
      <x:c r="L35" s="49" t="e">
        <x:f>HYPERLINK("https://www.google.com/maps/dir/?api=1&amp;destination=%E6%A1%9C%E3%83%B6%E4%B8%98%E5%85%AC%E5%9C%92%20%E3%82%86%E3%81%86%E3%81%B2%E3%81%AE%E4%B8%98&amp;travelmode=driving&amp;waypoints=%E7%8B%AD%E5%B1%B1%E5%85%AC%E5%9C%92%7C%E9%87%8E%E5%B1%B1%E5%8C%97%E3%83%BB%E5%85%AD%E9%81%93%E5%B1%B1%E5%85%AC%E5%9C%92","現在地からルート開始")</x:f>
      </x:c>
      <x:c r="M35" s="22" t="str">
        <x:v>昼専用</x:v>
      </x:c>
      <x:c r="N35" s="22" t="n">
        <x:v>82</x:v>
      </x:c>
      <x:c r="O35" s="22" t="str">
        <x:v>維持</x:v>
      </x:c>
      <x:c r="P35" s="22" t="str">
        <x:v>狭山公園 → 野山北・六道山公園 → 桜ヶ丘公園 ゆうひの丘 の順に、景観と滞在強度を変化させる。</x:v>
      </x:c>
      <x:c r="Q35" s="22"/>
      <x:c r="R35" s="23" t="n">
        <x:v>46232</x:v>
      </x:c>
      <x:c r="S35" s="22"/>
      <x:c r="T35" s="22"/>
      <x:c r="U35" s="22"/>
      <x:c r="V35" s="22"/>
      <x:c r="W35" s="22"/>
      <x:c r="X35" s="22"/>
      <x:c r="Y35" s="22" t="str">
        <x:v>森林・高台</x:v>
      </x:c>
      <x:c r="Z35" s="22"/>
    </x:row>
    <x:row r="36">
      <x:c r="A36" s="27" t="str">
        <x:v>R035</x:v>
      </x:c>
      <x:c r="B36" s="27" t="str">
        <x:v>湾岸から房総の夜景へ</x:v>
      </x:c>
      <x:c r="C36" s="27" t="str">
        <x:v>PA／港／高台</x:v>
      </x:c>
      <x:c r="D36" s="27" t="str">
        <x:v>蒲田駅</x:v>
      </x:c>
      <x:c r="E36" s="27" t="str">
        <x:v>海ほたるPA</x:v>
      </x:c>
      <x:c r="F36" s="27" t="str">
        <x:v>鳥居崎海浜公園</x:v>
      </x:c>
      <x:c r="G36" s="27"/>
      <x:c r="H36" s="27" t="str">
        <x:v>太田山公園</x:v>
      </x:c>
      <x:c r="I36" s="27" t="str">
        <x:v>190～250分</x:v>
      </x:c>
      <x:c r="J36" s="27" t="n">
        <x:v>4</x:v>
      </x:c>
      <x:c r="K36" s="27" t="str">
        <x:v>太田山の夜間照明状況を確認。強風時は木更津市街だけに短縮。</x:v>
      </x:c>
      <x:c r="L36" s="49" t="e">
        <x:f>HYPERLINK("https://www.google.com/maps/dir/?api=1&amp;destination=%E5%A4%AA%E7%94%B0%E5%B1%B1%E5%85%AC%E5%9C%92&amp;travelmode=driving&amp;waypoints=%E6%B5%B7%E3%81%BB%E3%81%9F%E3%82%8BPA%7C%E9%B3%A5%E5%B1%85%E5%B4%8E%E6%B5%B7%E6%B5%9C%E5%85%AC%E5%9C%92","現在地からルート開始")</x:f>
      </x:c>
      <x:c r="M36" s="22" t="str">
        <x:v>高速方向制約</x:v>
      </x:c>
      <x:c r="N36" s="22" t="n">
        <x:v>84</x:v>
      </x:c>
      <x:c r="O36" s="22" t="str">
        <x:v>維持</x:v>
      </x:c>
      <x:c r="P36" s="22" t="str">
        <x:v>海ほたるPA → 鳥居崎海浜公園 → 太田山公園 の順に、景観と滞在強度を変化させる。</x:v>
      </x:c>
      <x:c r="Q36" s="22"/>
      <x:c r="R36" s="23" t="n">
        <x:v>46232</x:v>
      </x:c>
      <x:c r="S36" s="22"/>
      <x:c r="T36" s="22"/>
      <x:c r="U36" s="22"/>
      <x:c r="V36" s="22"/>
      <x:c r="W36" s="22"/>
      <x:c r="X36" s="22"/>
      <x:c r="Y36" s="22" t="str">
        <x:v>東京港・水辺</x:v>
      </x:c>
      <x:c r="Z36" s="22"/>
    </x:row>
    <x:row r="37">
      <x:c r="A37" s="27" t="str">
        <x:v>R036</x:v>
      </x:c>
      <x:c r="B37" s="27" t="str">
        <x:v>首都高と横浜港の余韻</x:v>
      </x:c>
      <x:c r="C37" s="27" t="str">
        <x:v>PA／橋／都市夜景</x:v>
      </x:c>
      <x:c r="D37" s="27" t="str">
        <x:v>蒲田駅</x:v>
      </x:c>
      <x:c r="E37" s="27" t="str">
        <x:v>芝浦PA</x:v>
      </x:c>
      <x:c r="F37" s="27" t="str">
        <x:v>大黒PA</x:v>
      </x:c>
      <x:c r="G37" s="27"/>
      <x:c r="H37" s="27" t="str">
        <x:v>根岸森林公園</x:v>
      </x:c>
      <x:c r="I37" s="27" t="str">
        <x:v>140～190分</x:v>
      </x:c>
      <x:c r="J37" s="27" t="n">
        <x:v>5</x:v>
      </x:c>
      <x:c r="K37" s="27" t="str">
        <x:v>PA閉鎖時は潮風公園・大さん橋へ差し替え。</x:v>
      </x:c>
      <x:c r="L37" s="49" t="e">
        <x:f>HYPERLINK("https://www.google.com/maps/dir/?api=1&amp;destination=%E6%A0%B9%E5%B2%B8%E6%A3%AE%E6%9E%97%E5%85%AC%E5%9C%92&amp;travelmode=driving&amp;waypoints=%E8%8A%9D%E6%B5%A6PA%7C%E5%A4%A7%E9%BB%92PA","現在地からルート開始")</x:f>
      </x:c>
      <x:c r="M37" s="22" t="str">
        <x:v>高速方向制約</x:v>
      </x:c>
      <x:c r="N37" s="22" t="n">
        <x:v>84</x:v>
      </x:c>
      <x:c r="O37" s="22" t="str">
        <x:v>維持</x:v>
      </x:c>
      <x:c r="P37" s="22" t="str">
        <x:v>芝浦PA → 大黒PA → 根岸森林公園 の順に、景観と滞在強度を変化させる。</x:v>
      </x:c>
      <x:c r="Q37" s="22"/>
      <x:c r="R37" s="23" t="n">
        <x:v>46232</x:v>
      </x:c>
      <x:c r="S37" s="22"/>
      <x:c r="T37" s="22"/>
      <x:c r="U37" s="22"/>
      <x:c r="V37" s="22"/>
      <x:c r="W37" s="22"/>
      <x:c r="X37" s="22"/>
      <x:c r="Y37" s="22" t="str">
        <x:v>東京港・水辺</x:v>
      </x:c>
      <x:c r="Z37" s="22"/>
    </x:row>
    <x:row r="38">
      <x:c r="A38" s="27" t="str">
        <x:v>R037</x:v>
      </x:c>
      <x:c r="B38" s="27" t="str">
        <x:v>東東京・水辺ナイト</x:v>
      </x:c>
      <x:c r="C38" s="27" t="str">
        <x:v>都市公園／河川／夜間</x:v>
      </x:c>
      <x:c r="D38" s="27" t="str">
        <x:v>蒲田駅</x:v>
      </x:c>
      <x:c r="E38" s="27" t="str">
        <x:v>木場公園</x:v>
      </x:c>
      <x:c r="F38" s="27" t="str">
        <x:v>大島小松川公園</x:v>
      </x:c>
      <x:c r="G38" s="27"/>
      <x:c r="H38" s="27" t="str">
        <x:v>篠崎公園</x:v>
      </x:c>
      <x:c r="I38" s="27" t="str">
        <x:v>150～210分</x:v>
      </x:c>
      <x:c r="J38" s="27" t="n">
        <x:v>4</x:v>
      </x:c>
      <x:c r="K38" s="27" t="str">
        <x:v>24時間駐車場をつなぐ夜間用。木場公園の重複採用は湾岸から東東京へ切り替える休憩点として有効。</x:v>
      </x:c>
      <x:c r="L38" s="49" t="e">
        <x:f>HYPERLINK("https://www.google.com/maps/dir/?api=1&amp;destination=%E7%AF%A0%E5%B4%8E%E5%85%AC%E5%9C%92&amp;travelmode=driving&amp;waypoints=%E6%9C%A8%E5%A0%B4%E5%85%AC%E5%9C%92%7C%E5%A4%A7%E5%B3%B6%E5%B0%8F%E6%9D%BE%E5%B7%9D%E5%85%AC%E5%9C%92","現在地からルート開始")</x:f>
      </x:c>
      <x:c r="M38" s="22" t="str">
        <x:v>通常</x:v>
      </x:c>
      <x:c r="N38" s="22" t="n">
        <x:v>87</x:v>
      </x:c>
      <x:c r="O38" s="22" t="str">
        <x:v>維持</x:v>
      </x:c>
      <x:c r="P38" s="22" t="str">
        <x:v>木場公園 → 大島小松川公園 → 篠崎公園 の順に、景観と滞在強度を変化させる。</x:v>
      </x:c>
      <x:c r="Q38" s="22"/>
      <x:c r="R38" s="23" t="n">
        <x:v>46232</x:v>
      </x:c>
      <x:c r="S38" s="22" t="n">
        <x:v>79</x:v>
      </x:c>
      <x:c r="T38" s="22" t="n">
        <x:v>0</x:v>
      </x:c>
      <x:c r="U38" s="22" t="str">
        <x:v>海・港・自然 → 都市夜景・自然 → 都市夜景・自然 → 自然・休息</x:v>
      </x:c>
      <x:c r="V38" s="22" t="str">
        <x:v>木場公園:20分／大島小松川公園:20分／篠崎公園:45分</x:v>
      </x:c>
      <x:c r="W38" s="22" t="str">
        <x:v>専用・公式駐車場へ直接入庫</x:v>
      </x:c>
      <x:c r="X38" s="22" t="str">
        <x:v>臨時閉鎖・イベント混雑時</x:v>
      </x:c>
      <x:c r="Y38" s="22" t="str">
        <x:v>河川・多摩川</x:v>
      </x:c>
      <x:c r="Z38" s="22"/>
    </x:row>
    <x:row r="39">
      <x:c r="A39" s="27" t="str">
        <x:v>R038</x:v>
      </x:c>
      <x:c r="B39" s="27" t="str">
        <x:v>都市型道の駅から手賀沼へ</x:v>
      </x:c>
      <x:c r="C39" s="27" t="str">
        <x:v>道の駅／湖／農地</x:v>
      </x:c>
      <x:c r="D39" s="27" t="str">
        <x:v>蒲田駅</x:v>
      </x:c>
      <x:c r="E39" s="27" t="str">
        <x:v>道の駅 いちかわ</x:v>
      </x:c>
      <x:c r="F39" s="27" t="str">
        <x:v>道の駅 しょうなん</x:v>
      </x:c>
      <x:c r="G39" s="27"/>
      <x:c r="H39" s="27" t="str">
        <x:v>手賀沼公園</x:v>
      </x:c>
      <x:c r="I39" s="27" t="str">
        <x:v>190～250分</x:v>
      </x:c>
      <x:c r="J39" s="27" t="n">
        <x:v>4</x:v>
      </x:c>
      <x:c r="K39" s="27" t="str">
        <x:v>食事と休憩を確保しながら湖畔へ進む。手賀沼公園は21:30までに入庫。</x:v>
      </x:c>
      <x:c r="L39" s="49" t="e">
        <x:f>HYPERLINK("https://www.google.com/maps/dir/?api=1&amp;destination=%E6%89%8B%E8%B3%80%E6%B2%BC%E5%85%AC%E5%9C%92&amp;travelmode=driving&amp;waypoints=%E9%81%93%E3%81%AE%E9%A7%85%20%E3%81%84%E3%81%A1%E3%81%8B%E3%82%8F%7C%E9%81%93%E3%81%AE%E9%A7%85%20%E3%81%97%E3%82%87%E3%81%86%E3%81%AA%E3%82%93","現在地からルート開始")</x:f>
      </x:c>
      <x:c r="M39" s="22" t="str">
        <x:v>通常</x:v>
      </x:c>
      <x:c r="N39" s="22" t="n">
        <x:v>76</x:v>
      </x:c>
      <x:c r="O39" s="22" t="str">
        <x:v>維持</x:v>
      </x:c>
      <x:c r="P39" s="22" t="str">
        <x:v>道の駅 いちかわ → 道の駅 しょうなん → 手賀沼公園 の順に、景観と滞在強度を変化させる。</x:v>
      </x:c>
      <x:c r="Q39" s="22"/>
      <x:c r="R39" s="23" t="n">
        <x:v>46232</x:v>
      </x:c>
      <x:c r="S39" s="22"/>
      <x:c r="T39" s="22"/>
      <x:c r="U39" s="22"/>
      <x:c r="V39" s="22"/>
      <x:c r="W39" s="22"/>
      <x:c r="X39" s="22"/>
      <x:c r="Y39" s="22" t="str">
        <x:v>都市公園・休憩</x:v>
      </x:c>
      <x:c r="Z39" s="22"/>
    </x:row>
    <x:row r="40">
      <x:c r="A40" s="27" t="str">
        <x:v>R039</x:v>
      </x:c>
      <x:c r="B40" s="27" t="str">
        <x:v>手賀沼・印旛沼ライン</x:v>
      </x:c>
      <x:c r="C40" s="27" t="str">
        <x:v>湖／風車／農水辺</x:v>
      </x:c>
      <x:c r="D40" s="27" t="str">
        <x:v>蒲田駅</x:v>
      </x:c>
      <x:c r="E40" s="27" t="str">
        <x:v>道の駅 しょうなん</x:v>
      </x:c>
      <x:c r="F40" s="27" t="str">
        <x:v>手賀沼公園</x:v>
      </x:c>
      <x:c r="G40" s="27"/>
      <x:c r="H40" s="27" t="str">
        <x:v>佐倉ふるさと広場</x:v>
      </x:c>
      <x:c r="I40" s="27" t="str">
        <x:v>230～300分</x:v>
      </x:c>
      <x:c r="J40" s="27" t="n">
        <x:v>2</x:v>
      </x:c>
      <x:c r="K40" s="27" t="str">
        <x:v>昼～夕方向け。佐倉ふるさと広場の工事・駐車場を当日確認。</x:v>
      </x:c>
      <x:c r="L40" s="49" t="e">
        <x:f>HYPERLINK("https://www.google.com/maps/dir/?api=1&amp;destination=%E4%BD%90%E5%80%89%E3%81%B5%E3%82%8B%E3%81%95%E3%81%A8%E5%BA%83%E5%A0%B4&amp;travelmode=driving&amp;waypoints=%E9%81%93%E3%81%AE%E9%A7%85%20%E3%81%97%E3%82%87%E3%81%86%E3%81%AA%E3%82%93%7C%E6%89%8B%E8%B3%80%E6%B2%BC%E5%85%AC%E5%9C%92","現在地からルート開始")</x:f>
      </x:c>
      <x:c r="M40" s="22" t="str">
        <x:v>昼専用</x:v>
      </x:c>
      <x:c r="N40" s="22" t="n">
        <x:v>89</x:v>
      </x:c>
      <x:c r="O40" s="22" t="str">
        <x:v>維持</x:v>
      </x:c>
      <x:c r="P40" s="22" t="str">
        <x:v>道の駅 しょうなん → 手賀沼公園 → 佐倉ふるさと広場 の順に、景観と滞在強度を変化させる。</x:v>
      </x:c>
      <x:c r="Q40" s="22"/>
      <x:c r="R40" s="23" t="n">
        <x:v>46232</x:v>
      </x:c>
      <x:c r="S40" s="22"/>
      <x:c r="T40" s="22"/>
      <x:c r="U40" s="22"/>
      <x:c r="V40" s="22"/>
      <x:c r="W40" s="22"/>
      <x:c r="X40" s="22"/>
      <x:c r="Y40" s="22" t="str">
        <x:v>都市公園・休憩</x:v>
      </x:c>
      <x:c r="Z40" s="22"/>
    </x:row>
    <x:row r="41">
      <x:c r="A41" s="27" t="str">
        <x:v>R040</x:v>
      </x:c>
      <x:c r="B41" s="27" t="str">
        <x:v>成田・航空機ロング</x:v>
      </x:c>
      <x:c r="C41" s="27" t="str">
        <x:v>道の駅／風車／飛行機</x:v>
      </x:c>
      <x:c r="D41" s="27" t="str">
        <x:v>蒲田駅</x:v>
      </x:c>
      <x:c r="E41" s="27" t="str">
        <x:v>道の駅 いちかわ</x:v>
      </x:c>
      <x:c r="F41" s="27" t="str">
        <x:v>佐倉ふるさと広場</x:v>
      </x:c>
      <x:c r="G41" s="27"/>
      <x:c r="H41" s="27" t="str">
        <x:v>成田市さくらの山</x:v>
      </x:c>
      <x:c r="I41" s="27" t="str">
        <x:v>260～340分</x:v>
      </x:c>
      <x:c r="J41" s="27" t="n">
        <x:v>3</x:v>
      </x:c>
      <x:c r="K41" s="27" t="str">
        <x:v>成田さくらの山は23時まで。桜期・休日は佐倉経由を省略する。</x:v>
      </x:c>
      <x:c r="L41" s="49" t="e">
        <x:f>HYPERLINK("https://www.google.com/maps/dir/?api=1&amp;destination=%E6%88%90%E7%94%B0%E5%B8%82%E3%81%95%E3%81%8F%E3%82%89%E3%81%AE%E5%B1%B1&amp;travelmode=driving&amp;waypoints=%E9%81%93%E3%81%AE%E9%A7%85%20%E3%81%84%E3%81%A1%E3%81%8B%E3%82%8F%7C%E4%BD%90%E5%80%89%E3%81%B5%E3%82%8B%E3%81%95%E3%81%A8%E5%BA%83%E5%A0%B4","現在地からルート開始")</x:f>
      </x:c>
      <x:c r="M41" s="22" t="str">
        <x:v>通常</x:v>
      </x:c>
      <x:c r="N41" s="22" t="n">
        <x:v>74</x:v>
      </x:c>
      <x:c r="O41" s="22" t="str">
        <x:v>維持</x:v>
      </x:c>
      <x:c r="P41" s="22" t="str">
        <x:v>道の駅 いちかわ → 佐倉ふるさと広場 → 成田市さくらの山 の順に、景観と滞在強度を変化させる。</x:v>
      </x:c>
      <x:c r="Q41" s="22"/>
      <x:c r="R41" s="23" t="n">
        <x:v>46232</x:v>
      </x:c>
      <x:c r="S41" s="22"/>
      <x:c r="T41" s="22"/>
      <x:c r="U41" s="22"/>
      <x:c r="V41" s="22"/>
      <x:c r="W41" s="22"/>
      <x:c r="X41" s="22"/>
      <x:c r="Y41" s="22" t="str">
        <x:v>羽田・航空</x:v>
      </x:c>
      <x:c r="Z41" s="22"/>
    </x:row>
    <x:row r="42">
      <x:c r="A42" s="27" t="str">
        <x:v>R041</x:v>
      </x:c>
      <x:c r="B42" s="27" t="str">
        <x:v>房総内陸・里山ライン</x:v>
      </x:c>
      <x:c r="C42" s="27" t="str">
        <x:v>道の駅／丘陵／港</x:v>
      </x:c>
      <x:c r="D42" s="27" t="str">
        <x:v>蒲田駅</x:v>
      </x:c>
      <x:c r="E42" s="27" t="str">
        <x:v>道の駅 木更津うまくたの里</x:v>
      </x:c>
      <x:c r="F42" s="27" t="str">
        <x:v>東京ドイツ村</x:v>
      </x:c>
      <x:c r="G42" s="27"/>
      <x:c r="H42" s="27" t="str">
        <x:v>中の島公園・中の島大橋</x:v>
      </x:c>
      <x:c r="I42" s="27" t="str">
        <x:v>230～310分</x:v>
      </x:c>
      <x:c r="J42" s="27" t="n">
        <x:v>3</x:v>
      </x:c>
      <x:c r="K42" s="27" t="str">
        <x:v>ドイツ村の営業時間に合わせる昼～夕方専用。港で夕景を迎える。</x:v>
      </x:c>
      <x:c r="L42" s="49" t="e">
        <x:f>HYPERLINK("https://www.google.com/maps/dir/?api=1&amp;destination=%E4%B8%AD%E3%81%AE%E5%B3%B6%E5%85%AC%E5%9C%92%E3%83%BB%E4%B8%AD%E3%81%AE%E5%B3%B6%E5%A4%A7%E6%A9%8B&amp;travelmode=driving&amp;waypoints=%E9%81%93%E3%81%AE%E9%A7%85%20%E6%9C%A8%E6%9B%B4%E6%B4%A5%E3%81%86%E3%81%BE%E3%81%8F%E3%81%9F%E3%81%AE%E9%87%8C%7C%E6%9D%B1%E4%BA%AC%E3%83%89%E3%82%A4%E3%83%84%E6%9D%91","現在地からルート開始")</x:f>
      </x:c>
      <x:c r="M42" s="22" t="str">
        <x:v>通常</x:v>
      </x:c>
      <x:c r="N42" s="22" t="n">
        <x:v>82</x:v>
      </x:c>
      <x:c r="O42" s="22" t="str">
        <x:v>維持</x:v>
      </x:c>
      <x:c r="P42" s="22" t="str">
        <x:v>道の駅 木更津うまくたの里 → 東京ドイツ村 → 中の島公園・中の島大橋 の順に、景観と滞在強度を変化させる。</x:v>
      </x:c>
      <x:c r="Q42" s="22"/>
      <x:c r="R42" s="23" t="n">
        <x:v>46232</x:v>
      </x:c>
      <x:c r="S42" s="22"/>
      <x:c r="T42" s="22"/>
      <x:c r="U42" s="22"/>
      <x:c r="V42" s="22"/>
      <x:c r="W42" s="22"/>
      <x:c r="X42" s="22"/>
      <x:c r="Y42" s="22" t="str">
        <x:v>東京港・水辺</x:v>
      </x:c>
      <x:c r="Z42" s="22"/>
    </x:row>
    <x:row r="43">
      <x:c r="A43" s="27" t="str">
        <x:v>R042</x:v>
      </x:c>
      <x:c r="B43" s="27" t="str">
        <x:v>木更津・夜の休憩線</x:v>
      </x:c>
      <x:c r="C43" s="27" t="str">
        <x:v>海上／港／道の駅</x:v>
      </x:c>
      <x:c r="D43" s="27" t="str">
        <x:v>蒲田駅</x:v>
      </x:c>
      <x:c r="E43" s="27" t="str">
        <x:v>海ほたるPA</x:v>
      </x:c>
      <x:c r="F43" s="27" t="str">
        <x:v>中の島公園・中の島大橋</x:v>
      </x:c>
      <x:c r="G43" s="27"/>
      <x:c r="H43" s="27" t="str">
        <x:v>道の駅 木更津うまくたの里</x:v>
      </x:c>
      <x:c r="I43" s="27" t="str">
        <x:v>180～240分</x:v>
      </x:c>
      <x:c r="J43" s="27" t="n">
        <x:v>4</x:v>
      </x:c>
      <x:c r="K43" s="27" t="str">
        <x:v>海ほたるの重複採用は房総へ入る転換点として不可欠。アクアライン規制を確認。</x:v>
      </x:c>
      <x:c r="L43" s="49" t="e">
        <x:f>HYPERLINK("https://www.google.com/maps/dir/?api=1&amp;destination=%E9%81%93%E3%81%AE%E9%A7%85%20%E6%9C%A8%E6%9B%B4%E6%B4%A5%E3%81%86%E3%81%BE%E3%81%8F%E3%81%9F%E3%81%AE%E9%87%8C&amp;travelmode=driving&amp;waypoints=%E6%B5%B7%E3%81%BB%E3%81%9F%E3%82%8BPA%7C%E4%B8%AD%E3%81%AE%E5%B3%B6%E5%85%AC%E5%9C%92%E3%83%BB%E4%B8%AD%E3%81%AE%E5%B3%B6%E5%A4%A7%E6%A9%8B","現在地からルート開始")</x:f>
      </x:c>
      <x:c r="M43" s="22" t="str">
        <x:v>通常</x:v>
      </x:c>
      <x:c r="N43" s="22" t="n">
        <x:v>85</x:v>
      </x:c>
      <x:c r="O43" s="22" t="str">
        <x:v>維持</x:v>
      </x:c>
      <x:c r="P43" s="22" t="str">
        <x:v>海ほたるPA → 中の島公園・中の島大橋 → 道の駅 木更津うまくたの里 の順に、景観と滞在強度を変化させる。</x:v>
      </x:c>
      <x:c r="Q43" s="22"/>
      <x:c r="R43" s="23" t="n">
        <x:v>46232</x:v>
      </x:c>
      <x:c r="S43" s="22"/>
      <x:c r="T43" s="22"/>
      <x:c r="U43" s="22"/>
      <x:c r="V43" s="22"/>
      <x:c r="W43" s="22"/>
      <x:c r="X43" s="22"/>
      <x:c r="Y43" s="22" t="str">
        <x:v>東京港・水辺</x:v>
      </x:c>
      <x:c r="Z43" s="22"/>
    </x:row>
    <x:row r="44">
      <x:c r="A44" s="27" t="str">
        <x:v>R043</x:v>
      </x:c>
      <x:c r="B44" s="27" t="str">
        <x:v>東京西部・24時間休憩</x:v>
      </x:c>
      <x:c r="C44" s="27" t="str">
        <x:v>大規模公園／道の駅</x:v>
      </x:c>
      <x:c r="D44" s="27" t="str">
        <x:v>蒲田駅</x:v>
      </x:c>
      <x:c r="E44" s="27" t="str">
        <x:v>小金井公園</x:v>
      </x:c>
      <x:c r="F44" s="27" t="str">
        <x:v>道の駅 八王子滝山</x:v>
      </x:c>
      <x:c r="G44" s="27"/>
      <x:c r="H44" s="27" t="str">
        <x:v>小金井公園</x:v>
      </x:c>
      <x:c r="I44" s="27" t="str">
        <x:v>150～220分</x:v>
      </x:c>
      <x:c r="J44" s="27" t="n">
        <x:v>4</x:v>
      </x:c>
      <x:c r="K44" s="27" t="str">
        <x:v>往路と復路で同じ公園を使う実験ルート。帰着型Endingとして再訪価値を検証する。</x:v>
      </x:c>
      <x:c r="L44" s="49" t="e">
        <x:f>HYPERLINK("https://www.google.com/maps/dir/?api=1&amp;destination=%E5%B0%8F%E9%87%91%E4%BA%95%E5%85%AC%E5%9C%92&amp;travelmode=driving&amp;waypoints=%E5%B0%8F%E9%87%91%E4%BA%95%E5%85%AC%E5%9C%92%7C%E9%81%93%E3%81%AE%E9%A7%85%20%E5%85%AB%E7%8E%8B%E5%AD%90%E6%BB%9D%E5%B1%B1","現在地からルート開始")</x:f>
      </x:c>
      <x:c r="M44" s="22" t="str">
        <x:v>通常</x:v>
      </x:c>
      <x:c r="N44" s="22" t="n">
        <x:v>86</x:v>
      </x:c>
      <x:c r="O44" s="22" t="str">
        <x:v>維持</x:v>
      </x:c>
      <x:c r="P44" s="22" t="str">
        <x:v>小金井公園 → 道の駅 八王子滝山 → 小金井公園 の順に、景観と滞在強度を変化させる。</x:v>
      </x:c>
      <x:c r="Q44" s="22"/>
      <x:c r="R44" s="23" t="n">
        <x:v>46232</x:v>
      </x:c>
      <x:c r="S44" s="22"/>
      <x:c r="T44" s="22"/>
      <x:c r="U44" s="22"/>
      <x:c r="V44" s="22"/>
      <x:c r="W44" s="22"/>
      <x:c r="X44" s="22"/>
      <x:c r="Y44" s="22" t="str">
        <x:v>都市公園・休憩</x:v>
      </x:c>
      <x:c r="Z44" s="22"/>
    </x:row>
    <x:row r="45">
      <x:c r="A45" s="27" t="str">
        <x:v>R044</x:v>
      </x:c>
      <x:c r="B45" s="27" t="str">
        <x:v>八王子・山城から温泉へ</x:v>
      </x:c>
      <x:c r="C45" s="27" t="str">
        <x:v>城跡／道の駅／温泉</x:v>
      </x:c>
      <x:c r="D45" s="27" t="str">
        <x:v>蒲田駅</x:v>
      </x:c>
      <x:c r="E45" s="27" t="str">
        <x:v>道の駅 八王子滝山</x:v>
      </x:c>
      <x:c r="F45" s="27" t="str">
        <x:v>八王子城跡</x:v>
      </x:c>
      <x:c r="G45" s="27"/>
      <x:c r="H45" s="27" t="str">
        <x:v>秋川渓谷 瀬音の湯</x:v>
      </x:c>
      <x:c r="I45" s="27" t="str">
        <x:v>250～330分</x:v>
      </x:c>
      <x:c r="J45" s="27" t="n">
        <x:v>2</x:v>
      </x:c>
      <x:c r="K45" s="27" t="str">
        <x:v>八王子城跡17時閉鎖。瀬音の湯の最終受付・休館日を当日確認。</x:v>
      </x:c>
      <x:c r="L45" s="49" t="e">
        <x:f>HYPERLINK("https://www.google.com/maps/dir/?api=1&amp;destination=%E7%A7%8B%E5%B7%9D%E6%B8%93%E8%B0%B7%20%E7%80%AC%E9%9F%B3%E3%81%AE%E6%B9%AF&amp;travelmode=driving&amp;waypoints=%E9%81%93%E3%81%AE%E9%A7%85%20%E5%85%AB%E7%8E%8B%E5%AD%90%E6%BB%9D%E5%B1%B1%7C%E5%85%AB%E7%8E%8B%E5%AD%90%E5%9F%8E%E8%B7%A1","現在地からルート開始")</x:f>
      </x:c>
      <x:c r="M45" s="22" t="str">
        <x:v>昼専用</x:v>
      </x:c>
      <x:c r="N45" s="22" t="n">
        <x:v>88</x:v>
      </x:c>
      <x:c r="O45" s="22" t="str">
        <x:v>維持</x:v>
      </x:c>
      <x:c r="P45" s="22" t="str">
        <x:v>道の駅 八王子滝山 → 八王子城跡 → 秋川渓谷 瀬音の湯 の順に、景観と滞在強度を変化させる。</x:v>
      </x:c>
      <x:c r="Q45" s="22"/>
      <x:c r="R45" s="23" t="n">
        <x:v>46232</x:v>
      </x:c>
      <x:c r="S45" s="22"/>
      <x:c r="T45" s="22"/>
      <x:c r="U45" s="22"/>
      <x:c r="V45" s="22"/>
      <x:c r="W45" s="22"/>
      <x:c r="X45" s="22"/>
      <x:c r="Y45" s="22" t="str">
        <x:v>都市公園・休憩</x:v>
      </x:c>
      <x:c r="Z45" s="22"/>
    </x:row>
    <x:row r="46">
      <x:c r="A46" s="27" t="str">
        <x:v>R045</x:v>
      </x:c>
      <x:c r="B46" s="27" t="str">
        <x:v>東京唯一の滝へ</x:v>
      </x:c>
      <x:c r="C46" s="27" t="str">
        <x:v>城跡／滝／温泉</x:v>
      </x:c>
      <x:c r="D46" s="27" t="str">
        <x:v>蒲田駅</x:v>
      </x:c>
      <x:c r="E46" s="27" t="str">
        <x:v>八王子城跡</x:v>
      </x:c>
      <x:c r="F46" s="27" t="str">
        <x:v>払沢の滝</x:v>
      </x:c>
      <x:c r="G46" s="27"/>
      <x:c r="H46" s="27" t="str">
        <x:v>秋川渓谷 瀬音の湯</x:v>
      </x:c>
      <x:c r="I46" s="27" t="str">
        <x:v>280～360分</x:v>
      </x:c>
      <x:c r="J46" s="27" t="n">
        <x:v>2</x:v>
      </x:c>
      <x:c r="K46" s="27" t="str">
        <x:v>完全な昼開始。払沢の滝は徒歩と満車リスクがあり、雨天・凍結時は中止。</x:v>
      </x:c>
      <x:c r="L46" s="49" t="e">
        <x:f>HYPERLINK("https://www.google.com/maps/dir/?api=1&amp;destination=%E7%A7%8B%E5%B7%9D%E6%B8%93%E8%B0%B7%20%E7%80%AC%E9%9F%B3%E3%81%AE%E6%B9%AF&amp;travelmode=driving&amp;waypoints=%E5%85%AB%E7%8E%8B%E5%AD%90%E5%9F%8E%E8%B7%A1%7C%E6%89%95%E6%B2%A2%E3%81%AE%E6%BB%9D","現在地からルート開始")</x:f>
      </x:c>
      <x:c r="M46" s="22" t="str">
        <x:v>昼専用</x:v>
      </x:c>
      <x:c r="N46" s="22" t="n">
        <x:v>81</x:v>
      </x:c>
      <x:c r="O46" s="22" t="str">
        <x:v>維持</x:v>
      </x:c>
      <x:c r="P46" s="22" t="str">
        <x:v>八王子城跡 → 払沢の滝 → 秋川渓谷 瀬音の湯 の順に、景観と滞在強度を変化させる。</x:v>
      </x:c>
      <x:c r="Q46" s="22"/>
      <x:c r="R46" s="23" t="n">
        <x:v>46232</x:v>
      </x:c>
      <x:c r="S46" s="22"/>
      <x:c r="T46" s="22"/>
      <x:c r="U46" s="22"/>
      <x:c r="V46" s="22"/>
      <x:c r="W46" s="22"/>
      <x:c r="X46" s="22"/>
      <x:c r="Y46" s="22" t="str">
        <x:v>都市公園・休憩</x:v>
      </x:c>
      <x:c r="Z46" s="22"/>
    </x:row>
    <x:row r="47">
      <x:c r="A47" s="27" t="str">
        <x:v>R046</x:v>
      </x:c>
      <x:c r="B47" s="27" t="str">
        <x:v>丹沢から相模湾へ</x:v>
      </x:c>
      <x:c r="C47" s="27" t="str">
        <x:v>道の駅／高台／港</x:v>
      </x:c>
      <x:c r="D47" s="27" t="str">
        <x:v>蒲田駅</x:v>
      </x:c>
      <x:c r="E47" s="27" t="str">
        <x:v>道の駅 清川</x:v>
      </x:c>
      <x:c r="F47" s="27" t="str">
        <x:v>菜の花台展望台</x:v>
      </x:c>
      <x:c r="G47" s="27"/>
      <x:c r="H47" s="27" t="str">
        <x:v>大磯港</x:v>
      </x:c>
      <x:c r="I47" s="27" t="str">
        <x:v>240～330分</x:v>
      </x:c>
      <x:c r="J47" s="27" t="n">
        <x:v>4</x:v>
      </x:c>
      <x:c r="K47" s="27" t="str">
        <x:v>山から海へ感情を開く構成。菜の花台の霧・凍結、大磯港の門扉時間を確認。</x:v>
      </x:c>
      <x:c r="L47" s="49" t="e">
        <x:f>HYPERLINK("https://www.google.com/maps/dir/?api=1&amp;destination=%E5%A4%A7%E7%A3%AF%E6%B8%AF&amp;travelmode=driving&amp;waypoints=%E9%81%93%E3%81%AE%E9%A7%85%20%E6%B8%85%E5%B7%9D%7C%E8%8F%9C%E3%81%AE%E8%8A%B1%E5%8F%B0%E5%B1%95%E6%9C%9B%E5%8F%B0","現在地からルート開始")</x:f>
      </x:c>
      <x:c r="M47" s="22" t="str">
        <x:v>通常</x:v>
      </x:c>
      <x:c r="N47" s="22" t="n">
        <x:v>78</x:v>
      </x:c>
      <x:c r="O47" s="22" t="str">
        <x:v>維持</x:v>
      </x:c>
      <x:c r="P47" s="22" t="str">
        <x:v>道の駅 清川 → 菜の花台展望台 → 大磯港 の順に、景観と滞在強度を変化させる。</x:v>
      </x:c>
      <x:c r="Q47" s="22"/>
      <x:c r="R47" s="23" t="n">
        <x:v>46232</x:v>
      </x:c>
      <x:c r="S47" s="22"/>
      <x:c r="T47" s="22"/>
      <x:c r="U47" s="22"/>
      <x:c r="V47" s="22"/>
      <x:c r="W47" s="22"/>
      <x:c r="X47" s="22"/>
      <x:c r="Y47" s="22" t="str">
        <x:v>東京港・水辺</x:v>
      </x:c>
      <x:c r="Z47" s="22"/>
    </x:row>
    <x:row r="48">
      <x:c r="A48" s="27" t="str">
        <x:v>R047</x:v>
      </x:c>
      <x:c r="B48" s="27" t="str">
        <x:v>小田原合戦・高台Ending</x:v>
      </x:c>
      <x:c r="C48" s="27" t="str">
        <x:v>港／歴史／高台</x:v>
      </x:c>
      <x:c r="D48" s="27" t="str">
        <x:v>蒲田駅</x:v>
      </x:c>
      <x:c r="E48" s="27" t="str">
        <x:v>大磯港</x:v>
      </x:c>
      <x:c r="F48" s="27" t="str">
        <x:v>小田原漁港</x:v>
      </x:c>
      <x:c r="G48" s="27"/>
      <x:c r="H48" s="27" t="str">
        <x:v>石垣山一夜城歴史公園</x:v>
      </x:c>
      <x:c r="I48" s="27" t="str">
        <x:v>270～360分</x:v>
      </x:c>
      <x:c r="J48" s="27" t="n">
        <x:v>1</x:v>
      </x:c>
      <x:c r="K48" s="27" t="str">
        <x:v>昼限定。小田原漁港は中継のみで、漁業作業区域に入らない。</x:v>
      </x:c>
      <x:c r="L48" s="49" t="e">
        <x:f>HYPERLINK("https://www.google.com/maps/dir/?api=1&amp;destination=%E7%9F%B3%E5%9E%A3%E5%B1%B1%E4%B8%80%E5%A4%9C%E5%9F%8E%E6%AD%B4%E5%8F%B2%E5%85%AC%E5%9C%92&amp;travelmode=driving&amp;waypoints=%E5%A4%A7%E7%A3%AF%E6%B8%AF%7C%E5%B0%8F%E7%94%B0%E5%8E%9F%E6%BC%81%E6%B8%AF","現在地からルート開始")</x:f>
      </x:c>
      <x:c r="M48" s="22" t="str">
        <x:v>昼専用</x:v>
      </x:c>
      <x:c r="N48" s="22" t="n">
        <x:v>70</x:v>
      </x:c>
      <x:c r="O48" s="22" t="str">
        <x:v>維持</x:v>
      </x:c>
      <x:c r="P48" s="22" t="str">
        <x:v>大磯港 → 小田原漁港 → 石垣山一夜城歴史公園 の順に、景観と滞在強度を変化させる。</x:v>
      </x:c>
      <x:c r="Q48" s="22"/>
      <x:c r="R48" s="23" t="n">
        <x:v>46232</x:v>
      </x:c>
      <x:c r="S48" s="22"/>
      <x:c r="T48" s="22"/>
      <x:c r="U48" s="22"/>
      <x:c r="V48" s="22"/>
      <x:c r="W48" s="22"/>
      <x:c r="X48" s="22"/>
      <x:c r="Y48" s="22" t="str">
        <x:v>東京港・水辺</x:v>
      </x:c>
      <x:c r="Z48" s="22"/>
    </x:row>
    <x:row r="49">
      <x:c r="A49" s="27" t="str">
        <x:v>R048</x:v>
      </x:c>
      <x:c r="B49" s="27" t="str">
        <x:v>東側・確実な休憩ルート</x:v>
      </x:c>
      <x:c r="C49" s="27" t="str">
        <x:v>公園／道の駅／夜間</x:v>
      </x:c>
      <x:c r="D49" s="27" t="str">
        <x:v>蒲田駅</x:v>
      </x:c>
      <x:c r="E49" s="27" t="str">
        <x:v>木場公園</x:v>
      </x:c>
      <x:c r="F49" s="27" t="str">
        <x:v>大島小松川公園</x:v>
      </x:c>
      <x:c r="G49" s="27"/>
      <x:c r="H49" s="27" t="str">
        <x:v>道の駅 いちかわ</x:v>
      </x:c>
      <x:c r="I49" s="27" t="str">
        <x:v>140～200分</x:v>
      </x:c>
      <x:c r="J49" s="27" t="n">
        <x:v>4</x:v>
      </x:c>
      <x:c r="K49" s="27" t="str">
        <x:v>木場・大島小松川の重複は、都心から外環方面へ段階的に休息を入れるため。</x:v>
      </x:c>
      <x:c r="L49" s="49" t="e">
        <x:f>HYPERLINK("https://www.google.com/maps/dir/?api=1&amp;destination=%E9%81%93%E3%81%AE%E9%A7%85%20%E3%81%84%E3%81%A1%E3%81%8B%E3%82%8F&amp;travelmode=driving&amp;waypoints=%E6%9C%A8%E5%A0%B4%E5%85%AC%E5%9C%92%7C%E5%A4%A7%E5%B3%B6%E5%B0%8F%E6%9D%BE%E5%B7%9D%E5%85%AC%E5%9C%92","現在地からルート開始")</x:f>
      </x:c>
      <x:c r="M49" s="22" t="str">
        <x:v>通常</x:v>
      </x:c>
      <x:c r="N49" s="22" t="n">
        <x:v>85</x:v>
      </x:c>
      <x:c r="O49" s="22" t="str">
        <x:v>維持</x:v>
      </x:c>
      <x:c r="P49" s="22" t="str">
        <x:v>木場公園 → 大島小松川公園 → 道の駅 いちかわ の順に、景観と滞在強度を変化させる。</x:v>
      </x:c>
      <x:c r="Q49" s="22"/>
      <x:c r="R49" s="23" t="n">
        <x:v>46232</x:v>
      </x:c>
      <x:c r="S49" s="22" t="n">
        <x:v>88</x:v>
      </x:c>
      <x:c r="T49" s="22" t="n">
        <x:v>0</x:v>
      </x:c>
      <x:c r="U49" s="22" t="str">
        <x:v>海・港・自然 → 都市夜景・自然 → 都市夜景・自然 → その他</x:v>
      </x:c>
      <x:c r="V49" s="22" t="str">
        <x:v>木場公園:20分／大島小松川公園:20分／道の駅 いちかわ:35分</x:v>
      </x:c>
      <x:c r="W49" s="22" t="str">
        <x:v>専用・公式駐車場へ直接入庫</x:v>
      </x:c>
      <x:c r="X49" s="22" t="str">
        <x:v>臨時閉鎖・イベント混雑時／22:00に間に合わない時</x:v>
      </x:c>
      <x:c r="Y49" s="22" t="str">
        <x:v>都市公園・休憩</x:v>
      </x:c>
      <x:c r="Z49" s="22"/>
    </x:row>
    <x:row r="50">
      <x:c r="A50" s="22" t="str">
        <x:v>R049</x:v>
      </x:c>
      <x:c r="B50" s="22" t="str">
        <x:v>羽田河口から川崎港へ</x:v>
      </x:c>
      <x:c r="C50" s="22" t="str">
        <x:v>足湯／河口／工場夜景</x:v>
      </x:c>
      <x:c r="D50" s="22" t="str">
        <x:v>現在地</x:v>
      </x:c>
      <x:c r="E50" s="22" t="str">
        <x:v>HANEDA INNOVATION CITY 足湯スカイデッキ</x:v>
      </x:c>
      <x:c r="F50" s="22" t="str">
        <x:v>ソラムナード羽田緑地</x:v>
      </x:c>
      <x:c r="G50" s="22"/>
      <x:c r="H50" s="22" t="str">
        <x:v>川崎マリエン</x:v>
      </x:c>
      <x:c r="I50" s="22" t="str">
        <x:v>90～135分</x:v>
      </x:c>
      <x:c r="J50" s="22" t="n">
        <x:v>5</x:v>
      </x:c>
      <x:c r="K50" s="22" t="str">
        <x:v>HIC P1に駐車し、足湯とソラムナードは徒歩連結。川崎マリエン展望室は21時まで。</x:v>
      </x:c>
      <x:c r="L50" s="81" t="e">
        <x:f>HYPERLINK("https://www.google.com/maps/dir/?api=1&amp;destination=%E5%B7%9D%E5%B4%8E%E3%83%9E%E3%83%AA%E3%82%A8%E3%83%B3&amp;travelmode=driving&amp;waypoints=HANEDA%20INNOVATION%20CITY%20%E8%B6%B3%E6%B9%AF%E3%82%B9%E3%82%AB%E3%82%A4%E3%83%87%E3%83%83%E3%82%AD%7C%E3%82%BD%E3%83%A9%E3%83%A0%E3%83%8A%E3%83%BC%E3%83%89%E7%BE%BD%E7%94%B0%E7%B7%91%E5%9C%B0","現在地からルート開始")</x:f>
      </x:c>
      <x:c r="M50" s="22" t="str">
        <x:v>通常</x:v>
      </x:c>
      <x:c r="N50" s="22" t="n">
        <x:v>83</x:v>
      </x:c>
      <x:c r="O50" s="22" t="str">
        <x:v>差替え済</x:v>
      </x:c>
      <x:c r="P50" s="22" t="str">
        <x:v>足湯で旅を始め、多摩川河口を歩き、川を越えて川崎港の工場夜景を高所から見る。</x:v>
      </x:c>
      <x:c r="Q50" s="22" t="str">
        <x:v>駐車不可の殿町第2公園を削除し、HIC共有駐車と川崎マリエンへ全面再設計。</x:v>
      </x:c>
      <x:c r="R50" s="23" t="n">
        <x:v>46232</x:v>
      </x:c>
      <x:c r="S50" s="22" t="n">
        <x:v>58</x:v>
      </x:c>
      <x:c r="T50" s="22" t="n">
        <x:v>24</x:v>
      </x:c>
      <x:c r="U50" s="22" t="str">
        <x:v>飛行機・都市夜景 → 飛行機・海・港 → 飛行機・海・港 → 海・港・工場夜景</x:v>
      </x:c>
      <x:c r="V50" s="22" t="str">
        <x:v>HANEDA INNOVATION CITY 足湯スカイデッキ:25分／ソラムナード羽田緑地:25分／川崎マリエン:40分</x:v>
      </x:c>
      <x:c r="W50" s="22" t="str">
        <x:v>専用・公式駐車場へ直接入庫／車の経由地には不向き。合法駐車から徒歩のみ</x:v>
      </x:c>
      <x:c r="X50" s="22" t="str">
        <x:v>23:30に間に合わない時／満車時／強風・高潮・増水時／工事・閉鎖時／工事・閉鎖時</x:v>
      </x:c>
      <x:c r="Y50" s="22" t="str">
        <x:v>川崎・工場夜景</x:v>
      </x:c>
      <x:c r="Z50" s="22"/>
    </x:row>
    <x:row r="51">
      <x:c r="A51" s="22" t="str">
        <x:v>R050</x:v>
      </x:c>
      <x:c r="B51" s="22" t="str">
        <x:v>鶴見から生田へ丘陵公園線</x:v>
      </x:c>
      <x:c r="C51" s="22" t="str">
        <x:v>池／森林／高台展望</x:v>
      </x:c>
      <x:c r="D51" s="22" t="str">
        <x:v>現在地</x:v>
      </x:c>
      <x:c r="E51" s="22" t="str">
        <x:v>県立三ツ池公園</x:v>
      </x:c>
      <x:c r="F51" s="22" t="str">
        <x:v>県立東高根森林公園</x:v>
      </x:c>
      <x:c r="G51" s="22"/>
      <x:c r="H51" s="22" t="str">
        <x:v>生田緑地・枡形山展望台</x:v>
      </x:c>
      <x:c r="I51" s="22" t="str">
        <x:v>150～210分</x:v>
      </x:c>
      <x:c r="J51" s="22" t="n">
        <x:v>2</x:v>
      </x:c>
      <x:c r="K51" s="22" t="str">
        <x:v>昼～夕方専用。東高根森林公園は19時まで。枡形山展望台は日没前の到着を推奨。</x:v>
      </x:c>
      <x:c r="L51" s="81" t="e">
        <x:f>HYPERLINK("https://www.google.com/maps/dir/?api=1&amp;destination=%E7%94%9F%E7%94%B0%E7%B7%91%E5%9C%B0%E3%83%BB%E6%9E%A1%E5%BD%A2%E5%B1%B1%E5%B1%95%E6%9C%9B%E5%8F%B0&amp;travelmode=driving&amp;waypoints=%E7%9C%8C%E7%AB%8B%E4%B8%89%E3%83%84%E6%B1%A0%E5%85%AC%E5%9C%92%7C%E7%9C%8C%E7%AB%8B%E6%9D%B1%E9%AB%98%E6%A0%B9%E6%A3%AE%E6%9E%97%E5%85%AC%E5%9C%92","現在地からルート開始")</x:f>
      </x:c>
      <x:c r="M51" s="22" t="str">
        <x:v>昼専用</x:v>
      </x:c>
      <x:c r="N51" s="22" t="n">
        <x:v>77</x:v>
      </x:c>
      <x:c r="O51" s="22" t="str">
        <x:v>差替え済</x:v>
      </x:c>
      <x:c r="P51" s="22" t="str">
        <x:v>鶴見の大池から川崎北部の森林へ入り、最後に多摩丘陵の展望へ上がる地形変化ルート。</x:v>
      </x:c>
      <x:c r="Q51" s="22" t="str">
        <x:v>駐車条件の弱い菅生緑地・鷺沼北公園を、専用駐車場のある三ツ池・東高根へ差替え。</x:v>
      </x:c>
      <x:c r="R51" s="23" t="n">
        <x:v>46232</x:v>
      </x:c>
      <x:c r="S51" s="22" t="n">
        <x:v>71</x:v>
      </x:c>
      <x:c r="T51" s="22" t="n">
        <x:v>0</x:v>
      </x:c>
      <x:c r="U51" s="22" t="str">
        <x:v>自然 → 自然・Story → 自然・Story → 都市夜景・自然</x:v>
      </x:c>
      <x:c r="V51" s="22" t="str">
        <x:v>県立三ツ池公園:20分／県立東高根森林公園:45分／生田緑地・枡形山展望台:40分</x:v>
      </x:c>
      <x:c r="W51" s="22" t="str">
        <x:v>小規模。満車なら待たずに省略／専用・公式駐車場へ直接入庫</x:v>
      </x:c>
      <x:c r="X51" s="22" t="str">
        <x:v>満車時／工事・閉鎖時／19:00に間に合わない時／22:00に間に合わない時</x:v>
      </x:c>
      <x:c r="Y51" s="22" t="str">
        <x:v>森林・高台</x:v>
      </x:c>
      <x:c r="Z51" s="22"/>
    </x:row>
    <x:row r="52">
      <x:c r="A52" s="22" t="str">
        <x:v>R051</x:v>
      </x:c>
      <x:c r="B52" s="22" t="str">
        <x:v>東京西部・公園ナイト</x:v>
      </x:c>
      <x:c r="C52" s="22" t="str">
        <x:v>大規模公園／河川／夜間</x:v>
      </x:c>
      <x:c r="D52" s="22" t="str">
        <x:v>現在地</x:v>
      </x:c>
      <x:c r="E52" s="22" t="str">
        <x:v>砧公園</x:v>
      </x:c>
      <x:c r="F52" s="22" t="str">
        <x:v>武蔵野公園</x:v>
      </x:c>
      <x:c r="G52" s="22"/>
      <x:c r="H52" s="22" t="str">
        <x:v>小金井公園</x:v>
      </x:c>
      <x:c r="I52" s="22" t="str">
        <x:v>150～210分</x:v>
      </x:c>
      <x:c r="J52" s="22" t="n">
        <x:v>4</x:v>
      </x:c>
      <x:c r="K52" s="22" t="str">
        <x:v>小金井公園の重複採用は24時間駐車場と帰路安定性のため。</x:v>
      </x:c>
      <x:c r="L52" s="81" t="e">
        <x:f>HYPERLINK("https://www.google.com/maps/dir/?api=1&amp;destination=%E5%B0%8F%E9%87%91%E4%BA%95%E5%85%AC%E5%9C%92&amp;travelmode=driving&amp;waypoints=%E7%A0%A7%E5%85%AC%E5%9C%92%7C%E6%AD%A6%E8%94%B5%E9%87%8E%E5%85%AC%E5%9C%92","現在地からルート開始")</x:f>
      </x:c>
      <x:c r="M52" s="22" t="str">
        <x:v>通常</x:v>
      </x:c>
      <x:c r="N52" s="22" t="n">
        <x:v>80</x:v>
      </x:c>
      <x:c r="O52" s="22" t="str">
        <x:v>維持</x:v>
      </x:c>
      <x:c r="P52" s="22" t="str">
        <x:v>砧公園 → 武蔵野公園 → 小金井公園 の順に、景観と滞在強度を変化させる。</x:v>
      </x:c>
      <x:c r="Q52" s="22"/>
      <x:c r="R52" s="23" t="n">
        <x:v>46232</x:v>
      </x:c>
      <x:c r="S52" s="22"/>
      <x:c r="T52" s="22"/>
      <x:c r="U52" s="22"/>
      <x:c r="V52" s="22"/>
      <x:c r="W52" s="22"/>
      <x:c r="X52" s="22"/>
      <x:c r="Y52" s="22" t="str">
        <x:v>河川・多摩川</x:v>
      </x:c>
      <x:c r="Z52" s="22"/>
    </x:row>
    <x:row r="53">
      <x:c r="A53" s="22" t="str">
        <x:v>R052</x:v>
      </x:c>
      <x:c r="B53" s="22" t="str">
        <x:v>千葉湾岸・車内展望</x:v>
      </x:c>
      <x:c r="C53" s="22" t="str">
        <x:v>海／展望駐車場／港</x:v>
      </x:c>
      <x:c r="D53" s="22" t="str">
        <x:v>現在地</x:v>
      </x:c>
      <x:c r="E53" s="22" t="str">
        <x:v>海浜大通り展望駐車場</x:v>
      </x:c>
      <x:c r="F53" s="22" t="str">
        <x:v>千葉ポートタワー</x:v>
      </x:c>
      <x:c r="G53" s="22"/>
      <x:c r="H53" s="22" t="str">
        <x:v>千葉公園</x:v>
      </x:c>
      <x:c r="I53" s="22" t="str">
        <x:v>190～250分</x:v>
      </x:c>
      <x:c r="J53" s="22" t="n">
        <x:v>4</x:v>
      </x:c>
      <x:c r="K53" s="22" t="str">
        <x:v>展望駐車場満車時は稲毛海浜公園へ変更。</x:v>
      </x:c>
      <x:c r="L53" s="81" t="e">
        <x:f>HYPERLINK("https://www.google.com/maps/dir/?api=1&amp;destination=%E5%8D%83%E8%91%89%E5%85%AC%E5%9C%92&amp;travelmode=driving&amp;waypoints=%E6%B5%B7%E6%B5%9C%E5%A4%A7%E9%80%9A%E3%82%8A%E5%B1%95%E6%9C%9B%E9%A7%90%E8%BB%8A%E5%A0%B4%7C%E5%8D%83%E8%91%89%E3%83%9D%E3%83%BC%E3%83%88%E3%82%BF%E3%83%AF%E3%83%BC","現在地からルート開始")</x:f>
      </x:c>
      <x:c r="M53" s="22" t="str">
        <x:v>通常</x:v>
      </x:c>
      <x:c r="N53" s="22" t="n">
        <x:v>76</x:v>
      </x:c>
      <x:c r="O53" s="22" t="str">
        <x:v>維持</x:v>
      </x:c>
      <x:c r="P53" s="22" t="str">
        <x:v>海浜大通り展望駐車場 → 千葉ポートタワー → 千葉公園 の順に、景観と滞在強度を変化させる。</x:v>
      </x:c>
      <x:c r="Q53" s="22"/>
      <x:c r="R53" s="23" t="n">
        <x:v>46232</x:v>
      </x:c>
      <x:c r="S53" s="22"/>
      <x:c r="T53" s="22"/>
      <x:c r="U53" s="22"/>
      <x:c r="V53" s="22"/>
      <x:c r="W53" s="22"/>
      <x:c r="X53" s="22"/>
      <x:c r="Y53" s="22" t="str">
        <x:v>東京港・水辺</x:v>
      </x:c>
      <x:c r="Z53" s="22"/>
    </x:row>
    <x:row r="54">
      <x:c r="A54" s="22" t="str">
        <x:v>R053</x:v>
      </x:c>
      <x:c r="B54" s="22" t="str">
        <x:v>千葉・城と港の夜</x:v>
      </x:c>
      <x:c r="C54" s="22" t="str">
        <x:v>城址／港／都市公園</x:v>
      </x:c>
      <x:c r="D54" s="22" t="str">
        <x:v>現在地</x:v>
      </x:c>
      <x:c r="E54" s="22" t="str">
        <x:v>亥鼻公園</x:v>
      </x:c>
      <x:c r="F54" s="22" t="str">
        <x:v>千葉ポートタワー</x:v>
      </x:c>
      <x:c r="G54" s="22"/>
      <x:c r="H54" s="22" t="str">
        <x:v>千葉公園</x:v>
      </x:c>
      <x:c r="I54" s="22" t="str">
        <x:v>190～250分</x:v>
      </x:c>
      <x:c r="J54" s="22" t="n">
        <x:v>4</x:v>
      </x:c>
      <x:c r="K54" s="22" t="str">
        <x:v>千葉ポートタワー最終入館を確認。</x:v>
      </x:c>
      <x:c r="L54" s="81" t="e">
        <x:f>HYPERLINK("https://www.google.com/maps/dir/?api=1&amp;destination=%E5%8D%83%E8%91%89%E5%85%AC%E5%9C%92&amp;travelmode=driving&amp;waypoints=%E4%BA%A5%E9%BC%BB%E5%85%AC%E5%9C%92%7C%E5%8D%83%E8%91%89%E3%83%9D%E3%83%BC%E3%83%88%E3%82%BF%E3%83%AF%E3%83%BC","現在地からルート開始")</x:f>
      </x:c>
      <x:c r="M54" s="22" t="str">
        <x:v>通常</x:v>
      </x:c>
      <x:c r="N54" s="22" t="n">
        <x:v>82</x:v>
      </x:c>
      <x:c r="O54" s="22" t="str">
        <x:v>維持</x:v>
      </x:c>
      <x:c r="P54" s="22" t="str">
        <x:v>亥鼻公園 → 千葉ポートタワー → 千葉公園 の順に、景観と滞在強度を変化させる。</x:v>
      </x:c>
      <x:c r="Q54" s="22"/>
      <x:c r="R54" s="23" t="n">
        <x:v>46232</x:v>
      </x:c>
      <x:c r="S54" s="22"/>
      <x:c r="T54" s="22"/>
      <x:c r="U54" s="22"/>
      <x:c r="V54" s="22"/>
      <x:c r="W54" s="22"/>
      <x:c r="X54" s="22"/>
      <x:c r="Y54" s="22" t="str">
        <x:v>東京港・水辺</x:v>
      </x:c>
      <x:c r="Z54" s="22"/>
    </x:row>
    <x:row r="55">
      <x:c r="A55" s="22" t="str">
        <x:v>R054</x:v>
      </x:c>
      <x:c r="B55" s="22" t="str">
        <x:v>木更津高台ナイト</x:v>
      </x:c>
      <x:c r="C55" s="22" t="str">
        <x:v>海上／港／高台</x:v>
      </x:c>
      <x:c r="D55" s="22" t="str">
        <x:v>現在地</x:v>
      </x:c>
      <x:c r="E55" s="22" t="str">
        <x:v>海ほたるPA</x:v>
      </x:c>
      <x:c r="F55" s="22" t="str">
        <x:v>中の島公園・中の島大橋</x:v>
      </x:c>
      <x:c r="G55" s="22"/>
      <x:c r="H55" s="22" t="str">
        <x:v>太田山公園</x:v>
      </x:c>
      <x:c r="I55" s="22" t="str">
        <x:v>180～240分</x:v>
      </x:c>
      <x:c r="J55" s="22" t="n">
        <x:v>4</x:v>
      </x:c>
      <x:c r="K55" s="22" t="str">
        <x:v>海ほたると中の島は既存候補だが、海上→港→高台の標高変化を作るため再採用。</x:v>
      </x:c>
      <x:c r="L55" s="81" t="e">
        <x:f>HYPERLINK("https://www.google.com/maps/dir/?api=1&amp;destination=%E5%A4%AA%E7%94%B0%E5%B1%B1%E5%85%AC%E5%9C%92&amp;travelmode=driving&amp;waypoints=%E6%B5%B7%E3%81%BB%E3%81%9F%E3%82%8BPA%7C%E4%B8%AD%E3%81%AE%E5%B3%B6%E5%85%AC%E5%9C%92%E3%83%BB%E4%B8%AD%E3%81%AE%E5%B3%B6%E5%A4%A7%E6%A9%8B","現在地からルート開始")</x:f>
      </x:c>
      <x:c r="M55" s="22" t="str">
        <x:v>通常</x:v>
      </x:c>
      <x:c r="N55" s="22" t="n">
        <x:v>88</x:v>
      </x:c>
      <x:c r="O55" s="22" t="str">
        <x:v>維持</x:v>
      </x:c>
      <x:c r="P55" s="22" t="str">
        <x:v>海ほたるPA → 中の島公園・中の島大橋 → 太田山公園 の順に、景観と滞在強度を変化させる。</x:v>
      </x:c>
      <x:c r="Q55" s="22"/>
      <x:c r="R55" s="23" t="n">
        <x:v>46232</x:v>
      </x:c>
      <x:c r="S55" s="22"/>
      <x:c r="T55" s="22"/>
      <x:c r="U55" s="22"/>
      <x:c r="V55" s="22"/>
      <x:c r="W55" s="22"/>
      <x:c r="X55" s="22"/>
      <x:c r="Y55" s="22" t="str">
        <x:v>東京港・水辺</x:v>
      </x:c>
      <x:c r="Z55" s="22"/>
    </x:row>
    <x:row r="56">
      <x:c r="A56" s="22" t="str">
        <x:v>R055</x:v>
      </x:c>
      <x:c r="B56" s="22" t="str">
        <x:v>鶴見・川崎近距離回復</x:v>
      </x:c>
      <x:c r="C56" s="22" t="str">
        <x:v>池／都市公園／河川</x:v>
      </x:c>
      <x:c r="D56" s="22" t="str">
        <x:v>現在地</x:v>
      </x:c>
      <x:c r="E56" s="22" t="str">
        <x:v>県立三ツ池公園</x:v>
      </x:c>
      <x:c r="F56" s="22" t="str">
        <x:v>富士見公園</x:v>
      </x:c>
      <x:c r="G56" s="22"/>
      <x:c r="H56" s="22" t="str">
        <x:v>御幸公園</x:v>
      </x:c>
      <x:c r="I56" s="22" t="str">
        <x:v>120～170分</x:v>
      </x:c>
      <x:c r="J56" s="22" t="n">
        <x:v>3</x:v>
      </x:c>
      <x:c r="K56" s="22" t="str">
        <x:v>三ツ池公園駐車場閉鎖時刻を確認。</x:v>
      </x:c>
      <x:c r="L56" s="81" t="e">
        <x:f>HYPERLINK("https://www.google.com/maps/dir/?api=1&amp;destination=%E5%BE%A1%E5%B9%B8%E5%85%AC%E5%9C%92&amp;travelmode=driving&amp;waypoints=%E7%9C%8C%E7%AB%8B%E4%B8%89%E3%83%84%E6%B1%A0%E5%85%AC%E5%9C%92%7C%E5%AF%8C%E5%A3%AB%E8%A6%8B%E5%85%AC%E5%9C%92","現在地からルート開始")</x:f>
      </x:c>
      <x:c r="M56" s="22" t="str">
        <x:v>通常</x:v>
      </x:c>
      <x:c r="N56" s="22" t="n">
        <x:v>73</x:v>
      </x:c>
      <x:c r="O56" s="22" t="str">
        <x:v>維持</x:v>
      </x:c>
      <x:c r="P56" s="22" t="str">
        <x:v>県立三ツ池公園 → 富士見公園 → 御幸公園 の順に、景観と滞在強度を変化させる。</x:v>
      </x:c>
      <x:c r="Q56" s="22"/>
      <x:c r="R56" s="23" t="n">
        <x:v>46232</x:v>
      </x:c>
      <x:c r="S56" s="22" t="n">
        <x:v>79</x:v>
      </x:c>
      <x:c r="T56" s="22" t="n">
        <x:v>0</x:v>
      </x:c>
      <x:c r="U56" s="22" t="str">
        <x:v>自然 → 工場夜景・都市夜景 → 工場夜景・都市夜景 → 自然</x:v>
      </x:c>
      <x:c r="V56" s="22" t="str">
        <x:v>県立三ツ池公園:20分／富士見公園:20分／御幸公園:45分</x:v>
      </x:c>
      <x:c r="W56" s="22" t="str">
        <x:v>小規模。満車なら待たずに省略／専用・公式駐車場へ直接入庫／公式駐車場の満空確認後に入庫</x:v>
      </x:c>
      <x:c r="X56" s="22" t="str">
        <x:v>満車時／工事・閉鎖時／工事・閉鎖時／強風・高潮・増水時</x:v>
      </x:c>
      <x:c r="Y56" s="22" t="str">
        <x:v>河川・多摩川</x:v>
      </x:c>
      <x:c r="Z56" s="22"/>
    </x:row>
    <x:row r="57">
      <x:c r="A57" s="22" t="str">
        <x:v>R056</x:v>
      </x:c>
      <x:c r="B57" s="22" t="str">
        <x:v>鶴見から本牧・港の三景</x:v>
      </x:c>
      <x:c r="C57" s="22" t="str">
        <x:v>雨天港湾展望／都市港／行き止まり</x:v>
      </x:c>
      <x:c r="D57" s="22" t="str">
        <x:v>現在地</x:v>
      </x:c>
      <x:c r="E57" s="22" t="str">
        <x:v>横浜市高齢者保養研修施設 ふれーゆ</x:v>
      </x:c>
      <x:c r="F57" s="22" t="str">
        <x:v>横浜港大さん橋</x:v>
      </x:c>
      <x:c r="G57" s="22" t="str"/>
      <x:c r="H57" s="22" t="str">
        <x:v>横浜港シンボルタワー</x:v>
      </x:c>
      <x:c r="I57" s="22" t="str">
        <x:v>170～240分</x:v>
      </x:c>
      <x:c r="J57" s="22" t="n">
        <x:v>2</x:v>
      </x:c>
      <x:c r="K57" s="22" t="str">
        <x:v>昼～夕方専用。ふれーゆの最終入庫とシンボルタワーの季節閉場を優先。雨天時はふれーゆ滞在を長くする。</x:v>
      </x:c>
      <x:c r="L57" s="81" t="e">
        <x:f>HYPERLINK("https://www.google.com/maps/dir/?api=1&amp;destination=%E6%A8%AA%E6%B5%9C%E6%B8%AF%E3%82%B7%E3%83%B3%E3%83%9C%E3%83%AB%E3%82%BF%E3%83%AF%E3%83%BC&amp;travelmode=driving&amp;waypoints=%E6%A8%AA%E6%B5%9C%E5%B8%82%E9%AB%98%E9%BD%A2%E8%80%85%E4%BF%9D%E9%A4%8A%E7%A0%94%E4%BF%AE%E6%96%BD%E8%A8%AD%20%E3%81%B5%E3%82%8C%E3%83%BC%E3%82%86%7C%E6%A8%AA%E6%B5%9C%E6%B8%AF%E5%A4%A7%E3%81%95%E3%82%93%E6%A9%8B","現在地からルート開始")</x:f>
      </x:c>
      <x:c r="M57" s="22" t="str">
        <x:v>昼～夕方専用</x:v>
      </x:c>
      <x:c r="N57" s="22" t="n">
        <x:v>91</x:v>
      </x:c>
      <x:c r="O57" s="22" t="str">
        <x:v>差替え済</x:v>
      </x:c>
      <x:c r="P57" s="22" t="str">
        <x:v>港湾最奥の屋内施設から都心港、最後に本牧ふ頭の端へ進み、横浜港のスケールを段階的に広げる。</x:v>
      </x:c>
      <x:c r="Q57" s="22" t="str">
        <x:v>丘陵公園ルートから、駐車・雨天・港湾Storyが明確な港の三景へ全面再設計。</x:v>
      </x:c>
      <x:c r="R57" s="23" t="n">
        <x:v>46232</x:v>
      </x:c>
      <x:c r="S57" s="22" t="n">
        <x:v>94</x:v>
      </x:c>
      <x:c r="T57" s="22" t="n">
        <x:v>0</x:v>
      </x:c>
      <x:c r="U57" s="22" t="str">
        <x:v>屋内港湾展望 → 都市港の水面 → 本牧ふ頭の行き止まり</x:v>
      </x:c>
      <x:c r="V57" s="22" t="str">
        <x:v>ふれーゆ:75分／横浜港大さん橋:25分／横浜港シンボルタワー:45分</x:v>
      </x:c>
      <x:c r="W57" s="22" t="str">
        <x:v>全地点に公式・専用駐車場</x:v>
      </x:c>
      <x:c r="X57" s="22" t="str">
        <x:v>ふれーゆ休館・最終入庫超過時は大さん橋から開始／シンボルタワー閉場時は大さん橋で終了</x:v>
      </x:c>
      <x:c r="Y57" s="22" t="str">
        <x:v>横浜港・丘陵</x:v>
      </x:c>
      <x:c r="Z57" s="22" t="str"/>
    </x:row>
    <x:row r="58">
      <x:c r="A58" s="22" t="str">
        <x:v>R057</x:v>
      </x:c>
      <x:c r="B58" s="22" t="str">
        <x:v>埼玉東部・空の広さ</x:v>
      </x:c>
      <x:c r="C58" s="22" t="str">
        <x:v>水辺／里山／道の駅</x:v>
      </x:c>
      <x:c r="D58" s="22" t="str">
        <x:v>現在地</x:v>
      </x:c>
      <x:c r="E58" s="22" t="str">
        <x:v>みさと公園</x:v>
      </x:c>
      <x:c r="F58" s="22" t="str">
        <x:v>まつぶし緑の丘公園</x:v>
      </x:c>
      <x:c r="G58" s="22"/>
      <x:c r="H58" s="22" t="str">
        <x:v>道の駅 しょうなん</x:v>
      </x:c>
      <x:c r="I58" s="22" t="str">
        <x:v>230～300分</x:v>
      </x:c>
      <x:c r="J58" s="22" t="n">
        <x:v>3</x:v>
      </x:c>
      <x:c r="K58" s="22" t="str">
        <x:v>松伏は昼、道の駅しょうなんは夜間休憩に使う。</x:v>
      </x:c>
      <x:c r="L58" s="81" t="e">
        <x:f>HYPERLINK("https://www.google.com/maps/dir/?api=1&amp;destination=%E9%81%93%E3%81%AE%E9%A7%85%20%E3%81%97%E3%82%87%E3%81%86%E3%81%AA%E3%82%93&amp;travelmode=driving&amp;waypoints=%E3%81%BF%E3%81%95%E3%81%A8%E5%85%AC%E5%9C%92%7C%E3%81%BE%E3%81%A4%E3%81%B6%E3%81%97%E7%B7%91%E3%81%AE%E4%B8%98%E5%85%AC%E5%9C%92","現在地からルート開始")</x:f>
      </x:c>
      <x:c r="M58" s="22" t="str">
        <x:v>通常</x:v>
      </x:c>
      <x:c r="N58" s="22" t="n">
        <x:v>84</x:v>
      </x:c>
      <x:c r="O58" s="22" t="str">
        <x:v>維持</x:v>
      </x:c>
      <x:c r="P58" s="22" t="str">
        <x:v>みさと公園 → まつぶし緑の丘公園 → 道の駅 しょうなん の順に、景観と滞在強度を変化させる。</x:v>
      </x:c>
      <x:c r="Q58" s="22"/>
      <x:c r="R58" s="23" t="n">
        <x:v>46232</x:v>
      </x:c>
      <x:c r="S58" s="22"/>
      <x:c r="T58" s="22"/>
      <x:c r="U58" s="22"/>
      <x:c r="V58" s="22"/>
      <x:c r="W58" s="22"/>
      <x:c r="X58" s="22"/>
      <x:c r="Y58" s="22" t="str">
        <x:v>森林・高台</x:v>
      </x:c>
      <x:c r="Z58" s="22"/>
    </x:row>
    <x:row r="59">
      <x:c r="A59" s="22" t="str">
        <x:v>R058</x:v>
      </x:c>
      <x:c r="B59" s="22" t="str">
        <x:v>見沼・松伏自然線</x:v>
      </x:c>
      <x:c r="C59" s="22" t="str">
        <x:v>池／田圃／里山</x:v>
      </x:c>
      <x:c r="D59" s="22" t="str">
        <x:v>現在地</x:v>
      </x:c>
      <x:c r="E59" s="22" t="str">
        <x:v>見沼自然公園</x:v>
      </x:c>
      <x:c r="F59" s="22" t="str">
        <x:v>まつぶし緑の丘公園</x:v>
      </x:c>
      <x:c r="G59" s="22"/>
      <x:c r="H59" s="22" t="str">
        <x:v>みさと公園</x:v>
      </x:c>
      <x:c r="I59" s="22" t="str">
        <x:v>210～280分</x:v>
      </x:c>
      <x:c r="J59" s="22" t="n">
        <x:v>2</x:v>
      </x:c>
      <x:c r="K59" s="22" t="str">
        <x:v>昼開始。みさと公園は第2駐車場利用。</x:v>
      </x:c>
      <x:c r="L59" s="81" t="e">
        <x:f>HYPERLINK("https://www.google.com/maps/dir/?api=1&amp;destination=%E3%81%BF%E3%81%95%E3%81%A8%E5%85%AC%E5%9C%92&amp;travelmode=driving&amp;waypoints=%E8%A6%8B%E6%B2%BC%E8%87%AA%E7%84%B6%E5%85%AC%E5%9C%92%7C%E3%81%BE%E3%81%A4%E3%81%B6%E3%81%97%E7%B7%91%E3%81%AE%E4%B8%98%E5%85%AC%E5%9C%92","現在地からルート開始")</x:f>
      </x:c>
      <x:c r="M59" s="22" t="str">
        <x:v>昼専用</x:v>
      </x:c>
      <x:c r="N59" s="22" t="n">
        <x:v>78</x:v>
      </x:c>
      <x:c r="O59" s="22" t="str">
        <x:v>維持</x:v>
      </x:c>
      <x:c r="P59" s="22" t="str">
        <x:v>見沼自然公園 → まつぶし緑の丘公園 → みさと公園 の順に、景観と滞在強度を変化させる。</x:v>
      </x:c>
      <x:c r="Q59" s="22"/>
      <x:c r="R59" s="23" t="n">
        <x:v>46232</x:v>
      </x:c>
      <x:c r="S59" s="22"/>
      <x:c r="T59" s="22"/>
      <x:c r="U59" s="22"/>
      <x:c r="V59" s="22"/>
      <x:c r="W59" s="22"/>
      <x:c r="X59" s="22"/>
      <x:c r="Y59" s="22" t="str">
        <x:v>森林・高台</x:v>
      </x:c>
      <x:c r="Z59" s="22"/>
    </x:row>
    <x:row r="60">
      <x:c r="A60" s="22" t="str">
        <x:v>R059</x:v>
      </x:c>
      <x:c r="B60" s="22" t="str">
        <x:v>川崎港・運河から高所へ</x:v>
      </x:c>
      <x:c r="C60" s="22" t="str">
        <x:v>運河／芝生休憩／高所港湾展望</x:v>
      </x:c>
      <x:c r="D60" s="22" t="str">
        <x:v>現在地</x:v>
      </x:c>
      <x:c r="E60" s="22" t="str">
        <x:v>ちどり公園</x:v>
      </x:c>
      <x:c r="F60" s="22" t="str">
        <x:v>東扇島中公園</x:v>
      </x:c>
      <x:c r="G60" s="22" t="str"/>
      <x:c r="H60" s="22" t="str">
        <x:v>川崎マリエン</x:v>
      </x:c>
      <x:c r="I60" s="22" t="str">
        <x:v>110～160分</x:v>
      </x:c>
      <x:c r="J60" s="22" t="n">
        <x:v>3</x:v>
      </x:c>
      <x:c r="K60" s="22" t="str">
        <x:v>ちどり公園の駐車場は18時まで。東扇島中公園と川崎マリエンは1回駐車で徒歩連結。</x:v>
      </x:c>
      <x:c r="L60" s="81" t="e">
        <x:f>HYPERLINK("https://www.google.com/maps/dir/?api=1&amp;destination=%E5%B7%9D%E5%B4%8E%E3%83%9E%E3%83%AA%E3%82%A8%E3%83%B3&amp;travelmode=driving&amp;waypoints=%E3%81%A1%E3%81%A9%E3%82%8A%E5%85%AC%E5%9C%92%7C%E6%9D%B1%E6%89%87%E5%B3%B6%E4%B8%AD%E5%85%AC%E5%9C%92","現在地からルート開始")</x:f>
      </x:c>
      <x:c r="M60" s="22" t="str">
        <x:v>昼～夕方専用</x:v>
      </x:c>
      <x:c r="N60" s="22" t="n">
        <x:v>94</x:v>
      </x:c>
      <x:c r="O60" s="22" t="str">
        <x:v>差替え済</x:v>
      </x:c>
      <x:c r="P60" s="22" t="str">
        <x:v>川崎港を低い運河目線、地上の休憩、高所展望の三段階で体験する。</x:v>
      </x:c>
      <x:c r="Q60" s="22" t="str">
        <x:v>寺社・市街公園のStoryルートを、駐車条件と景観高度の変化が明確な川崎港ルートへ変更。</x:v>
      </x:c>
      <x:c r="R60" s="23" t="n">
        <x:v>46232</x:v>
      </x:c>
      <x:c r="S60" s="22" t="n">
        <x:v>93</x:v>
      </x:c>
      <x:c r="T60" s="22" t="n">
        <x:v>0</x:v>
      </x:c>
      <x:c r="U60" s="22" t="str">
        <x:v>低い運河展望 → 芝生と港湾休憩 → 地上51mの高所展望</x:v>
      </x:c>
      <x:c r="V60" s="22" t="str">
        <x:v>ちどり公園:20分／東扇島中公園:15分／川崎マリエン:35分</x:v>
      </x:c>
      <x:c r="W60" s="22" t="str">
        <x:v>ちどり公園公式駐車→マリエン1回駐車で中公園を徒歩連結</x:v>
      </x:c>
      <x:c r="X60" s="22" t="str">
        <x:v>17時以降はちどり公園を省略／マリエン展望室入館20:30超過時は中公園で終了</x:v>
      </x:c>
      <x:c r="Y60" s="22" t="str">
        <x:v>川崎・工場夜景</x:v>
      </x:c>
      <x:c r="Z60" s="22" t="str"/>
    </x:row>
    <x:row r="61">
      <x:c r="A61" s="22" t="str">
        <x:v>R060</x:v>
      </x:c>
      <x:c r="B61" s="22" t="str">
        <x:v>千葉ロング・飛行機前夜</x:v>
      </x:c>
      <x:c r="C61" s="22" t="str">
        <x:v>海／城址／飛行機</x:v>
      </x:c>
      <x:c r="D61" s="22" t="str">
        <x:v>現在地</x:v>
      </x:c>
      <x:c r="E61" s="22" t="str">
        <x:v>海浜大通り展望駐車場</x:v>
      </x:c>
      <x:c r="F61" s="22" t="str">
        <x:v>亥鼻公園</x:v>
      </x:c>
      <x:c r="G61" s="22"/>
      <x:c r="H61" s="22" t="str">
        <x:v>成田市さくらの山</x:v>
      </x:c>
      <x:c r="I61" s="22" t="str">
        <x:v>260～340分</x:v>
      </x:c>
      <x:c r="J61" s="22" t="n">
        <x:v>4</x:v>
      </x:c>
      <x:c r="K61" s="22" t="str">
        <x:v>成田さくらの山23時閉場。展望駐車場満車時は幕張海浜公園へ変更。</x:v>
      </x:c>
      <x:c r="L61" s="81" t="e">
        <x:f>HYPERLINK("https://www.google.com/maps/dir/?api=1&amp;destination=%E6%88%90%E7%94%B0%E5%B8%82%E3%81%95%E3%81%8F%E3%82%89%E3%81%AE%E5%B1%B1&amp;travelmode=driving&amp;waypoints=%E6%B5%B7%E6%B5%9C%E5%A4%A7%E9%80%9A%E3%82%8A%E5%B1%95%E6%9C%9B%E9%A7%90%E8%BB%8A%E5%A0%B4%7C%E4%BA%A5%E9%BC%BB%E5%85%AC%E5%9C%92","現在地からルート開始")</x:f>
      </x:c>
      <x:c r="M61" s="22" t="str">
        <x:v>通常</x:v>
      </x:c>
      <x:c r="N61" s="22" t="n">
        <x:v>72</x:v>
      </x:c>
      <x:c r="O61" s="22" t="str">
        <x:v>維持</x:v>
      </x:c>
      <x:c r="P61" s="22" t="str">
        <x:v>海浜大通り展望駐車場 → 亥鼻公園 → 成田市さくらの山 の順に、景観と滞在強度を変化させる。</x:v>
      </x:c>
      <x:c r="Q61" s="22"/>
      <x:c r="R61" s="23" t="n">
        <x:v>46232</x:v>
      </x:c>
      <x:c r="S61" s="22"/>
      <x:c r="T61" s="22"/>
      <x:c r="U61" s="22"/>
      <x:c r="V61" s="22"/>
      <x:c r="W61" s="22"/>
      <x:c r="X61" s="22"/>
      <x:c r="Y61" s="22" t="str">
        <x:v>羽田・航空</x:v>
      </x:c>
      <x:c r="Z61" s="22"/>
    </x:row>
    <x:row r="62">
      <x:c r="A62" s="27" t="str">
        <x:v>R061</x:v>
      </x:c>
      <x:c r="B62" s="27" t="str">
        <x:v>東京西部・航空と大公園</x:v>
      </x:c>
      <x:c r="C62" s="27" t="str">
        <x:v>飛行機／航空史／大規模公園</x:v>
      </x:c>
      <x:c r="D62" s="27" t="str">
        <x:v>現在地</x:v>
      </x:c>
      <x:c r="E62" s="27" t="str">
        <x:v>所沢航空記念公園</x:v>
      </x:c>
      <x:c r="F62" s="27" t="str">
        <x:v>国営昭和記念公園</x:v>
      </x:c>
      <x:c r="G62" s="27"/>
      <x:c r="H62" s="27" t="str">
        <x:v>小金井公園</x:v>
      </x:c>
      <x:c r="I62" s="27" t="str">
        <x:v>220～300分</x:v>
      </x:c>
      <x:c r="J62" s="27" t="n">
        <x:v>3</x:v>
      </x:c>
      <x:c r="K62" s="27" t="str">
        <x:v>所沢・小金井の24時間駐車を安定点にし、昭和記念公園は閉園時刻前のみ経由。</x:v>
      </x:c>
      <x:c r="L62" s="49" t="e">
        <x:f>HYPERLINK("https://www.google.com/maps/dir/?api=1&amp;destination=%E5%B0%8F%E9%87%91%E4%BA%95%E5%85%AC%E5%9C%92&amp;travelmode=driving&amp;waypoints=%E6%89%80%E6%B2%A2%E8%88%AA%E7%A9%BA%E8%A8%98%E5%BF%B5%E5%85%AC%E5%9C%92%7C%E5%9B%BD%E5%96%B6%E6%98%AD%E5%92%8C%E8%A8%98%E5%BF%B5%E5%85%AC%E5%9C%92","現在地からルート開始")</x:f>
      </x:c>
      <x:c r="M62" s="22" t="str">
        <x:v>通常</x:v>
      </x:c>
      <x:c r="N62" s="22" t="n">
        <x:v>84</x:v>
      </x:c>
      <x:c r="O62" s="22" t="str">
        <x:v>維持</x:v>
      </x:c>
      <x:c r="P62" s="22" t="str">
        <x:v>所沢航空記念公園 → 国営昭和記念公園 → 小金井公園 の順に、景観と滞在強度を変化させる。</x:v>
      </x:c>
      <x:c r="Q62" s="22"/>
      <x:c r="R62" s="23" t="n">
        <x:v>46232</x:v>
      </x:c>
      <x:c r="S62" s="22"/>
      <x:c r="T62" s="22"/>
      <x:c r="U62" s="22"/>
      <x:c r="V62" s="22"/>
      <x:c r="W62" s="22"/>
      <x:c r="X62" s="22"/>
      <x:c r="Y62" s="22" t="str">
        <x:v>羽田・航空</x:v>
      </x:c>
      <x:c r="Z62" s="22"/>
    </x:row>
    <x:row r="63">
      <x:c r="A63" s="27" t="str">
        <x:v>R062</x:v>
      </x:c>
      <x:c r="B63" s="27" t="str">
        <x:v>北欧Storyと高麗川</x:v>
      </x:c>
      <x:c r="C63" s="27" t="str">
        <x:v>Story／森林／河川</x:v>
      </x:c>
      <x:c r="D63" s="27" t="str">
        <x:v>現在地</x:v>
      </x:c>
      <x:c r="E63" s="27" t="str">
        <x:v>トーベ・ヤンソンあけぼの子どもの森公園</x:v>
      </x:c>
      <x:c r="F63" s="27"/>
      <x:c r="G63" s="27"/>
      <x:c r="H63" s="27" t="str">
        <x:v>巾着田曼珠沙華公園</x:v>
      </x:c>
      <x:c r="I63" s="27" t="str">
        <x:v>210～280分</x:v>
      </x:c>
      <x:c r="J63" s="27" t="n">
        <x:v>1</x:v>
      </x:c>
      <x:c r="K63" s="27" t="str">
        <x:v>両地点17時終了。完全な昼用で、2026年度の開園カレンダーを確認。</x:v>
      </x:c>
      <x:c r="L63" s="49" t="e">
        <x:f>HYPERLINK("https://www.google.com/maps/dir/?api=1&amp;destination=%E5%B7%BE%E7%9D%80%E7%94%B0%E6%9B%BC%E7%8F%A0%E6%B2%99%E8%8F%AF%E5%85%AC%E5%9C%92&amp;travelmode=driving&amp;waypoints=%E3%83%88%E3%83%BC%E3%83%99%E3%83%BB%E3%83%A4%E3%83%B3%E3%82%BD%E3%83%B3%E3%81%82%E3%81%91%E3%81%BC%E3%81%AE%E5%AD%90%E3%81%A9%E3%82%82%E3%81%AE%E6%A3%AE%E5%85%AC%E5%9C%92","現在地からルート開始")</x:f>
      </x:c>
      <x:c r="M63" s="22" t="str">
        <x:v>昼専用</x:v>
      </x:c>
      <x:c r="N63" s="22" t="n">
        <x:v>84</x:v>
      </x:c>
      <x:c r="O63" s="22" t="str">
        <x:v>維持</x:v>
      </x:c>
      <x:c r="P63" s="22" t="str">
        <x:v>トーベ・ヤンソンあけぼの子どもの森公園 → 巾着田曼珠沙華公園 の順に、景観と滞在強度を変化させる。</x:v>
      </x:c>
      <x:c r="Q63" s="22"/>
      <x:c r="R63" s="23" t="n">
        <x:v>46232</x:v>
      </x:c>
      <x:c r="S63" s="22"/>
      <x:c r="T63" s="22"/>
      <x:c r="U63" s="22"/>
      <x:c r="V63" s="22"/>
      <x:c r="W63" s="22"/>
      <x:c r="X63" s="22"/>
      <x:c r="Y63" s="22" t="str">
        <x:v>河川・多摩川</x:v>
      </x:c>
      <x:c r="Z63" s="22"/>
    </x:row>
    <x:row r="64">
      <x:c r="A64" s="27" t="str">
        <x:v>R063</x:v>
      </x:c>
      <x:c r="B64" s="27" t="str">
        <x:v>埼玉・城址から古墳へ</x:v>
      </x:c>
      <x:c r="C64" s="27" t="str">
        <x:v>城址／古代史／24時間駐車</x:v>
      </x:c>
      <x:c r="D64" s="27" t="str">
        <x:v>現在地</x:v>
      </x:c>
      <x:c r="E64" s="27" t="str">
        <x:v>岩槻城址公園</x:v>
      </x:c>
      <x:c r="F64" s="27"/>
      <x:c r="G64" s="27"/>
      <x:c r="H64" s="27" t="str">
        <x:v>さきたま古墳公園</x:v>
      </x:c>
      <x:c r="I64" s="27" t="str">
        <x:v>220～290分</x:v>
      </x:c>
      <x:c r="J64" s="27" t="n">
        <x:v>3</x:v>
      </x:c>
      <x:c r="K64" s="27" t="str">
        <x:v>最後は24時間駐車可能だが、夜間は駐車場周辺だけで静かに滞在する。</x:v>
      </x:c>
      <x:c r="L64" s="49" t="e">
        <x:f>HYPERLINK("https://www.google.com/maps/dir/?api=1&amp;destination=%E3%81%95%E3%81%8D%E3%81%9F%E3%81%BE%E5%8F%A4%E5%A2%B3%E5%85%AC%E5%9C%92&amp;travelmode=driving&amp;waypoints=%E5%B2%A9%E6%A7%BB%E5%9F%8E%E5%9D%80%E5%85%AC%E5%9C%92","現在地からルート開始")</x:f>
      </x:c>
      <x:c r="M64" s="22" t="str">
        <x:v>通常</x:v>
      </x:c>
      <x:c r="N64" s="22" t="n">
        <x:v>84</x:v>
      </x:c>
      <x:c r="O64" s="22" t="str">
        <x:v>維持</x:v>
      </x:c>
      <x:c r="P64" s="22" t="str">
        <x:v>岩槻城址公園 → さきたま古墳公園 の順に、景観と滞在強度を変化させる。</x:v>
      </x:c>
      <x:c r="Q64" s="22"/>
      <x:c r="R64" s="23" t="n">
        <x:v>46232</x:v>
      </x:c>
      <x:c r="S64" s="22"/>
      <x:c r="T64" s="22"/>
      <x:c r="U64" s="22"/>
      <x:c r="V64" s="22"/>
      <x:c r="W64" s="22"/>
      <x:c r="X64" s="22"/>
      <x:c r="Y64" s="22" t="str">
        <x:v>都市公園・休憩</x:v>
      </x:c>
      <x:c r="Z64" s="22"/>
    </x:row>
    <x:row r="65">
      <x:c r="A65" s="27" t="str">
        <x:v>R064</x:v>
      </x:c>
      <x:c r="B65" s="27" t="str">
        <x:v>相模原グリーンライン</x:v>
      </x:c>
      <x:c r="C65" s="27" t="str">
        <x:v>里山／庭園／湖</x:v>
      </x:c>
      <x:c r="D65" s="27" t="str">
        <x:v>現在地</x:v>
      </x:c>
      <x:c r="E65" s="27" t="str">
        <x:v>県立座間谷戸山公園</x:v>
      </x:c>
      <x:c r="F65" s="27" t="str">
        <x:v>相模原公園</x:v>
      </x:c>
      <x:c r="G65" s="27"/>
      <x:c r="H65" s="27" t="str">
        <x:v>城山湖散策路</x:v>
      </x:c>
      <x:c r="I65" s="27" t="str">
        <x:v>210～290分</x:v>
      </x:c>
      <x:c r="J65" s="27" t="n">
        <x:v>1</x:v>
      </x:c>
      <x:c r="K65" s="27" t="str">
        <x:v>城山湖16:30閉鎖を基準に逆算する昼専用ルート。</x:v>
      </x:c>
      <x:c r="L65" s="49" t="e">
        <x:f>HYPERLINK("https://www.google.com/maps/dir/?api=1&amp;destination=%E5%9F%8E%E5%B1%B1%E6%B9%96%E6%95%A3%E7%AD%96%E8%B7%AF&amp;travelmode=driving&amp;waypoints=%E7%9C%8C%E7%AB%8B%E5%BA%A7%E9%96%93%E8%B0%B7%E6%88%B8%E5%B1%B1%E5%85%AC%E5%9C%92%7C%E7%9B%B8%E6%A8%A1%E5%8E%9F%E5%85%AC%E5%9C%92","現在地からルート開始")</x:f>
      </x:c>
      <x:c r="M65" s="22" t="str">
        <x:v>昼専用</x:v>
      </x:c>
      <x:c r="N65" s="22" t="n">
        <x:v>78</x:v>
      </x:c>
      <x:c r="O65" s="22" t="str">
        <x:v>維持</x:v>
      </x:c>
      <x:c r="P65" s="22" t="str">
        <x:v>県立座間谷戸山公園 → 相模原公園 → 城山湖散策路 の順に、景観と滞在強度を変化させる。</x:v>
      </x:c>
      <x:c r="Q65" s="22"/>
      <x:c r="R65" s="23" t="n">
        <x:v>46232</x:v>
      </x:c>
      <x:c r="S65" s="22"/>
      <x:c r="T65" s="22"/>
      <x:c r="U65" s="22"/>
      <x:c r="V65" s="22"/>
      <x:c r="W65" s="22"/>
      <x:c r="X65" s="22"/>
      <x:c r="Y65" s="22" t="str">
        <x:v>森林・高台</x:v>
      </x:c>
      <x:c r="Z65" s="22"/>
    </x:row>
    <x:row r="66">
      <x:c r="A66" s="27" t="str">
        <x:v>R065</x:v>
      </x:c>
      <x:c r="B66" s="27" t="str">
        <x:v>厚木基地・飛行機と里山</x:v>
      </x:c>
      <x:c r="C66" s="27" t="str">
        <x:v>飛行機／里山／庭園</x:v>
      </x:c>
      <x:c r="D66" s="27" t="str">
        <x:v>現在地</x:v>
      </x:c>
      <x:c r="E66" s="27" t="str">
        <x:v>綾瀬スポーツ公園</x:v>
      </x:c>
      <x:c r="F66" s="27" t="str">
        <x:v>県立座間谷戸山公園</x:v>
      </x:c>
      <x:c r="G66" s="27"/>
      <x:c r="H66" s="27" t="str">
        <x:v>相模原公園</x:v>
      </x:c>
      <x:c r="I66" s="27" t="str">
        <x:v>170～230分</x:v>
      </x:c>
      <x:c r="J66" s="27" t="n">
        <x:v>3</x:v>
      </x:c>
      <x:c r="K66" s="27" t="str">
        <x:v>航空機運用は保証されない。谷戸山の閉場後は綾瀬→相模原へ短縮。</x:v>
      </x:c>
      <x:c r="L66" s="49" t="e">
        <x:f>HYPERLINK("https://www.google.com/maps/dir/?api=1&amp;destination=%E7%9B%B8%E6%A8%A1%E5%8E%9F%E5%85%AC%E5%9C%92&amp;travelmode=driving&amp;waypoints=%E7%B6%BE%E7%80%AC%E3%82%B9%E3%83%9D%E3%83%BC%E3%83%84%E5%85%AC%E5%9C%92%7C%E7%9C%8C%E7%AB%8B%E5%BA%A7%E9%96%93%E8%B0%B7%E6%88%B8%E5%B1%B1%E5%85%AC%E5%9C%92","現在地からルート開始")</x:f>
      </x:c>
      <x:c r="M66" s="22" t="str">
        <x:v>通常</x:v>
      </x:c>
      <x:c r="N66" s="22" t="n">
        <x:v>78</x:v>
      </x:c>
      <x:c r="O66" s="22" t="str">
        <x:v>維持</x:v>
      </x:c>
      <x:c r="P66" s="22" t="str">
        <x:v>綾瀬スポーツ公園 → 県立座間谷戸山公園 → 相模原公園 の順に、景観と滞在強度を変化させる。</x:v>
      </x:c>
      <x:c r="Q66" s="22"/>
      <x:c r="R66" s="23" t="n">
        <x:v>46232</x:v>
      </x:c>
      <x:c r="S66" s="22"/>
      <x:c r="T66" s="22"/>
      <x:c r="U66" s="22"/>
      <x:c r="V66" s="22"/>
      <x:c r="W66" s="22"/>
      <x:c r="X66" s="22"/>
      <x:c r="Y66" s="22" t="str">
        <x:v>羽田・航空</x:v>
      </x:c>
      <x:c r="Z66" s="22"/>
    </x:row>
    <x:row r="67">
      <x:c r="A67" s="27" t="str">
        <x:v>R066</x:v>
      </x:c>
      <x:c r="B67" s="27" t="str">
        <x:v>湘南サンセット三段階</x:v>
      </x:c>
      <x:c r="C67" s="27" t="str">
        <x:v>海岸／岬／高台</x:v>
      </x:c>
      <x:c r="D67" s="27" t="str">
        <x:v>現在地</x:v>
      </x:c>
      <x:c r="E67" s="27" t="str">
        <x:v>七里ヶ浜海岸駐車場</x:v>
      </x:c>
      <x:c r="F67" s="27" t="str">
        <x:v>長者ヶ崎駐車場</x:v>
      </x:c>
      <x:c r="G67" s="27"/>
      <x:c r="H67" s="27" t="str">
        <x:v>湘南国際村西公園</x:v>
      </x:c>
      <x:c r="I67" s="27" t="str">
        <x:v>190～260分</x:v>
      </x:c>
      <x:c r="J67" s="27" t="n">
        <x:v>2</x:v>
      </x:c>
      <x:c r="K67" s="27" t="str">
        <x:v>閉場が早い順に回る。夏季・休日は国道134号の渋滞を大きく見込む。</x:v>
      </x:c>
      <x:c r="L67" s="49" t="e">
        <x:f>HYPERLINK("https://www.google.com/maps/dir/?api=1&amp;destination=%E6%B9%98%E5%8D%97%E5%9B%BD%E9%9A%9B%E6%9D%91%E8%A5%BF%E5%85%AC%E5%9C%92&amp;travelmode=driving&amp;waypoints=%E4%B8%83%E9%87%8C%E3%83%B6%E6%B5%9C%E6%B5%B7%E5%B2%B8%E9%A7%90%E8%BB%8A%E5%A0%B4%7C%E9%95%B7%E8%80%85%E3%83%B6%E5%B4%8E%E9%A7%90%E8%BB%8A%E5%A0%B4","現在地からルート開始")</x:f>
      </x:c>
      <x:c r="M67" s="22" t="str">
        <x:v>昼専用</x:v>
      </x:c>
      <x:c r="N67" s="22" t="n">
        <x:v>81</x:v>
      </x:c>
      <x:c r="O67" s="22" t="str">
        <x:v>維持</x:v>
      </x:c>
      <x:c r="P67" s="22" t="str">
        <x:v>七里ヶ浜海岸駐車場 → 長者ヶ崎駐車場 → 湘南国際村西公園 の順に、景観と滞在強度を変化させる。</x:v>
      </x:c>
      <x:c r="Q67" s="22"/>
      <x:c r="R67" s="23" t="n">
        <x:v>46232</x:v>
      </x:c>
      <x:c r="S67" s="22"/>
      <x:c r="T67" s="22"/>
      <x:c r="U67" s="22"/>
      <x:c r="V67" s="22"/>
      <x:c r="W67" s="22"/>
      <x:c r="X67" s="22"/>
      <x:c r="Y67" s="22" t="str">
        <x:v>東京港・水辺</x:v>
      </x:c>
      <x:c r="Z67" s="22"/>
    </x:row>
    <x:row r="68">
      <x:c r="A68" s="27" t="str">
        <x:v>R067</x:v>
      </x:c>
      <x:c r="B68" s="27" t="str">
        <x:v>成田B滑走路ナイト</x:v>
      </x:c>
      <x:c r="C68" s="27" t="str">
        <x:v>飛行機／誘導路／空港</x:v>
      </x:c>
      <x:c r="D68" s="27" t="str">
        <x:v>現在地</x:v>
      </x:c>
      <x:c r="E68" s="27" t="str">
        <x:v>十余三 東雲の丘</x:v>
      </x:c>
      <x:c r="F68" s="27"/>
      <x:c r="G68" s="27"/>
      <x:c r="H68" s="27" t="str">
        <x:v>成田空港 第1ターミナル展望デッキ</x:v>
      </x:c>
      <x:c r="I68" s="27" t="str">
        <x:v>260～340分</x:v>
      </x:c>
      <x:c r="J68" s="27" t="n">
        <x:v>5</x:v>
      </x:c>
      <x:c r="K68" s="27" t="str">
        <x:v>東雲の丘22時、空港展望デッキ21時のため実際は空港→東雲の順も候補。風向きで順序変更。</x:v>
      </x:c>
      <x:c r="L68" s="49" t="e">
        <x:f>HYPERLINK("https://www.google.com/maps/dir/?api=1&amp;destination=%E6%88%90%E7%94%B0%E7%A9%BA%E6%B8%AF%20%E7%AC%AC1%E3%82%BF%E3%83%BC%E3%83%9F%E3%83%8A%E3%83%AB%E5%B1%95%E6%9C%9B%E3%83%87%E3%83%83%E3%82%AD&amp;travelmode=driving&amp;waypoints=%E5%8D%81%E4%BD%99%E4%B8%89%20%E6%9D%B1%E9%9B%B2%E3%81%AE%E4%B8%98","現在地からルート開始")</x:f>
      </x:c>
      <x:c r="M68" s="22" t="str">
        <x:v>通常</x:v>
      </x:c>
      <x:c r="N68" s="22" t="n">
        <x:v>80</x:v>
      </x:c>
      <x:c r="O68" s="22" t="str">
        <x:v>維持</x:v>
      </x:c>
      <x:c r="P68" s="22" t="str">
        <x:v>十余三 東雲の丘 → 成田空港 第1ターミナル展望デッキ の順に、景観と滞在強度を変化させる。</x:v>
      </x:c>
      <x:c r="Q68" s="22"/>
      <x:c r="R68" s="23" t="n">
        <x:v>46232</x:v>
      </x:c>
      <x:c r="S68" s="22"/>
      <x:c r="T68" s="22"/>
      <x:c r="U68" s="22"/>
      <x:c r="V68" s="22"/>
      <x:c r="W68" s="22"/>
      <x:c r="X68" s="22"/>
      <x:c r="Y68" s="22" t="str">
        <x:v>羽田・航空</x:v>
      </x:c>
      <x:c r="Z68" s="22"/>
    </x:row>
    <x:row r="69">
      <x:c r="A69" s="27" t="str">
        <x:v>R068</x:v>
      </x:c>
      <x:c r="B69" s="27" t="str">
        <x:v>成田A滑走路Story</x:v>
      </x:c>
      <x:c r="C69" s="27" t="str">
        <x:v>桜／飛行機／空港</x:v>
      </x:c>
      <x:c r="D69" s="27" t="str">
        <x:v>現在地</x:v>
      </x:c>
      <x:c r="E69" s="27" t="str">
        <x:v>三里塚さくらの丘</x:v>
      </x:c>
      <x:c r="F69" s="27"/>
      <x:c r="G69" s="27"/>
      <x:c r="H69" s="27" t="str">
        <x:v>成田空港 第1ターミナル展望デッキ</x:v>
      </x:c>
      <x:c r="I69" s="27" t="str">
        <x:v>250～330分</x:v>
      </x:c>
      <x:c r="J69" s="27" t="n">
        <x:v>3</x:v>
      </x:c>
      <x:c r="K69" s="27" t="str">
        <x:v>三里塚は日中限定。夕方は直接空港へ向かう。</x:v>
      </x:c>
      <x:c r="L69" s="49" t="e">
        <x:f>HYPERLINK("https://www.google.com/maps/dir/?api=1&amp;destination=%E6%88%90%E7%94%B0%E7%A9%BA%E6%B8%AF%20%E7%AC%AC1%E3%82%BF%E3%83%BC%E3%83%9F%E3%83%8A%E3%83%AB%E5%B1%95%E6%9C%9B%E3%83%87%E3%83%83%E3%82%AD&amp;travelmode=driving&amp;waypoints=%E4%B8%89%E9%87%8C%E5%A1%9A%E3%81%95%E3%81%8F%E3%82%89%E3%81%AE%E4%B8%98","現在地からルート開始")</x:f>
      </x:c>
      <x:c r="M69" s="22" t="str">
        <x:v>通常</x:v>
      </x:c>
      <x:c r="N69" s="22" t="n">
        <x:v>80</x:v>
      </x:c>
      <x:c r="O69" s="22" t="str">
        <x:v>維持</x:v>
      </x:c>
      <x:c r="P69" s="22" t="str">
        <x:v>三里塚さくらの丘 → 成田空港 第1ターミナル展望デッキ の順に、景観と滞在強度を変化させる。</x:v>
      </x:c>
      <x:c r="Q69" s="22"/>
      <x:c r="R69" s="23" t="n">
        <x:v>46232</x:v>
      </x:c>
      <x:c r="S69" s="22"/>
      <x:c r="T69" s="22"/>
      <x:c r="U69" s="22"/>
      <x:c r="V69" s="22"/>
      <x:c r="W69" s="22"/>
      <x:c r="X69" s="22"/>
      <x:c r="Y69" s="22" t="str">
        <x:v>羽田・航空</x:v>
      </x:c>
      <x:c r="Z69" s="22"/>
    </x:row>
    <x:row r="70">
      <x:c r="A70" s="27" t="str">
        <x:v>R069</x:v>
      </x:c>
      <x:c r="B70" s="27" t="str">
        <x:v>印旛沼・城址サンセット</x:v>
      </x:c>
      <x:c r="C70" s="27" t="str">
        <x:v>城址／印旛沼／夕日</x:v>
      </x:c>
      <x:c r="D70" s="27" t="str">
        <x:v>現在地</x:v>
      </x:c>
      <x:c r="E70" s="27" t="str">
        <x:v>宿内公園</x:v>
      </x:c>
      <x:c r="F70" s="27" t="str">
        <x:v>印旛沼サンセットヒルズ</x:v>
      </x:c>
      <x:c r="G70" s="27"/>
      <x:c r="H70" s="27" t="str">
        <x:v>佐倉ふるさと広場</x:v>
      </x:c>
      <x:c r="I70" s="27" t="str">
        <x:v>230～310分</x:v>
      </x:c>
      <x:c r="J70" s="27" t="n">
        <x:v>2</x:v>
      </x:c>
      <x:c r="K70" s="27" t="str">
        <x:v>サンセットヒルズは施設利用者用駐車場のため、利用条件が合わなければ省略。</x:v>
      </x:c>
      <x:c r="L70" s="49" t="e">
        <x:f>HYPERLINK("https://www.google.com/maps/dir/?api=1&amp;destination=%E4%BD%90%E5%80%89%E3%81%B5%E3%82%8B%E3%81%95%E3%81%A8%E5%BA%83%E5%A0%B4&amp;travelmode=driving&amp;waypoints=%E5%AE%BF%E5%86%85%E5%85%AC%E5%9C%92%7C%E5%8D%B0%E6%97%9B%E6%B2%BC%E3%82%B5%E3%83%B3%E3%82%BB%E3%83%83%E3%83%88%E3%83%92%E3%83%AB%E3%82%BA","現在地からルート開始")</x:f>
      </x:c>
      <x:c r="M70" s="22" t="str">
        <x:v>昼専用</x:v>
      </x:c>
      <x:c r="N70" s="22" t="n">
        <x:v>78</x:v>
      </x:c>
      <x:c r="O70" s="22" t="str">
        <x:v>維持</x:v>
      </x:c>
      <x:c r="P70" s="22" t="str">
        <x:v>宿内公園 → 印旛沼サンセットヒルズ → 佐倉ふるさと広場 の順に、景観と滞在強度を変化させる。</x:v>
      </x:c>
      <x:c r="Q70" s="22"/>
      <x:c r="R70" s="23" t="n">
        <x:v>46232</x:v>
      </x:c>
      <x:c r="S70" s="22"/>
      <x:c r="T70" s="22"/>
      <x:c r="U70" s="22"/>
      <x:c r="V70" s="22"/>
      <x:c r="W70" s="22"/>
      <x:c r="X70" s="22"/>
      <x:c r="Y70" s="22" t="str">
        <x:v>都市公園・休憩</x:v>
      </x:c>
      <x:c r="Z70" s="22"/>
    </x:row>
    <x:row r="71">
      <x:c r="A71" s="27" t="str">
        <x:v>R070</x:v>
      </x:c>
      <x:c r="B71" s="27" t="str">
        <x:v>東東京24時間水辺線</x:v>
      </x:c>
      <x:c r="C71" s="27" t="str">
        <x:v>都市公園／水辺／夜間</x:v>
      </x:c>
      <x:c r="D71" s="27" t="str">
        <x:v>現在地</x:v>
      </x:c>
      <x:c r="E71" s="27" t="str">
        <x:v>東綾瀬公園</x:v>
      </x:c>
      <x:c r="F71" s="27" t="str">
        <x:v>水元公園</x:v>
      </x:c>
      <x:c r="G71" s="27"/>
      <x:c r="H71" s="27" t="str">
        <x:v>みさと公園</x:v>
      </x:c>
      <x:c r="I71" s="27" t="str">
        <x:v>170～230分</x:v>
      </x:c>
      <x:c r="J71" s="27" t="n">
        <x:v>4</x:v>
      </x:c>
      <x:c r="K71" s="27" t="str">
        <x:v>24時間駐車場中心。深夜は各公園15～25分の短時間滞在に限定。</x:v>
      </x:c>
      <x:c r="L71" s="49" t="e">
        <x:f>HYPERLINK("https://www.google.com/maps/dir/?api=1&amp;destination=%E3%81%BF%E3%81%95%E3%81%A8%E5%85%AC%E5%9C%92&amp;travelmode=driving&amp;waypoints=%E6%9D%B1%E7%B6%BE%E7%80%AC%E5%85%AC%E5%9C%92%7C%E6%B0%B4%E5%85%83%E5%85%AC%E5%9C%92","現在地からルート開始")</x:f>
      </x:c>
      <x:c r="M71" s="22" t="str">
        <x:v>通常</x:v>
      </x:c>
      <x:c r="N71" s="22" t="n">
        <x:v>85</x:v>
      </x:c>
      <x:c r="O71" s="22" t="str">
        <x:v>維持</x:v>
      </x:c>
      <x:c r="P71" s="22" t="str">
        <x:v>東綾瀬公園 → 水元公園 → みさと公園 の順に、景観と滞在強度を変化させる。</x:v>
      </x:c>
      <x:c r="Q71" s="22"/>
      <x:c r="R71" s="23" t="n">
        <x:v>46232</x:v>
      </x:c>
      <x:c r="S71" s="22"/>
      <x:c r="T71" s="22"/>
      <x:c r="U71" s="22"/>
      <x:c r="V71" s="22"/>
      <x:c r="W71" s="22"/>
      <x:c r="X71" s="22"/>
      <x:c r="Y71" s="22" t="str">
        <x:v>都市公園・休憩</x:v>
      </x:c>
      <x:c r="Z71" s="22"/>
    </x:row>
    <x:row r="72">
      <x:c r="A72" s="27" t="str">
        <x:v>R071</x:v>
      </x:c>
      <x:c r="B72" s="27" t="str">
        <x:v>丹沢・富士山高台Ending</x:v>
      </x:c>
      <x:c r="C72" s="27" t="str">
        <x:v>山／富士山／展望</x:v>
      </x:c>
      <x:c r="D72" s="27" t="str">
        <x:v>現在地</x:v>
      </x:c>
      <x:c r="E72" s="27" t="str">
        <x:v>県立秦野戸川公園</x:v>
      </x:c>
      <x:c r="F72" s="27" t="str">
        <x:v>菜の花台展望台</x:v>
      </x:c>
      <x:c r="G72" s="27"/>
      <x:c r="H72" s="27" t="str">
        <x:v>山北つぶらの公園</x:v>
      </x:c>
      <x:c r="I72" s="27" t="str">
        <x:v>260～340分</x:v>
      </x:c>
      <x:c r="J72" s="27" t="n">
        <x:v>1</x:v>
      </x:c>
      <x:c r="K72" s="27" t="str">
        <x:v>山北つぶら17時閉場。霧・凍結・強風時は中止し、秦野周辺で終了。</x:v>
      </x:c>
      <x:c r="L72" s="49" t="e">
        <x:f>HYPERLINK("https://www.google.com/maps/dir/?api=1&amp;destination=%E5%B1%B1%E5%8C%97%E3%81%A4%E3%81%B6%E3%82%89%E3%81%AE%E5%85%AC%E5%9C%92&amp;travelmode=driving&amp;waypoints=%E7%9C%8C%E7%AB%8B%E7%A7%A6%E9%87%8E%E6%88%B8%E5%B7%9D%E5%85%AC%E5%9C%92%7C%E8%8F%9C%E3%81%AE%E8%8A%B1%E5%8F%B0%E5%B1%95%E6%9C%9B%E5%8F%B0","現在地からルート開始")</x:f>
      </x:c>
      <x:c r="M72" s="22" t="str">
        <x:v>昼専用</x:v>
      </x:c>
      <x:c r="N72" s="22" t="n">
        <x:v>72</x:v>
      </x:c>
      <x:c r="O72" s="22" t="str">
        <x:v>維持</x:v>
      </x:c>
      <x:c r="P72" s="22" t="str">
        <x:v>県立秦野戸川公園 → 菜の花台展望台 → 山北つぶらの公園 の順に、景観と滞在強度を変化させる。</x:v>
      </x:c>
      <x:c r="Q72" s="22"/>
      <x:c r="R72" s="23" t="n">
        <x:v>46232</x:v>
      </x:c>
      <x:c r="S72" s="22"/>
      <x:c r="T72" s="22"/>
      <x:c r="U72" s="22"/>
      <x:c r="V72" s="22"/>
      <x:c r="W72" s="22"/>
      <x:c r="X72" s="22"/>
      <x:c r="Y72" s="22" t="str">
        <x:v>都市公園・休憩</x:v>
      </x:c>
      <x:c r="Z72" s="22"/>
    </x:row>
    <x:row r="73">
      <x:c r="A73" s="27" t="str">
        <x:v>R072</x:v>
      </x:c>
      <x:c r="B73" s="27" t="str">
        <x:v>東京東部から成田空港へ</x:v>
      </x:c>
      <x:c r="C73" s="27" t="str">
        <x:v>夜間公園／道の駅／飛行機</x:v>
      </x:c>
      <x:c r="D73" s="27" t="str">
        <x:v>現在地</x:v>
      </x:c>
      <x:c r="E73" s="27" t="str">
        <x:v>東綾瀬公園</x:v>
      </x:c>
      <x:c r="F73" s="27" t="str">
        <x:v>道の駅 いちかわ</x:v>
      </x:c>
      <x:c r="G73" s="27"/>
      <x:c r="H73" s="27" t="str">
        <x:v>成田空港 第1ターミナル展望デッキ</x:v>
      </x:c>
      <x:c r="I73" s="27" t="str">
        <x:v>240～320分</x:v>
      </x:c>
      <x:c r="J73" s="27" t="n">
        <x:v>4</x:v>
      </x:c>
      <x:c r="K73" s="27" t="str">
        <x:v>空港展望デッキ21時閉鎖。遅い時間は最終地点を十余三東雲の丘へ差し替える。</x:v>
      </x:c>
      <x:c r="L73" s="49" t="e">
        <x:f>HYPERLINK("https://www.google.com/maps/dir/?api=1&amp;destination=%E6%88%90%E7%94%B0%E7%A9%BA%E6%B8%AF%20%E7%AC%AC1%E3%82%BF%E3%83%BC%E3%83%9F%E3%83%8A%E3%83%AB%E5%B1%95%E6%9C%9B%E3%83%87%E3%83%83%E3%82%AD&amp;travelmode=driving&amp;waypoints=%E6%9D%B1%E7%B6%BE%E7%80%AC%E5%85%AC%E5%9C%92%7C%E9%81%93%E3%81%AE%E9%A7%85%20%E3%81%84%E3%81%A1%E3%81%8B%E3%82%8F","現在地からルート開始")</x:f>
      </x:c>
      <x:c r="M73" s="22" t="str">
        <x:v>通常</x:v>
      </x:c>
      <x:c r="N73" s="22" t="n">
        <x:v>82</x:v>
      </x:c>
      <x:c r="O73" s="22" t="str">
        <x:v>維持</x:v>
      </x:c>
      <x:c r="P73" s="22" t="str">
        <x:v>東綾瀬公園 → 道の駅 いちかわ → 成田空港 第1ターミナル展望デッキ の順に、景観と滞在強度を変化させる。</x:v>
      </x:c>
      <x:c r="Q73" s="22"/>
      <x:c r="R73" s="23" t="n">
        <x:v>46232</x:v>
      </x:c>
      <x:c r="S73" s="22"/>
      <x:c r="T73" s="22"/>
      <x:c r="U73" s="22"/>
      <x:c r="V73" s="22"/>
      <x:c r="W73" s="22"/>
      <x:c r="X73" s="22"/>
      <x:c r="Y73" s="22" t="str">
        <x:v>羽田・航空</x:v>
      </x:c>
      <x:c r="Z73" s="22"/>
    </x:row>
    <x:row r="74">
      <x:c r="A74" s="27" t="str">
        <x:v>R073</x:v>
      </x:c>
      <x:c r="B74" s="27" t="str">
        <x:v>調布航空ナイト</x:v>
      </x:c>
      <x:c r="C74" s="27" t="str">
        <x:v>飛行機／航空史／24時間駐車</x:v>
      </x:c>
      <x:c r="D74" s="27" t="str">
        <x:v>現在地</x:v>
      </x:c>
      <x:c r="E74" s="27" t="str">
        <x:v>武蔵野の森公園</x:v>
      </x:c>
      <x:c r="F74" s="27" t="str">
        <x:v>府中の森公園</x:v>
      </x:c>
      <x:c r="G74" s="27"/>
      <x:c r="H74" s="27" t="str">
        <x:v>桜ヶ丘公園 ゆうひの丘</x:v>
      </x:c>
      <x:c r="I74" s="27" t="str">
        <x:v>160～220分</x:v>
      </x:c>
      <x:c r="J74" s="27" t="n">
        <x:v>4</x:v>
      </x:c>
      <x:c r="K74" s="27" t="str">
        <x:v>武蔵野の森・府中の森は駐車場24時間。北南プロムナードは16:30閉鎖、ゆうひの丘は20時閉鎖。</x:v>
      </x:c>
      <x:c r="L74" s="49" t="e">
        <x:f>HYPERLINK("https://www.google.com/maps/dir/?api=1&amp;destination=%E6%A1%9C%E3%83%B6%E4%B8%98%E5%85%AC%E5%9C%92%20%E3%82%86%E3%81%86%E3%81%B2%E3%81%AE%E4%B8%98&amp;travelmode=driving&amp;waypoints=%E6%AD%A6%E8%94%B5%E9%87%8E%E3%81%AE%E6%A3%AE%E5%85%AC%E5%9C%92%7C%E5%BA%9C%E4%B8%AD%E3%81%AE%E6%A3%AE%E5%85%AC%E5%9C%92","現在地からルート開始")</x:f>
      </x:c>
      <x:c r="M74" s="22" t="str">
        <x:v>通常</x:v>
      </x:c>
      <x:c r="N74" s="22" t="n">
        <x:v>82</x:v>
      </x:c>
      <x:c r="O74" s="22" t="str">
        <x:v>維持</x:v>
      </x:c>
      <x:c r="P74" s="22" t="str">
        <x:v>武蔵野の森公園 → 府中の森公園 → 桜ヶ丘公園 ゆうひの丘 の順に、景観と滞在強度を変化させる。</x:v>
      </x:c>
      <x:c r="Q74" s="22"/>
      <x:c r="R74" s="23" t="n">
        <x:v>46232</x:v>
      </x:c>
      <x:c r="S74" s="22" t="n">
        <x:v>91</x:v>
      </x:c>
      <x:c r="T74" s="22" t="n">
        <x:v>0</x:v>
      </x:c>
      <x:c r="U74" s="22" t="str">
        <x:v>飛行機 → 休息 → 休息 → 都市夜景・自然</x:v>
      </x:c>
      <x:c r="V74" s="22" t="str">
        <x:v>武蔵野の森公園:25分／府中の森公園:18分／桜ヶ丘公園 ゆうひの丘:35分</x:v>
      </x:c>
      <x:c r="W74" s="22" t="str">
        <x:v>専用・公式駐車場へ直接入庫</x:v>
      </x:c>
      <x:c r="X74" s="22" t="str">
        <x:v>工事・閉鎖時／臨時閉鎖・イベント混雑時／20:00に間に合わない時／工事・閉鎖時</x:v>
      </x:c>
      <x:c r="Y74" s="22" t="str">
        <x:v>羽田・航空</x:v>
      </x:c>
      <x:c r="Z74" s="22"/>
    </x:row>
    <x:row r="75">
      <x:c r="A75" s="27" t="str">
        <x:v>R074</x:v>
      </x:c>
      <x:c r="B75" s="27" t="str">
        <x:v>東京オリンピック建築線</x:v>
      </x:c>
      <x:c r="C75" s="27" t="str">
        <x:v>建築／都市史／夜間</x:v>
      </x:c>
      <x:c r="D75" s="27" t="str">
        <x:v>現在地</x:v>
      </x:c>
      <x:c r="E75" s="27" t="str">
        <x:v>駒沢オリンピック公園</x:v>
      </x:c>
      <x:c r="F75" s="27" t="str">
        <x:v>代々木公園</x:v>
      </x:c>
      <x:c r="G75" s="27"/>
      <x:c r="H75" s="27" t="str">
        <x:v>神宮外苑</x:v>
      </x:c>
      <x:c r="I75" s="27" t="str">
        <x:v>120～180分</x:v>
      </x:c>
      <x:c r="J75" s="27" t="n">
        <x:v>4</x:v>
      </x:c>
      <x:c r="K75" s="27" t="str">
        <x:v>イベント・交通規制時は代々木公園を省略。</x:v>
      </x:c>
      <x:c r="L75" s="49" t="e">
        <x:f>HYPERLINK("https://www.google.com/maps/dir/?api=1&amp;destination=%E7%A5%9E%E5%AE%AE%E5%A4%96%E8%8B%91&amp;travelmode=driving&amp;waypoints=%E9%A7%92%E6%B2%A2%E3%82%AA%E3%83%AA%E3%83%B3%E3%83%94%E3%83%83%E3%82%AF%E5%85%AC%E5%9C%92%7C%E4%BB%A3%E3%80%85%E6%9C%A8%E5%85%AC%E5%9C%92","現在地からルート開始")</x:f>
      </x:c>
      <x:c r="M75" s="22" t="str">
        <x:v>通常</x:v>
      </x:c>
      <x:c r="N75" s="22" t="n">
        <x:v>70</x:v>
      </x:c>
      <x:c r="O75" s="22" t="str">
        <x:v>維持</x:v>
      </x:c>
      <x:c r="P75" s="22" t="str">
        <x:v>駒沢オリンピック公園 → 代々木公園 → 神宮外苑 の順に、景観と滞在強度を変化させる。</x:v>
      </x:c>
      <x:c r="Q75" s="22"/>
      <x:c r="R75" s="23" t="n">
        <x:v>46232</x:v>
      </x:c>
      <x:c r="S75" s="22"/>
      <x:c r="T75" s="22"/>
      <x:c r="U75" s="22"/>
      <x:c r="V75" s="22"/>
      <x:c r="W75" s="22"/>
      <x:c r="X75" s="22"/>
      <x:c r="Y75" s="22" t="str">
        <x:v>Story・文化</x:v>
      </x:c>
      <x:c r="Z75" s="22"/>
    </x:row>
    <x:row r="76">
      <x:c r="A76" s="27" t="str">
        <x:v>R075</x:v>
      </x:c>
      <x:c r="B76" s="27" t="str">
        <x:v>川崎港・西端Ending</x:v>
      </x:c>
      <x:c r="C76" s="27" t="str">
        <x:v>工業港／船／行き止まり</x:v>
      </x:c>
      <x:c r="D76" s="27" t="str">
        <x:v>現在地</x:v>
      </x:c>
      <x:c r="E76" s="27" t="str">
        <x:v>ちどり公園</x:v>
      </x:c>
      <x:c r="F76" s="27" t="str">
        <x:v>東扇島東公園</x:v>
      </x:c>
      <x:c r="G76" s="27"/>
      <x:c r="H76" s="27" t="str">
        <x:v>東扇島西公園</x:v>
      </x:c>
      <x:c r="I76" s="27" t="str">
        <x:v>120～180分</x:v>
      </x:c>
      <x:c r="J76" s="27" t="n">
        <x:v>5</x:v>
      </x:c>
      <x:c r="K76" s="27" t="str">
        <x:v>東公園20:30以降入庫不可。西公園は強風時短縮。</x:v>
      </x:c>
      <x:c r="L76" s="49" t="e">
        <x:f>HYPERLINK("https://www.google.com/maps/dir/?api=1&amp;destination=%E6%9D%B1%E6%89%87%E5%B3%B6%E8%A5%BF%E5%85%AC%E5%9C%92&amp;travelmode=driving&amp;waypoints=%E3%81%A1%E3%81%A9%E3%82%8A%E5%85%AC%E5%9C%92%7C%E6%9D%B1%E6%89%87%E5%B3%B6%E6%9D%B1%E5%85%AC%E5%9C%92","現在地からルート開始")</x:f>
      </x:c>
      <x:c r="M76" s="22" t="str">
        <x:v>通常</x:v>
      </x:c>
      <x:c r="N76" s="22" t="n">
        <x:v>67</x:v>
      </x:c>
      <x:c r="O76" s="22" t="str">
        <x:v>維持</x:v>
      </x:c>
      <x:c r="P76" s="22" t="str">
        <x:v>ちどり公園 → 東扇島東公園 → 東扇島西公園 の順に、景観と滞在強度を変化させる。</x:v>
      </x:c>
      <x:c r="Q76" s="22"/>
      <x:c r="R76" s="23" t="n">
        <x:v>46232</x:v>
      </x:c>
      <x:c r="S76" s="22"/>
      <x:c r="T76" s="22"/>
      <x:c r="U76" s="22"/>
      <x:c r="V76" s="22"/>
      <x:c r="W76" s="22"/>
      <x:c r="X76" s="22"/>
      <x:c r="Y76" s="22" t="str">
        <x:v>川崎・工場夜景</x:v>
      </x:c>
      <x:c r="Z76" s="22"/>
    </x:row>
    <x:row r="77">
      <x:c r="A77" s="27" t="str">
        <x:v>R076</x:v>
      </x:c>
      <x:c r="B77" s="27" t="str">
        <x:v>富津岬・巨大観音</x:v>
      </x:c>
      <x:c r="C77" s="27" t="str">
        <x:v>岬／展望塔／巨大仏</x:v>
      </x:c>
      <x:c r="D77" s="27" t="str">
        <x:v>現在地</x:v>
      </x:c>
      <x:c r="E77" s="27" t="str">
        <x:v>富津公園 明治百年記念展望塔</x:v>
      </x:c>
      <x:c r="F77" s="27"/>
      <x:c r="G77" s="27"/>
      <x:c r="H77" s="27" t="str">
        <x:v>東京湾観音</x:v>
      </x:c>
      <x:c r="I77" s="27" t="str">
        <x:v>220～300分</x:v>
      </x:c>
      <x:c r="J77" s="27" t="n">
        <x:v>3</x:v>
      </x:c>
      <x:c r="K77" s="27" t="str">
        <x:v>東京湾観音16時受付終了。昼開始専用。</x:v>
      </x:c>
      <x:c r="L77" s="49" t="e">
        <x:f>HYPERLINK("https://www.google.com/maps/dir/?api=1&amp;destination=%E6%9D%B1%E4%BA%AC%E6%B9%BE%E8%A6%B3%E9%9F%B3&amp;travelmode=driving&amp;waypoints=%E5%AF%8C%E6%B4%A5%E5%85%AC%E5%9C%92%20%E6%98%8E%E6%B2%BB%E7%99%BE%E5%B9%B4%E8%A8%98%E5%BF%B5%E5%B1%95%E6%9C%9B%E5%A1%94","現在地からルート開始")</x:f>
      </x:c>
      <x:c r="M77" s="22" t="str">
        <x:v>通常</x:v>
      </x:c>
      <x:c r="N77" s="22" t="n">
        <x:v>82</x:v>
      </x:c>
      <x:c r="O77" s="22" t="str">
        <x:v>維持</x:v>
      </x:c>
      <x:c r="P77" s="22" t="str">
        <x:v>富津公園 明治百年記念展望塔 → 東京湾観音 の順に、景観と滞在強度を変化させる。</x:v>
      </x:c>
      <x:c r="Q77" s="22"/>
      <x:c r="R77" s="23" t="n">
        <x:v>46232</x:v>
      </x:c>
      <x:c r="S77" s="22"/>
      <x:c r="T77" s="22"/>
      <x:c r="U77" s="22"/>
      <x:c r="V77" s="22"/>
      <x:c r="W77" s="22"/>
      <x:c r="X77" s="22"/>
      <x:c r="Y77" s="22" t="str">
        <x:v>都市公園・休憩</x:v>
      </x:c>
      <x:c r="Z77" s="22"/>
    </x:row>
    <x:row r="78">
      <x:c r="A78" s="27" t="str">
        <x:v>R077</x:v>
      </x:c>
      <x:c r="B78" s="27" t="str">
        <x:v>富津・静かな海岸Ending</x:v>
      </x:c>
      <x:c r="C78" s="27" t="str">
        <x:v>岬／砂州／海岸</x:v>
      </x:c>
      <x:c r="D78" s="27" t="str">
        <x:v>現在地</x:v>
      </x:c>
      <x:c r="E78" s="27" t="str">
        <x:v>富津公園 明治百年記念展望塔</x:v>
      </x:c>
      <x:c r="F78" s="27" t="str">
        <x:v>東京湾観音</x:v>
      </x:c>
      <x:c r="G78" s="27"/>
      <x:c r="H78" s="27" t="str">
        <x:v>大貫中央海岸</x:v>
      </x:c>
      <x:c r="I78" s="27" t="str">
        <x:v>250～330分</x:v>
      </x:c>
      <x:c r="J78" s="27" t="n">
        <x:v>2</x:v>
      </x:c>
      <x:c r="K78" s="27" t="str">
        <x:v>観音の営業時間を先に処理し、最後を海岸夕景にする。</x:v>
      </x:c>
      <x:c r="L78" s="49" t="e">
        <x:f>HYPERLINK("https://www.google.com/maps/dir/?api=1&amp;destination=%E5%A4%A7%E8%B2%AB%E4%B8%AD%E5%A4%AE%E6%B5%B7%E5%B2%B8&amp;travelmode=driving&amp;waypoints=%E5%AF%8C%E6%B4%A5%E5%85%AC%E5%9C%92%20%E6%98%8E%E6%B2%BB%E7%99%BE%E5%B9%B4%E8%A8%98%E5%BF%B5%E5%B1%95%E6%9C%9B%E5%A1%94%7C%E6%9D%B1%E4%BA%AC%E6%B9%BE%E8%A6%B3%E9%9F%B3","現在地からルート開始")</x:f>
      </x:c>
      <x:c r="M78" s="22" t="str">
        <x:v>昼専用</x:v>
      </x:c>
      <x:c r="N78" s="22" t="n">
        <x:v>81</x:v>
      </x:c>
      <x:c r="O78" s="22" t="str">
        <x:v>維持</x:v>
      </x:c>
      <x:c r="P78" s="22" t="str">
        <x:v>富津公園 明治百年記念展望塔 → 東京湾観音 → 大貫中央海岸 の順に、景観と滞在強度を変化させる。</x:v>
      </x:c>
      <x:c r="Q78" s="22"/>
      <x:c r="R78" s="23" t="n">
        <x:v>46232</x:v>
      </x:c>
      <x:c r="S78" s="22"/>
      <x:c r="T78" s="22"/>
      <x:c r="U78" s="22"/>
      <x:c r="V78" s="22"/>
      <x:c r="W78" s="22"/>
      <x:c r="X78" s="22"/>
      <x:c r="Y78" s="22" t="str">
        <x:v>東京港・水辺</x:v>
      </x:c>
      <x:c r="Z78" s="22"/>
    </x:row>
    <x:row r="79">
      <x:c r="A79" s="27" t="str">
        <x:v>R078</x:v>
      </x:c>
      <x:c r="B79" s="27" t="str">
        <x:v>横須賀鉄道と海</x:v>
      </x:c>
      <x:c r="C79" s="27" t="str">
        <x:v>鉄道／港／海岸</x:v>
      </x:c>
      <x:c r="D79" s="27" t="str">
        <x:v>現在地</x:v>
      </x:c>
      <x:c r="E79" s="27" t="str">
        <x:v>久里浜1丁目第2公園</x:v>
      </x:c>
      <x:c r="F79" s="27" t="str">
        <x:v>ペリー公園</x:v>
      </x:c>
      <x:c r="G79" s="27"/>
      <x:c r="H79" s="27" t="str">
        <x:v>うみかぜ公園</x:v>
      </x:c>
      <x:c r="I79" s="27" t="str">
        <x:v>190～250分</x:v>
      </x:c>
      <x:c r="J79" s="27" t="n">
        <x:v>4</x:v>
      </x:c>
      <x:c r="K79" s="27" t="str">
        <x:v>久里浜公園16時閉鎖。以後はペリー公園から開始。</x:v>
      </x:c>
      <x:c r="L79" s="49" t="e">
        <x:f>HYPERLINK("https://www.google.com/maps/dir/?api=1&amp;destination=%E3%81%86%E3%81%BF%E3%81%8B%E3%81%9C%E5%85%AC%E5%9C%92&amp;travelmode=driving&amp;waypoints=%E4%B9%85%E9%87%8C%E6%B5%9C1%E4%B8%81%E7%9B%AE%E7%AC%AC2%E5%85%AC%E5%9C%92%7C%E3%83%9A%E3%83%AA%E3%83%BC%E5%85%AC%E5%9C%92","現在地からルート開始")</x:f>
      </x:c>
      <x:c r="M79" s="22" t="str">
        <x:v>通常</x:v>
      </x:c>
      <x:c r="N79" s="22" t="n">
        <x:v>53</x:v>
      </x:c>
      <x:c r="O79" s="22" t="str">
        <x:v>維持</x:v>
      </x:c>
      <x:c r="P79" s="22" t="str">
        <x:v>久里浜1丁目第2公園 → ペリー公園 → うみかぜ公園 の順に、景観と滞在強度を変化させる。</x:v>
      </x:c>
      <x:c r="Q79" s="22"/>
      <x:c r="R79" s="23" t="n">
        <x:v>46232</x:v>
      </x:c>
      <x:c r="S79" s="22"/>
      <x:c r="T79" s="22"/>
      <x:c r="U79" s="22"/>
      <x:c r="V79" s="22"/>
      <x:c r="W79" s="22"/>
      <x:c r="X79" s="22"/>
      <x:c r="Y79" s="22" t="str">
        <x:v>東京港・水辺</x:v>
      </x:c>
      <x:c r="Z79" s="22"/>
    </x:row>
    <x:row r="80">
      <x:c r="A80" s="27" t="str">
        <x:v>R079</x:v>
      </x:c>
      <x:c r="B80" s="27" t="str">
        <x:v>多摩丘陵・里山と夕景</x:v>
      </x:c>
      <x:c r="C80" s="27" t="str">
        <x:v>里山／谷戸／高台</x:v>
      </x:c>
      <x:c r="D80" s="27" t="str">
        <x:v>現在地</x:v>
      </x:c>
      <x:c r="E80" s="27" t="str">
        <x:v>王禅寺ふるさと公園</x:v>
      </x:c>
      <x:c r="F80" s="27" t="str">
        <x:v>北八朔公園</x:v>
      </x:c>
      <x:c r="G80" s="27"/>
      <x:c r="H80" s="27" t="str">
        <x:v>桜ヶ丘公園 ゆうひの丘</x:v>
      </x:c>
      <x:c r="I80" s="27" t="str">
        <x:v>190～260分</x:v>
      </x:c>
      <x:c r="J80" s="27" t="n">
        <x:v>3</x:v>
      </x:c>
      <x:c r="K80" s="27" t="str">
        <x:v>王禅寺の季節別出庫時間を確認。</x:v>
      </x:c>
      <x:c r="L80" s="49" t="e">
        <x:f>HYPERLINK("https://www.google.com/maps/dir/?api=1&amp;destination=%E6%A1%9C%E3%83%B6%E4%B8%98%E5%85%AC%E5%9C%92%20%E3%82%86%E3%81%86%E3%81%B2%E3%81%AE%E4%B8%98&amp;travelmode=driving&amp;waypoints=%E7%8E%8B%E7%A6%85%E5%AF%BA%E3%81%B5%E3%82%8B%E3%81%95%E3%81%A8%E5%85%AC%E5%9C%92%7C%E5%8C%97%E5%85%AB%E6%9C%94%E5%85%AC%E5%9C%92","現在地からルート開始")</x:f>
      </x:c>
      <x:c r="M80" s="22" t="str">
        <x:v>通常</x:v>
      </x:c>
      <x:c r="N80" s="22" t="n">
        <x:v>82</x:v>
      </x:c>
      <x:c r="O80" s="22" t="str">
        <x:v>維持</x:v>
      </x:c>
      <x:c r="P80" s="22" t="str">
        <x:v>王禅寺ふるさと公園 → 北八朔公園 → 桜ヶ丘公園 ゆうひの丘 の順に、景観と滞在強度を変化させる。</x:v>
      </x:c>
      <x:c r="Q80" s="22"/>
      <x:c r="R80" s="23" t="n">
        <x:v>46232</x:v>
      </x:c>
      <x:c r="S80" s="22"/>
      <x:c r="T80" s="22"/>
      <x:c r="U80" s="22"/>
      <x:c r="V80" s="22"/>
      <x:c r="W80" s="22"/>
      <x:c r="X80" s="22"/>
      <x:c r="Y80" s="22" t="str">
        <x:v>森林・高台</x:v>
      </x:c>
      <x:c r="Z80" s="22"/>
    </x:row>
    <x:row r="81">
      <x:c r="A81" s="27" t="str">
        <x:v>R080</x:v>
      </x:c>
      <x:c r="B81" s="27" t="str">
        <x:v>深大寺から調布飛行場へ</x:v>
      </x:c>
      <x:c r="C81" s="27" t="str">
        <x:v>寺社Story／植物／飛行場</x:v>
      </x:c>
      <x:c r="D81" s="27" t="str">
        <x:v>現在地</x:v>
      </x:c>
      <x:c r="E81" s="27" t="str">
        <x:v>神代植物公園・深大寺</x:v>
      </x:c>
      <x:c r="F81" s="27" t="str">
        <x:v>武蔵野の森公園</x:v>
      </x:c>
      <x:c r="G81" s="27"/>
      <x:c r="H81" s="27" t="str">
        <x:v>府中の森公園</x:v>
      </x:c>
      <x:c r="I81" s="27" t="str">
        <x:v>145～200分</x:v>
      </x:c>
      <x:c r="J81" s="27" t="n">
        <x:v>2</x:v>
      </x:c>
      <x:c r="K81" s="27" t="str">
        <x:v>昼～夕方専用。植物園閉園後は深大寺門前のみとし、武蔵野の森公園ではプロムナード16:30閉鎖に注意。</x:v>
      </x:c>
      <x:c r="L81" s="49" t="e">
        <x:f>HYPERLINK("https://www.google.com/maps/dir/?api=1&amp;destination=%E5%BA%9C%E4%B8%AD%E3%81%AE%E6%A3%AE%E5%85%AC%E5%9C%92&amp;travelmode=driving&amp;waypoints=%E7%A5%9E%E4%BB%A3%E6%A4%8D%E7%89%A9%E5%85%AC%E5%9C%92%E3%83%BB%E6%B7%B1%E5%A4%A7%E5%AF%BA%7C%E6%AD%A6%E8%94%B5%E9%87%8E%E3%81%AE%E6%A3%AE%E5%85%AC%E5%9C%92","現在地からルート開始")</x:f>
      </x:c>
      <x:c r="M81" s="22" t="str">
        <x:v>昼専用</x:v>
      </x:c>
      <x:c r="N81" s="22" t="n">
        <x:v>88</x:v>
      </x:c>
      <x:c r="O81" s="22" t="str">
        <x:v>差替え済</x:v>
      </x:c>
      <x:c r="P81" s="22" t="str">
        <x:v>深大寺の歴史と植物から、調布飛行場の開けた空へ切り替え、24時間駐車の府中の森で終了する。</x:v>
      </x:c>
      <x:c r="Q81" s="22" t="str">
        <x:v>名称の『ナイト』を廃止し、施設営業時間に合う昼～夕方ルートへ再定義。</x:v>
      </x:c>
      <x:c r="R81" s="23" t="n">
        <x:v>46232</x:v>
      </x:c>
      <x:c r="S81" s="22" t="n">
        <x:v>91</x:v>
      </x:c>
      <x:c r="T81" s="22" t="n">
        <x:v>0</x:v>
      </x:c>
      <x:c r="U81" s="22" t="str">
        <x:v>自然・Story → 飛行機 → 飛行機 → 休息</x:v>
      </x:c>
      <x:c r="V81" s="22" t="str">
        <x:v>神代植物公園・深大寺:45分／武蔵野の森公園:25分／府中の森公園:35分</x:v>
      </x:c>
      <x:c r="W81" s="22" t="str">
        <x:v>専用・公式駐車場へ直接入庫</x:v>
      </x:c>
      <x:c r="X81" s="22" t="str">
        <x:v>臨時閉鎖・イベント混雑時／工事・閉鎖時</x:v>
      </x:c>
      <x:c r="Y81" s="22" t="str">
        <x:v>羽田・航空</x:v>
      </x:c>
      <x:c r="Z81" s="22"/>
    </x:row>
    <x:row r="82">
      <x:c r="A82" s="27" t="str">
        <x:v>R081</x:v>
      </x:c>
      <x:c r="B82" s="27" t="str">
        <x:v>千葉文化公園ナイト</x:v>
      </x:c>
      <x:c r="C82" s="27" t="str">
        <x:v>文化施設／大規模公園／港</x:v>
      </x:c>
      <x:c r="D82" s="27" t="str">
        <x:v>現在地</x:v>
      </x:c>
      <x:c r="E82" s="27" t="str">
        <x:v>青葉の森公園</x:v>
      </x:c>
      <x:c r="F82" s="27" t="str">
        <x:v>千葉公園</x:v>
      </x:c>
      <x:c r="G82" s="27"/>
      <x:c r="H82" s="27" t="str">
        <x:v>千葉ポートタワー</x:v>
      </x:c>
      <x:c r="I82" s="27" t="str">
        <x:v>210～280分</x:v>
      </x:c>
      <x:c r="J82" s="27" t="n">
        <x:v>4</x:v>
      </x:c>
      <x:c r="K82" s="27" t="str">
        <x:v>ポートタワー21時前後の閉館確認。</x:v>
      </x:c>
      <x:c r="L82" s="49" t="e">
        <x:f>HYPERLINK("https://www.google.com/maps/dir/?api=1&amp;destination=%E5%8D%83%E8%91%89%E3%83%9D%E3%83%BC%E3%83%88%E3%82%BF%E3%83%AF%E3%83%BC&amp;travelmode=driving&amp;waypoints=%E9%9D%92%E8%91%89%E3%81%AE%E6%A3%AE%E5%85%AC%E5%9C%92%7C%E5%8D%83%E8%91%89%E5%85%AC%E5%9C%92","現在地からルート開始")</x:f>
      </x:c>
      <x:c r="M82" s="22" t="str">
        <x:v>通常</x:v>
      </x:c>
      <x:c r="N82" s="22" t="n">
        <x:v>84</x:v>
      </x:c>
      <x:c r="O82" s="22" t="str">
        <x:v>維持</x:v>
      </x:c>
      <x:c r="P82" s="22" t="str">
        <x:v>青葉の森公園 → 千葉公園 → 千葉ポートタワー の順に、景観と滞在強度を変化させる。</x:v>
      </x:c>
      <x:c r="Q82" s="22"/>
      <x:c r="R82" s="23" t="n">
        <x:v>46232</x:v>
      </x:c>
      <x:c r="S82" s="22"/>
      <x:c r="T82" s="22"/>
      <x:c r="U82" s="22"/>
      <x:c r="V82" s="22"/>
      <x:c r="W82" s="22"/>
      <x:c r="X82" s="22"/>
      <x:c r="Y82" s="22" t="str">
        <x:v>東京港・水辺</x:v>
      </x:c>
      <x:c r="Z82" s="22"/>
    </x:row>
    <x:row r="83">
      <x:c r="A83" s="27" t="str">
        <x:v>R082</x:v>
      </x:c>
      <x:c r="B83" s="27" t="str">
        <x:v>行田・古代史ライン</x:v>
      </x:c>
      <x:c r="C83" s="27" t="str">
        <x:v>古墳／古代蓮／展望</x:v>
      </x:c>
      <x:c r="D83" s="27" t="str">
        <x:v>現在地</x:v>
      </x:c>
      <x:c r="E83" s="27" t="str">
        <x:v>さきたま古墳公園</x:v>
      </x:c>
      <x:c r="F83" s="27"/>
      <x:c r="G83" s="27"/>
      <x:c r="H83" s="27" t="str">
        <x:v>古代蓮の里・行田タワー</x:v>
      </x:c>
      <x:c r="I83" s="27" t="str">
        <x:v>250～330分</x:v>
      </x:c>
      <x:c r="J83" s="27" t="n">
        <x:v>2</x:v>
      </x:c>
      <x:c r="K83" s="27" t="str">
        <x:v>蓮期は早朝推奨。夜間より昼向け。</x:v>
      </x:c>
      <x:c r="L83" s="49" t="e">
        <x:f>HYPERLINK("https://www.google.com/maps/dir/?api=1&amp;destination=%E5%8F%A4%E4%BB%A3%E8%93%AE%E3%81%AE%E9%87%8C%E3%83%BB%E8%A1%8C%E7%94%B0%E3%82%BF%E3%83%AF%E3%83%BC&amp;travelmode=driving&amp;waypoints=%E3%81%95%E3%81%8D%E3%81%9F%E3%81%BE%E5%8F%A4%E5%A2%B3%E5%85%AC%E5%9C%92","現在地からルート開始")</x:f>
      </x:c>
      <x:c r="M83" s="22" t="str">
        <x:v>昼専用</x:v>
      </x:c>
      <x:c r="N83" s="22" t="n">
        <x:v>85</x:v>
      </x:c>
      <x:c r="O83" s="22" t="str">
        <x:v>維持</x:v>
      </x:c>
      <x:c r="P83" s="22" t="str">
        <x:v>さきたま古墳公園 → 古代蓮の里・行田タワー の順に、景観と滞在強度を変化させる。</x:v>
      </x:c>
      <x:c r="Q83" s="22"/>
      <x:c r="R83" s="23" t="n">
        <x:v>46232</x:v>
      </x:c>
      <x:c r="S83" s="22"/>
      <x:c r="T83" s="22"/>
      <x:c r="U83" s="22"/>
      <x:c r="V83" s="22"/>
      <x:c r="W83" s="22"/>
      <x:c r="X83" s="22"/>
      <x:c r="Y83" s="22" t="str">
        <x:v>都市公園・休憩</x:v>
      </x:c>
      <x:c r="Z83" s="22"/>
    </x:row>
    <x:row r="84">
      <x:c r="A84" s="27" t="str">
        <x:v>R083</x:v>
      </x:c>
      <x:c r="B84" s="27" t="str">
        <x:v>川崎都市史ショート</x:v>
      </x:c>
      <x:c r="C84" s="27" t="str">
        <x:v>市役所展望／河川／公園</x:v>
      </x:c>
      <x:c r="D84" s="27" t="str">
        <x:v>現在地</x:v>
      </x:c>
      <x:c r="E84" s="27" t="str">
        <x:v>川崎市役所 展望ロビー・スカイデッキ</x:v>
      </x:c>
      <x:c r="F84" s="27" t="str">
        <x:v>稲田公園</x:v>
      </x:c>
      <x:c r="G84" s="27"/>
      <x:c r="H84" s="27" t="str">
        <x:v>王禅寺ふるさと公園</x:v>
      </x:c>
      <x:c r="I84" s="27" t="str">
        <x:v>150～210分</x:v>
      </x:c>
      <x:c r="J84" s="27" t="n">
        <x:v>3</x:v>
      </x:c>
      <x:c r="K84" s="27" t="str">
        <x:v>王禅寺の閉場時刻に間に合わない場合は稲田公園で終了。</x:v>
      </x:c>
      <x:c r="L84" s="49" t="e">
        <x:f>HYPERLINK("https://www.google.com/maps/dir/?api=1&amp;destination=%E7%8E%8B%E7%A6%85%E5%AF%BA%E3%81%B5%E3%82%8B%E3%81%95%E3%81%A8%E5%85%AC%E5%9C%92&amp;travelmode=driving&amp;waypoints=%E5%B7%9D%E5%B4%8E%E5%B8%82%E5%BD%B9%E6%89%80%20%E5%B1%95%E6%9C%9B%E3%83%AD%E3%83%93%E3%83%BC%E3%83%BB%E3%82%B9%E3%82%AB%E3%82%A4%E3%83%87%E3%83%83%E3%82%AD%7C%E7%A8%B2%E7%94%B0%E5%85%AC%E5%9C%92","現在地からルート開始")</x:f>
      </x:c>
      <x:c r="M84" s="22" t="str">
        <x:v>通常</x:v>
      </x:c>
      <x:c r="N84" s="22" t="n">
        <x:v>80</x:v>
      </x:c>
      <x:c r="O84" s="22" t="str">
        <x:v>維持</x:v>
      </x:c>
      <x:c r="P84" s="22" t="str">
        <x:v>川崎市役所 展望ロビー・スカイデッキ → 稲田公園 → 王禅寺ふるさと公園 の順に、景観と滞在強度を変化させる。</x:v>
      </x:c>
      <x:c r="Q84" s="22"/>
      <x:c r="R84" s="23" t="n">
        <x:v>46232</x:v>
      </x:c>
      <x:c r="S84" s="22"/>
      <x:c r="T84" s="22"/>
      <x:c r="U84" s="22"/>
      <x:c r="V84" s="22"/>
      <x:c r="W84" s="22"/>
      <x:c r="X84" s="22"/>
      <x:c r="Y84" s="22" t="str">
        <x:v>河川・多摩川</x:v>
      </x:c>
      <x:c r="Z84" s="22"/>
    </x:row>
    <x:row r="85">
      <x:c r="A85" s="27" t="str">
        <x:v>R084</x:v>
      </x:c>
      <x:c r="B85" s="27" t="str">
        <x:v>特別枠・秩父夜景</x:v>
      </x:c>
      <x:c r="C85" s="27" t="str">
        <x:v>山頂／夜景／雲海</x:v>
      </x:c>
      <x:c r="D85" s="27" t="str">
        <x:v>現在地</x:v>
      </x:c>
      <x:c r="E85" s="27" t="str">
        <x:v>さきたま古墳公園</x:v>
      </x:c>
      <x:c r="F85" s="27"/>
      <x:c r="G85" s="27"/>
      <x:c r="H85" s="27" t="str">
        <x:v>美の山公園</x:v>
      </x:c>
      <x:c r="I85" s="27" t="str">
        <x:v>280～380分</x:v>
      </x:c>
      <x:c r="J85" s="27" t="n">
        <x:v>5</x:v>
      </x:c>
      <x:c r="K85" s="27" t="str">
        <x:v>概ね70km圏外寄りの特別枠。凍結・霧・野生動物・無照明に注意。</x:v>
      </x:c>
      <x:c r="L85" s="49" t="e">
        <x:f>HYPERLINK("https://www.google.com/maps/dir/?api=1&amp;destination=%E7%BE%8E%E3%81%AE%E5%B1%B1%E5%85%AC%E5%9C%92&amp;travelmode=driving&amp;waypoints=%E3%81%95%E3%81%8D%E3%81%9F%E3%81%BE%E5%8F%A4%E5%A2%B3%E5%85%AC%E5%9C%92","現在地からルート開始")</x:f>
      </x:c>
      <x:c r="M85" s="22" t="str">
        <x:v>通常</x:v>
      </x:c>
      <x:c r="N85" s="22" t="n">
        <x:v>85</x:v>
      </x:c>
      <x:c r="O85" s="22" t="str">
        <x:v>維持</x:v>
      </x:c>
      <x:c r="P85" s="22" t="str">
        <x:v>さきたま古墳公園 → 美の山公園 の順に、景観と滞在強度を変化させる。</x:v>
      </x:c>
      <x:c r="Q85" s="22"/>
      <x:c r="R85" s="23" t="n">
        <x:v>46232</x:v>
      </x:c>
      <x:c r="S85" s="22"/>
      <x:c r="T85" s="22"/>
      <x:c r="U85" s="22"/>
      <x:c r="V85" s="22"/>
      <x:c r="W85" s="22"/>
      <x:c r="X85" s="22"/>
      <x:c r="Y85" s="22" t="str">
        <x:v>東京港・水辺</x:v>
      </x:c>
      <x:c r="Z85" s="22"/>
    </x:row>
    <x:row r="86">
      <x:c r="A86" s="27" t="str">
        <x:v>R085</x:v>
      </x:c>
      <x:c r="B86" s="27" t="str">
        <x:v>金沢・海と明治史</x:v>
      </x:c>
      <x:c r="C86" s="27" t="str">
        <x:v>海／高台／旧別邸</x:v>
      </x:c>
      <x:c r="D86" s="27" t="str">
        <x:v>現在地</x:v>
      </x:c>
      <x:c r="E86" s="27" t="str">
        <x:v>海の公園</x:v>
      </x:c>
      <x:c r="F86" s="27" t="str">
        <x:v>野島公園</x:v>
      </x:c>
      <x:c r="G86" s="27"/>
      <x:c r="H86" s="27" t="str">
        <x:v>横浜・八景島シーパラダイス</x:v>
      </x:c>
      <x:c r="I86" s="27" t="str">
        <x:v>160～220分</x:v>
      </x:c>
      <x:c r="J86" s="27" t="n">
        <x:v>3</x:v>
      </x:c>
      <x:c r="K86" s="27" t="str">
        <x:v>海の公園の混雑時は野島へ直行。野島第1駐車場23時閉場。</x:v>
      </x:c>
      <x:c r="L86" s="49" t="e">
        <x:f>HYPERLINK("https://www.google.com/maps/dir/?api=1&amp;destination=%E6%A8%AA%E6%B5%9C%E3%83%BB%E5%85%AB%E6%99%AF%E5%B3%B6%E3%82%B7%E3%83%BC%E3%83%91%E3%83%A9%E3%83%80%E3%82%A4%E3%82%B9&amp;travelmode=driving&amp;waypoints=%E6%B5%B7%E3%81%AE%E5%85%AC%E5%9C%92%7C%E9%87%8E%E5%B3%B6%E5%85%AC%E5%9C%92","現在地からルート開始")</x:f>
      </x:c>
      <x:c r="M86" s="22" t="str">
        <x:v>通常</x:v>
      </x:c>
      <x:c r="N86" s="22" t="n">
        <x:v>81</x:v>
      </x:c>
      <x:c r="O86" s="22" t="str">
        <x:v>維持</x:v>
      </x:c>
      <x:c r="P86" s="22" t="str">
        <x:v>海の公園 → 野島公園 → 横浜・八景島シーパラダイス の順に、景観と滞在強度を変化させる。</x:v>
      </x:c>
      <x:c r="Q86" s="22"/>
      <x:c r="R86" s="23" t="n">
        <x:v>46232</x:v>
      </x:c>
      <x:c r="S86" s="22"/>
      <x:c r="T86" s="22"/>
      <x:c r="U86" s="22"/>
      <x:c r="V86" s="22"/>
      <x:c r="W86" s="22"/>
      <x:c r="X86" s="22"/>
      <x:c r="Y86" s="22" t="str">
        <x:v>東京港・水辺</x:v>
      </x:c>
      <x:c r="Z86" s="22"/>
    </x:row>
    <x:row r="87">
      <x:c r="A87" s="27" t="str">
        <x:v>R086</x:v>
      </x:c>
      <x:c r="B87" s="27" t="str">
        <x:v>三浦西岸サンセット</x:v>
      </x:c>
      <x:c r="C87" s="27" t="str">
        <x:v>岩礁／海岸／夕日</x:v>
      </x:c>
      <x:c r="D87" s="27" t="str">
        <x:v>現在地</x:v>
      </x:c>
      <x:c r="E87" s="27" t="str">
        <x:v>荒崎公園</x:v>
      </x:c>
      <x:c r="F87" s="27" t="str">
        <x:v>長者ヶ崎駐車場</x:v>
      </x:c>
      <x:c r="G87" s="27"/>
      <x:c r="H87" s="27" t="str">
        <x:v>葉山港</x:v>
      </x:c>
      <x:c r="I87" s="27" t="str">
        <x:v>190～260分</x:v>
      </x:c>
      <x:c r="J87" s="27" t="n">
        <x:v>3</x:v>
      </x:c>
      <x:c r="K87" s="27" t="str">
        <x:v>閉場の早い荒崎・長者ヶ崎から回る。強風・高波時は海岸へ降りない。</x:v>
      </x:c>
      <x:c r="L87" s="49" t="e">
        <x:f>HYPERLINK("https://www.google.com/maps/dir/?api=1&amp;destination=%E8%91%89%E5%B1%B1%E6%B8%AF&amp;travelmode=driving&amp;waypoints=%E8%8D%92%E5%B4%8E%E5%85%AC%E5%9C%92%7C%E9%95%B7%E8%80%85%E3%83%B6%E5%B4%8E%E9%A7%90%E8%BB%8A%E5%A0%B4","現在地からルート開始")</x:f>
      </x:c>
      <x:c r="M87" s="22" t="str">
        <x:v>通常</x:v>
      </x:c>
      <x:c r="N87" s="22" t="n">
        <x:v>72</x:v>
      </x:c>
      <x:c r="O87" s="22" t="str">
        <x:v>維持</x:v>
      </x:c>
      <x:c r="P87" s="22" t="str">
        <x:v>荒崎公園 → 長者ヶ崎駐車場 → 葉山港 の順に、景観と滞在強度を変化させる。</x:v>
      </x:c>
      <x:c r="Q87" s="22"/>
      <x:c r="R87" s="23" t="n">
        <x:v>46232</x:v>
      </x:c>
      <x:c r="S87" s="22"/>
      <x:c r="T87" s="22"/>
      <x:c r="U87" s="22"/>
      <x:c r="V87" s="22"/>
      <x:c r="W87" s="22"/>
      <x:c r="X87" s="22"/>
      <x:c r="Y87" s="22" t="str">
        <x:v>東京港・水辺</x:v>
      </x:c>
      <x:c r="Z87" s="22"/>
    </x:row>
    <x:row r="88">
      <x:c r="A88" s="27" t="str">
        <x:v>R087</x:v>
      </x:c>
      <x:c r="B88" s="27" t="str">
        <x:v>大磯・近代史ライン</x:v>
      </x:c>
      <x:c r="C88" s="27" t="str">
        <x:v>旧別邸／高台／海</x:v>
      </x:c>
      <x:c r="D88" s="27" t="str">
        <x:v>現在地</x:v>
      </x:c>
      <x:c r="E88" s="27" t="str">
        <x:v>大磯城山公園</x:v>
      </x:c>
      <x:c r="F88" s="27" t="str">
        <x:v>大磯港</x:v>
      </x:c>
      <x:c r="G88" s="27"/>
      <x:c r="H88" s="27" t="str">
        <x:v>湘南平</x:v>
      </x:c>
      <x:c r="I88" s="27" t="str">
        <x:v>190～250分</x:v>
      </x:c>
      <x:c r="J88" s="27" t="n">
        <x:v>2</x:v>
      </x:c>
      <x:c r="K88" s="27" t="str">
        <x:v>大磯城山は17時閉場。湘南平を夕方以降の最終地点にする。</x:v>
      </x:c>
      <x:c r="L88" s="49" t="e">
        <x:f>HYPERLINK("https://www.google.com/maps/dir/?api=1&amp;destination=%E6%B9%98%E5%8D%97%E5%B9%B3&amp;travelmode=driving&amp;waypoints=%E5%A4%A7%E7%A3%AF%E5%9F%8E%E5%B1%B1%E5%85%AC%E5%9C%92%7C%E5%A4%A7%E7%A3%AF%E6%B8%AF","現在地からルート開始")</x:f>
      </x:c>
      <x:c r="M88" s="22" t="str">
        <x:v>昼専用</x:v>
      </x:c>
      <x:c r="N88" s="22" t="n">
        <x:v>87</x:v>
      </x:c>
      <x:c r="O88" s="22" t="str">
        <x:v>維持</x:v>
      </x:c>
      <x:c r="P88" s="22" t="str">
        <x:v>大磯城山公園 → 大磯港 → 湘南平 の順に、景観と滞在強度を変化させる。</x:v>
      </x:c>
      <x:c r="Q88" s="22"/>
      <x:c r="R88" s="23" t="n">
        <x:v>46232</x:v>
      </x:c>
      <x:c r="S88" s="22"/>
      <x:c r="T88" s="22"/>
      <x:c r="U88" s="22"/>
      <x:c r="V88" s="22"/>
      <x:c r="W88" s="22"/>
      <x:c r="X88" s="22"/>
      <x:c r="Y88" s="22" t="str">
        <x:v>東京港・水辺</x:v>
      </x:c>
      <x:c r="Z88" s="22"/>
    </x:row>
    <x:row r="89">
      <x:c r="A89" s="27" t="str">
        <x:v>R088</x:v>
      </x:c>
      <x:c r="B89" s="27" t="str">
        <x:v>横浜港・ふ頭三連</x:v>
      </x:c>
      <x:c r="C89" s="27" t="str">
        <x:v>港／大型船／工業景観</x:v>
      </x:c>
      <x:c r="D89" s="27" t="str">
        <x:v>現在地</x:v>
      </x:c>
      <x:c r="E89" s="27" t="str">
        <x:v>本牧海づり施設</x:v>
      </x:c>
      <x:c r="F89" s="27" t="str">
        <x:v>大黒海づり施設</x:v>
      </x:c>
      <x:c r="G89" s="27"/>
      <x:c r="H89" s="27" t="str">
        <x:v>川崎マリエン</x:v>
      </x:c>
      <x:c r="I89" s="27" t="str">
        <x:v>180～250分</x:v>
      </x:c>
      <x:c r="J89" s="27" t="n">
        <x:v>3</x:v>
      </x:c>
      <x:c r="K89" s="27" t="str">
        <x:v>海づり施設は19時終了。大黒ふ頭の物流区域へ進入しない。</x:v>
      </x:c>
      <x:c r="L89" s="49" t="e">
        <x:f>HYPERLINK("https://www.google.com/maps/dir/?api=1&amp;destination=%E5%B7%9D%E5%B4%8E%E3%83%9E%E3%83%AA%E3%82%A8%E3%83%B3&amp;travelmode=driving&amp;waypoints=%E6%9C%AC%E7%89%A7%E6%B5%B7%E3%81%A5%E3%82%8A%E6%96%BD%E8%A8%AD%7C%E5%A4%A7%E9%BB%92%E6%B5%B7%E3%81%A5%E3%82%8A%E6%96%BD%E8%A8%AD","現在地からルート開始")</x:f>
      </x:c>
      <x:c r="M89" s="22" t="str">
        <x:v>通常</x:v>
      </x:c>
      <x:c r="N89" s="22" t="n">
        <x:v>73</x:v>
      </x:c>
      <x:c r="O89" s="22" t="str">
        <x:v>維持</x:v>
      </x:c>
      <x:c r="P89" s="22" t="str">
        <x:v>本牧海づり施設 → 大黒海づり施設 → 川崎マリエン の順に、景観と滞在強度を変化させる。</x:v>
      </x:c>
      <x:c r="Q89" s="22"/>
      <x:c r="R89" s="23" t="n">
        <x:v>46232</x:v>
      </x:c>
      <x:c r="S89" s="22"/>
      <x:c r="T89" s="22"/>
      <x:c r="U89" s="22"/>
      <x:c r="V89" s="22"/>
      <x:c r="W89" s="22"/>
      <x:c r="X89" s="22"/>
      <x:c r="Y89" s="22" t="str">
        <x:v>川崎・工場夜景</x:v>
      </x:c>
      <x:c r="Z89" s="22"/>
    </x:row>
    <x:row r="90">
      <x:c r="A90" s="27" t="str">
        <x:v>R089</x:v>
      </x:c>
      <x:c r="B90" s="27" t="str">
        <x:v>根岸湾工業景観</x:v>
      </x:c>
      <x:c r="C90" s="27" t="str">
        <x:v>工業湾岸／高台／港</x:v>
      </x:c>
      <x:c r="D90" s="27" t="str">
        <x:v>現在地</x:v>
      </x:c>
      <x:c r="E90" s="27" t="str">
        <x:v>磯子海づり施設</x:v>
      </x:c>
      <x:c r="F90" s="27" t="str">
        <x:v>本牧山頂公園</x:v>
      </x:c>
      <x:c r="G90" s="27"/>
      <x:c r="H90" s="27" t="str">
        <x:v>横浜港シンボルタワー</x:v>
      </x:c>
      <x:c r="I90" s="27" t="str">
        <x:v>160～220分</x:v>
      </x:c>
      <x:c r="J90" s="27" t="n">
        <x:v>3</x:v>
      </x:c>
      <x:c r="K90" s="27" t="str">
        <x:v>各施設の閉場時刻を確認。工場岸壁・私道へ入らない。</x:v>
      </x:c>
      <x:c r="L90" s="49" t="e">
        <x:f>HYPERLINK("https://www.google.com/maps/dir/?api=1&amp;destination=%E6%A8%AA%E6%B5%9C%E6%B8%AF%E3%82%B7%E3%83%B3%E3%83%9C%E3%83%AB%E3%82%BF%E3%83%AF%E3%83%BC&amp;travelmode=driving&amp;waypoints=%E7%A3%AF%E5%AD%90%E6%B5%B7%E3%81%A5%E3%82%8A%E6%96%BD%E8%A8%AD%7C%E6%9C%AC%E7%89%A7%E5%B1%B1%E9%A0%82%E5%85%AC%E5%9C%92","現在地からルート開始")</x:f>
      </x:c>
      <x:c r="M90" s="22" t="str">
        <x:v>通常</x:v>
      </x:c>
      <x:c r="N90" s="22" t="n">
        <x:v>81</x:v>
      </x:c>
      <x:c r="O90" s="22" t="str">
        <x:v>維持</x:v>
      </x:c>
      <x:c r="P90" s="22" t="str">
        <x:v>磯子海づり施設 → 本牧山頂公園 → 横浜港シンボルタワー の順に、景観と滞在強度を変化させる。</x:v>
      </x:c>
      <x:c r="Q90" s="22"/>
      <x:c r="R90" s="23" t="n">
        <x:v>46232</x:v>
      </x:c>
      <x:c r="S90" s="22" t="n">
        <x:v>68</x:v>
      </x:c>
      <x:c r="T90" s="22" t="n">
        <x:v>3</x:v>
      </x:c>
      <x:c r="U90" s="22" t="str">
        <x:v>海・港・工場夜景 → 海・港・工場夜景 → 海・港・工場夜景 → 海・港・都市夜景</x:v>
      </x:c>
      <x:c r="V90" s="22" t="str">
        <x:v>磯子海づり施設:18分／本牧山頂公園:25分／横浜港シンボルタワー:40分</x:v>
      </x:c>
      <x:c r="W90" s="22" t="str">
        <x:v>専用・公式駐車場へ直接入庫</x:v>
      </x:c>
      <x:c r="X90" s="22" t="str">
        <x:v>19:00に間に合わない時／臨時閉鎖・イベント混雑時／20:00に間に合わない時／工事・閉鎖時</x:v>
      </x:c>
      <x:c r="Y90" s="22" t="str">
        <x:v>川崎・工場夜景</x:v>
      </x:c>
      <x:c r="Z90" s="22"/>
    </x:row>
    <x:row r="91">
      <x:c r="A91" s="27" t="str">
        <x:v>R090</x:v>
      </x:c>
      <x:c r="B91" s="27" t="str">
        <x:v>千葉・森の深度変化</x:v>
      </x:c>
      <x:c r="C91" s="27" t="str">
        <x:v>森林／谷津／高台</x:v>
      </x:c>
      <x:c r="D91" s="27" t="str">
        <x:v>現在地</x:v>
      </x:c>
      <x:c r="E91" s="27" t="str">
        <x:v>泉自然公園</x:v>
      </x:c>
      <x:c r="F91" s="27"/>
      <x:c r="G91" s="27"/>
      <x:c r="H91" s="27" t="str">
        <x:v>昭和の森</x:v>
      </x:c>
      <x:c r="I91" s="27" t="str">
        <x:v>230～300分</x:v>
      </x:c>
      <x:c r="J91" s="27" t="n">
        <x:v>1</x:v>
      </x:c>
      <x:c r="K91" s="27" t="str">
        <x:v>両方とも夕方閉場の完全昼ルート。季節で閉場が早まる。</x:v>
      </x:c>
      <x:c r="L91" s="49" t="e">
        <x:f>HYPERLINK("https://www.google.com/maps/dir/?api=1&amp;destination=%E6%98%AD%E5%92%8C%E3%81%AE%E6%A3%AE&amp;travelmode=driving&amp;waypoints=%E6%B3%89%E8%87%AA%E7%84%B6%E5%85%AC%E5%9C%92","現在地からルート開始")</x:f>
      </x:c>
      <x:c r="M91" s="22" t="str">
        <x:v>昼専用</x:v>
      </x:c>
      <x:c r="N91" s="22" t="n">
        <x:v>81</x:v>
      </x:c>
      <x:c r="O91" s="22" t="str">
        <x:v>維持</x:v>
      </x:c>
      <x:c r="P91" s="22" t="str">
        <x:v>泉自然公園 → 昭和の森 の順に、景観と滞在強度を変化させる。</x:v>
      </x:c>
      <x:c r="Q91" s="22"/>
      <x:c r="R91" s="23" t="n">
        <x:v>46232</x:v>
      </x:c>
      <x:c r="S91" s="22"/>
      <x:c r="T91" s="22"/>
      <x:c r="U91" s="22"/>
      <x:c r="V91" s="22"/>
      <x:c r="W91" s="22"/>
      <x:c r="X91" s="22"/>
      <x:c r="Y91" s="22" t="str">
        <x:v>森林・高台</x:v>
      </x:c>
      <x:c r="Z91" s="22"/>
    </x:row>
    <x:row r="92">
      <x:c r="A92" s="27" t="str">
        <x:v>R091</x:v>
      </x:c>
      <x:c r="B92" s="27" t="str">
        <x:v>内房・工場夜景Ending</x:v>
      </x:c>
      <x:c r="C92" s="27" t="str">
        <x:v>海／展望塔／工業湾岸</x:v>
      </x:c>
      <x:c r="D92" s="27" t="str">
        <x:v>現在地</x:v>
      </x:c>
      <x:c r="E92" s="27" t="str">
        <x:v>袖ケ浦海浜公園</x:v>
      </x:c>
      <x:c r="F92" s="27" t="str">
        <x:v>千葉ポートタワー</x:v>
      </x:c>
      <x:c r="G92" s="27"/>
      <x:c r="H92" s="27" t="str">
        <x:v>海浜大通り展望駐車場</x:v>
      </x:c>
      <x:c r="I92" s="27" t="str">
        <x:v>220～290分</x:v>
      </x:c>
      <x:c r="J92" s="27" t="n">
        <x:v>5</x:v>
      </x:c>
      <x:c r="K92" s="27" t="str">
        <x:v>強風時は展望塔を避ける。展望駐車場は13台のため満車時は通過。</x:v>
      </x:c>
      <x:c r="L92" s="49" t="e">
        <x:f>HYPERLINK("https://www.google.com/maps/dir/?api=1&amp;destination=%E6%B5%B7%E6%B5%9C%E5%A4%A7%E9%80%9A%E3%82%8A%E5%B1%95%E6%9C%9B%E9%A7%90%E8%BB%8A%E5%A0%B4&amp;travelmode=driving&amp;waypoints=%E8%A2%96%E3%82%B1%E6%B5%A6%E6%B5%B7%E6%B5%9C%E5%85%AC%E5%9C%92%7C%E5%8D%83%E8%91%89%E3%83%9D%E3%83%BC%E3%83%88%E3%82%BF%E3%83%AF%E3%83%BC","現在地からルート開始")</x:f>
      </x:c>
      <x:c r="M92" s="22" t="str">
        <x:v>通常</x:v>
      </x:c>
      <x:c r="N92" s="22" t="n">
        <x:v>79</x:v>
      </x:c>
      <x:c r="O92" s="22" t="str">
        <x:v>維持</x:v>
      </x:c>
      <x:c r="P92" s="22" t="str">
        <x:v>袖ケ浦海浜公園 → 千葉ポートタワー → 海浜大通り展望駐車場 の順に、景観と滞在強度を変化させる。</x:v>
      </x:c>
      <x:c r="Q92" s="22"/>
      <x:c r="R92" s="23" t="n">
        <x:v>46232</x:v>
      </x:c>
      <x:c r="S92" s="22"/>
      <x:c r="T92" s="22"/>
      <x:c r="U92" s="22"/>
      <x:c r="V92" s="22"/>
      <x:c r="W92" s="22"/>
      <x:c r="X92" s="22"/>
      <x:c r="Y92" s="22" t="str">
        <x:v>川崎・工場夜景</x:v>
      </x:c>
      <x:c r="Z92" s="22"/>
    </x:row>
    <x:row r="93">
      <x:c r="A93" s="27" t="str">
        <x:v>R092</x:v>
      </x:c>
      <x:c r="B93" s="27" t="str">
        <x:v>東京北西24時間公園線</x:v>
      </x:c>
      <x:c r="C93" s="27" t="str">
        <x:v>芝生／旧飛行場／池</x:v>
      </x:c>
      <x:c r="D93" s="27" t="str">
        <x:v>現在地</x:v>
      </x:c>
      <x:c r="E93" s="27" t="str">
        <x:v>高井戸公園</x:v>
      </x:c>
      <x:c r="F93" s="27" t="str">
        <x:v>光が丘公園</x:v>
      </x:c>
      <x:c r="G93" s="27"/>
      <x:c r="H93" s="27" t="str">
        <x:v>石神井公園</x:v>
      </x:c>
      <x:c r="I93" s="27" t="str">
        <x:v>150～220分</x:v>
      </x:c>
      <x:c r="J93" s="27" t="n">
        <x:v>4</x:v>
      </x:c>
      <x:c r="K93" s="27" t="str">
        <x:v>深夜は各地点20分以内。石神井池周辺の暗い園路を避ける。</x:v>
      </x:c>
      <x:c r="L93" s="49" t="e">
        <x:f>HYPERLINK("https://www.google.com/maps/dir/?api=1&amp;destination=%E7%9F%B3%E7%A5%9E%E4%BA%95%E5%85%AC%E5%9C%92&amp;travelmode=driving&amp;waypoints=%E9%AB%98%E4%BA%95%E6%88%B8%E5%85%AC%E5%9C%92%7C%E5%85%89%E3%81%8C%E4%B8%98%E5%85%AC%E5%9C%92","現在地からルート開始")</x:f>
      </x:c>
      <x:c r="M93" s="22" t="str">
        <x:v>通常</x:v>
      </x:c>
      <x:c r="N93" s="22" t="n">
        <x:v>86</x:v>
      </x:c>
      <x:c r="O93" s="22" t="str">
        <x:v>維持</x:v>
      </x:c>
      <x:c r="P93" s="22" t="str">
        <x:v>高井戸公園 → 光が丘公園 → 石神井公園 の順に、景観と滞在強度を変化させる。</x:v>
      </x:c>
      <x:c r="Q93" s="22"/>
      <x:c r="R93" s="23" t="n">
        <x:v>46232</x:v>
      </x:c>
      <x:c r="S93" s="22"/>
      <x:c r="T93" s="22"/>
      <x:c r="U93" s="22"/>
      <x:c r="V93" s="22"/>
      <x:c r="W93" s="22"/>
      <x:c r="X93" s="22"/>
      <x:c r="Y93" s="22" t="str">
        <x:v>羽田・航空</x:v>
      </x:c>
      <x:c r="Z93" s="22"/>
    </x:row>
    <x:row r="94">
      <x:c r="A94" s="27" t="str">
        <x:v>R093</x:v>
      </x:c>
      <x:c r="B94" s="27" t="str">
        <x:v>東京北東24時間公園線</x:v>
      </x:c>
      <x:c r="C94" s="27" t="str">
        <x:v>遺跡／池／夜間</x:v>
      </x:c>
      <x:c r="D94" s="27" t="str">
        <x:v>現在地</x:v>
      </x:c>
      <x:c r="E94" s="27" t="str">
        <x:v>城北中央公園</x:v>
      </x:c>
      <x:c r="F94" s="27" t="str">
        <x:v>舎人公園</x:v>
      </x:c>
      <x:c r="G94" s="27"/>
      <x:c r="H94" s="27" t="str">
        <x:v>東綾瀬公園</x:v>
      </x:c>
      <x:c r="I94" s="27" t="str">
        <x:v>150～210分</x:v>
      </x:c>
      <x:c r="J94" s="27" t="n">
        <x:v>4</x:v>
      </x:c>
      <x:c r="K94" s="27" t="str">
        <x:v>住宅地への騒音配慮。イベント時の満車は次地点へ進む。</x:v>
      </x:c>
      <x:c r="L94" s="49" t="e">
        <x:f>HYPERLINK("https://www.google.com/maps/dir/?api=1&amp;destination=%E6%9D%B1%E7%B6%BE%E7%80%AC%E5%85%AC%E5%9C%92&amp;travelmode=driving&amp;waypoints=%E5%9F%8E%E5%8C%97%E4%B8%AD%E5%A4%AE%E5%85%AC%E5%9C%92%7C%E8%88%8E%E4%BA%BA%E5%85%AC%E5%9C%92","現在地からルート開始")</x:f>
      </x:c>
      <x:c r="M94" s="22" t="str">
        <x:v>通常</x:v>
      </x:c>
      <x:c r="N94" s="22" t="n">
        <x:v>78</x:v>
      </x:c>
      <x:c r="O94" s="22" t="str">
        <x:v>維持</x:v>
      </x:c>
      <x:c r="P94" s="22" t="str">
        <x:v>城北中央公園 → 舎人公園 → 東綾瀬公園 の順に、景観と滞在強度を変化させる。</x:v>
      </x:c>
      <x:c r="Q94" s="22"/>
      <x:c r="R94" s="23" t="n">
        <x:v>46232</x:v>
      </x:c>
      <x:c r="S94" s="22" t="n">
        <x:v>79</x:v>
      </x:c>
      <x:c r="T94" s="22" t="n">
        <x:v>0</x:v>
      </x:c>
      <x:c r="U94" s="22" t="str">
        <x:v>自然・Story → 都市夜景・自然 → 都市夜景・自然 → 自然</x:v>
      </x:c>
      <x:c r="V94" s="22" t="str">
        <x:v>城北中央公園:20分／舎人公園:18分／東綾瀬公園:45分</x:v>
      </x:c>
      <x:c r="W94" s="22" t="str">
        <x:v>小規模。満車なら待たずに省略／専用・公式駐車場へ直接入庫</x:v>
      </x:c>
      <x:c r="X94" s="22" t="str">
        <x:v>満車時／臨時閉鎖・イベント混雑時</x:v>
      </x:c>
      <x:c r="Y94" s="22" t="str">
        <x:v>Story・文化</x:v>
      </x:c>
      <x:c r="Z94" s="22"/>
    </x:row>
    <x:row r="95">
      <x:c r="A95" s="27" t="str">
        <x:v>R094</x:v>
      </x:c>
      <x:c r="B95" s="27" t="str">
        <x:v>荒川・湖・河川敷</x:v>
      </x:c>
      <x:c r="C95" s="27" t="str">
        <x:v>河川敷／湖／広大空間</x:v>
      </x:c>
      <x:c r="D95" s="27" t="str">
        <x:v>現在地</x:v>
      </x:c>
      <x:c r="E95" s="27" t="str">
        <x:v>秋ヶ瀬公園</x:v>
      </x:c>
      <x:c r="F95" s="27" t="str">
        <x:v>彩湖・道満グリーンパーク</x:v>
      </x:c>
      <x:c r="G95" s="27"/>
      <x:c r="H95" s="27" t="str">
        <x:v>みさと公園</x:v>
      </x:c>
      <x:c r="I95" s="27" t="str">
        <x:v>210～280分</x:v>
      </x:c>
      <x:c r="J95" s="27" t="n">
        <x:v>2</x:v>
      </x:c>
      <x:c r="K95" s="27" t="str">
        <x:v>増水・台風後は全地点の開放状況確認。行楽期の彩湖渋滞を回避。</x:v>
      </x:c>
      <x:c r="L95" s="49" t="e">
        <x:f>HYPERLINK("https://www.google.com/maps/dir/?api=1&amp;destination=%E3%81%BF%E3%81%95%E3%81%A8%E5%85%AC%E5%9C%92&amp;travelmode=driving&amp;waypoints=%E7%A7%8B%E3%83%B6%E7%80%AC%E5%85%AC%E5%9C%92%7C%E5%BD%A9%E6%B9%96%E3%83%BB%E9%81%93%E6%BA%80%E3%82%B0%E3%83%AA%E3%83%BC%E3%83%B3%E3%83%91%E3%83%BC%E3%82%AF","現在地からルート開始")</x:f>
      </x:c>
      <x:c r="M95" s="22" t="str">
        <x:v>昼専用</x:v>
      </x:c>
      <x:c r="N95" s="22" t="n">
        <x:v>76</x:v>
      </x:c>
      <x:c r="O95" s="22" t="str">
        <x:v>維持</x:v>
      </x:c>
      <x:c r="P95" s="22" t="str">
        <x:v>秋ヶ瀬公園 → 彩湖・道満グリーンパーク → みさと公園 の順に、景観と滞在強度を変化させる。</x:v>
      </x:c>
      <x:c r="Q95" s="22"/>
      <x:c r="R95" s="23" t="n">
        <x:v>46232</x:v>
      </x:c>
      <x:c r="S95" s="22"/>
      <x:c r="T95" s="22"/>
      <x:c r="U95" s="22"/>
      <x:c r="V95" s="22"/>
      <x:c r="W95" s="22"/>
      <x:c r="X95" s="22"/>
      <x:c r="Y95" s="22" t="str">
        <x:v>河川・多摩川</x:v>
      </x:c>
      <x:c r="Z95" s="22"/>
    </x:row>
    <x:row r="96">
      <x:c r="A96" s="27" t="str">
        <x:v>R095</x:v>
      </x:c>
      <x:c r="B96" s="27" t="str">
        <x:v>埼玉東部・堤と古墳</x:v>
      </x:c>
      <x:c r="C96" s="27" t="str">
        <x:v>花／堤／古墳Story</x:v>
      </x:c>
      <x:c r="D96" s="27" t="str">
        <x:v>現在地</x:v>
      </x:c>
      <x:c r="E96" s="27" t="str">
        <x:v>権現堂公園</x:v>
      </x:c>
      <x:c r="F96" s="27" t="str">
        <x:v>さきたま古墳公園</x:v>
      </x:c>
      <x:c r="G96" s="27"/>
      <x:c r="H96" s="27" t="str">
        <x:v>吉見百穴</x:v>
      </x:c>
      <x:c r="I96" s="27" t="str">
        <x:v>270～350分</x:v>
      </x:c>
      <x:c r="J96" s="27" t="n">
        <x:v>1</x:v>
      </x:c>
      <x:c r="K96" s="27" t="str">
        <x:v>吉見百穴17時前到着必須。花期は権現堂を省略する判断も必要。</x:v>
      </x:c>
      <x:c r="L96" s="49" t="e">
        <x:f>HYPERLINK("https://www.google.com/maps/dir/?api=1&amp;destination=%E5%90%89%E8%A6%8B%E7%99%BE%E7%A9%B4&amp;travelmode=driving&amp;waypoints=%E6%A8%A9%E7%8F%BE%E5%A0%82%E5%85%AC%E5%9C%92%7C%E3%81%95%E3%81%8D%E3%81%9F%E3%81%BE%E5%8F%A4%E5%A2%B3%E5%85%AC%E5%9C%92","現在地からルート開始")</x:f>
      </x:c>
      <x:c r="M96" s="22" t="str">
        <x:v>昼専用</x:v>
      </x:c>
      <x:c r="N96" s="22" t="n">
        <x:v>78</x:v>
      </x:c>
      <x:c r="O96" s="22" t="str">
        <x:v>維持</x:v>
      </x:c>
      <x:c r="P96" s="22" t="str">
        <x:v>権現堂公園 → さきたま古墳公園 → 吉見百穴 の順に、景観と滞在強度を変化させる。</x:v>
      </x:c>
      <x:c r="Q96" s="22"/>
      <x:c r="R96" s="23" t="n">
        <x:v>46232</x:v>
      </x:c>
      <x:c r="S96" s="22"/>
      <x:c r="T96" s="22"/>
      <x:c r="U96" s="22"/>
      <x:c r="V96" s="22"/>
      <x:c r="W96" s="22"/>
      <x:c r="X96" s="22"/>
      <x:c r="Y96" s="22" t="str">
        <x:v>Story・文化</x:v>
      </x:c>
      <x:c r="Z96" s="22"/>
    </x:row>
    <x:row r="97">
      <x:c r="A97" s="27" t="str">
        <x:v>R096</x:v>
      </x:c>
      <x:c r="B97" s="27" t="str">
        <x:v>横浜南部・海から港へ</x:v>
      </x:c>
      <x:c r="C97" s="27" t="str">
        <x:v>人工海浜／旧別邸／工業港</x:v>
      </x:c>
      <x:c r="D97" s="27" t="str">
        <x:v>現在地</x:v>
      </x:c>
      <x:c r="E97" s="27" t="str">
        <x:v>海の公園</x:v>
      </x:c>
      <x:c r="F97" s="27" t="str">
        <x:v>野島公園</x:v>
      </x:c>
      <x:c r="G97" s="27" t="str">
        <x:v>磯子海づり施設</x:v>
      </x:c>
      <x:c r="H97" s="27" t="str">
        <x:v>臨港パーク</x:v>
      </x:c>
      <x:c r="I97" s="27" t="str">
        <x:v>210～290分</x:v>
      </x:c>
      <x:c r="J97" s="27" t="n">
        <x:v>3</x:v>
      </x:c>
      <x:c r="K97" s="27" t="str">
        <x:v>各駐車場閉場と混雑を確認。最後は24時間周辺駐車場のある都市港へ移る。</x:v>
      </x:c>
      <x:c r="L97" s="49" t="e">
        <x:f>HYPERLINK("https://www.google.com/maps/dir/?api=1&amp;destination=%E8%87%A8%E6%B8%AF%E3%83%91%E3%83%BC%E3%82%AF&amp;travelmode=driving&amp;waypoints=%E6%B5%B7%E3%81%AE%E5%85%AC%E5%9C%92%7C%E9%87%8E%E5%B3%B6%E5%85%AC%E5%9C%92%7C%E7%A3%AF%E5%AD%90%E6%B5%B7%E3%81%A5%E3%82%8A%E6%96%BD%E8%A8%AD","現在地からルート開始")</x:f>
      </x:c>
      <x:c r="M97" s="22" t="str">
        <x:v>通常</x:v>
      </x:c>
      <x:c r="N97" s="22" t="n">
        <x:v>78</x:v>
      </x:c>
      <x:c r="O97" s="22" t="str">
        <x:v>維持</x:v>
      </x:c>
      <x:c r="P97" s="22" t="str">
        <x:v>海の公園 → 野島公園 → 磯子海づり施設 → 臨港パーク の順に、景観と滞在強度を変化させる。</x:v>
      </x:c>
      <x:c r="Q97" s="22"/>
      <x:c r="R97" s="23" t="n">
        <x:v>46232</x:v>
      </x:c>
      <x:c r="S97" s="22"/>
      <x:c r="T97" s="22"/>
      <x:c r="U97" s="22"/>
      <x:c r="V97" s="22"/>
      <x:c r="W97" s="22"/>
      <x:c r="X97" s="22"/>
      <x:c r="Y97" s="22" t="str">
        <x:v>川崎・工場夜景</x:v>
      </x:c>
      <x:c r="Z97" s="22"/>
    </x:row>
    <x:row r="98">
      <x:c r="A98" s="27" t="str">
        <x:v>R097</x:v>
      </x:c>
      <x:c r="B98" s="27" t="str">
        <x:v>浦安ベイ・24時間海辺線</x:v>
      </x:c>
      <x:c r="C98" s="27" t="str">
        <x:v>海／芝生／都市夜景</x:v>
      </x:c>
      <x:c r="D98" s="27" t="str">
        <x:v>現在地</x:v>
      </x:c>
      <x:c r="E98" s="27" t="str">
        <x:v>高洲海浜公園</x:v>
      </x:c>
      <x:c r="F98" s="27" t="str">
        <x:v>浦安市総合公園</x:v>
      </x:c>
      <x:c r="G98" s="27" t="str">
        <x:v>葛西臨海公園</x:v>
      </x:c>
      <x:c r="H98" s="27" t="str">
        <x:v>潮風公園</x:v>
      </x:c>
      <x:c r="I98" s="27" t="str">
        <x:v>150～220分</x:v>
      </x:c>
      <x:c r="J98" s="27" t="n">
        <x:v>5</x:v>
      </x:c>
      <x:c r="K98" s="27" t="str">
        <x:v>高洲と浦安総合は終日駐車可能。海風が強い日は各地点の滞在を短縮。</x:v>
      </x:c>
      <x:c r="L98" s="49" t="e">
        <x:f>HYPERLINK("https://www.google.com/maps/dir/?api=1&amp;destination=%E6%BD%AE%E9%A2%A8%E5%85%AC%E5%9C%92&amp;travelmode=driving&amp;waypoints=%E9%AB%98%E6%B4%B2%E6%B5%B7%E6%B5%9C%E5%85%AC%E5%9C%92%7C%E6%B5%A6%E5%AE%89%E5%B8%82%E7%B7%8F%E5%90%88%E5%85%AC%E5%9C%92%7C%E8%91%9B%E8%A5%BF%E8%87%A8%E6%B5%B7%E5%85%AC%E5%9C%92","現在地からルート開始")</x:f>
      </x:c>
      <x:c r="M98" s="22" t="str">
        <x:v>通常</x:v>
      </x:c>
      <x:c r="N98" s="22" t="n">
        <x:v>88</x:v>
      </x:c>
      <x:c r="O98" s="22" t="str">
        <x:v>維持</x:v>
      </x:c>
      <x:c r="P98" s="22" t="str">
        <x:v>高洲海浜公園 → 浦安市総合公園 → 葛西臨海公園 → 潮風公園 の順に、景観と滞在強度を変化させる。</x:v>
      </x:c>
      <x:c r="Q98" s="22"/>
      <x:c r="R98" s="23" t="n">
        <x:v>46232</x:v>
      </x:c>
      <x:c r="S98" s="22" t="n">
        <x:v>77</x:v>
      </x:c>
      <x:c r="T98" s="22" t="n">
        <x:v>0</x:v>
      </x:c>
      <x:c r="U98" s="22" t="str">
        <x:v>海・港・都市夜景 → 海・港・自然 → 海・港・自然 → 海・港・自然 → 海・港・自然 → 海・港・都市夜景</x:v>
      </x:c>
      <x:c r="V98" s="22" t="str">
        <x:v>高洲海浜公園:25分／浦安市総合公園:20分／葛西臨海公園:20分／潮風公園:45分</x:v>
      </x:c>
      <x:c r="W98" s="22" t="str">
        <x:v>専用・公式駐車場へ直接入庫</x:v>
      </x:c>
      <x:c r="X98" s="22" t="str">
        <x:v>強風・高潮・増水時／臨時閉鎖・イベント混雑時／工事・閉鎖時</x:v>
      </x:c>
      <x:c r="Y98" s="22" t="str">
        <x:v>東京港・水辺</x:v>
      </x:c>
      <x:c r="Z98" s="22"/>
    </x:row>
    <x:row r="99">
      <x:c r="A99" s="27" t="str">
        <x:v>R098</x:v>
      </x:c>
      <x:c r="B99" s="27" t="str">
        <x:v>習志野ベイ・人工海浜線</x:v>
      </x:c>
      <x:c r="C99" s="27" t="str">
        <x:v>緑地／行き止まり／人工海浜</x:v>
      </x:c>
      <x:c r="D99" s="27" t="str">
        <x:v>現在地</x:v>
      </x:c>
      <x:c r="E99" s="27" t="str">
        <x:v>香澄公園</x:v>
      </x:c>
      <x:c r="F99" s="27" t="str">
        <x:v>茜浜緑地・海浜公園</x:v>
      </x:c>
      <x:c r="G99" s="27" t="str">
        <x:v>検見川の浜・稲毛ヨットハーバー</x:v>
      </x:c>
      <x:c r="H99" s="27" t="str">
        <x:v>海浜大通り展望駐車場</x:v>
      </x:c>
      <x:c r="I99" s="27" t="str">
        <x:v>190～260分</x:v>
      </x:c>
      <x:c r="J99" s="27" t="n">
        <x:v>2</x:v>
      </x:c>
      <x:c r="K99" s="27" t="str">
        <x:v>すべて閉場時刻が早い昼専用。満車時の路上待機は禁止。</x:v>
      </x:c>
      <x:c r="L99" s="49" t="e">
        <x:f>HYPERLINK("https://www.google.com/maps/dir/?api=1&amp;destination=%E6%B5%B7%E6%B5%9C%E5%A4%A7%E9%80%9A%E3%82%8A%E5%B1%95%E6%9C%9B%E9%A7%90%E8%BB%8A%E5%A0%B4&amp;travelmode=driving&amp;waypoints=%E9%A6%99%E6%BE%84%E5%85%AC%E5%9C%92%7C%E8%8C%9C%E6%B5%9C%E7%B7%91%E5%9C%B0%E3%83%BB%E6%B5%B7%E6%B5%9C%E5%85%AC%E5%9C%92%7C%E6%A4%9C%E8%A6%8B%E5%B7%9D%E3%81%AE%E6%B5%9C%E3%83%BB%E7%A8%B2%E6%AF%9B%E3%83%A8%E3%83%83%E3%83%88%E3%83%8F%E3%83%BC%E3%83%90%E3%83%BC","現在地からルート開始")</x:f>
      </x:c>
      <x:c r="M99" s="22" t="str">
        <x:v>昼専用</x:v>
      </x:c>
      <x:c r="N99" s="22" t="n">
        <x:v>84</x:v>
      </x:c>
      <x:c r="O99" s="22" t="str">
        <x:v>維持</x:v>
      </x:c>
      <x:c r="P99" s="22" t="str">
        <x:v>香澄公園 → 茜浜緑地・海浜公園 → 検見川の浜・稲毛ヨットハーバー → 海浜大通り展望駐車場 の順に、景観と滞在強度を変化させる。</x:v>
      </x:c>
      <x:c r="Q99" s="22"/>
      <x:c r="R99" s="23" t="n">
        <x:v>46232</x:v>
      </x:c>
      <x:c r="S99" s="22"/>
      <x:c r="T99" s="22"/>
      <x:c r="U99" s="22"/>
      <x:c r="V99" s="22"/>
      <x:c r="W99" s="22"/>
      <x:c r="X99" s="22"/>
      <x:c r="Y99" s="22" t="str">
        <x:v>東京港・水辺</x:v>
      </x:c>
      <x:c r="Z99" s="22"/>
    </x:row>
    <x:row r="100">
      <x:c r="A100" s="27" t="str">
        <x:v>R099</x:v>
      </x:c>
      <x:c r="B100" s="27" t="str">
        <x:v>房総へのSAグルメライン</x:v>
      </x:c>
      <x:c r="C100" s="27" t="str">
        <x:v>PA／SA／房総への入口</x:v>
      </x:c>
      <x:c r="D100" s="27" t="str">
        <x:v>現在地</x:v>
      </x:c>
      <x:c r="E100" s="27" t="str">
        <x:v>Pasar幕張（下り）</x:v>
      </x:c>
      <x:c r="F100" s="27" t="str">
        <x:v>市原SA（下り）</x:v>
      </x:c>
      <x:c r="G100" s="27" t="str">
        <x:v>袖ケ浦公園</x:v>
      </x:c>
      <x:c r="H100" s="27" t="str">
        <x:v>袖ケ浦海浜公園</x:v>
      </x:c>
      <x:c r="I100" s="27" t="str">
        <x:v>210～290分</x:v>
      </x:c>
      <x:c r="J100" s="27" t="n">
        <x:v>4</x:v>
      </x:c>
      <x:c r="K100" s="27" t="str">
        <x:v>下り方向を維持。PA・SAを重複採用する理由は、都市→房総の段階的な旅感を作るため。</x:v>
      </x:c>
      <x:c r="L100" s="49" t="e">
        <x:f>HYPERLINK("https://www.google.com/maps/dir/?api=1&amp;destination=%E8%A2%96%E3%82%B1%E6%B5%A6%E6%B5%B7%E6%B5%9C%E5%85%AC%E5%9C%92&amp;travelmode=driving&amp;waypoints=Pasar%E5%B9%95%E5%BC%B5%EF%BC%88%E4%B8%8B%E3%82%8A%EF%BC%89%7C%E5%B8%82%E5%8E%9FSA%EF%BC%88%E4%B8%8B%E3%82%8A%EF%BC%89%7C%E8%A2%96%E3%82%B1%E6%B5%A6%E5%85%AC%E5%9C%92","現在地からルート開始")</x:f>
      </x:c>
      <x:c r="M100" s="22" t="str">
        <x:v>高速方向制約</x:v>
      </x:c>
      <x:c r="N100" s="22" t="n">
        <x:v>82</x:v>
      </x:c>
      <x:c r="O100" s="22" t="str">
        <x:v>維持</x:v>
      </x:c>
      <x:c r="P100" s="22" t="str">
        <x:v>Pasar幕張（下り） → 市原SA（下り） → 袖ケ浦公園 → 袖ケ浦海浜公園 の順に、景観と滞在強度を変化させる。</x:v>
      </x:c>
      <x:c r="Q100" s="22"/>
      <x:c r="R100" s="23" t="n">
        <x:v>46232</x:v>
      </x:c>
      <x:c r="S100" s="22"/>
      <x:c r="T100" s="22"/>
      <x:c r="U100" s="22"/>
      <x:c r="V100" s="22"/>
      <x:c r="W100" s="22"/>
      <x:c r="X100" s="22"/>
      <x:c r="Y100" s="22" t="str">
        <x:v>PA・高速</x:v>
      </x:c>
      <x:c r="Z100" s="22"/>
    </x:row>
    <x:row r="101">
      <x:c r="A101" s="27" t="str">
        <x:v>R100</x:v>
      </x:c>
      <x:c r="B101" s="27" t="str">
        <x:v>房総帰路・三段回復</x:v>
      </x:c>
      <x:c r="C101" s="27" t="str">
        <x:v>SA／PA／帰路</x:v>
      </x:c>
      <x:c r="D101" s="27" t="str">
        <x:v>現在地</x:v>
      </x:c>
      <x:c r="E101" s="27" t="str">
        <x:v>市原SA（上り）</x:v>
      </x:c>
      <x:c r="F101" s="27" t="str">
        <x:v>Pasar幕張（上り）</x:v>
      </x:c>
      <x:c r="G101" s="27" t="str">
        <x:v>湾岸幕張PA（上り）</x:v>
      </x:c>
      <x:c r="H101" s="27" t="str">
        <x:v>高洲海浜公園</x:v>
      </x:c>
      <x:c r="I101" s="27" t="str">
        <x:v>210～290分</x:v>
      </x:c>
      <x:c r="J101" s="27" t="n">
        <x:v>5</x:v>
      </x:c>
      <x:c r="K101" s="27" t="str">
        <x:v>上り方向限定。高洲海浜公園を最後にすることで高速道路から海辺へ降りて余韻を作る。</x:v>
      </x:c>
      <x:c r="L101" s="49" t="e">
        <x:f>HYPERLINK("https://www.google.com/maps/dir/?api=1&amp;destination=%E9%AB%98%E6%B4%B2%E6%B5%B7%E6%B5%9C%E5%85%AC%E5%9C%92&amp;travelmode=driving&amp;waypoints=%E5%B8%82%E5%8E%9FSA%EF%BC%88%E4%B8%8A%E3%82%8A%EF%BC%89%7CPasar%E5%B9%95%E5%BC%B5%EF%BC%88%E4%B8%8A%E3%82%8A%EF%BC%89%7C%E6%B9%BE%E5%B2%B8%E5%B9%95%E5%BC%B5PA%EF%BC%88%E4%B8%8A%E3%82%8A%EF%BC%89","現在地からルート開始")</x:f>
      </x:c>
      <x:c r="M101" s="22" t="str">
        <x:v>高速方向制約</x:v>
      </x:c>
      <x:c r="N101" s="22" t="n">
        <x:v>88</x:v>
      </x:c>
      <x:c r="O101" s="22" t="str">
        <x:v>維持</x:v>
      </x:c>
      <x:c r="P101" s="22" t="str">
        <x:v>市原SA（上り） → Pasar幕張（上り） → 湾岸幕張PA（上り） → 高洲海浜公園 の順に、景観と滞在強度を変化させる。</x:v>
      </x:c>
      <x:c r="Q101" s="22"/>
      <x:c r="R101" s="23" t="n">
        <x:v>46232</x:v>
      </x:c>
      <x:c r="S101" s="22"/>
      <x:c r="T101" s="22"/>
      <x:c r="U101" s="22"/>
      <x:c r="V101" s="22"/>
      <x:c r="W101" s="22"/>
      <x:c r="X101" s="22"/>
      <x:c r="Y101" s="22" t="str">
        <x:v>PA・高速</x:v>
      </x:c>
      <x:c r="Z101" s="22"/>
    </x:row>
    <x:row r="102">
      <x:c r="A102" s="27" t="str">
        <x:v>R101</x:v>
      </x:c>
      <x:c r="B102" s="27" t="str">
        <x:v>観音崎アートと灯台</x:v>
      </x:c>
      <x:c r="C102" s="27" t="str">
        <x:v>建築／灯台／近代化</x:v>
      </x:c>
      <x:c r="D102" s="27" t="str">
        <x:v>現在地</x:v>
      </x:c>
      <x:c r="E102" s="27" t="str">
        <x:v>横須賀美術館 海の広場</x:v>
      </x:c>
      <x:c r="F102" s="27" t="str">
        <x:v>観音埼灯台</x:v>
      </x:c>
      <x:c r="G102" s="27" t="str">
        <x:v>観音崎公園</x:v>
      </x:c>
      <x:c r="H102" s="27" t="str">
        <x:v>燈明堂緑地</x:v>
      </x:c>
      <x:c r="I102" s="27" t="str">
        <x:v>200～280分</x:v>
      </x:c>
      <x:c r="J102" s="27" t="n">
        <x:v>2</x:v>
      </x:c>
      <x:c r="K102" s="27" t="str">
        <x:v>灯台参観と公園駐車場は19時まで。燈明堂は夕暮れ前に到着する。</x:v>
      </x:c>
      <x:c r="L102" s="49" t="e">
        <x:f>HYPERLINK("https://www.google.com/maps/dir/?api=1&amp;destination=%E7%87%88%E6%98%8E%E5%A0%82%E7%B7%91%E5%9C%B0&amp;travelmode=driving&amp;waypoints=%E6%A8%AA%E9%A0%88%E8%B3%80%E7%BE%8E%E8%A1%93%E9%A4%A8%20%E6%B5%B7%E3%81%AE%E5%BA%83%E5%A0%B4%7C%E8%A6%B3%E9%9F%B3%E5%9F%BC%E7%81%AF%E5%8F%B0%7C%E8%A6%B3%E9%9F%B3%E5%B4%8E%E5%85%AC%E5%9C%92","現在地からルート開始")</x:f>
      </x:c>
      <x:c r="M102" s="22" t="str">
        <x:v>昼専用</x:v>
      </x:c>
      <x:c r="N102" s="22" t="n">
        <x:v>80</x:v>
      </x:c>
      <x:c r="O102" s="22" t="str">
        <x:v>維持</x:v>
      </x:c>
      <x:c r="P102" s="22" t="str">
        <x:v>横須賀美術館 海の広場 → 観音埼灯台 → 観音崎公園 → 燈明堂緑地 の順に、景観と滞在強度を変化させる。</x:v>
      </x:c>
      <x:c r="Q102" s="22"/>
      <x:c r="R102" s="23" t="n">
        <x:v>46232</x:v>
      </x:c>
      <x:c r="S102" s="22"/>
      <x:c r="T102" s="22"/>
      <x:c r="U102" s="22"/>
      <x:c r="V102" s="22"/>
      <x:c r="W102" s="22"/>
      <x:c r="X102" s="22"/>
      <x:c r="Y102" s="22" t="str">
        <x:v>Story・文化</x:v>
      </x:c>
      <x:c r="Z102" s="22"/>
    </x:row>
    <x:row r="103">
      <x:c r="A103" s="27" t="str">
        <x:v>R102</x:v>
      </x:c>
      <x:c r="B103" s="27" t="str">
        <x:v>浦賀水道・近代化の物語</x:v>
      </x:c>
      <x:c r="C103" s="27" t="str">
        <x:v>軍港／灯台／江戸航路</x:v>
      </x:c>
      <x:c r="D103" s="27" t="str">
        <x:v>現在地</x:v>
      </x:c>
      <x:c r="E103" s="27" t="str">
        <x:v>ヴェルニー公園</x:v>
      </x:c>
      <x:c r="F103" s="27" t="str">
        <x:v>観音埼灯台</x:v>
      </x:c>
      <x:c r="G103" s="27" t="str">
        <x:v>燈明堂緑地</x:v>
      </x:c>
      <x:c r="H103" s="27" t="str">
        <x:v>横須賀美術館 海の広場</x:v>
      </x:c>
      <x:c r="I103" s="27" t="str">
        <x:v>210～290分</x:v>
      </x:c>
      <x:c r="J103" s="27" t="n">
        <x:v>4</x:v>
      </x:c>
      <x:c r="K103" s="27" t="str">
        <x:v>江戸の燈明堂→近代灯台→現代建築という時間軸を作る。美術館本館は2026-09-04まで休館。</x:v>
      </x:c>
      <x:c r="L103" s="49" t="e">
        <x:f>HYPERLINK("https://www.google.com/maps/dir/?api=1&amp;destination=%E6%A8%AA%E9%A0%88%E8%B3%80%E7%BE%8E%E8%A1%93%E9%A4%A8%20%E6%B5%B7%E3%81%AE%E5%BA%83%E5%A0%B4&amp;travelmode=driving&amp;waypoints=%E3%83%B4%E3%82%A7%E3%83%AB%E3%83%8B%E3%83%BC%E5%85%AC%E5%9C%92%7C%E8%A6%B3%E9%9F%B3%E5%9F%BC%E7%81%AF%E5%8F%B0%7C%E7%87%88%E6%98%8E%E5%A0%82%E7%B7%91%E5%9C%B0","現在地からルート開始")</x:f>
      </x:c>
      <x:c r="M103" s="22" t="str">
        <x:v>通常</x:v>
      </x:c>
      <x:c r="N103" s="22" t="n">
        <x:v>70</x:v>
      </x:c>
      <x:c r="O103" s="22" t="str">
        <x:v>維持</x:v>
      </x:c>
      <x:c r="P103" s="22" t="str">
        <x:v>ヴェルニー公園 → 観音埼灯台 → 燈明堂緑地 → 横須賀美術館 海の広場 の順に、景観と滞在強度を変化させる。</x:v>
      </x:c>
      <x:c r="Q103" s="22"/>
      <x:c r="R103" s="23" t="n">
        <x:v>46232</x:v>
      </x:c>
      <x:c r="S103" s="22"/>
      <x:c r="T103" s="22"/>
      <x:c r="U103" s="22"/>
      <x:c r="V103" s="22"/>
      <x:c r="W103" s="22"/>
      <x:c r="X103" s="22"/>
      <x:c r="Y103" s="22" t="str">
        <x:v>東京港・水辺</x:v>
      </x:c>
      <x:c r="Z103" s="22"/>
    </x:row>
    <x:row r="104">
      <x:c r="A104" s="27" t="str">
        <x:v>R103</x:v>
      </x:c>
      <x:c r="B104" s="27" t="str">
        <x:v>葉山・美術と御用邸の庭</x:v>
      </x:c>
      <x:c r="C104" s="27" t="str">
        <x:v>美術／日本庭園／海</x:v>
      </x:c>
      <x:c r="D104" s="27" t="str">
        <x:v>現在地</x:v>
      </x:c>
      <x:c r="E104" s="27" t="str">
        <x:v>神奈川県立近代美術館 葉山館</x:v>
      </x:c>
      <x:c r="F104" s="27" t="str">
        <x:v>葉山しおさい公園</x:v>
      </x:c>
      <x:c r="G104" s="27" t="str">
        <x:v>県立葉山公園</x:v>
      </x:c>
      <x:c r="H104" s="27" t="str">
        <x:v>葉山港</x:v>
      </x:c>
      <x:c r="I104" s="27" t="str">
        <x:v>190～260分</x:v>
      </x:c>
      <x:c r="J104" s="27" t="n">
        <x:v>2</x:v>
      </x:c>
      <x:c r="K104" s="27" t="str">
        <x:v>美術館としおさい公園は入庫・入園締切が早い。完全な昼～夕方向け。</x:v>
      </x:c>
      <x:c r="L104" s="49" t="e">
        <x:f>HYPERLINK("https://www.google.com/maps/dir/?api=1&amp;destination=%E8%91%89%E5%B1%B1%E6%B8%AF&amp;travelmode=driving&amp;waypoints=%E7%A5%9E%E5%A5%88%E5%B7%9D%E7%9C%8C%E7%AB%8B%E8%BF%91%E4%BB%A3%E7%BE%8E%E8%A1%93%E9%A4%A8%20%E8%91%89%E5%B1%B1%E9%A4%A8%7C%E8%91%89%E5%B1%B1%E3%81%97%E3%81%8A%E3%81%95%E3%81%84%E5%85%AC%E5%9C%92%7C%E7%9C%8C%E7%AB%8B%E8%91%89%E5%B1%B1%E5%85%AC%E5%9C%92","現在地からルート開始")</x:f>
      </x:c>
      <x:c r="M104" s="22" t="str">
        <x:v>昼専用</x:v>
      </x:c>
      <x:c r="N104" s="22" t="n">
        <x:v>71</x:v>
      </x:c>
      <x:c r="O104" s="22" t="str">
        <x:v>維持</x:v>
      </x:c>
      <x:c r="P104" s="22" t="str">
        <x:v>神奈川県立近代美術館 葉山館 → 葉山しおさい公園 → 県立葉山公園 → 葉山港 の順に、景観と滞在強度を変化させる。</x:v>
      </x:c>
      <x:c r="Q104" s="22"/>
      <x:c r="R104" s="23" t="n">
        <x:v>46232</x:v>
      </x:c>
      <x:c r="S104" s="22"/>
      <x:c r="T104" s="22"/>
      <x:c r="U104" s="22"/>
      <x:c r="V104" s="22"/>
      <x:c r="W104" s="22"/>
      <x:c r="X104" s="22"/>
      <x:c r="Y104" s="22" t="str">
        <x:v>東京港・水辺</x:v>
      </x:c>
      <x:c r="Z104" s="22"/>
    </x:row>
    <x:row r="105">
      <x:c r="A105" s="27" t="str">
        <x:v>R104</x:v>
      </x:c>
      <x:c r="B105" s="27" t="str">
        <x:v>宮ヶ瀬ダム構造体験</x:v>
      </x:c>
      <x:c r="C105" s="27" t="str">
        <x:v>ダム／インフラ／湖</x:v>
      </x:c>
      <x:c r="D105" s="27" t="str">
        <x:v>現在地</x:v>
      </x:c>
      <x:c r="E105" s="27" t="str">
        <x:v>県立あいかわ公園</x:v>
      </x:c>
      <x:c r="F105" s="27" t="str">
        <x:v>宮ヶ瀬ダム 水とエネルギー館</x:v>
      </x:c>
      <x:c r="G105" s="27" t="str">
        <x:v>鳥居原園地</x:v>
      </x:c>
      <x:c r="H105" s="27" t="str">
        <x:v>宮ヶ瀬湖畔園地</x:v>
      </x:c>
      <x:c r="I105" s="27" t="str">
        <x:v>230～320分</x:v>
      </x:c>
      <x:c r="J105" s="27" t="n">
        <x:v>1</x:v>
      </x:c>
      <x:c r="K105" s="27" t="str">
        <x:v>ダム立入、観光放流、駐車場時間を当日確認。閉場時刻から逆算する。</x:v>
      </x:c>
      <x:c r="L105" s="49" t="e">
        <x:f>HYPERLINK("https://www.google.com/maps/dir/?api=1&amp;destination=%E5%AE%AE%E3%83%B6%E7%80%AC%E6%B9%96%E7%95%94%E5%9C%92%E5%9C%B0&amp;travelmode=driving&amp;waypoints=%E7%9C%8C%E7%AB%8B%E3%81%82%E3%81%84%E3%81%8B%E3%82%8F%E5%85%AC%E5%9C%92%7C%E5%AE%AE%E3%83%B6%E7%80%AC%E3%83%80%E3%83%A0%20%E6%B0%B4%E3%81%A8%E3%82%A8%E3%83%8D%E3%83%AB%E3%82%AE%E3%83%BC%E9%A4%A8%7C%E9%B3%A5%E5%B1%85%E5%8E%9F%E5%9C%92%E5%9C%B0","現在地からルート開始")</x:f>
      </x:c>
      <x:c r="M105" s="22" t="str">
        <x:v>昼専用</x:v>
      </x:c>
      <x:c r="N105" s="22" t="n">
        <x:v>81</x:v>
      </x:c>
      <x:c r="O105" s="22" t="str">
        <x:v>維持</x:v>
      </x:c>
      <x:c r="P105" s="22" t="str">
        <x:v>県立あいかわ公園 → 宮ヶ瀬ダム 水とエネルギー館 → 鳥居原園地 → 宮ヶ瀬湖畔園地 の順に、景観と滞在強度を変化させる。</x:v>
      </x:c>
      <x:c r="Q105" s="22"/>
      <x:c r="R105" s="23" t="n">
        <x:v>46232</x:v>
      </x:c>
      <x:c r="S105" s="22"/>
      <x:c r="T105" s="22"/>
      <x:c r="U105" s="22"/>
      <x:c r="V105" s="22"/>
      <x:c r="W105" s="22"/>
      <x:c r="X105" s="22"/>
      <x:c r="Y105" s="22" t="str">
        <x:v>都市公園・休憩</x:v>
      </x:c>
      <x:c r="Z105" s="22"/>
    </x:row>
    <x:row r="106">
      <x:c r="A106" s="27" t="str">
        <x:v>R105</x:v>
      </x:c>
      <x:c r="B106" s="27" t="str">
        <x:v>海老名SAから宮ヶ瀬へ</x:v>
      </x:c>
      <x:c r="C106" s="27" t="str">
        <x:v>SA／ダム／帰路</x:v>
      </x:c>
      <x:c r="D106" s="27" t="str">
        <x:v>現在地</x:v>
      </x:c>
      <x:c r="E106" s="27" t="str">
        <x:v>EXPASA海老名（下り）</x:v>
      </x:c>
      <x:c r="F106" s="27" t="str">
        <x:v>県立あいかわ公園</x:v>
      </x:c>
      <x:c r="G106" s="27" t="str">
        <x:v>宮ヶ瀬ダム 水とエネルギー館</x:v>
      </x:c>
      <x:c r="H106" s="27" t="str">
        <x:v>EXPASA海老名（上り）</x:v>
      </x:c>
      <x:c r="I106" s="27" t="str">
        <x:v>230～320分</x:v>
      </x:c>
      <x:c r="J106" s="27" t="n">
        <x:v>3</x:v>
      </x:c>
      <x:c r="K106" s="27" t="str">
        <x:v>下り→一般道→上りの循環。ETC・IC経路と渋滞をナビで確認。</x:v>
      </x:c>
      <x:c r="L106" s="49" t="e">
        <x:f>HYPERLINK("https://www.google.com/maps/dir/?api=1&amp;destination=EXPASA%E6%B5%B7%E8%80%81%E5%90%8D%EF%BC%88%E4%B8%8A%E3%82%8A%EF%BC%89&amp;travelmode=driving&amp;waypoints=EXPASA%E6%B5%B7%E8%80%81%E5%90%8D%EF%BC%88%E4%B8%8B%E3%82%8A%EF%BC%89%7C%E7%9C%8C%E7%AB%8B%E3%81%82%E3%81%84%E3%81%8B%E3%82%8F%E5%85%AC%E5%9C%92%7C%E5%AE%AE%E3%83%B6%E7%80%AC%E3%83%80%E3%83%A0%20%E6%B0%B4%E3%81%A8%E3%82%A8%E3%83%8D%E3%83%AB%E3%82%AE%E3%83%BC%E9%A4%A8","現在地からルート開始")</x:f>
      </x:c>
      <x:c r="M106" s="22" t="str">
        <x:v>高速方向制約</x:v>
      </x:c>
      <x:c r="N106" s="22" t="n">
        <x:v>77</x:v>
      </x:c>
      <x:c r="O106" s="22" t="str">
        <x:v>維持</x:v>
      </x:c>
      <x:c r="P106" s="22" t="str">
        <x:v>EXPASA海老名（下り） → 県立あいかわ公園 → 宮ヶ瀬ダム 水とエネルギー館 → EXPASA海老名（上り） の順に、景観と滞在強度を変化させる。</x:v>
      </x:c>
      <x:c r="Q106" s="22"/>
      <x:c r="R106" s="23" t="n">
        <x:v>46232</x:v>
      </x:c>
      <x:c r="S106" s="22"/>
      <x:c r="T106" s="22"/>
      <x:c r="U106" s="22"/>
      <x:c r="V106" s="22"/>
      <x:c r="W106" s="22"/>
      <x:c r="X106" s="22"/>
      <x:c r="Y106" s="22" t="str">
        <x:v>PA・高速</x:v>
      </x:c>
      <x:c r="Z106" s="22"/>
    </x:row>
    <x:row r="107">
      <x:c r="A107" s="27" t="str">
        <x:v>R106</x:v>
      </x:c>
      <x:c r="B107" s="27" t="str">
        <x:v>境川・湘南水系ライン</x:v>
      </x:c>
      <x:c r="C107" s="27" t="str">
        <x:v>遊水地／里山／海</x:v>
      </x:c>
      <x:c r="D107" s="27" t="str">
        <x:v>現在地</x:v>
      </x:c>
      <x:c r="E107" s="27" t="str">
        <x:v>境川遊水地公園</x:v>
      </x:c>
      <x:c r="F107" s="27" t="str">
        <x:v>県立座間谷戸山公園</x:v>
      </x:c>
      <x:c r="G107" s="27" t="str">
        <x:v>七里ヶ浜海岸駐車場</x:v>
      </x:c>
      <x:c r="H107" s="27" t="str">
        <x:v>辻堂海浜公園</x:v>
      </x:c>
      <x:c r="I107" s="27" t="str">
        <x:v>220～300分</x:v>
      </x:c>
      <x:c r="J107" s="27" t="n">
        <x:v>2</x:v>
      </x:c>
      <x:c r="K107" s="27" t="str">
        <x:v>遊水地・谷戸山は昼限定。七里ヶ浜と辻堂の閉場時刻を優先。</x:v>
      </x:c>
      <x:c r="L107" s="49" t="e">
        <x:f>HYPERLINK("https://www.google.com/maps/dir/?api=1&amp;destination=%E8%BE%BB%E5%A0%82%E6%B5%B7%E6%B5%9C%E5%85%AC%E5%9C%92&amp;travelmode=driving&amp;waypoints=%E5%A2%83%E5%B7%9D%E9%81%8A%E6%B0%B4%E5%9C%B0%E5%85%AC%E5%9C%92%7C%E7%9C%8C%E7%AB%8B%E5%BA%A7%E9%96%93%E8%B0%B7%E6%88%B8%E5%B1%B1%E5%85%AC%E5%9C%92%7C%E4%B8%83%E9%87%8C%E3%83%B6%E6%B5%9C%E6%B5%B7%E5%B2%B8%E9%A7%90%E8%BB%8A%E5%A0%B4","現在地からルート開始")</x:f>
      </x:c>
      <x:c r="M107" s="22" t="str">
        <x:v>昼専用</x:v>
      </x:c>
      <x:c r="N107" s="22" t="n">
        <x:v>75</x:v>
      </x:c>
      <x:c r="O107" s="22" t="str">
        <x:v>維持</x:v>
      </x:c>
      <x:c r="P107" s="22" t="str">
        <x:v>境川遊水地公園 → 県立座間谷戸山公園 → 七里ヶ浜海岸駐車場 → 辻堂海浜公園 の順に、景観と滞在強度を変化させる。</x:v>
      </x:c>
      <x:c r="Q107" s="22"/>
      <x:c r="R107" s="23" t="n">
        <x:v>46232</x:v>
      </x:c>
      <x:c r="S107" s="22"/>
      <x:c r="T107" s="22"/>
      <x:c r="U107" s="22"/>
      <x:c r="V107" s="22"/>
      <x:c r="W107" s="22"/>
      <x:c r="X107" s="22"/>
      <x:c r="Y107" s="22" t="str">
        <x:v>東京港・水辺</x:v>
      </x:c>
      <x:c r="Z107" s="22"/>
    </x:row>
    <x:row r="108">
      <x:c r="A108" s="27" t="str">
        <x:v>R107</x:v>
      </x:c>
      <x:c r="B108" s="27" t="str">
        <x:v>東京湾東岸PAショート</x:v>
      </x:c>
      <x:c r="C108" s="27" t="str">
        <x:v>PA／海辺／湾岸</x:v>
      </x:c>
      <x:c r="D108" s="27" t="str">
        <x:v>現在地</x:v>
      </x:c>
      <x:c r="E108" s="27" t="str">
        <x:v>湾岸幕張PA（下り）</x:v>
      </x:c>
      <x:c r="F108" s="27" t="str">
        <x:v>高洲海浜公園</x:v>
      </x:c>
      <x:c r="G108" s="27" t="str">
        <x:v>葛西臨海公園</x:v>
      </x:c>
      <x:c r="H108" s="27" t="str">
        <x:v>若洲海浜公園</x:v>
      </x:c>
      <x:c r="I108" s="27" t="str">
        <x:v>160～230分</x:v>
      </x:c>
      <x:c r="J108" s="27" t="n">
        <x:v>4</x:v>
      </x:c>
      <x:c r="K108" s="27" t="str">
        <x:v>湾岸幕張は下り線限定。高速を降りた後は24時間駐車場中心で構成。</x:v>
      </x:c>
      <x:c r="L108" s="49" t="e">
        <x:f>HYPERLINK("https://www.google.com/maps/dir/?api=1&amp;destination=%E8%8B%A5%E6%B4%B2%E6%B5%B7%E6%B5%9C%E5%85%AC%E5%9C%92&amp;travelmode=driving&amp;waypoints=%E6%B9%BE%E5%B2%B8%E5%B9%95%E5%BC%B5PA%EF%BC%88%E4%B8%8B%E3%82%8A%EF%BC%89%7C%E9%AB%98%E6%B4%B2%E6%B5%B7%E6%B5%9C%E5%85%AC%E5%9C%92%7C%E8%91%9B%E8%A5%BF%E8%87%A8%E6%B5%B7%E5%85%AC%E5%9C%92","現在地からルート開始")</x:f>
      </x:c>
      <x:c r="M108" s="22" t="str">
        <x:v>高速方向制約</x:v>
      </x:c>
      <x:c r="N108" s="22" t="n">
        <x:v>89</x:v>
      </x:c>
      <x:c r="O108" s="22" t="str">
        <x:v>維持</x:v>
      </x:c>
      <x:c r="P108" s="22" t="str">
        <x:v>湾岸幕張PA（下り） → 高洲海浜公園 → 葛西臨海公園 → 若洲海浜公園 の順に、景観と滞在強度を変化させる。</x:v>
      </x:c>
      <x:c r="Q108" s="22"/>
      <x:c r="R108" s="23" t="n">
        <x:v>46232</x:v>
      </x:c>
      <x:c r="S108" s="22"/>
      <x:c r="T108" s="22"/>
      <x:c r="U108" s="22"/>
      <x:c r="V108" s="22"/>
      <x:c r="W108" s="22"/>
      <x:c r="X108" s="22"/>
      <x:c r="Y108" s="22" t="str">
        <x:v>東京港・水辺</x:v>
      </x:c>
      <x:c r="Z108" s="22"/>
    </x:row>
    <x:row r="109">
      <x:c r="A109" s="27" t="str">
        <x:v>R108</x:v>
      </x:c>
      <x:c r="B109" s="27" t="str">
        <x:v>海辺の建築三連</x:v>
      </x:c>
      <x:c r="C109" s="27" t="str">
        <x:v>美術館／灯台／歴史</x:v>
      </x:c>
      <x:c r="D109" s="27" t="str">
        <x:v>現在地</x:v>
      </x:c>
      <x:c r="E109" s="27" t="str">
        <x:v>神奈川県立近代美術館 葉山館</x:v>
      </x:c>
      <x:c r="F109" s="27" t="str">
        <x:v>横須賀美術館 海の広場</x:v>
      </x:c>
      <x:c r="G109" s="27" t="str">
        <x:v>観音埼灯台</x:v>
      </x:c>
      <x:c r="H109" s="27" t="str">
        <x:v>燈明堂緑地</x:v>
      </x:c>
      <x:c r="I109" s="27" t="str">
        <x:v>230～320分</x:v>
      </x:c>
      <x:c r="J109" s="27" t="n">
        <x:v>2</x:v>
      </x:c>
      <x:c r="K109" s="27" t="str">
        <x:v>入館・参観時刻が早いため午前開始。建築→灯台→江戸の航路標識へ時代を遡る。</x:v>
      </x:c>
      <x:c r="L109" s="49" t="e">
        <x:f>HYPERLINK("https://www.google.com/maps/dir/?api=1&amp;destination=%E7%87%88%E6%98%8E%E5%A0%82%E7%B7%91%E5%9C%B0&amp;travelmode=driving&amp;waypoints=%E7%A5%9E%E5%A5%88%E5%B7%9D%E7%9C%8C%E7%AB%8B%E8%BF%91%E4%BB%A3%E7%BE%8E%E8%A1%93%E9%A4%A8%20%E8%91%89%E5%B1%B1%E9%A4%A8%7C%E6%A8%AA%E9%A0%88%E8%B3%80%E7%BE%8E%E8%A1%93%E9%A4%A8%20%E6%B5%B7%E3%81%AE%E5%BA%83%E5%A0%B4%7C%E8%A6%B3%E9%9F%B3%E5%9F%BC%E7%81%AF%E5%8F%B0","現在地からルート開始")</x:f>
      </x:c>
      <x:c r="M109" s="22" t="str">
        <x:v>昼専用</x:v>
      </x:c>
      <x:c r="N109" s="22" t="n">
        <x:v>76</x:v>
      </x:c>
      <x:c r="O109" s="22" t="str">
        <x:v>維持</x:v>
      </x:c>
      <x:c r="P109" s="22" t="str">
        <x:v>神奈川県立近代美術館 葉山館 → 横須賀美術館 海の広場 → 観音埼灯台 → 燈明堂緑地 の順に、景観と滞在強度を変化させる。</x:v>
      </x:c>
      <x:c r="Q109" s="22"/>
      <x:c r="R109" s="23" t="n">
        <x:v>46232</x:v>
      </x:c>
      <x:c r="S109" s="22"/>
      <x:c r="T109" s="22"/>
      <x:c r="U109" s="22"/>
      <x:c r="V109" s="22"/>
      <x:c r="W109" s="22"/>
      <x:c r="X109" s="22"/>
      <x:c r="Y109" s="22" t="str">
        <x:v>Story・文化</x:v>
      </x:c>
      <x:c r="Z109" s="22"/>
    </x:row>
    <x:row r="110">
      <x:c r="A110" s="27" t="str">
        <x:v>R109</x:v>
      </x:c>
      <x:c r="B110" s="27" t="str">
        <x:v>成田A滑走路・低空進入線</x:v>
      </x:c>
      <x:c r="C110" s="27" t="str">
        <x:v>飛行機／芝生／空港</x:v>
      </x:c>
      <x:c r="D110" s="27" t="str">
        <x:v>現在地</x:v>
      </x:c>
      <x:c r="E110" s="27" t="str">
        <x:v>成田空港 第1ターミナル展望デッキ</x:v>
      </x:c>
      <x:c r="F110" s="27" t="str">
        <x:v>三里塚さくらの丘</x:v>
      </x:c>
      <x:c r="G110" s="27"/>
      <x:c r="H110" s="27" t="str">
        <x:v>ひこうきの丘</x:v>
      </x:c>
      <x:c r="I110" s="27" t="str">
        <x:v>260～340分</x:v>
      </x:c>
      <x:c r="J110" s="27" t="n">
        <x:v>5</x:v>
      </x:c>
      <x:c r="K110" s="27" t="str">
        <x:v>風向きで順序変更。ひこうきの丘の当日開放・交通規制を確認。</x:v>
      </x:c>
      <x:c r="L110" s="49" t="e">
        <x:f>HYPERLINK("https://www.google.com/maps/dir/?api=1&amp;destination=%E3%81%B2%E3%81%93%E3%81%86%E3%81%8D%E3%81%AE%E4%B8%98&amp;travelmode=driving&amp;waypoints=%E6%88%90%E7%94%B0%E7%A9%BA%E6%B8%AF%20%E7%AC%AC1%E3%82%BF%E3%83%BC%E3%83%9F%E3%83%8A%E3%83%AB%E5%B1%95%E6%9C%9B%E3%83%87%E3%83%83%E3%82%AD%7C%E4%B8%89%E9%87%8C%E5%A1%9A%E3%81%95%E3%81%8F%E3%82%89%E3%81%AE%E4%B8%98","現在地からルート開始")</x:f>
      </x:c>
      <x:c r="M110" s="22" t="str">
        <x:v>通常</x:v>
      </x:c>
      <x:c r="N110" s="22" t="n">
        <x:v>82</x:v>
      </x:c>
      <x:c r="O110" s="22" t="str">
        <x:v>維持</x:v>
      </x:c>
      <x:c r="P110" s="22" t="str">
        <x:v>成田空港 第1ターミナル展望デッキ → 三里塚さくらの丘 → ひこうきの丘 の順に、景観と滞在強度を変化させる。</x:v>
      </x:c>
      <x:c r="Q110" s="22"/>
      <x:c r="R110" s="23" t="n">
        <x:v>46232</x:v>
      </x:c>
      <x:c r="S110" s="22"/>
      <x:c r="T110" s="22"/>
      <x:c r="U110" s="22"/>
      <x:c r="V110" s="22"/>
      <x:c r="W110" s="22"/>
      <x:c r="X110" s="22"/>
      <x:c r="Y110" s="22" t="str">
        <x:v>羽田・航空</x:v>
      </x:c>
      <x:c r="Z110" s="22"/>
    </x:row>
    <x:row r="111">
      <x:c r="A111" s="27" t="str">
        <x:v>R110</x:v>
      </x:c>
      <x:c r="B111" s="27" t="str">
        <x:v>小田原・魚と花の終着</x:v>
      </x:c>
      <x:c r="C111" s="27" t="str">
        <x:v>漁港／植物園／相模湾</x:v>
      </x:c>
      <x:c r="D111" s="27" t="str">
        <x:v>現在地</x:v>
      </x:c>
      <x:c r="E111" s="27" t="str">
        <x:v>漁港の駅 TOTOCO小田原</x:v>
      </x:c>
      <x:c r="F111" s="27" t="str">
        <x:v>小田原城址公園</x:v>
      </x:c>
      <x:c r="G111" s="27"/>
      <x:c r="H111" s="27" t="str">
        <x:v>小田原フラワーガーデン</x:v>
      </x:c>
      <x:c r="I111" s="27" t="str">
        <x:v>250～330分</x:v>
      </x:c>
      <x:c r="J111" s="27" t="n">
        <x:v>1</x:v>
      </x:c>
      <x:c r="K111" s="27" t="str">
        <x:v>フラワーガーデン17時閉園のため午前開始。城址は周辺有料駐車場を利用。</x:v>
      </x:c>
      <x:c r="L111" s="49" t="e">
        <x:f>HYPERLINK("https://www.google.com/maps/dir/?api=1&amp;destination=%E5%B0%8F%E7%94%B0%E5%8E%9F%E3%83%95%E3%83%A9%E3%83%AF%E3%83%BC%E3%82%AC%E3%83%BC%E3%83%87%E3%83%B3&amp;travelmode=driving&amp;waypoints=%E6%BC%81%E6%B8%AF%E3%81%AE%E9%A7%85%20TOTOCO%E5%B0%8F%E7%94%B0%E5%8E%9F%7C%E5%B0%8F%E7%94%B0%E5%8E%9F%E5%9F%8E%E5%9D%80%E5%85%AC%E5%9C%92","現在地からルート開始")</x:f>
      </x:c>
      <x:c r="M111" s="22" t="str">
        <x:v>昼専用</x:v>
      </x:c>
      <x:c r="N111" s="22" t="n">
        <x:v>80</x:v>
      </x:c>
      <x:c r="O111" s="22" t="str">
        <x:v>維持</x:v>
      </x:c>
      <x:c r="P111" s="22" t="str">
        <x:v>漁港の駅 TOTOCO小田原 → 小田原城址公園 → 小田原フラワーガーデン の順に、景観と滞在強度を変化させる。</x:v>
      </x:c>
      <x:c r="Q111" s="22"/>
      <x:c r="R111" s="23" t="n">
        <x:v>46232</x:v>
      </x:c>
      <x:c r="S111" s="22"/>
      <x:c r="T111" s="22"/>
      <x:c r="U111" s="22"/>
      <x:c r="V111" s="22"/>
      <x:c r="W111" s="22"/>
      <x:c r="X111" s="22"/>
      <x:c r="Y111" s="22" t="str">
        <x:v>東京港・水辺</x:v>
      </x:c>
      <x:c r="Z111" s="22"/>
    </x:row>
    <x:row r="112">
      <x:c r="A112" s="27" t="str">
        <x:v>R111</x:v>
      </x:c>
      <x:c r="B112" s="27" t="str">
        <x:v>北条氏の城と漁港</x:v>
      </x:c>
      <x:c r="C112" s="27" t="str">
        <x:v>城址／戦国史／漁港</x:v>
      </x:c>
      <x:c r="D112" s="27" t="str">
        <x:v>現在地</x:v>
      </x:c>
      <x:c r="E112" s="27" t="str">
        <x:v>小田原城址公園</x:v>
      </x:c>
      <x:c r="F112" s="27" t="str">
        <x:v>石垣山一夜城歴史公園</x:v>
      </x:c>
      <x:c r="G112" s="27"/>
      <x:c r="H112" s="27" t="str">
        <x:v>漁港の駅 TOTOCO小田原</x:v>
      </x:c>
      <x:c r="I112" s="27" t="str">
        <x:v>250～340分</x:v>
      </x:c>
      <x:c r="J112" s="27" t="n">
        <x:v>2</x:v>
      </x:c>
      <x:c r="K112" s="27" t="str">
        <x:v>秀吉側と北条側の城を見た後、漁港の食で終える。TOTOCO17時前到着。</x:v>
      </x:c>
      <x:c r="L112" s="49" t="e">
        <x:f>HYPERLINK("https://www.google.com/maps/dir/?api=1&amp;destination=%E6%BC%81%E6%B8%AF%E3%81%AE%E9%A7%85%20TOTOCO%E5%B0%8F%E7%94%B0%E5%8E%9F&amp;travelmode=driving&amp;waypoints=%E5%B0%8F%E7%94%B0%E5%8E%9F%E5%9F%8E%E5%9D%80%E5%85%AC%E5%9C%92%7C%E7%9F%B3%E5%9E%A3%E5%B1%B1%E4%B8%80%E5%A4%9C%E5%9F%8E%E6%AD%B4%E5%8F%B2%E5%85%AC%E5%9C%92","現在地からルート開始")</x:f>
      </x:c>
      <x:c r="M112" s="22" t="str">
        <x:v>昼専用</x:v>
      </x:c>
      <x:c r="N112" s="22" t="n">
        <x:v>86</x:v>
      </x:c>
      <x:c r="O112" s="22" t="str">
        <x:v>維持</x:v>
      </x:c>
      <x:c r="P112" s="22" t="str">
        <x:v>小田原城址公園 → 石垣山一夜城歴史公園 → 漁港の駅 TOTOCO小田原 の順に、景観と滞在強度を変化させる。</x:v>
      </x:c>
      <x:c r="Q112" s="22"/>
      <x:c r="R112" s="23" t="n">
        <x:v>46232</x:v>
      </x:c>
      <x:c r="S112" s="22"/>
      <x:c r="T112" s="22"/>
      <x:c r="U112" s="22"/>
      <x:c r="V112" s="22"/>
      <x:c r="W112" s="22"/>
      <x:c r="X112" s="22"/>
      <x:c r="Y112" s="22" t="str">
        <x:v>東京港・水辺</x:v>
      </x:c>
      <x:c r="Z112" s="22"/>
    </x:row>
    <x:row r="113">
      <x:c r="A113" s="27" t="str">
        <x:v>R112</x:v>
      </x:c>
      <x:c r="B113" s="27" t="str">
        <x:v>本牧から金沢の緑へ</x:v>
      </x:c>
      <x:c r="C113" s="27" t="str">
        <x:v>日本庭園／丘陵／海辺</x:v>
      </x:c>
      <x:c r="D113" s="27" t="str">
        <x:v>現在地</x:v>
      </x:c>
      <x:c r="E113" s="27" t="str">
        <x:v>三溪園</x:v>
      </x:c>
      <x:c r="F113" s="27" t="str">
        <x:v>金沢自然公園</x:v>
      </x:c>
      <x:c r="G113" s="27"/>
      <x:c r="H113" s="27" t="str">
        <x:v>小柴自然公園</x:v>
      </x:c>
      <x:c r="I113" s="27" t="str">
        <x:v>190～260分</x:v>
      </x:c>
      <x:c r="J113" s="27" t="n">
        <x:v>2</x:v>
      </x:c>
      <x:c r="K113" s="27" t="str">
        <x:v>三溪園・金沢自然公園の閉場を優先。最後を24時間駐車の小柴へ移す。</x:v>
      </x:c>
      <x:c r="L113" s="49" t="e">
        <x:f>HYPERLINK("https://www.google.com/maps/dir/?api=1&amp;destination=%E5%B0%8F%E6%9F%B4%E8%87%AA%E7%84%B6%E5%85%AC%E5%9C%92&amp;travelmode=driving&amp;waypoints=%E4%B8%89%E6%BA%AA%E5%9C%92%7C%E9%87%91%E6%B2%A2%E8%87%AA%E7%84%B6%E5%85%AC%E5%9C%92","現在地からルート開始")</x:f>
      </x:c>
      <x:c r="M113" s="22" t="str">
        <x:v>昼専用</x:v>
      </x:c>
      <x:c r="N113" s="22" t="n">
        <x:v>80</x:v>
      </x:c>
      <x:c r="O113" s="22" t="str">
        <x:v>維持</x:v>
      </x:c>
      <x:c r="P113" s="22" t="str">
        <x:v>三溪園 → 金沢自然公園 → 小柴自然公園 の順に、景観と滞在強度を変化させる。</x:v>
      </x:c>
      <x:c r="Q113" s="22"/>
      <x:c r="R113" s="23" t="n">
        <x:v>46232</x:v>
      </x:c>
      <x:c r="S113" s="22"/>
      <x:c r="T113" s="22"/>
      <x:c r="U113" s="22"/>
      <x:c r="V113" s="22"/>
      <x:c r="W113" s="22"/>
      <x:c r="X113" s="22"/>
      <x:c r="Y113" s="22" t="str">
        <x:v>東京港・水辺</x:v>
      </x:c>
      <x:c r="Z113" s="22"/>
    </x:row>
    <x:row r="114">
      <x:c r="A114" s="27" t="str">
        <x:v>R113</x:v>
      </x:c>
      <x:c r="B114" s="27" t="str">
        <x:v>川崎丘陵・古代と現代</x:v>
      </x:c>
      <x:c r="C114" s="27" t="str">
        <x:v>遺跡／森林／展望</x:v>
      </x:c>
      <x:c r="D114" s="27" t="str">
        <x:v>現在地</x:v>
      </x:c>
      <x:c r="E114" s="27" t="str">
        <x:v>県立東高根森林公園</x:v>
      </x:c>
      <x:c r="F114" s="27" t="str">
        <x:v>生田緑地・枡形山展望台</x:v>
      </x:c>
      <x:c r="G114" s="27"/>
      <x:c r="H114" s="27" t="str">
        <x:v>夢見ヶ崎動物公園</x:v>
      </x:c>
      <x:c r="I114" s="27" t="str">
        <x:v>150～220分</x:v>
      </x:c>
      <x:c r="J114" s="27" t="n">
        <x:v>3</x:v>
      </x:c>
      <x:c r="K114" s="27" t="str">
        <x:v>東高根19時閉場。日没前に枡形山へ上がり、最後は近距離夜景。</x:v>
      </x:c>
      <x:c r="L114" s="49" t="e">
        <x:f>HYPERLINK("https://www.google.com/maps/dir/?api=1&amp;destination=%E5%A4%A2%E8%A6%8B%E3%83%B6%E5%B4%8E%E5%8B%95%E7%89%A9%E5%85%AC%E5%9C%92&amp;travelmode=driving&amp;waypoints=%E7%9C%8C%E7%AB%8B%E6%9D%B1%E9%AB%98%E6%A0%B9%E6%A3%AE%E6%9E%97%E5%85%AC%E5%9C%92%7C%E7%94%9F%E7%94%B0%E7%B7%91%E5%9C%B0%E3%83%BB%E6%9E%A1%E5%BD%A2%E5%B1%B1%E5%B1%95%E6%9C%9B%E5%8F%B0","現在地からルート開始")</x:f>
      </x:c>
      <x:c r="M114" s="22" t="str">
        <x:v>通常</x:v>
      </x:c>
      <x:c r="N114" s="22" t="n">
        <x:v>74</x:v>
      </x:c>
      <x:c r="O114" s="22" t="str">
        <x:v>維持</x:v>
      </x:c>
      <x:c r="P114" s="22" t="str">
        <x:v>県立東高根森林公園 → 生田緑地・枡形山展望台 → 夢見ヶ崎動物公園 の順に、景観と滞在強度を変化させる。</x:v>
      </x:c>
      <x:c r="Q114" s="22"/>
      <x:c r="R114" s="23" t="n">
        <x:v>46232</x:v>
      </x:c>
      <x:c r="S114" s="22" t="n">
        <x:v>71</x:v>
      </x:c>
      <x:c r="T114" s="22" t="n">
        <x:v>0</x:v>
      </x:c>
      <x:c r="U114" s="22" t="str">
        <x:v>自然・Story → 都市夜景・自然 → 都市夜景・自然 → 都市夜景・自然</x:v>
      </x:c>
      <x:c r="V114" s="22" t="str">
        <x:v>県立東高根森林公園:45分／生田緑地・枡形山展望台:25分／夢見ヶ崎動物公園:40分</x:v>
      </x:c>
      <x:c r="W114" s="22" t="str">
        <x:v>専用・公式駐車場へ直接入庫／小規模。満車なら待たずに省略</x:v>
      </x:c>
      <x:c r="X114" s="22" t="str">
        <x:v>19:00に間に合わない時／22:00に間に合わない時／満車時</x:v>
      </x:c>
      <x:c r="Y114" s="22" t="str">
        <x:v>森林・高台</x:v>
      </x:c>
      <x:c r="Z114" s="22"/>
    </x:row>
    <x:row r="115">
      <x:c r="A115" s="27" t="str">
        <x:v>R114</x:v>
      </x:c>
      <x:c r="B115" s="27" t="str">
        <x:v>大宮・鉄道と県営公園</x:v>
      </x:c>
      <x:c r="C115" s="27" t="str">
        <x:v>鉄道／歴史公園／夜間</x:v>
      </x:c>
      <x:c r="D115" s="27" t="str">
        <x:v>現在地</x:v>
      </x:c>
      <x:c r="E115" s="27" t="str">
        <x:v>鉄道博物館</x:v>
      </x:c>
      <x:c r="F115" s="27" t="str">
        <x:v>大宮公園</x:v>
      </x:c>
      <x:c r="G115" s="27"/>
      <x:c r="H115" s="27" t="str">
        <x:v>和光樹林公園</x:v>
      </x:c>
      <x:c r="I115" s="27" t="str">
        <x:v>190～260分</x:v>
      </x:c>
      <x:c r="J115" s="27" t="n">
        <x:v>3</x:v>
      </x:c>
      <x:c r="K115" s="27" t="str">
        <x:v>鉄道博物館17時閉館。最後は中央駐車場23:30までの和光樹林へ。</x:v>
      </x:c>
      <x:c r="L115" s="49" t="e">
        <x:f>HYPERLINK("https://www.google.com/maps/dir/?api=1&amp;destination=%E5%92%8C%E5%85%89%E6%A8%B9%E6%9E%97%E5%85%AC%E5%9C%92&amp;travelmode=driving&amp;waypoints=%E9%89%84%E9%81%93%E5%8D%9A%E7%89%A9%E9%A4%A8%7C%E5%A4%A7%E5%AE%AE%E5%85%AC%E5%9C%92","現在地からルート開始")</x:f>
      </x:c>
      <x:c r="M115" s="22" t="str">
        <x:v>通常</x:v>
      </x:c>
      <x:c r="N115" s="22" t="n">
        <x:v>82</x:v>
      </x:c>
      <x:c r="O115" s="22" t="str">
        <x:v>維持</x:v>
      </x:c>
      <x:c r="P115" s="22" t="str">
        <x:v>鉄道博物館 → 大宮公園 → 和光樹林公園 の順に、景観と滞在強度を変化させる。</x:v>
      </x:c>
      <x:c r="Q115" s="22"/>
      <x:c r="R115" s="23" t="n">
        <x:v>46232</x:v>
      </x:c>
      <x:c r="S115" s="22"/>
      <x:c r="T115" s="22"/>
      <x:c r="U115" s="22"/>
      <x:c r="V115" s="22"/>
      <x:c r="W115" s="22"/>
      <x:c r="X115" s="22"/>
      <x:c r="Y115" s="22" t="str">
        <x:v>Story・文化</x:v>
      </x:c>
      <x:c r="Z115" s="22"/>
    </x:row>
    <x:row r="116">
      <x:c r="A116" s="27" t="str">
        <x:v>R115</x:v>
      </x:c>
      <x:c r="B116" s="27" t="str">
        <x:v>川越から大宮の水と森</x:v>
      </x:c>
      <x:c r="C116" s="27" t="str">
        <x:v>水上公園／歴史公園／樹林</x:v>
      </x:c>
      <x:c r="D116" s="27" t="str">
        <x:v>現在地</x:v>
      </x:c>
      <x:c r="E116" s="27" t="str">
        <x:v>川越水上公園</x:v>
      </x:c>
      <x:c r="F116" s="27" t="str">
        <x:v>大宮公園</x:v>
      </x:c>
      <x:c r="G116" s="27"/>
      <x:c r="H116" s="27" t="str">
        <x:v>和光樹林公園</x:v>
      </x:c>
      <x:c r="I116" s="27" t="str">
        <x:v>220～300分</x:v>
      </x:c>
      <x:c r="J116" s="27" t="n">
        <x:v>4</x:v>
      </x:c>
      <x:c r="K116" s="27" t="str">
        <x:v>川越公園は0:30～5:00正門閉鎖。イベント日は大宮公園を省略。</x:v>
      </x:c>
      <x:c r="L116" s="49" t="e">
        <x:f>HYPERLINK("https://www.google.com/maps/dir/?api=1&amp;destination=%E5%92%8C%E5%85%89%E6%A8%B9%E6%9E%97%E5%85%AC%E5%9C%92&amp;travelmode=driving&amp;waypoints=%E5%B7%9D%E8%B6%8A%E6%B0%B4%E4%B8%8A%E5%85%AC%E5%9C%92%7C%E5%A4%A7%E5%AE%AE%E5%85%AC%E5%9C%92","現在地からルート開始")</x:f>
      </x:c>
      <x:c r="M116" s="22" t="str">
        <x:v>通常</x:v>
      </x:c>
      <x:c r="N116" s="22" t="n">
        <x:v>81</x:v>
      </x:c>
      <x:c r="O116" s="22" t="str">
        <x:v>維持</x:v>
      </x:c>
      <x:c r="P116" s="22" t="str">
        <x:v>川越水上公園 → 大宮公園 → 和光樹林公園 の順に、景観と滞在強度を変化させる。</x:v>
      </x:c>
      <x:c r="Q116" s="22"/>
      <x:c r="R116" s="23" t="n">
        <x:v>46232</x:v>
      </x:c>
      <x:c r="S116" s="22"/>
      <x:c r="T116" s="22"/>
      <x:c r="U116" s="22"/>
      <x:c r="V116" s="22"/>
      <x:c r="W116" s="22"/>
      <x:c r="X116" s="22"/>
      <x:c r="Y116" s="22" t="str">
        <x:v>Story・文化</x:v>
      </x:c>
      <x:c r="Z116" s="22"/>
    </x:row>
    <x:row r="117">
      <x:c r="A117" s="27" t="str">
        <x:v>R116</x:v>
      </x:c>
      <x:c r="B117" s="27" t="str">
        <x:v>八王子・二つの土の城</x:v>
      </x:c>
      <x:c r="C117" s="27" t="str">
        <x:v>山城／空堀／道の駅</x:v>
      </x:c>
      <x:c r="D117" s="27" t="str">
        <x:v>現在地</x:v>
      </x:c>
      <x:c r="E117" s="27" t="str">
        <x:v>滝山城跡</x:v>
      </x:c>
      <x:c r="F117" s="27" t="str">
        <x:v>片倉城跡公園</x:v>
      </x:c>
      <x:c r="G117" s="27"/>
      <x:c r="H117" s="27" t="str">
        <x:v>道の駅 八王子滝山</x:v>
      </x:c>
      <x:c r="I117" s="27" t="str">
        <x:v>210～290分</x:v>
      </x:c>
      <x:c r="J117" s="27" t="n">
        <x:v>2</x:v>
      </x:c>
      <x:c r="K117" s="27" t="str">
        <x:v>滝山城駐車場の季節閉場時刻を厳守。夜は道の駅で終了。</x:v>
      </x:c>
      <x:c r="L117" s="49" t="e">
        <x:f>HYPERLINK("https://www.google.com/maps/dir/?api=1&amp;destination=%E9%81%93%E3%81%AE%E9%A7%85%20%E5%85%AB%E7%8E%8B%E5%AD%90%E6%BB%9D%E5%B1%B1&amp;travelmode=driving&amp;waypoints=%E6%BB%9D%E5%B1%B1%E5%9F%8E%E8%B7%A1%7C%E7%89%87%E5%80%89%E5%9F%8E%E8%B7%A1%E5%85%AC%E5%9C%92","現在地からルート開始")</x:f>
      </x:c>
      <x:c r="M117" s="22" t="str">
        <x:v>昼専用</x:v>
      </x:c>
      <x:c r="N117" s="22" t="n">
        <x:v>79</x:v>
      </x:c>
      <x:c r="O117" s="22" t="str">
        <x:v>維持</x:v>
      </x:c>
      <x:c r="P117" s="22" t="str">
        <x:v>滝山城跡 → 片倉城跡公園 → 道の駅 八王子滝山 の順に、景観と滞在強度を変化させる。</x:v>
      </x:c>
      <x:c r="Q117" s="22"/>
      <x:c r="R117" s="23" t="n">
        <x:v>46232</x:v>
      </x:c>
      <x:c r="S117" s="22"/>
      <x:c r="T117" s="22"/>
      <x:c r="U117" s="22"/>
      <x:c r="V117" s="22"/>
      <x:c r="W117" s="22"/>
      <x:c r="X117" s="22"/>
      <x:c r="Y117" s="22" t="str">
        <x:v>都市公園・休憩</x:v>
      </x:c>
      <x:c r="Z117" s="22"/>
    </x:row>
    <x:row r="118">
      <x:c r="A118" s="27" t="str">
        <x:v>R117</x:v>
      </x:c>
      <x:c r="B118" s="27" t="str">
        <x:v>相模川・八方除と高台</x:v>
      </x:c>
      <x:c r="C118" s="27" t="str">
        <x:v>河川／神社／防災</x:v>
      </x:c>
      <x:c r="D118" s="27" t="str">
        <x:v>現在地</x:v>
      </x:c>
      <x:c r="E118" s="27" t="str">
        <x:v>県立相模三川公園</x:v>
      </x:c>
      <x:c r="F118" s="27" t="str">
        <x:v>寒川神社</x:v>
      </x:c>
      <x:c r="G118" s="27"/>
      <x:c r="H118" s="27" t="str">
        <x:v>ぼうさいの丘公園</x:v>
      </x:c>
      <x:c r="I118" s="27" t="str">
        <x:v>180～250分</x:v>
      </x:c>
      <x:c r="J118" s="27" t="n">
        <x:v>3</x:v>
      </x:c>
      <x:c r="K118" s="27" t="str">
        <x:v>三川公園17時閉場。寒川神社は日没前、最後は21時までの高台へ。</x:v>
      </x:c>
      <x:c r="L118" s="49" t="e">
        <x:f>HYPERLINK("https://www.google.com/maps/dir/?api=1&amp;destination=%E3%81%BC%E3%81%86%E3%81%95%E3%81%84%E3%81%AE%E4%B8%98%E5%85%AC%E5%9C%92&amp;travelmode=driving&amp;waypoints=%E7%9C%8C%E7%AB%8B%E7%9B%B8%E6%A8%A1%E4%B8%89%E5%B7%9D%E5%85%AC%E5%9C%92%7C%E5%AF%92%E5%B7%9D%E7%A5%9E%E7%A4%BE","現在地からルート開始")</x:f>
      </x:c>
      <x:c r="M118" s="22" t="str">
        <x:v>通常</x:v>
      </x:c>
      <x:c r="N118" s="22" t="n">
        <x:v>78</x:v>
      </x:c>
      <x:c r="O118" s="22" t="str">
        <x:v>維持</x:v>
      </x:c>
      <x:c r="P118" s="22" t="str">
        <x:v>県立相模三川公園 → 寒川神社 → ぼうさいの丘公園 の順に、景観と滞在強度を変化させる。</x:v>
      </x:c>
      <x:c r="Q118" s="22"/>
      <x:c r="R118" s="23" t="n">
        <x:v>46232</x:v>
      </x:c>
      <x:c r="S118" s="22"/>
      <x:c r="T118" s="22"/>
      <x:c r="U118" s="22"/>
      <x:c r="V118" s="22"/>
      <x:c r="W118" s="22"/>
      <x:c r="X118" s="22"/>
      <x:c r="Y118" s="22" t="str">
        <x:v>河川・多摩川</x:v>
      </x:c>
      <x:c r="Z118" s="22"/>
    </x:row>
    <x:row r="119">
      <x:c r="A119" s="27" t="str">
        <x:v>R118</x:v>
      </x:c>
      <x:c r="B119" s="27" t="str">
        <x:v>相模原・展望と防災</x:v>
      </x:c>
      <x:c r="C119" s="27" t="str">
        <x:v>展望塔／防災／24時間駐車</x:v>
      </x:c>
      <x:c r="D119" s="27" t="str">
        <x:v>現在地</x:v>
      </x:c>
      <x:c r="E119" s="27" t="str">
        <x:v>相模原麻溝公園</x:v>
      </x:c>
      <x:c r="F119" s="27" t="str">
        <x:v>ぼうさいの丘公園</x:v>
      </x:c>
      <x:c r="G119" s="27"/>
      <x:c r="H119" s="27" t="str">
        <x:v>F・マリノス 成城石井パーク（大和ゆとりの森）</x:v>
      </x:c>
      <x:c r="I119" s="27" t="str">
        <x:v>170～230分</x:v>
      </x:c>
      <x:c r="J119" s="27" t="n">
        <x:v>4</x:v>
      </x:c>
      <x:c r="K119" s="27" t="str">
        <x:v>展望塔は日中。ぼうさいの丘21時後は直接ゆとりの森へ。</x:v>
      </x:c>
      <x:c r="L119" s="49" t="e">
        <x:f>HYPERLINK("https://www.google.com/maps/dir/?api=1&amp;destination=F%E3%83%BB%E3%83%9E%E3%83%AA%E3%83%8E%E3%82%B9%20%E6%88%90%E5%9F%8E%E7%9F%B3%E4%BA%95%E3%83%91%E3%83%BC%E3%82%AF%EF%BC%88%E5%A4%A7%E5%92%8C%E3%82%86%E3%81%A8%E3%82%8A%E3%81%AE%E6%A3%AE%EF%BC%89&amp;travelmode=driving&amp;waypoints=%E7%9B%B8%E6%A8%A1%E5%8E%9F%E9%BA%BB%E6%BA%9D%E5%85%AC%E5%9C%92%7C%E3%81%BC%E3%81%86%E3%81%95%E3%81%84%E3%81%AE%E4%B8%98%E5%85%AC%E5%9C%92","現在地からルート開始")</x:f>
      </x:c>
      <x:c r="M119" s="22" t="str">
        <x:v>通常</x:v>
      </x:c>
      <x:c r="N119" s="22" t="n">
        <x:v>83</x:v>
      </x:c>
      <x:c r="O119" s="22" t="str">
        <x:v>維持</x:v>
      </x:c>
      <x:c r="P119" s="22" t="str">
        <x:v>相模原麻溝公園 → ぼうさいの丘公園 → F・マリノス 成城石井パーク（大和ゆとりの森） の順に、景観と滞在強度を変化させる。</x:v>
      </x:c>
      <x:c r="Q119" s="22"/>
      <x:c r="R119" s="23" t="n">
        <x:v>46232</x:v>
      </x:c>
      <x:c r="S119" s="22"/>
      <x:c r="T119" s="22"/>
      <x:c r="U119" s="22"/>
      <x:c r="V119" s="22"/>
      <x:c r="W119" s="22"/>
      <x:c r="X119" s="22"/>
      <x:c r="Y119" s="22" t="str">
        <x:v>都市公園・休憩</x:v>
      </x:c>
      <x:c r="Z119" s="22"/>
    </x:row>
    <x:row r="120">
      <x:c r="A120" s="27" t="str">
        <x:v>R119</x:v>
      </x:c>
      <x:c r="B120" s="27" t="str">
        <x:v>横浜・庭園と丘陵三層</x:v>
      </x:c>
      <x:c r="C120" s="27" t="str">
        <x:v>日本庭園／競馬場跡／丘陵</x:v>
      </x:c>
      <x:c r="D120" s="27" t="str">
        <x:v>現在地</x:v>
      </x:c>
      <x:c r="E120" s="27" t="str">
        <x:v>三溪園</x:v>
      </x:c>
      <x:c r="F120" s="27" t="str">
        <x:v>根岸森林公園</x:v>
      </x:c>
      <x:c r="G120" s="27"/>
      <x:c r="H120" s="27" t="str">
        <x:v>金沢自然公園</x:v>
      </x:c>
      <x:c r="I120" s="27" t="str">
        <x:v>180～250分</x:v>
      </x:c>
      <x:c r="J120" s="27" t="n">
        <x:v>1</x:v>
      </x:c>
      <x:c r="K120" s="27" t="str">
        <x:v>午前開始の昼専用。三溪園の最終入園16:30と金沢自然公園の入庫締切を優先。</x:v>
      </x:c>
      <x:c r="L120" s="49" t="e">
        <x:f>HYPERLINK("https://www.google.com/maps/dir/?api=1&amp;destination=%E9%87%91%E6%B2%A2%E8%87%AA%E7%84%B6%E5%85%AC%E5%9C%92&amp;travelmode=driving&amp;waypoints=%E4%B8%89%E6%BA%AA%E5%9C%92%7C%E6%A0%B9%E5%B2%B8%E6%A3%AE%E6%9E%97%E5%85%AC%E5%9C%92","現在地からルート開始")</x:f>
      </x:c>
      <x:c r="M120" s="22" t="str">
        <x:v>昼専用</x:v>
      </x:c>
      <x:c r="N120" s="22" t="n">
        <x:v>85</x:v>
      </x:c>
      <x:c r="O120" s="22" t="str">
        <x:v>差替え済</x:v>
      </x:c>
      <x:c r="P120" s="22" t="str">
        <x:v>古建築の日本庭園→近代競馬場跡→横浜南部の丘陵へ南下し、駐車と進行方向を安定させる。</x:v>
      </x:c>
      <x:c r="Q120" s="22" t="str">
        <x:v>小規模駐車場かつ戸塚方向へ大きく逸れる俣野別邸庭園を根岸森林公園へ差替え。</x:v>
      </x:c>
      <x:c r="R120" s="23" t="n">
        <x:v>46232</x:v>
      </x:c>
      <x:c r="S120" s="22" t="n">
        <x:v>88</x:v>
      </x:c>
      <x:c r="T120" s="22" t="n">
        <x:v>0</x:v>
      </x:c>
      <x:c r="U120" s="22" t="str">
        <x:v>海・港・自然 → 都市夜景・Story → 都市夜景・Story → 海・港・自然</x:v>
      </x:c>
      <x:c r="V120" s="22" t="str">
        <x:v>三溪園:45分／根岸森林公園:18分／金沢自然公園:75分</x:v>
      </x:c>
      <x:c r="W120" s="22" t="str">
        <x:v>専用・公式駐車場へ直接入庫</x:v>
      </x:c>
      <x:c r="X120" s="22" t="str">
        <x:v>17:00に間に合わない時／臨時閉鎖・イベント混雑時</x:v>
      </x:c>
      <x:c r="Y120" s="22" t="str">
        <x:v>森林・高台</x:v>
      </x:c>
      <x:c r="Z120" s="22"/>
    </x:row>
    <x:row r="121">
      <x:c r="A121" s="27" t="str">
        <x:v>R120</x:v>
      </x:c>
      <x:c r="B121" s="27" t="str">
        <x:v>大田区から小田原へ物語をつなぐ</x:v>
      </x:c>
      <x:c r="C121" s="27" t="str">
        <x:v>洋館／神社／漁港</x:v>
      </x:c>
      <x:c r="D121" s="27" t="str">
        <x:v>現在地</x:v>
      </x:c>
      <x:c r="E121" s="27" t="str">
        <x:v>俣野別邸庭園</x:v>
      </x:c>
      <x:c r="F121" s="27" t="str">
        <x:v>寒川神社</x:v>
      </x:c>
      <x:c r="G121" s="27"/>
      <x:c r="H121" s="27" t="str">
        <x:v>漁港の駅 TOTOCO小田原</x:v>
      </x:c>
      <x:c r="I121" s="27" t="str">
        <x:v>240～330分</x:v>
      </x:c>
      <x:c r="J121" s="27" t="n">
        <x:v>2</x:v>
      </x:c>
      <x:c r="K121" s="27" t="str">
        <x:v>俣野別邸とTOTOCOの営業時間がHard Gate。圏央道・西湘方面の渋滞を考慮。</x:v>
      </x:c>
      <x:c r="L121" s="49" t="e">
        <x:f>HYPERLINK("https://www.google.com/maps/dir/?api=1&amp;destination=%E6%BC%81%E6%B8%AF%E3%81%AE%E9%A7%85%20TOTOCO%E5%B0%8F%E7%94%B0%E5%8E%9F&amp;travelmode=driving&amp;waypoints=%E4%BF%A3%E9%87%8E%E5%88%A5%E9%82%B8%E5%BA%AD%E5%9C%92%7C%E5%AF%92%E5%B7%9D%E7%A5%9E%E7%A4%BE","現在地からルート開始")</x:f>
      </x:c>
      <x:c r="M121" s="22" t="str">
        <x:v>昼専用</x:v>
      </x:c>
      <x:c r="N121" s="22" t="n">
        <x:v>76</x:v>
      </x:c>
      <x:c r="O121" s="22" t="str">
        <x:v>維持</x:v>
      </x:c>
      <x:c r="P121" s="22" t="str">
        <x:v>俣野別邸庭園 → 寒川神社 → 漁港の駅 TOTOCO小田原 の順に、景観と滞在強度を変化させる。</x:v>
      </x:c>
      <x:c r="Q121" s="22"/>
      <x:c r="R121" s="23" t="n">
        <x:v>46232</x:v>
      </x:c>
      <x:c r="S121" s="22"/>
      <x:c r="T121" s="22"/>
      <x:c r="U121" s="22"/>
      <x:c r="V121" s="22"/>
      <x:c r="W121" s="22"/>
      <x:c r="X121" s="22"/>
      <x:c r="Y121" s="22" t="str">
        <x:v>東京港・水辺</x:v>
      </x:c>
      <x:c r="Z121" s="22"/>
    </x:row>
    <x:row r="122">
      <x:c r="A122" s="22" t="str">
        <x:v>R121</x:v>
      </x:c>
      <x:c r="B122" s="22" t="str">
        <x:v>湾岸・干潟から運河へ</x:v>
      </x:c>
      <x:c r="C122" s="22" t="str">
        <x:v>干潟／海／運河</x:v>
      </x:c>
      <x:c r="D122" s="22" t="str">
        <x:v>現在地</x:v>
      </x:c>
      <x:c r="E122" s="22" t="str">
        <x:v>葛西海浜公園</x:v>
      </x:c>
      <x:c r="F122" s="22" t="str">
        <x:v>葛西臨海公園</x:v>
      </x:c>
      <x:c r="G122" s="22" t="str">
        <x:v>東品川海上公園</x:v>
      </x:c>
      <x:c r="H122" s="22" t="str">
        <x:v>城南島海浜公園</x:v>
      </x:c>
      <x:c r="I122" s="22" t="str">
        <x:v>150～220分</x:v>
      </x:c>
      <x:c r="J122" s="22" t="n">
        <x:v>4</x:v>
      </x:c>
      <x:c r="K122" s="22" t="str">
        <x:v>葛西駐車場混雑時は高洲海浜公園へ差替え。東品川は時間貸し駐車場利用。</x:v>
      </x:c>
      <x:c r="L122" s="95" t="e">
        <x:f>HYPERLINK("https://www.google.com/maps/dir/?api=1&amp;destination=%E5%9F%8E%E5%8D%97%E5%B3%B6%E6%B5%B7%E6%B5%9C%E5%85%AC%E5%9C%92&amp;travelmode=driving&amp;waypoints=%E8%91%9B%E8%A5%BF%E6%B5%B7%E6%B5%9C%E5%85%AC%E5%9C%92%7C%E8%91%9B%E8%A5%BF%E8%87%A8%E6%B5%B7%E5%85%AC%E5%9C%92%7C%E6%9D%B1%E5%93%81%E5%B7%9D%E6%B5%B7%E4%B8%8A%E5%85%AC%E5%9C%92","現在地からルート開始")</x:f>
      </x:c>
      <x:c r="M122" s="22" t="str">
        <x:v>通常</x:v>
      </x:c>
      <x:c r="N122" s="22" t="n">
        <x:v>78</x:v>
      </x:c>
      <x:c r="O122" s="22" t="str">
        <x:v>維持</x:v>
      </x:c>
      <x:c r="P122" s="22" t="str">
        <x:v>葛西海浜公園 → 葛西臨海公園 → 東品川海上公園 → 城南島海浜公園 の順に、景観と滞在強度を変化させる。</x:v>
      </x:c>
      <x:c r="Q122" s="22"/>
      <x:c r="R122" s="23" t="n">
        <x:v>46232</x:v>
      </x:c>
      <x:c r="S122" s="22" t="n">
        <x:v>76</x:v>
      </x:c>
      <x:c r="T122" s="22" t="n">
        <x:v>9</x:v>
      </x:c>
      <x:c r="U122" s="22" t="str">
        <x:v>海・港・自然 → 海・港・自然 → 海・港・自然 → 海・港・自然 → 海・港・自然 → 飛行機・海・港</x:v>
      </x:c>
      <x:c r="V122" s="22" t="str">
        <x:v>葛西海浜公園:20分／葛西臨海公園:20分／東品川海上公園:45分／城南島海浜公園:40分</x:v>
      </x:c>
      <x:c r="W122" s="22" t="str">
        <x:v>専用・公式駐車場へ直接入庫／車の経由地には不向き。合法駐車から徒歩のみ</x:v>
      </x:c>
      <x:c r="X122" s="22" t="str">
        <x:v>臨時閉鎖・イベント混雑時／満車時／工事・閉鎖時／21:00に間に合わない時／工事・閉鎖時</x:v>
      </x:c>
      <x:c r="Y122" s="22" t="str">
        <x:v>東京港・水辺</x:v>
      </x:c>
      <x:c r="Z122" s="22"/>
    </x:row>
    <x:row r="123">
      <x:c r="A123" s="22" t="str">
        <x:v>R122</x:v>
      </x:c>
      <x:c r="B123" s="22" t="str">
        <x:v>多摩丘陵・戦車道路Story</x:v>
      </x:c>
      <x:c r="C123" s="22" t="str">
        <x:v>旧軍用地／尾根／里山</x:v>
      </x:c>
      <x:c r="D123" s="22" t="str">
        <x:v>現在地</x:v>
      </x:c>
      <x:c r="E123" s="22" t="str">
        <x:v>小山内裏公園</x:v>
      </x:c>
      <x:c r="F123" s="22" t="str">
        <x:v>長池公園</x:v>
      </x:c>
      <x:c r="G123" s="22"/>
      <x:c r="H123" s="22" t="str">
        <x:v>こどもの国</x:v>
      </x:c>
      <x:c r="I123" s="22" t="str">
        <x:v>200～280分</x:v>
      </x:c>
      <x:c r="J123" s="22" t="n">
        <x:v>1</x:v>
      </x:c>
      <x:c r="K123" s="22" t="str">
        <x:v>全地点17時前後で閉鎖。午前開始し、こどもの国の最終入場時刻を優先。</x:v>
      </x:c>
      <x:c r="L123" s="95" t="e">
        <x:f>HYPERLINK("https://www.google.com/maps/dir/?api=1&amp;destination=%E3%81%93%E3%81%A9%E3%82%82%E3%81%AE%E5%9B%BD&amp;travelmode=driving&amp;waypoints=%E5%B0%8F%E5%B1%B1%E5%86%85%E8%A3%8F%E5%85%AC%E5%9C%92%7C%E9%95%B7%E6%B1%A0%E5%85%AC%E5%9C%92","現在地からルート開始")</x:f>
      </x:c>
      <x:c r="M123" s="22" t="str">
        <x:v>昼専用</x:v>
      </x:c>
      <x:c r="N123" s="22" t="n">
        <x:v>82</x:v>
      </x:c>
      <x:c r="O123" s="22" t="str">
        <x:v>維持</x:v>
      </x:c>
      <x:c r="P123" s="22" t="str">
        <x:v>小山内裏公園 → 長池公園 → こどもの国 の順に、景観と滞在強度を変化させる。</x:v>
      </x:c>
      <x:c r="Q123" s="22"/>
      <x:c r="R123" s="23" t="n">
        <x:v>46232</x:v>
      </x:c>
      <x:c r="S123" s="22"/>
      <x:c r="T123" s="22"/>
      <x:c r="U123" s="22"/>
      <x:c r="V123" s="22"/>
      <x:c r="W123" s="22"/>
      <x:c r="X123" s="22"/>
      <x:c r="Y123" s="22" t="str">
        <x:v>森林・高台</x:v>
      </x:c>
      <x:c r="Z123" s="22"/>
    </x:row>
    <x:row r="124">
      <x:c r="A124" s="22" t="str">
        <x:v>R123</x:v>
      </x:c>
      <x:c r="B124" s="22" t="str">
        <x:v>横浜西部・大池と丘陵</x:v>
      </x:c>
      <x:c r="C124" s="22" t="str">
        <x:v>谷戸／池／丘陵</x:v>
      </x:c>
      <x:c r="D124" s="22" t="str">
        <x:v>現在地</x:v>
      </x:c>
      <x:c r="E124" s="22" t="str">
        <x:v>こども自然公園</x:v>
      </x:c>
      <x:c r="F124" s="22" t="str">
        <x:v>こどもの国</x:v>
      </x:c>
      <x:c r="G124" s="22"/>
      <x:c r="H124" s="22" t="str">
        <x:v>県立東高根森林公園</x:v>
      </x:c>
      <x:c r="I124" s="22" t="str">
        <x:v>170～240分</x:v>
      </x:c>
      <x:c r="J124" s="22" t="n">
        <x:v>2</x:v>
      </x:c>
      <x:c r="K124" s="22" t="str">
        <x:v>こどもの国の入場締切がHard Gate。東高根19時閉場。</x:v>
      </x:c>
      <x:c r="L124" s="95" t="e">
        <x:f>HYPERLINK("https://www.google.com/maps/dir/?api=1&amp;destination=%E7%9C%8C%E7%AB%8B%E6%9D%B1%E9%AB%98%E6%A0%B9%E6%A3%AE%E6%9E%97%E5%85%AC%E5%9C%92&amp;travelmode=driving&amp;waypoints=%E3%81%93%E3%81%A9%E3%82%82%E8%87%AA%E7%84%B6%E5%85%AC%E5%9C%92%7C%E3%81%93%E3%81%A9%E3%82%82%E3%81%AE%E5%9B%BD","現在地からルート開始")</x:f>
      </x:c>
      <x:c r="M124" s="22" t="str">
        <x:v>昼専用</x:v>
      </x:c>
      <x:c r="N124" s="22" t="n">
        <x:v>78</x:v>
      </x:c>
      <x:c r="O124" s="22" t="str">
        <x:v>維持</x:v>
      </x:c>
      <x:c r="P124" s="22" t="str">
        <x:v>こども自然公園 → こどもの国 → 県立東高根森林公園 の順に、景観と滞在強度を変化させる。</x:v>
      </x:c>
      <x:c r="Q124" s="22"/>
      <x:c r="R124" s="23" t="n">
        <x:v>46232</x:v>
      </x:c>
      <x:c r="S124" s="22"/>
      <x:c r="T124" s="22"/>
      <x:c r="U124" s="22"/>
      <x:c r="V124" s="22"/>
      <x:c r="W124" s="22"/>
      <x:c r="X124" s="22"/>
      <x:c r="Y124" s="22" t="str">
        <x:v>森林・高台</x:v>
      </x:c>
      <x:c r="Z124" s="22"/>
    </x:row>
    <x:row r="125">
      <x:c r="A125" s="22" t="str">
        <x:v>R124</x:v>
      </x:c>
      <x:c r="B125" s="22" t="str">
        <x:v>湘南二宮・二つの丘</x:v>
      </x:c>
      <x:c r="C125" s="22" t="str">
        <x:v>花／高台／富士山</x:v>
      </x:c>
      <x:c r="D125" s="22" t="str">
        <x:v>現在地</x:v>
      </x:c>
      <x:c r="E125" s="22" t="str">
        <x:v>ラディアン花の丘公園</x:v>
      </x:c>
      <x:c r="F125" s="22" t="str">
        <x:v>吾妻山公園</x:v>
      </x:c>
      <x:c r="G125" s="22"/>
      <x:c r="H125" s="22" t="str">
        <x:v>大磯城山公園</x:v>
      </x:c>
      <x:c r="I125" s="22" t="str">
        <x:v>190～260分</x:v>
      </x:c>
      <x:c r="J125" s="22" t="n">
        <x:v>1</x:v>
      </x:c>
      <x:c r="K125" s="22" t="str">
        <x:v>徒歩登頂時間を含む。全地点昼専用。</x:v>
      </x:c>
      <x:c r="L125" s="95" t="e">
        <x:f>HYPERLINK("https://www.google.com/maps/dir/?api=1&amp;destination=%E5%A4%A7%E7%A3%AF%E5%9F%8E%E5%B1%B1%E5%85%AC%E5%9C%92&amp;travelmode=driving&amp;waypoints=%E3%83%A9%E3%83%87%E3%82%A3%E3%82%A2%E3%83%B3%E8%8A%B1%E3%81%AE%E4%B8%98%E5%85%AC%E5%9C%92%7C%E5%90%BE%E5%A6%BB%E5%B1%B1%E5%85%AC%E5%9C%92","現在地からルート開始")</x:f>
      </x:c>
      <x:c r="M125" s="22" t="str">
        <x:v>昼専用</x:v>
      </x:c>
      <x:c r="N125" s="22" t="n">
        <x:v>80</x:v>
      </x:c>
      <x:c r="O125" s="22" t="str">
        <x:v>維持</x:v>
      </x:c>
      <x:c r="P125" s="22" t="str">
        <x:v>ラディアン花の丘公園 → 吾妻山公園 → 大磯城山公園 の順に、景観と滞在強度を変化させる。</x:v>
      </x:c>
      <x:c r="Q125" s="22"/>
      <x:c r="R125" s="23" t="n">
        <x:v>46232</x:v>
      </x:c>
      <x:c r="S125" s="22"/>
      <x:c r="T125" s="22"/>
      <x:c r="U125" s="22"/>
      <x:c r="V125" s="22"/>
      <x:c r="W125" s="22"/>
      <x:c r="X125" s="22"/>
      <x:c r="Y125" s="22" t="str">
        <x:v>森林・高台</x:v>
      </x:c>
      <x:c r="Z125" s="22"/>
    </x:row>
    <x:row r="126">
      <x:c r="A126" s="22" t="str">
        <x:v>R125</x:v>
      </x:c>
      <x:c r="B126" s="22" t="str">
        <x:v>足柄高台と金太郎帰路</x:v>
      </x:c>
      <x:c r="C126" s="22" t="str">
        <x:v>高台／富士山／道の駅</x:v>
      </x:c>
      <x:c r="D126" s="22" t="str">
        <x:v>現在地</x:v>
      </x:c>
      <x:c r="E126" s="22" t="str">
        <x:v>西平畑公園</x:v>
      </x:c>
      <x:c r="F126" s="22" t="str">
        <x:v>弘法山公園</x:v>
      </x:c>
      <x:c r="G126" s="22"/>
      <x:c r="H126" s="22" t="str">
        <x:v>道の駅 足柄・金太郎のふるさと</x:v>
      </x:c>
      <x:c r="I126" s="22" t="str">
        <x:v>230～310分</x:v>
      </x:c>
      <x:c r="J126" s="22" t="n">
        <x:v>3</x:v>
      </x:c>
      <x:c r="K126" s="22" t="str">
        <x:v>公園閉場前に回り、最後を24時間駐車の道の駅にする。</x:v>
      </x:c>
      <x:c r="L126" s="95" t="e">
        <x:f>HYPERLINK("https://www.google.com/maps/dir/?api=1&amp;destination=%E9%81%93%E3%81%AE%E9%A7%85%20%E8%B6%B3%E6%9F%84%E3%83%BB%E9%87%91%E5%A4%AA%E9%83%8E%E3%81%AE%E3%81%B5%E3%82%8B%E3%81%95%E3%81%A8&amp;travelmode=driving&amp;waypoints=%E8%A5%BF%E5%B9%B3%E7%95%91%E5%85%AC%E5%9C%92%7C%E5%BC%98%E6%B3%95%E5%B1%B1%E5%85%AC%E5%9C%92","現在地からルート開始")</x:f>
      </x:c>
      <x:c r="M126" s="22" t="str">
        <x:v>通常</x:v>
      </x:c>
      <x:c r="N126" s="22" t="n">
        <x:v>81</x:v>
      </x:c>
      <x:c r="O126" s="22" t="str">
        <x:v>維持</x:v>
      </x:c>
      <x:c r="P126" s="22" t="str">
        <x:v>西平畑公園 → 弘法山公園 → 道の駅 足柄・金太郎のふるさと の順に、景観と滞在強度を変化させる。</x:v>
      </x:c>
      <x:c r="Q126" s="22"/>
      <x:c r="R126" s="23" t="n">
        <x:v>46232</x:v>
      </x:c>
      <x:c r="S126" s="22"/>
      <x:c r="T126" s="22"/>
      <x:c r="U126" s="22"/>
      <x:c r="V126" s="22"/>
      <x:c r="W126" s="22"/>
      <x:c r="X126" s="22"/>
      <x:c r="Y126" s="22" t="str">
        <x:v>森林・高台</x:v>
      </x:c>
      <x:c r="Z126" s="22"/>
    </x:row>
    <x:row r="127">
      <x:c r="A127" s="22" t="str">
        <x:v>R126</x:v>
      </x:c>
      <x:c r="B127" s="22" t="str">
        <x:v>入間・飛行場跡公園線</x:v>
      </x:c>
      <x:c r="C127" s="22" t="str">
        <x:v>旧飛行場／芝生／防災</x:v>
      </x:c>
      <x:c r="D127" s="22" t="str">
        <x:v>現在地</x:v>
      </x:c>
      <x:c r="E127" s="22" t="str">
        <x:v>狭山稲荷山公園</x:v>
      </x:c>
      <x:c r="F127" s="22" t="str">
        <x:v>彩の森入間公園</x:v>
      </x:c>
      <x:c r="G127" s="22"/>
      <x:c r="H127" s="22" t="str">
        <x:v>智光山公園</x:v>
      </x:c>
      <x:c r="I127" s="22" t="str">
        <x:v>210～280分</x:v>
      </x:c>
      <x:c r="J127" s="22" t="n">
        <x:v>2</x:v>
      </x:c>
      <x:c r="K127" s="22" t="str">
        <x:v>入間基地イベント日は中止。智光山は利用する駐車場の時間を確認。</x:v>
      </x:c>
      <x:c r="L127" s="95" t="e">
        <x:f>HYPERLINK("https://www.google.com/maps/dir/?api=1&amp;destination=%E6%99%BA%E5%85%89%E5%B1%B1%E5%85%AC%E5%9C%92&amp;travelmode=driving&amp;waypoints=%E7%8B%AD%E5%B1%B1%E7%A8%B2%E8%8D%B7%E5%B1%B1%E5%85%AC%E5%9C%92%7C%E5%BD%A9%E3%81%AE%E6%A3%AE%E5%85%A5%E9%96%93%E5%85%AC%E5%9C%92","現在地からルート開始")</x:f>
      </x:c>
      <x:c r="M127" s="22" t="str">
        <x:v>昼専用</x:v>
      </x:c>
      <x:c r="N127" s="22" t="n">
        <x:v>83</x:v>
      </x:c>
      <x:c r="O127" s="22" t="str">
        <x:v>維持</x:v>
      </x:c>
      <x:c r="P127" s="22" t="str">
        <x:v>狭山稲荷山公園 → 彩の森入間公園 → 智光山公園 の順に、景観と滞在強度を変化させる。</x:v>
      </x:c>
      <x:c r="Q127" s="22"/>
      <x:c r="R127" s="23" t="n">
        <x:v>46232</x:v>
      </x:c>
      <x:c r="S127" s="22"/>
      <x:c r="T127" s="22"/>
      <x:c r="U127" s="22"/>
      <x:c r="V127" s="22"/>
      <x:c r="W127" s="22"/>
      <x:c r="X127" s="22"/>
      <x:c r="Y127" s="22" t="str">
        <x:v>羽田・航空</x:v>
      </x:c>
      <x:c r="Z127" s="22"/>
    </x:row>
    <x:row r="128">
      <x:c r="A128" s="22" t="str">
        <x:v>R127</x:v>
      </x:c>
      <x:c r="B128" s="22" t="str">
        <x:v>国分寺崖線・湧水Story</x:v>
      </x:c>
      <x:c r="C128" s="22" t="str">
        <x:v>湧水／古代史／24時間</x:v>
      </x:c>
      <x:c r="D128" s="22" t="str">
        <x:v>現在地</x:v>
      </x:c>
      <x:c r="E128" s="22" t="str">
        <x:v>野川公園</x:v>
      </x:c>
      <x:c r="F128" s="22" t="str">
        <x:v>武蔵野公園</x:v>
      </x:c>
      <x:c r="G128" s="22"/>
      <x:c r="H128" s="22" t="str">
        <x:v>武蔵国分寺公園</x:v>
      </x:c>
      <x:c r="I128" s="22" t="str">
        <x:v>170～230分</x:v>
      </x:c>
      <x:c r="J128" s="22" t="n">
        <x:v>4</x:v>
      </x:c>
      <x:c r="K128" s="22" t="str">
        <x:v>野川20時入庫終了。最後を24時間の国分寺公園に設定。</x:v>
      </x:c>
      <x:c r="L128" s="95" t="e">
        <x:f>HYPERLINK("https://www.google.com/maps/dir/?api=1&amp;destination=%E6%AD%A6%E8%94%B5%E5%9B%BD%E5%88%86%E5%AF%BA%E5%85%AC%E5%9C%92&amp;travelmode=driving&amp;waypoints=%E9%87%8E%E5%B7%9D%E5%85%AC%E5%9C%92%7C%E6%AD%A6%E8%94%B5%E9%87%8E%E5%85%AC%E5%9C%92","現在地からルート開始")</x:f>
      </x:c>
      <x:c r="M128" s="22" t="str">
        <x:v>通常</x:v>
      </x:c>
      <x:c r="N128" s="22" t="n">
        <x:v>86</x:v>
      </x:c>
      <x:c r="O128" s="22" t="str">
        <x:v>維持</x:v>
      </x:c>
      <x:c r="P128" s="22" t="str">
        <x:v>野川公園 → 武蔵野公園 → 武蔵国分寺公園 の順に、景観と滞在強度を変化させる。</x:v>
      </x:c>
      <x:c r="Q128" s="22"/>
      <x:c r="R128" s="23" t="n">
        <x:v>46232</x:v>
      </x:c>
      <x:c r="S128" s="22"/>
      <x:c r="T128" s="22"/>
      <x:c r="U128" s="22"/>
      <x:c r="V128" s="22"/>
      <x:c r="W128" s="22"/>
      <x:c r="X128" s="22"/>
      <x:c r="Y128" s="22" t="str">
        <x:v>都市公園・休憩</x:v>
      </x:c>
      <x:c r="Z128" s="22"/>
    </x:row>
    <x:row r="129">
      <x:c r="A129" s="22" t="str">
        <x:v>R128</x:v>
      </x:c>
      <x:c r="B129" s="22" t="str">
        <x:v>幕張・計画都市ナイト</x:v>
      </x:c>
      <x:c r="C129" s="22" t="str">
        <x:v>計画都市／日本庭園／海辺</x:v>
      </x:c>
      <x:c r="D129" s="22" t="str">
        <x:v>現在地</x:v>
      </x:c>
      <x:c r="E129" s="22" t="str">
        <x:v>千葉県立幕張海浜公園</x:v>
      </x:c>
      <x:c r="F129" s="22" t="str">
        <x:v>海浜大通り展望駐車場</x:v>
      </x:c>
      <x:c r="G129" s="22"/>
      <x:c r="H129" s="22" t="str">
        <x:v>高洲海浜公園</x:v>
      </x:c>
      <x:c r="I129" s="22" t="str">
        <x:v>180～250分</x:v>
      </x:c>
      <x:c r="J129" s="22" t="n">
        <x:v>5</x:v>
      </x:c>
      <x:c r="K129" s="22" t="str">
        <x:v>幕張のイベント混雑を確認。24時間駐車地点中心。</x:v>
      </x:c>
      <x:c r="L129" s="95" t="e">
        <x:f>HYPERLINK("https://www.google.com/maps/dir/?api=1&amp;destination=%E9%AB%98%E6%B4%B2%E6%B5%B7%E6%B5%9C%E5%85%AC%E5%9C%92&amp;travelmode=driving&amp;waypoints=%E5%8D%83%E8%91%89%E7%9C%8C%E7%AB%8B%E5%B9%95%E5%BC%B5%E6%B5%B7%E6%B5%9C%E5%85%AC%E5%9C%92%7C%E6%B5%B7%E6%B5%9C%E5%A4%A7%E9%80%9A%E3%82%8A%E5%B1%95%E6%9C%9B%E9%A7%90%E8%BB%8A%E5%A0%B4","現在地からルート開始")</x:f>
      </x:c>
      <x:c r="M129" s="22" t="str">
        <x:v>通常</x:v>
      </x:c>
      <x:c r="N129" s="22" t="n">
        <x:v>68</x:v>
      </x:c>
      <x:c r="O129" s="22" t="str">
        <x:v>維持</x:v>
      </x:c>
      <x:c r="P129" s="22" t="str">
        <x:v>千葉県立幕張海浜公園 → 海浜大通り展望駐車場 → 高洲海浜公園 の順に、景観と滞在強度を変化させる。</x:v>
      </x:c>
      <x:c r="Q129" s="22"/>
      <x:c r="R129" s="23" t="n">
        <x:v>46232</x:v>
      </x:c>
      <x:c r="S129" s="22"/>
      <x:c r="T129" s="22"/>
      <x:c r="U129" s="22"/>
      <x:c r="V129" s="22"/>
      <x:c r="W129" s="22"/>
      <x:c r="X129" s="22"/>
      <x:c r="Y129" s="22" t="str">
        <x:v>東京港・水辺</x:v>
      </x:c>
      <x:c r="Z129" s="22"/>
    </x:row>
    <x:row r="130">
      <x:c r="A130" s="22" t="str">
        <x:v>R129</x:v>
      </x:c>
      <x:c r="B130" s="22" t="str">
        <x:v>千葉・動物から道の駅へ</x:v>
      </x:c>
      <x:c r="C130" s="22" t="str">
        <x:v>動物／都市農業／食</x:v>
      </x:c>
      <x:c r="D130" s="22" t="str">
        <x:v>現在地</x:v>
      </x:c>
      <x:c r="E130" s="22" t="str">
        <x:v>千葉市動物公園</x:v>
      </x:c>
      <x:c r="F130" s="22" t="str">
        <x:v>道の駅 いちかわ</x:v>
      </x:c>
      <x:c r="G130" s="22"/>
      <x:c r="H130" s="22" t="str">
        <x:v>高洲海浜公園</x:v>
      </x:c>
      <x:c r="I130" s="22" t="str">
        <x:v>210～290分</x:v>
      </x:c>
      <x:c r="J130" s="22" t="n">
        <x:v>3</x:v>
      </x:c>
      <x:c r="K130" s="22" t="str">
        <x:v>動物園17時駐車場閉鎖。市川は22時まで。</x:v>
      </x:c>
      <x:c r="L130" s="95" t="e">
        <x:f>HYPERLINK("https://www.google.com/maps/dir/?api=1&amp;destination=%E9%AB%98%E6%B4%B2%E6%B5%B7%E6%B5%9C%E5%85%AC%E5%9C%92&amp;travelmode=driving&amp;waypoints=%E5%8D%83%E8%91%89%E5%B8%82%E5%8B%95%E7%89%A9%E5%85%AC%E5%9C%92%7C%E9%81%93%E3%81%AE%E9%A7%85%20%E3%81%84%E3%81%A1%E3%81%8B%E3%82%8F","現在地からルート開始")</x:f>
      </x:c>
      <x:c r="M130" s="22" t="str">
        <x:v>通常</x:v>
      </x:c>
      <x:c r="N130" s="22" t="n">
        <x:v>76</x:v>
      </x:c>
      <x:c r="O130" s="22" t="str">
        <x:v>維持</x:v>
      </x:c>
      <x:c r="P130" s="22" t="str">
        <x:v>千葉市動物公園 → 道の駅 いちかわ → 高洲海浜公園 の順に、景観と滞在強度を変化させる。</x:v>
      </x:c>
      <x:c r="Q130" s="22"/>
      <x:c r="R130" s="23" t="n">
        <x:v>46232</x:v>
      </x:c>
      <x:c r="S130" s="22"/>
      <x:c r="T130" s="22"/>
      <x:c r="U130" s="22"/>
      <x:c r="V130" s="22"/>
      <x:c r="W130" s="22"/>
      <x:c r="X130" s="22"/>
      <x:c r="Y130" s="22" t="str">
        <x:v>都市公園・休憩</x:v>
      </x:c>
      <x:c r="Z130" s="22"/>
    </x:row>
    <x:row r="131">
      <x:c r="A131" s="22" t="str">
        <x:v>R130</x:v>
      </x:c>
      <x:c r="B131" s="22" t="str">
        <x:v>手賀沼・農産物ナイト</x:v>
      </x:c>
      <x:c r="C131" s="22" t="str">
        <x:v>水辺／道の駅／24時間</x:v>
      </x:c>
      <x:c r="D131" s="22" t="str">
        <x:v>現在地</x:v>
      </x:c>
      <x:c r="E131" s="22" t="str">
        <x:v>道の駅 しょうなん</x:v>
      </x:c>
      <x:c r="F131" s="22" t="str">
        <x:v>手賀沼親水広場</x:v>
      </x:c>
      <x:c r="G131" s="22"/>
      <x:c r="H131" s="22" t="str">
        <x:v>道の駅 いちかわ</x:v>
      </x:c>
      <x:c r="I131" s="22" t="str">
        <x:v>190～260分</x:v>
      </x:c>
      <x:c r="J131" s="22" t="n">
        <x:v>4</x:v>
      </x:c>
      <x:c r="K131" s="22" t="str">
        <x:v>手賀沼イベント日の駐車規制を確認。</x:v>
      </x:c>
      <x:c r="L131" s="95" t="e">
        <x:f>HYPERLINK("https://www.google.com/maps/dir/?api=1&amp;destination=%E9%81%93%E3%81%AE%E9%A7%85%20%E3%81%84%E3%81%A1%E3%81%8B%E3%82%8F&amp;travelmode=driving&amp;waypoints=%E9%81%93%E3%81%AE%E9%A7%85%20%E3%81%97%E3%82%87%E3%81%86%E3%81%AA%E3%82%93%7C%E6%89%8B%E8%B3%80%E6%B2%BC%E8%A6%AA%E6%B0%B4%E5%BA%83%E5%A0%B4","現在地からルート開始")</x:f>
      </x:c>
      <x:c r="M131" s="22" t="str">
        <x:v>通常</x:v>
      </x:c>
      <x:c r="N131" s="22" t="n">
        <x:v>64</x:v>
      </x:c>
      <x:c r="O131" s="22" t="str">
        <x:v>維持</x:v>
      </x:c>
      <x:c r="P131" s="22" t="str">
        <x:v>道の駅 しょうなん → 手賀沼親水広場 → 道の駅 いちかわ の順に、景観と滞在強度を変化させる。</x:v>
      </x:c>
      <x:c r="Q131" s="22"/>
      <x:c r="R131" s="23" t="n">
        <x:v>46232</x:v>
      </x:c>
      <x:c r="S131" s="22"/>
      <x:c r="T131" s="22"/>
      <x:c r="U131" s="22"/>
      <x:c r="V131" s="22"/>
      <x:c r="W131" s="22"/>
      <x:c r="X131" s="22"/>
      <x:c r="Y131" s="22" t="str">
        <x:v>都市公園・休憩</x:v>
      </x:c>
      <x:c r="Z131" s="22"/>
    </x:row>
    <x:row r="132">
      <x:c r="A132" s="22" t="str">
        <x:v>R131</x:v>
      </x:c>
      <x:c r="B132" s="22" t="str">
        <x:v>東京近距離・運河と市場</x:v>
      </x:c>
      <x:c r="C132" s="22" t="str">
        <x:v>運河／道の駅／海</x:v>
      </x:c>
      <x:c r="D132" s="22" t="str">
        <x:v>現在地</x:v>
      </x:c>
      <x:c r="E132" s="22" t="str">
        <x:v>東品川海上公園</x:v>
      </x:c>
      <x:c r="F132" s="22" t="str">
        <x:v>道の駅 いちかわ</x:v>
      </x:c>
      <x:c r="G132" s="22" t="str">
        <x:v>高洲海浜公園</x:v>
      </x:c>
      <x:c r="H132" s="22" t="str">
        <x:v>葛西海浜公園</x:v>
      </x:c>
      <x:c r="I132" s="22" t="str">
        <x:v>170～240分</x:v>
      </x:c>
      <x:c r="J132" s="22" t="n">
        <x:v>4</x:v>
      </x:c>
      <x:c r="K132" s="22" t="str">
        <x:v>東品川は専用駐車場なし。葛西の海浜立入時間・潮位を確認。</x:v>
      </x:c>
      <x:c r="L132" s="95" t="e">
        <x:f>HYPERLINK("https://www.google.com/maps/dir/?api=1&amp;destination=%E8%91%9B%E8%A5%BF%E6%B5%B7%E6%B5%9C%E5%85%AC%E5%9C%92&amp;travelmode=driving&amp;waypoints=%E6%9D%B1%E5%93%81%E5%B7%9D%E6%B5%B7%E4%B8%8A%E5%85%AC%E5%9C%92%7C%E9%81%93%E3%81%AE%E9%A7%85%20%E3%81%84%E3%81%A1%E3%81%8B%E3%82%8F%7C%E9%AB%98%E6%B4%B2%E6%B5%B7%E6%B5%9C%E5%85%AC%E5%9C%92","現在地からルート開始")</x:f>
      </x:c>
      <x:c r="M132" s="22" t="str">
        <x:v>通常</x:v>
      </x:c>
      <x:c r="N132" s="22" t="n">
        <x:v>82</x:v>
      </x:c>
      <x:c r="O132" s="22" t="str">
        <x:v>維持</x:v>
      </x:c>
      <x:c r="P132" s="22" t="str">
        <x:v>東品川海上公園 → 道の駅 いちかわ → 高洲海浜公園 → 葛西海浜公園 の順に、景観と滞在強度を変化させる。</x:v>
      </x:c>
      <x:c r="Q132" s="22"/>
      <x:c r="R132" s="23" t="n">
        <x:v>46232</x:v>
      </x:c>
      <x:c r="S132" s="22" t="n">
        <x:v>100</x:v>
      </x:c>
      <x:c r="T132" s="22" t="n">
        <x:v>0</x:v>
      </x:c>
      <x:c r="U132" s="22" t="str">
        <x:v>海・港・自然 → その他 → その他 → 海・港・都市夜景 → 海・港・都市夜景 → 海・港・自然</x:v>
      </x:c>
      <x:c r="V132" s="22" t="str">
        <x:v>東品川海上公園:45分／道の駅 いちかわ:18分／高洲海浜公園:25分／葛西海浜公園:45分</x:v>
      </x:c>
      <x:c r="W132" s="22" t="str">
        <x:v>車の経由地には不向き。合法駐車から徒歩のみ／専用・公式駐車場へ直接入庫</x:v>
      </x:c>
      <x:c r="X132" s="22" t="str">
        <x:v>満車時／工事・閉鎖時／22:00に間に合わない時／強風・高潮・増水時／臨時閉鎖・イベント混雑時</x:v>
      </x:c>
      <x:c r="Y132" s="22" t="str">
        <x:v>東京港・水辺</x:v>
      </x:c>
      <x:c r="Z132" s="22"/>
    </x:row>
    <x:row r="133">
      <x:c r="A133" s="22" t="str">
        <x:v>R132</x:v>
      </x:c>
      <x:c r="B133" s="22" t="str">
        <x:v>西東京から足柄へ長距離Story</x:v>
      </x:c>
      <x:c r="C133" s="22" t="str">
        <x:v>古代史／高台／伝説</x:v>
      </x:c>
      <x:c r="D133" s="22" t="str">
        <x:v>現在地</x:v>
      </x:c>
      <x:c r="E133" s="22" t="str">
        <x:v>武蔵国分寺公園</x:v>
      </x:c>
      <x:c r="F133" s="22" t="str">
        <x:v>弘法山公園</x:v>
      </x:c>
      <x:c r="G133" s="22" t="str">
        <x:v>西平畑公園</x:v>
      </x:c>
      <x:c r="H133" s="22" t="str">
        <x:v>道の駅 足柄・金太郎のふるさと</x:v>
      </x:c>
      <x:c r="I133" s="22" t="str">
        <x:v>280～370分</x:v>
      </x:c>
      <x:c r="J133" s="22" t="n">
        <x:v>3</x:v>
      </x:c>
      <x:c r="K133" s="22" t="str">
        <x:v>昼開始。西平畑17時前到着、最後は24時間道の駅。</x:v>
      </x:c>
      <x:c r="L133" s="95" t="e">
        <x:f>HYPERLINK("https://www.google.com/maps/dir/?api=1&amp;destination=%E9%81%93%E3%81%AE%E9%A7%85%20%E8%B6%B3%E6%9F%84%E3%83%BB%E9%87%91%E5%A4%AA%E9%83%8E%E3%81%AE%E3%81%B5%E3%82%8B%E3%81%95%E3%81%A8&amp;travelmode=driving&amp;waypoints=%E6%AD%A6%E8%94%B5%E5%9B%BD%E5%88%86%E5%AF%BA%E5%85%AC%E5%9C%92%7C%E5%BC%98%E6%B3%95%E5%B1%B1%E5%85%AC%E5%9C%92%7C%E8%A5%BF%E5%B9%B3%E7%95%91%E5%85%AC%E5%9C%92","現在地からルート開始")</x:f>
      </x:c>
      <x:c r="M133" s="22" t="str">
        <x:v>通常</x:v>
      </x:c>
      <x:c r="N133" s="22" t="n">
        <x:v>83</x:v>
      </x:c>
      <x:c r="O133" s="22" t="str">
        <x:v>維持</x:v>
      </x:c>
      <x:c r="P133" s="22" t="str">
        <x:v>武蔵国分寺公園 → 弘法山公園 → 西平畑公園 → 道の駅 足柄・金太郎のふるさと の順に、景観と滞在強度を変化させる。</x:v>
      </x:c>
      <x:c r="Q133" s="22"/>
      <x:c r="R133" s="23" t="n">
        <x:v>46232</x:v>
      </x:c>
      <x:c r="S133" s="22"/>
      <x:c r="T133" s="22"/>
      <x:c r="U133" s="22"/>
      <x:c r="V133" s="22"/>
      <x:c r="W133" s="22"/>
      <x:c r="X133" s="22"/>
      <x:c r="Y133" s="22" t="str">
        <x:v>森林・高台</x:v>
      </x:c>
      <x:c r="Z133" s="22"/>
    </x:row>
    <x:row r="134">
      <x:c r="A134" s="22" t="str">
        <x:v>R133</x:v>
      </x:c>
      <x:c r="B134" s="22" t="str">
        <x:v>羽田・足湯から河口へ</x:v>
      </x:c>
      <x:c r="C134" s="22" t="str">
        <x:v>飛行機／足湯／河口</x:v>
      </x:c>
      <x:c r="D134" s="22" t="str">
        <x:v>現在地</x:v>
      </x:c>
      <x:c r="E134" s="22" t="str">
        <x:v>HANEDA INNOVATION CITY 足湯スカイデッキ</x:v>
      </x:c>
      <x:c r="F134" s="22" t="str">
        <x:v>ソラムナード羽田緑地</x:v>
      </x:c>
      <x:c r="G134" s="22"/>
      <x:c r="H134" s="22" t="str">
        <x:v>羽田空港 第3ターミナル展望デッキ</x:v>
      </x:c>
      <x:c r="I134" s="22" t="str">
        <x:v>70～110分</x:v>
      </x:c>
      <x:c r="J134" s="22" t="n">
        <x:v>5</x:v>
      </x:c>
      <x:c r="K134" s="22" t="str">
        <x:v>平日夜の主力。HIC P1を利用し、ソラムナードは徒歩を含む。</x:v>
      </x:c>
      <x:c r="L134" s="22" t="e">
        <x:f>HYPERLINK("https://www.google.com/maps/dir/?api=1&amp;destination=%E7%BE%BD%E7%94%B0%E7%A9%BA%E6%B8%AF%20%E7%AC%AC3%E3%82%BF%E3%83%BC%E3%83%9F%E3%83%8A%E3%83%AB%E5%B1%95%E6%9C%9B%E3%83%87%E3%83%83%E3%82%AD&amp;travelmode=driving&amp;waypoints=HANEDA%20INNOVATION%20CITY%20%E8%B6%B3%E6%B9%AF%E3%82%B9%E3%82%AB%E3%82%A4%E3%83%87%E3%83%83%E3%82%AD%7C%E3%82%BD%E3%83%A9%E3%83%A0%E3%83%8A%E3%83%BC%E3%83%89%E7%BE%BD%E7%94%B0%E7%B7%91%E5%9C%B0","現在地からルート開始")</x:f>
      </x:c>
      <x:c r="M134" s="22" t="str">
        <x:v>共有駐車・徒歩連結</x:v>
      </x:c>
      <x:c r="N134" s="22" t="n">
        <x:v>84</x:v>
      </x:c>
      <x:c r="O134" s="22" t="str">
        <x:v>役割明記</x:v>
      </x:c>
      <x:c r="P134" s="22" t="str">
        <x:v>HIC P1に車を置いたまま、足湯とソラムナードを徒歩で連結。2地点間の再駐車は不要。</x:v>
      </x:c>
      <x:c r="Q134" s="22" t="str">
        <x:v>HIC P1に車を置いたまま、足湯とソラムナードを徒歩で連結。2地点間の再駐車は不要。</x:v>
      </x:c>
      <x:c r="R134" s="23" t="n">
        <x:v>46232</x:v>
      </x:c>
      <x:c r="S134" s="22" t="n">
        <x:v>52</x:v>
      </x:c>
      <x:c r="T134" s="22" t="n">
        <x:v>30</x:v>
      </x:c>
      <x:c r="U134" s="22" t="str">
        <x:v>飛行機・都市夜景 → 飛行機・海・港 → 飛行機・海・港 → 飛行機・都市夜景</x:v>
      </x:c>
      <x:c r="V134" s="22" t="str">
        <x:v>HANEDA INNOVATION CITY 足湯スカイデッキ:25分／ソラムナード羽田緑地:25分／羽田空港 第3ターミナル展望デッキ:40分</x:v>
      </x:c>
      <x:c r="W134" s="22" t="str">
        <x:v>専用・公式駐車場へ直接入庫／HIC P1に1回駐車したまま徒歩連結</x:v>
      </x:c>
      <x:c r="X134" s="22" t="str">
        <x:v>23:30に間に合わない時／強風・高潮・増水時／工事・閉鎖時／工事・閉鎖時</x:v>
      </x:c>
      <x:c r="Y134" s="22" t="str">
        <x:v>羽田・航空</x:v>
      </x:c>
      <x:c r="Z134" s="22"/>
    </x:row>
    <x:row r="135">
      <x:c r="A135" s="22" t="str">
        <x:v>R134</x:v>
      </x:c>
      <x:c r="B135" s="22" t="str">
        <x:v>羽田3ターミナル比較</x:v>
      </x:c>
      <x:c r="C135" s="22" t="str">
        <x:v>飛行機／空港建築／雨天</x:v>
      </x:c>
      <x:c r="D135" s="22" t="str">
        <x:v>現在地</x:v>
      </x:c>
      <x:c r="E135" s="22" t="str">
        <x:v>羽田空港 第1ターミナル展望デッキ</x:v>
      </x:c>
      <x:c r="F135" s="22" t="str">
        <x:v>羽田空港 第2ターミナル展望デッキ／FLIGHT DECK TOKYO</x:v>
      </x:c>
      <x:c r="G135" s="22"/>
      <x:c r="H135" s="22" t="str">
        <x:v>羽田空港 第3ターミナル展望デッキ</x:v>
      </x:c>
      <x:c r="I135" s="22" t="str">
        <x:v>100～150分</x:v>
      </x:c>
      <x:c r="J135" s="22" t="n">
        <x:v>5</x:v>
      </x:c>
      <x:c r="K135" s="22" t="str">
        <x:v>P3/P4等に1回駐車し、ターミナル間は無料連絡バスを基本とする。駐車場を3回入り直さない。</x:v>
      </x:c>
      <x:c r="L135" s="22" t="e">
        <x:f>HYPERLINK("https://www.google.com/maps/dir/?api=1&amp;destination=%E7%BE%BD%E7%94%B0%E7%A9%BA%E6%B8%AF%20%E7%AC%AC3%E3%82%BF%E3%83%BC%E3%83%9F%E3%83%8A%E3%83%AB%E5%B1%95%E6%9C%9B%E3%83%87%E3%83%83%E3%82%AD&amp;travelmode=driving&amp;waypoints=%E7%BE%BD%E7%94%B0%E7%A9%BA%E6%B8%AF%20%E7%AC%AC1%E3%82%BF%E3%83%BC%E3%83%9F%E3%83%8A%E3%83%AB%E5%B1%95%E6%9C%9B%E3%83%87%E3%83%83%E3%82%AD%7C%E7%BE%BD%E7%94%B0%E7%A9%BA%E6%B8%AF%20%E7%AC%AC2%E3%82%BF%E3%83%BC%E3%83%9F%E3%83%8A%E3%83%AB%E5%B1%95%E6%9C%9B%E3%83%87%E3%83%83%E3%82%AD%EF%BC%8FFLIGHT%20DECK%20TOKYO","現在地からルート開始")</x:f>
      </x:c>
      <x:c r="M135" s="22" t="str">
        <x:v>空港内移動</x:v>
      </x:c>
      <x:c r="N135" s="22" t="n">
        <x:v>80</x:v>
      </x:c>
      <x:c r="O135" s="22" t="str">
        <x:v>役割明記</x:v>
      </x:c>
      <x:c r="P135" s="22" t="str">
        <x:v>T1・T2・T3は駐車場混雑時に無料連絡バスを利用し、ターミナルごとの再入庫を避ける。</x:v>
      </x:c>
      <x:c r="Q135" s="22" t="str">
        <x:v>T1・T2・T3は駐車場混雑時に無料連絡バスを利用し、ターミナルごとの再入庫を避ける。</x:v>
      </x:c>
      <x:c r="R135" s="23" t="n">
        <x:v>46232</x:v>
      </x:c>
      <x:c r="S135" s="22" t="n">
        <x:v>59</x:v>
      </x:c>
      <x:c r="T135" s="22" t="n">
        <x:v>12</x:v>
      </x:c>
      <x:c r="U135" s="22" t="str">
        <x:v>飛行機・海・港 → 飛行機・都市夜景 → 飛行機・都市夜景 → 飛行機・都市夜景</x:v>
      </x:c>
      <x:c r="V135" s="22" t="str">
        <x:v>羽田空港 第1ターミナル展望デッキ:25分／羽田空港 第2ターミナル展望デッキ／FLIGHT DECK TOKYO:25分／羽田空港 第3ターミナル展望デッキ:40分</x:v>
      </x:c>
      <x:c r="W135" s="22" t="str">
        <x:v>P3/P4等に1回駐車し、ターミナル間は無料連絡バス</x:v>
      </x:c>
      <x:c r="X135" s="22" t="str">
        <x:v>22:00に間に合わない時／工事・閉鎖時／23:00に間に合わない時／工事・閉鎖時／工事・閉鎖時</x:v>
      </x:c>
      <x:c r="Y135" s="22" t="str">
        <x:v>羽田・航空</x:v>
      </x:c>
      <x:c r="Z135" s="22"/>
    </x:row>
    <x:row r="136">
      <x:c r="A136" s="22" t="str">
        <x:v>R135</x:v>
      </x:c>
      <x:c r="B136" s="22" t="str">
        <x:v>大森・海苔の海辺線</x:v>
      </x:c>
      <x:c r="C136" s="22" t="str">
        <x:v>平和Story／人工海浜／飛行機</x:v>
      </x:c>
      <x:c r="D136" s="22" t="str">
        <x:v>現在地</x:v>
      </x:c>
      <x:c r="E136" s="22" t="str">
        <x:v>平和の森公園</x:v>
      </x:c>
      <x:c r="F136" s="22" t="str">
        <x:v>大森ふるさとの浜辺公園</x:v>
      </x:c>
      <x:c r="G136" s="22"/>
      <x:c r="H136" s="22" t="str">
        <x:v>城南島海浜公園</x:v>
      </x:c>
      <x:c r="I136" s="22" t="str">
        <x:v>80～130分</x:v>
      </x:c>
      <x:c r="J136" s="22" t="n">
        <x:v>4</x:v>
      </x:c>
      <x:c r="K136" s="22" t="str">
        <x:v>浜辺21時閉門。公園共用駐車場の混雑時は城南島へ直行。</x:v>
      </x:c>
      <x:c r="L136" s="22" t="e">
        <x:f>HYPERLINK("https://www.google.com/maps/dir/?api=1&amp;destination=%E5%9F%8E%E5%8D%97%E5%B3%B6%E6%B5%B7%E6%B5%9C%E5%85%AC%E5%9C%92&amp;travelmode=driving&amp;waypoints=%E5%B9%B3%E5%92%8C%E3%81%AE%E6%A3%AE%E5%85%AC%E5%9C%92%7C%E5%A4%A7%E6%A3%AE%E3%81%B5%E3%82%8B%E3%81%95%E3%81%A8%E3%81%AE%E6%B5%9C%E8%BE%BA%E5%85%AC%E5%9C%92","現在地からルート開始")</x:f>
      </x:c>
      <x:c r="M136" s="22" t="str">
        <x:v>通常</x:v>
      </x:c>
      <x:c r="N136" s="22" t="n">
        <x:v>79</x:v>
      </x:c>
      <x:c r="O136" s="22" t="str">
        <x:v>維持</x:v>
      </x:c>
      <x:c r="P136" s="22" t="str">
        <x:v>平和の森公園 → 大森ふるさとの浜辺公園 → 城南島海浜公園 の順に、景観と滞在強度を変化させる。</x:v>
      </x:c>
      <x:c r="Q136" s="22"/>
      <x:c r="R136" s="23" t="n">
        <x:v>46232</x:v>
      </x:c>
      <x:c r="S136" s="22" t="n">
        <x:v>67</x:v>
      </x:c>
      <x:c r="T136" s="22" t="n">
        <x:v>12</x:v>
      </x:c>
      <x:c r="U136" s="22" t="str">
        <x:v>自然・Story → 海・港・Story → 海・港・Story → 飛行機・海・港</x:v>
      </x:c>
      <x:c r="V136" s="22" t="str">
        <x:v>平和の森公園:20分／大森ふるさとの浜辺公園:20分／城南島海浜公園:40分</x:v>
      </x:c>
      <x:c r="W136" s="22" t="str">
        <x:v>小規模。満車なら待たずに省略／専用・公式駐車場へ直接入庫</x:v>
      </x:c>
      <x:c r="X136" s="22" t="str">
        <x:v>満車時／臨時閉鎖・イベント混雑時／21:00に間に合わない時／工事・閉鎖時</x:v>
      </x:c>
      <x:c r="Y136" s="22" t="str">
        <x:v>羽田・航空</x:v>
      </x:c>
      <x:c r="Z136" s="22"/>
    </x:row>
    <x:row r="137">
      <x:c r="A137" s="22" t="str">
        <x:v>R136</x:v>
      </x:c>
      <x:c r="B137" s="22" t="str">
        <x:v>森ケ崎・屋上から足湯へ</x:v>
      </x:c>
      <x:c r="C137" s="22" t="str">
        <x:v>屋上公園／飛行機／足湯</x:v>
      </x:c>
      <x:c r="D137" s="22" t="str">
        <x:v>現在地</x:v>
      </x:c>
      <x:c r="E137" s="22" t="str">
        <x:v>森ケ崎公園</x:v>
      </x:c>
      <x:c r="F137" s="22" t="str">
        <x:v>ソラムナード羽田緑地</x:v>
      </x:c>
      <x:c r="G137" s="22"/>
      <x:c r="H137" s="22" t="str">
        <x:v>HANEDA INNOVATION CITY 足湯スカイデッキ</x:v>
      </x:c>
      <x:c r="I137" s="22" t="str">
        <x:v>70～120分</x:v>
      </x:c>
      <x:c r="J137" s="22" t="n">
        <x:v>5</x:v>
      </x:c>
      <x:c r="K137" s="22" t="str">
        <x:v>森ケ崎の閉園時刻がHard Gate。最後は23:30まで。</x:v>
      </x:c>
      <x:c r="L137" s="22" t="e">
        <x:f>HYPERLINK("https://www.google.com/maps/dir/?api=1&amp;destination=HANEDA%20INNOVATION%20CITY%20%E8%B6%B3%E6%B9%AF%E3%82%B9%E3%82%AB%E3%82%A4%E3%83%87%E3%83%83%E3%82%AD&amp;travelmode=driving&amp;waypoints=%E6%A3%AE%E3%82%B1%E5%B4%8E%E5%85%AC%E5%9C%92%7C%E3%82%BD%E3%83%A9%E3%83%A0%E3%83%8A%E3%83%BC%E3%83%89%E7%BE%BD%E7%94%B0%E7%B7%91%E5%9C%B0","現在地からルート開始")</x:f>
      </x:c>
      <x:c r="M137" s="22" t="str">
        <x:v>共有駐車・徒歩連結</x:v>
      </x:c>
      <x:c r="N137" s="22" t="n">
        <x:v>84</x:v>
      </x:c>
      <x:c r="O137" s="22" t="str">
        <x:v>役割明記</x:v>
      </x:c>
      <x:c r="P137" s="22" t="str">
        <x:v>森ケ崎からHICへ車移動後、ソラムナード散歩と足湯をHIC P1の1回駐車で成立させる。</x:v>
      </x:c>
      <x:c r="Q137" s="22" t="str">
        <x:v>森ケ崎からHICへ車移動後、ソラムナード散歩と足湯をHIC P1の1回駐車で成立させる。</x:v>
      </x:c>
      <x:c r="R137" s="23" t="n">
        <x:v>46232</x:v>
      </x:c>
      <x:c r="S137" s="22" t="n">
        <x:v>61</x:v>
      </x:c>
      <x:c r="T137" s="22" t="n">
        <x:v>21</x:v>
      </x:c>
      <x:c r="U137" s="22" t="str">
        <x:v>飛行機・海・港 → 飛行機・海・港 → 飛行機・海・港 → 飛行機・都市夜景</x:v>
      </x:c>
      <x:c r="V137" s="22" t="str">
        <x:v>森ケ崎公園:25分／ソラムナード羽田緑地:25分／HANEDA INNOVATION CITY 足湯スカイデッキ:25分</x:v>
      </x:c>
      <x:c r="W137" s="22" t="str">
        <x:v>専用・公式駐車場へ直接入庫／HIC P1に1回駐車したまま徒歩連結</x:v>
      </x:c>
      <x:c r="X137" s="22" t="str">
        <x:v>21:30に間に合わない時／強風・高潮・増水時／工事・閉鎖時／23:30に間に合わない時</x:v>
      </x:c>
      <x:c r="Y137" s="22" t="str">
        <x:v>羽田・航空</x:v>
      </x:c>
      <x:c r="Z137" s="22"/>
    </x:row>
    <x:row r="138">
      <x:c r="A138" s="22" t="str">
        <x:v>R137</x:v>
      </x:c>
      <x:c r="B138" s="22" t="str">
        <x:v>多摩川・休日ショート</x:v>
      </x:c>
      <x:c r="C138" s="22" t="str">
        <x:v>河川敷／橋／高台</x:v>
      </x:c>
      <x:c r="D138" s="22" t="str">
        <x:v>現在地</x:v>
      </x:c>
      <x:c r="E138" s="22" t="str">
        <x:v>多摩川六郷橋緑地</x:v>
      </x:c>
      <x:c r="F138" s="22" t="str">
        <x:v>多摩川ガス橋緑地</x:v>
      </x:c>
      <x:c r="G138" s="22"/>
      <x:c r="H138" s="22" t="str">
        <x:v>多摩川浅間神社</x:v>
      </x:c>
      <x:c r="I138" s="22" t="str">
        <x:v>70～120分</x:v>
      </x:c>
      <x:c r="J138" s="22" t="n">
        <x:v>2</x:v>
      </x:c>
      <x:c r="K138" s="22" t="str">
        <x:v>河川敷駐車場は土日祝のみ。閉鎖時刻と増水情報を確認。</x:v>
      </x:c>
      <x:c r="L138" s="22" t="e">
        <x:f>HYPERLINK("https://www.google.com/maps/dir/?api=1&amp;destination=%E5%A4%9A%E6%91%A9%E5%B7%9D%E6%B5%85%E9%96%93%E7%A5%9E%E7%A4%BE&amp;travelmode=driving&amp;waypoints=%E5%A4%9A%E6%91%A9%E5%B7%9D%E5%85%AD%E9%83%B7%E6%A9%8B%E7%B7%91%E5%9C%B0%7C%E5%A4%9A%E6%91%A9%E5%B7%9D%E3%82%AC%E3%82%B9%E6%A9%8B%E7%B7%91%E5%9C%B0","現在地からルート開始")</x:f>
      </x:c>
      <x:c r="M138" s="22" t="str">
        <x:v>休日専用</x:v>
      </x:c>
      <x:c r="N138" s="22" t="n">
        <x:v>79</x:v>
      </x:c>
      <x:c r="O138" s="22" t="str">
        <x:v>役割明記</x:v>
      </x:c>
      <x:c r="P138" s="22" t="str">
        <x:v>六郷橋とガス橋は同じ河川敷でも、下流の橋景観・中流の芝生・高台の浅間神社という3視点で役割分離。</x:v>
      </x:c>
      <x:c r="Q138" s="22" t="str">
        <x:v>六郷橋とガス橋は同じ河川敷でも、下流の橋景観・中流の芝生・高台の浅間神社という3視点で役割分離。</x:v>
      </x:c>
      <x:c r="R138" s="23" t="n">
        <x:v>46232</x:v>
      </x:c>
      <x:c r="S138" s="22" t="n">
        <x:v>85</x:v>
      </x:c>
      <x:c r="T138" s="22" t="n">
        <x:v>0</x:v>
      </x:c>
      <x:c r="U138" s="22" t="str">
        <x:v>海・港・自然 → 海・港・自然 → 海・港・自然 → 都市夜景・Story</x:v>
      </x:c>
      <x:c r="V138" s="22" t="str">
        <x:v>多摩川六郷橋緑地:20分／多摩川ガス橋緑地:20分／多摩川浅間神社:35分</x:v>
      </x:c>
      <x:c r="W138" s="22" t="str">
        <x:v>小規模。満車なら待たずに省略／専用・公式駐車場へ直接入庫</x:v>
      </x:c>
      <x:c r="X138" s="22" t="str">
        <x:v>満車時／19:30に間に合わない時／強風・高潮・増水時／工事・閉鎖時／16:00に間に合わない時</x:v>
      </x:c>
      <x:c r="Y138" s="22" t="str">
        <x:v>東京港・水辺</x:v>
      </x:c>
      <x:c r="Z138" s="22"/>
    </x:row>
    <x:row r="139">
      <x:c r="A139" s="22" t="str">
        <x:v>R138</x:v>
      </x:c>
      <x:c r="B139" s="22" t="str">
        <x:v>池上から大森・海の記憶へ</x:v>
      </x:c>
      <x:c r="C139" s="22" t="str">
        <x:v>庭園Story／24時間公園／人工海浜</x:v>
      </x:c>
      <x:c r="D139" s="22" t="str">
        <x:v>現在地</x:v>
      </x:c>
      <x:c r="E139" s="22" t="str">
        <x:v>池上梅園</x:v>
      </x:c>
      <x:c r="F139" s="22" t="str">
        <x:v>平和島公園</x:v>
      </x:c>
      <x:c r="G139" s="22" t="str"/>
      <x:c r="H139" s="22" t="str">
        <x:v>大森ふるさとの浜辺公園</x:v>
      </x:c>
      <x:c r="I139" s="22" t="str">
        <x:v>80～130分</x:v>
      </x:c>
      <x:c r="J139" s="22" t="n">
        <x:v>2</x:v>
      </x:c>
      <x:c r="K139" s="22" t="str">
        <x:v>池上梅園16:30閉園の昼専用。池上終了後は24時間駐車の平和島公園を挟み、浜辺21時まで。</x:v>
      </x:c>
      <x:c r="L139" s="22" t="e">
        <x:f>HYPERLINK("https://www.google.com/maps/dir/?api=1&amp;destination=%E5%A4%A7%E6%A3%AE%E3%81%B5%E3%82%8B%E3%81%95%E3%81%A8%E3%81%AE%E6%B5%9C%E8%BE%BA%E5%85%AC%E5%9C%92&amp;travelmode=driving&amp;waypoints=%E6%B1%A0%E4%B8%8A%E6%A2%85%E5%9C%92%7C%E5%B9%B3%E5%92%8C%E5%B3%B6%E5%85%AC%E5%9C%92","現在地からルート開始")</x:f>
      </x:c>
      <x:c r="M139" s="22" t="str">
        <x:v>昼～夕方専用</x:v>
      </x:c>
      <x:c r="N139" s="22" t="n">
        <x:v>91</x:v>
      </x:c>
      <x:c r="O139" s="22" t="str">
        <x:v>差替え済</x:v>
      </x:c>
      <x:c r="P139" s="22" t="str">
        <x:v>大田区の丘陵、埋立地、海岸の三つの地形と歴史を短距離でつなぐ。</x:v>
      </x:c>
      <x:c r="Q139" s="22" t="str">
        <x:v>平和の森公園との役割重複を解消し、24時間駐車の平和島公園へ差替え。</x:v>
      </x:c>
      <x:c r="R139" s="23" t="n">
        <x:v>46232</x:v>
      </x:c>
      <x:c r="S139" s="22" t="n">
        <x:v>91</x:v>
      </x:c>
      <x:c r="T139" s="22" t="n">
        <x:v>3</x:v>
      </x:c>
      <x:c r="U139" s="22" t="str">
        <x:v>丘陵庭園と茶室Story → 埋立地の防災公園 → 大森海苔の人工海浜</x:v>
      </x:c>
      <x:c r="V139" s="22" t="str">
        <x:v>池上梅園:40分／平和島公園:20分／大森ふるさとの浜辺公園:45分</x:v>
      </x:c>
      <x:c r="W139" s="22" t="str">
        <x:v>小規模庭園駐車→80台24時間→共用24時間</x:v>
      </x:c>
      <x:c r="X139" s="22" t="str">
        <x:v>池上梅園満車・閉園時は平和島公園から開始／浜辺21時超過時は広場のみ</x:v>
      </x:c>
      <x:c r="Y139" s="22" t="str">
        <x:v>Story・文化</x:v>
      </x:c>
      <x:c r="Z139" s="22" t="str"/>
    </x:row>
    <x:row r="140">
      <x:c r="A140" s="22" t="str">
        <x:v>R139</x:v>
      </x:c>
      <x:c r="B140" s="22" t="str">
        <x:v>勝島・大井ふ頭ウォーターフロント</x:v>
      </x:c>
      <x:c r="C140" s="22" t="str">
        <x:v>人工湖／京浜運河／24時間公園</x:v>
      </x:c>
      <x:c r="D140" s="22" t="str">
        <x:v>現在地</x:v>
      </x:c>
      <x:c r="E140" s="22" t="str">
        <x:v>しながわ区民公園</x:v>
      </x:c>
      <x:c r="F140" s="22" t="str">
        <x:v>大井ふ頭中央海浜公園</x:v>
      </x:c>
      <x:c r="G140" s="22" t="str"/>
      <x:c r="H140" s="22" t="str">
        <x:v>平和島公園</x:v>
      </x:c>
      <x:c r="I140" s="22" t="str">
        <x:v>85～135分</x:v>
      </x:c>
      <x:c r="J140" s="22" t="n">
        <x:v>3</x:v>
      </x:c>
      <x:c r="K140" s="22" t="str">
        <x:v>しながわ区民公園20:30閉園。大井ふ頭第1駐車場は工事閉鎖中で、第2駐車場を利用。遅い時間は大井ふ頭→平和島へ短縮。</x:v>
      </x:c>
      <x:c r="L140" s="22" t="e">
        <x:f>HYPERLINK("https://www.google.com/maps/dir/?api=1&amp;destination=%E5%B9%B3%E5%92%8C%E5%B3%B6%E5%85%AC%E5%9C%92&amp;travelmode=driving&amp;waypoints=%E3%81%97%E3%81%AA%E3%81%8C%E3%82%8F%E5%8C%BA%E6%B0%91%E5%85%AC%E5%9C%92%7C%E5%A4%A7%E4%BA%95%E3%81%B5%E9%A0%AD%E4%B8%AD%E5%A4%AE%E6%B5%B7%E6%B5%9C%E5%85%AC%E5%9C%92","現在地からルート開始")</x:f>
      </x:c>
      <x:c r="M140" s="22" t="str">
        <x:v>夕方専用</x:v>
      </x:c>
      <x:c r="N140" s="22" t="n">
        <x:v>95</x:v>
      </x:c>
      <x:c r="O140" s="22" t="str">
        <x:v>差替え済</x:v>
      </x:c>
      <x:c r="P140" s="22" t="str">
        <x:v>蒲田から近い勝島・八潮・平和島を北から南へ戻り、異なる三つの人工水辺と公園を比較する。</x:v>
      </x:c>
      <x:c r="Q140" s="22" t="str">
        <x:v>飛行機系の京浜島・城南島を外し、近距離の水辺・運河・公園へ役割分離。</x:v>
      </x:c>
      <x:c r="R140" s="23" t="n">
        <x:v>46232</x:v>
      </x:c>
      <x:c r="S140" s="22" t="n">
        <x:v>96</x:v>
      </x:c>
      <x:c r="T140" s="22" t="n">
        <x:v>3</x:v>
      </x:c>
      <x:c r="U140" s="22" t="str">
        <x:v>勝島の人工湖 → 京浜運河となぎさ → 24時間の緑と広場</x:v>
      </x:c>
      <x:c r="V140" s="22" t="str">
        <x:v>しながわ区民公園:30分／大井ふ頭中央海浜公園:30分／平和島公園:30分</x:v>
      </x:c>
      <x:c r="W140" s="22" t="str">
        <x:v>50台有料→第2駐車場110台→80台24時間</x:v>
      </x:c>
      <x:c r="X140" s="22" t="str">
        <x:v>20時以降はしながわ区民公園を省略／大井ふ頭大会・工事時は平和島へ直行</x:v>
      </x:c>
      <x:c r="Y140" s="22" t="str">
        <x:v>東京港・水辺</x:v>
      </x:c>
      <x:c r="Z140" s="22" t="str"/>
    </x:row>
    <x:row r="141">
      <x:c r="A141" s="22" t="str">
        <x:v>R140</x:v>
      </x:c>
      <x:c r="B141" s="22" t="str">
        <x:v>お台場から豊洲の水際夜景</x:v>
      </x:c>
      <x:c r="C141" s="22" t="str">
        <x:v>海浜／運河／都市夜景</x:v>
      </x:c>
      <x:c r="D141" s="22" t="str">
        <x:v>現在地</x:v>
      </x:c>
      <x:c r="E141" s="22" t="str">
        <x:v>お台場海浜公園</x:v>
      </x:c>
      <x:c r="F141" s="22" t="str">
        <x:v>豊洲ぐるり公園</x:v>
      </x:c>
      <x:c r="G141" s="22"/>
      <x:c r="H141" s="22" t="str">
        <x:v>晴海ふ頭公園</x:v>
      </x:c>
      <x:c r="I141" s="22" t="str">
        <x:v>90～140分</x:v>
      </x:c>
      <x:c r="J141" s="22" t="n">
        <x:v>5</x:v>
      </x:c>
      <x:c r="K141" s="22" t="str">
        <x:v>24時間駐車地点中心。イベント開催時はお台場を潮風公園へ、豊洲を晴海へ即時差替え。</x:v>
      </x:c>
      <x:c r="L141" s="22" t="e">
        <x:f>HYPERLINK("https://www.google.com/maps/dir/?api=1&amp;destination=%E6%99%B4%E6%B5%B7%E3%81%B5%E9%A0%AD%E5%85%AC%E5%9C%92&amp;travelmode=driving&amp;waypoints=%E3%81%8A%E5%8F%B0%E5%A0%B4%E6%B5%B7%E6%B5%9C%E5%85%AC%E5%9C%92%7C%E8%B1%8A%E6%B4%B2%E3%81%90%E3%82%8B%E3%82%8A%E5%85%AC%E5%9C%92","現在地からルート開始")</x:f>
      </x:c>
      <x:c r="M141" s="22" t="str">
        <x:v>通常</x:v>
      </x:c>
      <x:c r="N141" s="22" t="n">
        <x:v>83</x:v>
      </x:c>
      <x:c r="O141" s="22" t="str">
        <x:v>差替え済</x:v>
      </x:c>
      <x:c r="P141" s="22" t="str">
        <x:v>砂浜とレインボーブリッジ→豊洲の水際遊歩道→晴海の港湾夜景へ、東京湾の内側を連続的に走る。</x:v>
      </x:c>
      <x:c r="Q141" s="22" t="str">
        <x:v>市場内一般駐車不可の豊洲市場屋上を、駐車・水際動線が明確な豊洲ぐるり公園へ差替え。</x:v>
      </x:c>
      <x:c r="R141" s="23" t="n">
        <x:v>46232</x:v>
      </x:c>
      <x:c r="S141" s="22" t="n">
        <x:v>71</x:v>
      </x:c>
      <x:c r="T141" s="22" t="n">
        <x:v>0</x:v>
      </x:c>
      <x:c r="U141" s="22" t="str">
        <x:v>海・港・都市夜景 → 都市夜景 → 都市夜景 → 海・港・都市夜景</x:v>
      </x:c>
      <x:c r="V141" s="22" t="str">
        <x:v>お台場海浜公園:20分／豊洲ぐるり公園:18分／晴海ふ頭公園:45分</x:v>
      </x:c>
      <x:c r="W141" s="22" t="str">
        <x:v>専用・公式駐車場へ直接入庫／小規模。満車なら待たずに省略</x:v>
      </x:c>
      <x:c r="X141" s="22" t="str">
        <x:v>工事・閉鎖時／臨時閉鎖・イベント混雑時／満車時</x:v>
      </x:c>
      <x:c r="Y141" s="22" t="str">
        <x:v>東京港・水辺</x:v>
      </x:c>
      <x:c r="Z141" s="22"/>
    </x:row>
    <x:row r="142">
      <x:c r="A142" s="22" t="str">
        <x:v>R141</x:v>
      </x:c>
      <x:c r="B142" s="22" t="str">
        <x:v>雨天・羽田インドア線</x:v>
      </x:c>
      <x:c r="C142" s="22" t="str">
        <x:v>足湯／屋内展望／空港</x:v>
      </x:c>
      <x:c r="D142" s="22" t="str">
        <x:v>現在地</x:v>
      </x:c>
      <x:c r="E142" s="22" t="str">
        <x:v>HANEDA INNOVATION CITY 足湯スカイデッキ</x:v>
      </x:c>
      <x:c r="F142" s="22" t="str">
        <x:v>羽田空港 第2ターミナル展望デッキ／FLIGHT DECK TOKYO</x:v>
      </x:c>
      <x:c r="G142" s="22"/>
      <x:c r="H142" s="22" t="str">
        <x:v>羽田空港 第3ターミナル展望デッキ</x:v>
      </x:c>
      <x:c r="I142" s="22" t="str">
        <x:v>80～130分</x:v>
      </x:c>
      <x:c r="J142" s="22" t="n">
        <x:v>5</x:v>
      </x:c>
      <x:c r="K142" s="22" t="str">
        <x:v>雨天はT2屋内FLIGHT DECKを主役にする。HIC足湯は強雨時に省略し、空港内移動を優先。</x:v>
      </x:c>
      <x:c r="L142" s="22" t="e">
        <x:f>HYPERLINK("https://www.google.com/maps/dir/?api=1&amp;destination=%E7%BE%BD%E7%94%B0%E7%A9%BA%E6%B8%AF%20%E7%AC%AC3%E3%82%BF%E3%83%BC%E3%83%9F%E3%83%8A%E3%83%AB%E5%B1%95%E6%9C%9B%E3%83%87%E3%83%83%E3%82%AD&amp;travelmode=driving&amp;waypoints=HANEDA%20INNOVATION%20CITY%20%E8%B6%B3%E6%B9%AF%E3%82%B9%E3%82%AB%E3%82%A4%E3%83%87%E3%83%83%E3%82%AD%7C%E7%BE%BD%E7%94%B0%E7%A9%BA%E6%B8%AF%20%E7%AC%AC2%E3%82%BF%E3%83%BC%E3%83%9F%E3%83%8A%E3%83%AB%E5%B1%95%E6%9C%9B%E3%83%87%E3%83%83%E3%82%AD%EF%BC%8FFLIGHT%20DECK%20TOKYO","現在地からルート開始")</x:f>
      </x:c>
      <x:c r="M142" s="22" t="str">
        <x:v>雨天・空港内移動</x:v>
      </x:c>
      <x:c r="N142" s="22" t="n">
        <x:v>83</x:v>
      </x:c>
      <x:c r="O142" s="22" t="str">
        <x:v>役割明記</x:v>
      </x:c>
      <x:c r="P142" s="22" t="str">
        <x:v>T2の屋内FLIGHT DECKを主役とし、強雨時は足湯を省略。空港内移動で雨天耐性を確保。</x:v>
      </x:c>
      <x:c r="Q142" s="22" t="str">
        <x:v>T2の屋内FLIGHT DECKを主役とし、強雨時は足湯を省略。空港内移動で雨天耐性を確保。</x:v>
      </x:c>
      <x:c r="R142" s="23" t="n">
        <x:v>46232</x:v>
      </x:c>
      <x:c r="S142" s="22" t="n">
        <x:v>41</x:v>
      </x:c>
      <x:c r="T142" s="22" t="n">
        <x:v>30</x:v>
      </x:c>
      <x:c r="U142" s="22" t="str">
        <x:v>飛行機・都市夜景 → 飛行機・都市夜景 → 飛行機・都市夜景 → 飛行機・都市夜景</x:v>
      </x:c>
      <x:c r="V142" s="22" t="str">
        <x:v>HANEDA INNOVATION CITY 足湯スカイデッキ:25分／羽田空港 第2ターミナル展望デッキ／FLIGHT DECK TOKYO:25分／羽田空港 第3ターミナル展望デッキ:40分</x:v>
      </x:c>
      <x:c r="W142" s="22" t="str">
        <x:v>専用・公式駐車場へ直接入庫／P3/P4等に1回駐車し、ターミナル間は無料連絡バス</x:v>
      </x:c>
      <x:c r="X142" s="22" t="str">
        <x:v>23:30に間に合わない時／23:00に間に合わない時／工事・閉鎖時／工事・閉鎖時</x:v>
      </x:c>
      <x:c r="Y142" s="22" t="str">
        <x:v>羽田・航空</x:v>
      </x:c>
      <x:c r="Z142" s="22"/>
    </x:row>
    <x:row r="143">
      <x:c r="A143" s="22" t="str">
        <x:v>R142</x:v>
      </x:c>
      <x:c r="B143" s="22" t="str">
        <x:v>深夜2時間・空港から港の端へ</x:v>
      </x:c>
      <x:c r="C143" s="22" t="str">
        <x:v>24時間空港／工業島／海の行き止まり</x:v>
      </x:c>
      <x:c r="D143" s="22" t="str">
        <x:v>現在地</x:v>
      </x:c>
      <x:c r="E143" s="22" t="str">
        <x:v>羽田空港 第3ターミナル展望デッキ</x:v>
      </x:c>
      <x:c r="F143" s="22"/>
      <x:c r="G143" s="22"/>
      <x:c r="H143" s="22" t="str">
        <x:v>東扇島西公園</x:v>
      </x:c>
      <x:c r="I143" s="22" t="str">
        <x:v>90～135分</x:v>
      </x:c>
      <x:c r="J143" s="22" t="n">
        <x:v>5</x:v>
      </x:c>
      <x:c r="K143" s="22" t="str">
        <x:v>T3展望デッキと東扇島西公園は24時間利用可能。東扇島西公園は釣り利用で混雑するため、満車時は川崎マリエン外周へ変更。</x:v>
      </x:c>
      <x:c r="L143" s="22" t="e">
        <x:f>HYPERLINK("https://www.google.com/maps/dir/?api=1&amp;destination=%E6%9D%B1%E6%89%87%E5%B3%B6%E8%A5%BF%E5%85%AC%E5%9C%92&amp;travelmode=driving&amp;waypoints=%E7%BE%BD%E7%94%B0%E7%A9%BA%E6%B8%AF%20%E7%AC%AC3%E3%82%BF%E3%83%BC%E3%83%9F%E3%83%8A%E3%83%AB%E5%B1%95%E6%9C%9B%E3%83%87%E3%83%83%E3%82%AD","現在地からルート開始")</x:f>
      </x:c>
      <x:c r="M143" s="22" t="str">
        <x:v>深夜専用</x:v>
      </x:c>
      <x:c r="N143" s="22" t="n">
        <x:v>92</x:v>
      </x:c>
      <x:c r="O143" s="22" t="str">
        <x:v>差替え済</x:v>
      </x:c>
      <x:c r="P143" s="22" t="str">
        <x:v>空港の明るい24時間空間から川崎港を横断し、東扇島西端の暗く広い海へ到達する。</x:v>
      </x:c>
      <x:c r="Q143" s="22" t="str">
        <x:v>23:30までのHIC足湯と21時閉門の城南島を外し、深夜でもHard Gateのない1経由地＋最終地点へ変更。</x:v>
      </x:c>
      <x:c r="R143" s="23" t="n">
        <x:v>46232</x:v>
      </x:c>
      <x:c r="S143" s="22" t="n">
        <x:v>88</x:v>
      </x:c>
      <x:c r="T143" s="22" t="n">
        <x:v>3</x:v>
      </x:c>
      <x:c r="U143" s="22" t="str">
        <x:v>24時間空港 → 港湾走行 → 工業島西端の海</x:v>
      </x:c>
      <x:c r="V143" s="22" t="str">
        <x:v>羽田空港 第3ターミナル展望デッキ:30分／東扇島西公園:35分</x:v>
      </x:c>
      <x:c r="W143" s="22" t="str">
        <x:v>両地点とも24時間公式駐車場</x:v>
      </x:c>
      <x:c r="X143" s="22" t="str">
        <x:v>東扇島西公園満車・臨時閉鎖時は川崎マリエン外周へ</x:v>
      </x:c>
      <x:c r="Y143" s="22" t="str">
        <x:v>川崎・工場夜景</x:v>
      </x:c>
      <x:c r="Z143" s="22"/>
    </x:row>
    <x:row r="144">
      <x:c r="A144" s="22" t="str">
        <x:v>R143</x:v>
      </x:c>
      <x:c r="B144" s="22" t="str">
        <x:v>羽田から川崎工場夜景へ</x:v>
      </x:c>
      <x:c r="C144" s="22" t="str">
        <x:v>足湯／高所工場夜景／港の行き止まり</x:v>
      </x:c>
      <x:c r="D144" s="22" t="str">
        <x:v>現在地</x:v>
      </x:c>
      <x:c r="E144" s="22" t="str">
        <x:v>HANEDA INNOVATION CITY 足湯スカイデッキ</x:v>
      </x:c>
      <x:c r="F144" s="22" t="str">
        <x:v>川崎マリエン</x:v>
      </x:c>
      <x:c r="G144" s="22"/>
      <x:c r="H144" s="22" t="str">
        <x:v>東扇島西公園</x:v>
      </x:c>
      <x:c r="I144" s="22" t="str">
        <x:v>100～150分</x:v>
      </x:c>
      <x:c r="J144" s="22" t="n">
        <x:v>5</x:v>
      </x:c>
      <x:c r="K144" s="22" t="str">
        <x:v>川崎マリエン展望室は21時まで。遅れた場合はマリエンを省略し、24時間利用可能な東扇島西公園へ。</x:v>
      </x:c>
      <x:c r="L144" s="22" t="e">
        <x:f>HYPERLINK("https://www.google.com/maps/dir/?api=1&amp;destination=%E6%9D%B1%E6%89%87%E5%B3%B6%E8%A5%BF%E5%85%AC%E5%9C%92&amp;travelmode=driving&amp;waypoints=HANEDA%20INNOVATION%20CITY%20%E8%B6%B3%E6%B9%AF%E3%82%B9%E3%82%AB%E3%82%A4%E3%83%87%E3%83%83%E3%82%AD%7C%E5%B7%9D%E5%B4%8E%E3%83%9E%E3%83%AA%E3%82%A8%E3%83%B3","現在地からルート開始")</x:f>
      </x:c>
      <x:c r="M144" s="22" t="str">
        <x:v>通常</x:v>
      </x:c>
      <x:c r="N144" s="22" t="n">
        <x:v>82</x:v>
      </x:c>
      <x:c r="O144" s="22" t="str">
        <x:v>差替え済</x:v>
      </x:c>
      <x:c r="P144" s="22" t="str">
        <x:v>羽田の足湯と航空機から川崎港の高所展望へ移り、最後は東扇島西端の広い空で余韻を作る。</x:v>
      </x:c>
      <x:c r="Q144" s="22" t="str">
        <x:v>専用駐車場のないソラムナードを車ルートから外し、最終地点を入庫制限のない東扇島西公園へ変更。</x:v>
      </x:c>
      <x:c r="R144" s="23" t="n">
        <x:v>46232</x:v>
      </x:c>
      <x:c r="S144" s="22" t="n">
        <x:v>61</x:v>
      </x:c>
      <x:c r="T144" s="22" t="n">
        <x:v>21</x:v>
      </x:c>
      <x:c r="U144" s="22" t="str">
        <x:v>飛行機・都市夜景 → 海・港・工場夜景 → 海・港・工場夜景 → 海・港・工場夜景</x:v>
      </x:c>
      <x:c r="V144" s="22" t="str">
        <x:v>HANEDA INNOVATION CITY 足湯スカイデッキ:25分／川崎マリエン:25分／東扇島西公園:45分</x:v>
      </x:c>
      <x:c r="W144" s="22" t="str">
        <x:v>専用・公式駐車場へ直接入庫／車の経由地には不向き。合法駐車から徒歩のみ</x:v>
      </x:c>
      <x:c r="X144" s="22" t="str">
        <x:v>23:30に間に合わない時／工事・閉鎖時／満車時</x:v>
      </x:c>
      <x:c r="Y144" s="22" t="str">
        <x:v>川崎・工場夜景</x:v>
      </x:c>
      <x:c r="Z144" s="22"/>
    </x:row>
    <x:row r="145">
      <x:c r="A145" s="22" t="str">
        <x:v>R144</x:v>
      </x:c>
      <x:c r="B145" s="22" t="str">
        <x:v>平日夕方90分・大森から羽田へ</x:v>
      </x:c>
      <x:c r="C145" s="22" t="str">
        <x:v>海苔Story／屋上公園／空港夜景</x:v>
      </x:c>
      <x:c r="D145" s="22" t="str">
        <x:v>現在地</x:v>
      </x:c>
      <x:c r="E145" s="22" t="str">
        <x:v>大森ふるさとの浜辺公園</x:v>
      </x:c>
      <x:c r="F145" s="22" t="str">
        <x:v>森ケ崎公園</x:v>
      </x:c>
      <x:c r="G145" s="22"/>
      <x:c r="H145" s="22" t="str">
        <x:v>羽田空港 第3ターミナル展望デッキ</x:v>
      </x:c>
      <x:c r="I145" s="22" t="str">
        <x:v>80～120分</x:v>
      </x:c>
      <x:c r="J145" s="22" t="n">
        <x:v>4</x:v>
      </x:c>
      <x:c r="K145" s="22" t="str">
        <x:v>19時前後の出発を推奨。森ケ崎は季節により20:30または21:30、浜辺は21時閉門。遅れたら大森を省略。</x:v>
      </x:c>
      <x:c r="L145" s="22" t="e">
        <x:f>HYPERLINK("https://www.google.com/maps/dir/?api=1&amp;destination=%E7%BE%BD%E7%94%B0%E7%A9%BA%E6%B8%AF%20%E7%AC%AC3%E3%82%BF%E3%83%BC%E3%83%9F%E3%83%8A%E3%83%AB%E5%B1%95%E6%9C%9B%E3%83%87%E3%83%83%E3%82%AD&amp;travelmode=driving&amp;waypoints=%E5%A4%A7%E6%A3%AE%E3%81%B5%E3%82%8B%E3%81%95%E3%81%A8%E3%81%AE%E6%B5%9C%E8%BE%BA%E5%85%AC%E5%9C%92%7C%E6%A3%AE%E3%82%B1%E5%B4%8E%E5%85%AC%E5%9C%92","現在地からルート開始")</x:f>
      </x:c>
      <x:c r="M145" s="22" t="str">
        <x:v>夕方専用</x:v>
      </x:c>
      <x:c r="N145" s="22" t="n">
        <x:v>89</x:v>
      </x:c>
      <x:c r="O145" s="22" t="str">
        <x:v>差替え済</x:v>
      </x:c>
      <x:c r="P145" s="22" t="str">
        <x:v>大森の海苔と人工海浜から、水再生センター屋上の展望へ上がり、24時間の空港夜景で終える。</x:v>
      </x:c>
      <x:c r="Q145" s="22" t="str">
        <x:v>HIC足湯の使い回しを外し、大田区の海・都市インフラ・空港を3章でつなぐ夕方ルートへ再設計。</x:v>
      </x:c>
      <x:c r="R145" s="23" t="n">
        <x:v>46232</x:v>
      </x:c>
      <x:c r="S145" s="22" t="n">
        <x:v>91</x:v>
      </x:c>
      <x:c r="T145" s="22" t="n">
        <x:v>6</x:v>
      </x:c>
      <x:c r="U145" s="22" t="str">
        <x:v>海苔・海浜 → 都市インフラ・高所 → 空港夜景</x:v>
      </x:c>
      <x:c r="V145" s="22" t="str">
        <x:v>大森ふるさとの浜辺公園:15分／森ケ崎公園:20分／羽田空港 第3ターミナル展望デッキ:30分</x:v>
      </x:c>
      <x:c r="W145" s="22" t="str">
        <x:v>公式駐車場へ直接入庫</x:v>
      </x:c>
      <x:c r="X145" s="22" t="str">
        <x:v>19:30を過ぎたら大森を省略／森ケ崎閉場時はT3直行</x:v>
      </x:c>
      <x:c r="Y145" s="22" t="str">
        <x:v>羽田・航空</x:v>
      </x:c>
      <x:c r="Z145" s="22"/>
    </x:row>
    <x:row r="146">
      <x:c r="A146" s="22" t="str">
        <x:v>R145</x:v>
      </x:c>
      <x:c r="B146" s="22" t="str">
        <x:v>羽田手前・交通と防災の短時間線</x:v>
      </x:c>
      <x:c r="C146" s="22" t="str">
        <x:v>交通Story／防災／足湯</x:v>
      </x:c>
      <x:c r="D146" s="22" t="str">
        <x:v>現在地</x:v>
      </x:c>
      <x:c r="E146" s="22" t="str">
        <x:v>萩中公園</x:v>
      </x:c>
      <x:c r="F146" s="22" t="str">
        <x:v>東糀谷防災公園</x:v>
      </x:c>
      <x:c r="G146" s="22"/>
      <x:c r="H146" s="22" t="str">
        <x:v>HANEDA INNOVATION CITY 足湯スカイデッキ</x:v>
      </x:c>
      <x:c r="I146" s="22" t="str">
        <x:v>80～125分</x:v>
      </x:c>
      <x:c r="J146" s="22" t="n">
        <x:v>4</x:v>
      </x:c>
      <x:c r="K146" s="22" t="str">
        <x:v>萩中公園の駐車場は24時間だが、交通公園貸出は16時、ガラクタ公園は17時、スケート場は20時まで。夜出発では保存車両Storyを目的にしない。東糀谷一般枠9台が満車なら省略。</x:v>
      </x:c>
      <x:c r="L146" s="22" t="e">
        <x:f>HYPERLINK("https://www.google.com/maps/dir/?api=1&amp;destination=HANEDA%20INNOVATION%20CITY%20%E8%B6%B3%E6%B9%AF%E3%82%B9%E3%82%AB%E3%82%A4%E3%83%87%E3%83%83%E3%82%AD&amp;travelmode=driving&amp;waypoints=%E8%90%A9%E4%B8%AD%E5%85%AC%E5%9C%92%7C%E6%9D%B1%E7%B3%80%E8%B0%B7%E9%98%B2%E7%81%BD%E5%85%AC%E5%9C%92","現在地からルート開始")</x:f>
      </x:c>
      <x:c r="M146" s="22" t="str">
        <x:v>平日夜・家族</x:v>
      </x:c>
      <x:c r="N146" s="22" t="n">
        <x:v>91</x:v>
      </x:c>
      <x:c r="O146" s="22" t="str">
        <x:v>新規</x:v>
      </x:c>
      <x:c r="P146" s="22" t="str">
        <x:v>保存車両と交通公園→防災設備→足湯と航空機へ、羽田周辺の生活インフラを三段階で見る。</x:v>
      </x:c>
      <x:c r="Q146" s="22" t="str">
        <x:v>大田区重点追加から新規作成</x:v>
      </x:c>
      <x:c r="R146" s="23" t="n">
        <x:v>46232</x:v>
      </x:c>
      <x:c r="S146" s="22" t="n">
        <x:v>93</x:v>
      </x:c>
      <x:c r="T146" s="22" t="n">
        <x:v>0</x:v>
      </x:c>
      <x:c r="U146" s="22" t="str">
        <x:v>交通史 → 防災インフラ → 空港・足湯</x:v>
      </x:c>
      <x:c r="V146" s="22" t="str">
        <x:v>萩中公園:20分／東糀谷防災公園:15分／HIC足湯:30分</x:v>
      </x:c>
      <x:c r="W146" s="22" t="str">
        <x:v>24時間公式駐車→10台24時間→HIC P1</x:v>
      </x:c>
      <x:c r="X146" s="22" t="str">
        <x:v>東糀谷満車時は省略／23時以降はT3展望へ変更</x:v>
      </x:c>
      <x:c r="Y146" s="22" t="str">
        <x:v>羽田・航空</x:v>
      </x:c>
      <x:c r="Z146" s="22"/>
    </x:row>
    <x:row r="147">
      <x:c r="A147" s="22" t="str">
        <x:v>R146</x:v>
      </x:c>
      <x:c r="B147" s="22" t="str">
        <x:v>大田・郷土史から工業島へ</x:v>
      </x:c>
      <x:c r="C147" s="22" t="str">
        <x:v>地域史／海苔産業／工業島</x:v>
      </x:c>
      <x:c r="D147" s="22" t="str">
        <x:v>現在地</x:v>
      </x:c>
      <x:c r="E147" s="22" t="str">
        <x:v>大田区立郷土博物館</x:v>
      </x:c>
      <x:c r="F147" s="22" t="str">
        <x:v>大森 海苔のふるさと館</x:v>
      </x:c>
      <x:c r="G147" s="22"/>
      <x:c r="H147" s="22" t="str">
        <x:v>昭和島二丁目公園</x:v>
      </x:c>
      <x:c r="I147" s="22" t="str">
        <x:v>140～200分</x:v>
      </x:c>
      <x:c r="J147" s="22" t="n">
        <x:v>2</x:v>
      </x:c>
      <x:c r="K147" s="22" t="str">
        <x:v>昼専用。博物館は17時、海苔館も通常17時。昭和島は季節により21時または22時閉場。</x:v>
      </x:c>
      <x:c r="L147" s="22" t="e">
        <x:f>HYPERLINK("https://www.google.com/maps/dir/?api=1&amp;destination=%E6%98%AD%E5%92%8C%E5%B3%B6%E4%BA%8C%E4%B8%81%E7%9B%AE%E5%85%AC%E5%9C%92&amp;travelmode=driving&amp;waypoints=%E5%A4%A7%E7%94%B0%E5%8C%BA%E7%AB%8B%E9%83%B7%E5%9C%9F%E5%8D%9A%E7%89%A9%E9%A4%A8%7C%E5%A4%A7%E6%A3%AE%20%E6%B5%B7%E8%8B%94%E3%81%AE%E3%81%B5%E3%82%8B%E3%81%95%E3%81%A8%E9%A4%A8","現在地からルート開始")</x:f>
      </x:c>
      <x:c r="M147" s="22" t="str">
        <x:v>昼専用</x:v>
      </x:c>
      <x:c r="N147" s="22" t="n">
        <x:v>94</x:v>
      </x:c>
      <x:c r="O147" s="22" t="str">
        <x:v>新規</x:v>
      </x:c>
      <x:c r="P147" s="22" t="str">
        <x:v>大田区全体の歴史→海苔産業→現在の工業島へ、産業構造の変化を時系列でたどる。</x:v>
      </x:c>
      <x:c r="Q147" s="22" t="str">
        <x:v>大田区重点追加から新規作成</x:v>
      </x:c>
      <x:c r="R147" s="23" t="n">
        <x:v>46232</x:v>
      </x:c>
      <x:c r="S147" s="22" t="n">
        <x:v>96</x:v>
      </x:c>
      <x:c r="T147" s="22" t="n">
        <x:v>0</x:v>
      </x:c>
      <x:c r="U147" s="22" t="str">
        <x:v>郷土史 → 海苔産業 → 現代工業島</x:v>
      </x:c>
      <x:c r="V147" s="22" t="str">
        <x:v>郷土博物館:55分／海苔館:55分／昭和島:25分</x:v>
      </x:c>
      <x:c r="W147" s="22" t="str">
        <x:v>6台→平和の森公園→43台</x:v>
      </x:c>
      <x:c r="X147" s="22" t="str">
        <x:v>博物館満車時は海苔館から開始／17時超過時は昭和島へ直行</x:v>
      </x:c>
      <x:c r="Y147" s="22" t="str">
        <x:v>Story・文化</x:v>
      </x:c>
      <x:c r="Z147" s="22"/>
    </x:row>
    <x:row r="148">
      <x:c r="A148" s="22" t="str">
        <x:v>R147</x:v>
      </x:c>
      <x:c r="B148" s="22" t="str">
        <x:v>品川・東海道からナイターへ</x:v>
      </x:c>
      <x:c r="C148" s="22" t="str">
        <x:v>東海道Story／競馬場／都市照明</x:v>
      </x:c>
      <x:c r="D148" s="22" t="str">
        <x:v>現在地</x:v>
      </x:c>
      <x:c r="E148" s="22" t="str">
        <x:v>品川区立 品川歴史館</x:v>
      </x:c>
      <x:c r="F148" s="22"/>
      <x:c r="G148" s="22"/>
      <x:c r="H148" s="22" t="str">
        <x:v>東京シティ競馬 大井競馬場</x:v>
      </x:c>
      <x:c r="I148" s="22" t="str">
        <x:v>150～240分</x:v>
      </x:c>
      <x:c r="J148" s="22" t="n">
        <x:v>4</x:v>
      </x:c>
      <x:c r="K148" s="22" t="str">
        <x:v>競馬開催日専用。歴史館は16:30最終入館。競馬場駐車料金・予約制・開門時刻を当日確認。</x:v>
      </x:c>
      <x:c r="L148" s="22" t="e">
        <x:f>HYPERLINK("https://www.google.com/maps/dir/?api=1&amp;destination=%E6%9D%B1%E4%BA%AC%E3%82%B7%E3%83%86%E3%82%A3%E7%AB%B6%E9%A6%AC%20%E5%A4%A7%E4%BA%95%E7%AB%B6%E9%A6%AC%E5%A0%B4&amp;travelmode=driving&amp;waypoints=%E5%93%81%E5%B7%9D%E5%8C%BA%E7%AB%8B%20%E5%93%81%E5%B7%9D%E6%AD%B4%E5%8F%B2%E9%A4%A8","現在地からルート開始")</x:f>
      </x:c>
      <x:c r="M148" s="22" t="str">
        <x:v>開催日専用</x:v>
      </x:c>
      <x:c r="N148" s="22" t="n">
        <x:v>90</x:v>
      </x:c>
      <x:c r="O148" s="22" t="str">
        <x:v>新規</x:v>
      </x:c>
      <x:c r="P148" s="22" t="str">
        <x:v>東海道・大森貝塚の歴史を見た後、昭和以降の都市型娯楽であるナイター競馬へ移る。</x:v>
      </x:c>
      <x:c r="Q148" s="22" t="str">
        <x:v>品川区重点追加から新規作成</x:v>
      </x:c>
      <x:c r="R148" s="23" t="n">
        <x:v>46232</x:v>
      </x:c>
      <x:c r="S148" s="22" t="n">
        <x:v>95</x:v>
      </x:c>
      <x:c r="T148" s="22" t="n">
        <x:v>0</x:v>
      </x:c>
      <x:c r="U148" s="22" t="str">
        <x:v>地域史 → 都市型夜間娯楽</x:v>
      </x:c>
      <x:c r="V148" s="22" t="str">
        <x:v>品川歴史館:60分／大井競馬場:120分</x:v>
      </x:c>
      <x:c r="W148" s="22" t="str">
        <x:v>3台→開催日駐車場</x:v>
      </x:c>
      <x:c r="X148" s="22" t="str">
        <x:v>歴史館満車なら競馬場直行／非開催日はR139へ変更</x:v>
      </x:c>
      <x:c r="Y148" s="22" t="str">
        <x:v>Story・文化</x:v>
      </x:c>
      <x:c r="Z148" s="22"/>
    </x:row>
    <x:row r="149">
      <x:c r="A149" s="22" t="str">
        <x:v>R148</x:v>
      </x:c>
      <x:c r="B149" s="22" t="str">
        <x:v>品川湾岸・運河と高架の三景</x:v>
      </x:c>
      <x:c r="C149" s="22" t="str">
        <x:v>運河／高架インフラ／水再生センター</x:v>
      </x:c>
      <x:c r="D149" s="22" t="str">
        <x:v>現在地</x:v>
      </x:c>
      <x:c r="E149" s="22" t="str">
        <x:v>天王洲公園</x:v>
      </x:c>
      <x:c r="F149" s="22" t="str">
        <x:v>八潮北公園</x:v>
      </x:c>
      <x:c r="G149" s="22"/>
      <x:c r="H149" s="22" t="str">
        <x:v>品川シーズンテラス／芝浦中央公園</x:v>
      </x:c>
      <x:c r="I149" s="22" t="str">
        <x:v>100～155分</x:v>
      </x:c>
      <x:c r="J149" s="22" t="n">
        <x:v>4</x:v>
      </x:c>
      <x:c r="K149" s="22" t="str">
        <x:v>天王洲・八潮の大会日を確認。東品川1丁目の路上枠は昼の短時間代替のみで、夜は路外駐車。品川シーズンテラスは23時まで。</x:v>
      </x:c>
      <x:c r="L149" s="22" t="e">
        <x:f>HYPERLINK("https://www.google.com/maps/dir/?api=1&amp;destination=%E5%93%81%E5%B7%9D%E3%82%B7%E3%83%BC%E3%82%BA%E3%83%B3%E3%83%86%E3%83%A9%E3%82%B9%EF%BC%8F%E8%8A%9D%E6%B5%A6%E4%B8%AD%E5%A4%AE%E5%85%AC%E5%9C%92&amp;travelmode=driving&amp;waypoints=%E5%A4%A9%E7%8E%8B%E6%B4%B2%E5%85%AC%E5%9C%92%7C%E5%85%AB%E6%BD%AE%E5%8C%97%E5%85%AC%E5%9C%92","現在地からルート開始")</x:f>
      </x:c>
      <x:c r="M149" s="22" t="str">
        <x:v>夕方～夜</x:v>
      </x:c>
      <x:c r="N149" s="22" t="n">
        <x:v>93</x:v>
      </x:c>
      <x:c r="O149" s="22" t="str">
        <x:v>新規</x:v>
      </x:c>
      <x:c r="P149" s="22" t="str">
        <x:v>倉庫街再生の運河→高架と埋立地→水再生センター上の緑地へ、湾岸都市インフラの種類を変える。</x:v>
      </x:c>
      <x:c r="Q149" s="22" t="str">
        <x:v>品川・港区重点追加から新規作成</x:v>
      </x:c>
      <x:c r="R149" s="23" t="n">
        <x:v>46232</x:v>
      </x:c>
      <x:c r="S149" s="22" t="n">
        <x:v>97</x:v>
      </x:c>
      <x:c r="T149" s="22" t="n">
        <x:v>0</x:v>
      </x:c>
      <x:c r="U149" s="22" t="str">
        <x:v>運河・アート → 高架・物流 → 水処理・高層建築</x:v>
      </x:c>
      <x:c r="V149" s="22" t="str">
        <x:v>天王洲:25分／八潮北:20分／品川シーズンテラス:40分</x:v>
      </x:c>
      <x:c r="W149" s="22" t="str">
        <x:v>各公式有料駐車場</x:v>
      </x:c>
      <x:c r="X149" s="22" t="str">
        <x:v>大会・満車時は八潮省略／23時超過時は天王洲で終了</x:v>
      </x:c>
      <x:c r="Y149" s="22" t="str">
        <x:v>東京港・水辺</x:v>
      </x:c>
      <x:c r="Z149" s="22"/>
    </x:row>
    <x:row r="150">
      <x:c r="A150" s="22" t="str">
        <x:v>R149</x:v>
      </x:c>
      <x:c r="B150" s="22" t="str">
        <x:v>品川から東京タワーへ都市インフラ線</x:v>
      </x:c>
      <x:c r="C150" s="22" t="str">
        <x:v>水再生センター／高層街／放送塔</x:v>
      </x:c>
      <x:c r="D150" s="22" t="str">
        <x:v>現在地</x:v>
      </x:c>
      <x:c r="E150" s="22" t="str">
        <x:v>品川シーズンテラス／芝浦中央公園</x:v>
      </x:c>
      <x:c r="F150" s="22"/>
      <x:c r="G150" s="22"/>
      <x:c r="H150" s="22" t="str">
        <x:v>東京タワー</x:v>
      </x:c>
      <x:c r="I150" s="22" t="str">
        <x:v>95～145分</x:v>
      </x:c>
      <x:c r="J150" s="22" t="n">
        <x:v>5</x:v>
      </x:c>
      <x:c r="K150" s="22" t="str">
        <x:v>港南3丁目の時間制限駐車区間は昼の短時間観察用。東京タワー展望利用は地上・近隣駐車場を使用。最終入場22:30。</x:v>
      </x:c>
      <x:c r="L150" s="22" t="e">
        <x:f>HYPERLINK("https://www.google.com/maps/dir/?api=1&amp;destination=%E6%9D%B1%E4%BA%AC%E3%82%BF%E3%83%AF%E3%83%BC&amp;travelmode=driving&amp;waypoints=%E5%93%81%E5%B7%9D%E3%82%B7%E3%83%BC%E3%82%BA%E3%83%B3%E3%83%86%E3%83%A9%E3%82%B9%EF%BC%8F%E8%8A%9D%E6%B5%A6%E4%B8%AD%E5%A4%AE%E5%85%AC%E5%9C%92","現在地からルート開始")</x:f>
      </x:c>
      <x:c r="M150" s="22" t="str">
        <x:v>平日夜</x:v>
      </x:c>
      <x:c r="N150" s="22" t="n">
        <x:v>95</x:v>
      </x:c>
      <x:c r="O150" s="22" t="str">
        <x:v>新規</x:v>
      </x:c>
      <x:c r="P150" s="22" t="str">
        <x:v>下水処理施設上の緑地から戦後東京の放送塔へ移り、都市インフラを地上と空から見る。</x:v>
      </x:c>
      <x:c r="Q150" s="22" t="str">
        <x:v>港区重点追加から新規作成</x:v>
      </x:c>
      <x:c r="R150" s="23" t="n">
        <x:v>46232</x:v>
      </x:c>
      <x:c r="S150" s="22" t="n">
        <x:v>94</x:v>
      </x:c>
      <x:c r="T150" s="22" t="n">
        <x:v>0</x:v>
      </x:c>
      <x:c r="U150" s="22" t="str">
        <x:v>水再生インフラ → 放送塔・夜景</x:v>
      </x:c>
      <x:c r="V150" s="22" t="str">
        <x:v>品川シーズンテラス:30分／東京タワー:70分</x:v>
      </x:c>
      <x:c r="W150" s="22" t="str">
        <x:v>319台→東京タワー地上駐車</x:v>
      </x:c>
      <x:c r="X150" s="22" t="str">
        <x:v>22時以降は東京タワー外観鑑賞へ変更</x:v>
      </x:c>
      <x:c r="Y150" s="22" t="str">
        <x:v>都市夜景・建築</x:v>
      </x:c>
      <x:c r="Z150" s="22"/>
    </x:row>
    <x:row r="151">
      <x:c r="A151" s="22" t="str">
        <x:v>R150</x:v>
      </x:c>
      <x:c r="B151" s="22" t="str">
        <x:v>六本木・庭園から空中都市へ</x:v>
      </x:c>
      <x:c r="C151" s="22" t="str">
        <x:v>庭園／現代建築／高層展望</x:v>
      </x:c>
      <x:c r="D151" s="22" t="str">
        <x:v>現在地</x:v>
      </x:c>
      <x:c r="E151" s="22" t="str">
        <x:v>東京ミッドタウン／ミッドタウン・ガーデン</x:v>
      </x:c>
      <x:c r="F151" s="22"/>
      <x:c r="G151" s="22"/>
      <x:c r="H151" s="22" t="str">
        <x:v>六本木ヒルズ 東京シティビュー</x:v>
      </x:c>
      <x:c r="I151" s="22" t="str">
        <x:v>100～160分</x:v>
      </x:c>
      <x:c r="J151" s="22" t="n">
        <x:v>5</x:v>
      </x:c>
      <x:c r="K151" s="22" t="str">
        <x:v>東京シティビューは2026年7月31日まで休館。8月1日以降に使用。企画展・貸切を確認。</x:v>
      </x:c>
      <x:c r="L151" s="22" t="e">
        <x:f>HYPERLINK("https://www.google.com/maps/dir/?api=1&amp;destination=%E5%85%AD%E6%9C%AC%E6%9C%A8%E3%83%92%E3%83%AB%E3%82%BA%20%E6%9D%B1%E4%BA%AC%E3%82%B7%E3%83%86%E3%82%A3%E3%83%93%E3%83%A5%E3%83%BC&amp;travelmode=driving&amp;waypoints=%E6%9D%B1%E4%BA%AC%E3%83%9F%E3%83%83%E3%83%89%E3%82%BF%E3%82%A6%E3%83%B3%EF%BC%8F%E3%83%9F%E3%83%83%E3%83%89%E3%82%BF%E3%82%A6%E3%83%B3%E3%83%BB%E3%82%AC%E3%83%BC%E3%83%87%E3%83%B3","現在地からルート開始")</x:f>
      </x:c>
      <x:c r="M151" s="22" t="str">
        <x:v>8月1日以降・夜</x:v>
      </x:c>
      <x:c r="N151" s="22" t="n">
        <x:v>92</x:v>
      </x:c>
      <x:c r="O151" s="22" t="str">
        <x:v>新規</x:v>
      </x:c>
      <x:c r="P151" s="22" t="str">
        <x:v>地上の庭園・デザイン街区から、52階の都市展望へ垂直に体験を引き上げる。</x:v>
      </x:c>
      <x:c r="Q151" s="22" t="str">
        <x:v>港区重点追加から新規作成</x:v>
      </x:c>
      <x:c r="R151" s="23" t="n">
        <x:v>46232</x:v>
      </x:c>
      <x:c r="S151" s="22" t="n">
        <x:v>90</x:v>
      </x:c>
      <x:c r="T151" s="22" t="n">
        <x:v>0</x:v>
      </x:c>
      <x:c r="U151" s="22" t="str">
        <x:v>庭園・デザイン → 高層美術・夜景</x:v>
      </x:c>
      <x:c r="V151" s="22" t="str">
        <x:v>東京ミッドタウン:50分／東京シティビュー:75分</x:v>
      </x:c>
      <x:c r="W151" s="22" t="str">
        <x:v>両施設24時間系駐車場</x:v>
      </x:c>
      <x:c r="X151" s="22" t="str">
        <x:v>シティビュー休館時は東京タワーへ変更</x:v>
      </x:c>
      <x:c r="Y151" s="22" t="str">
        <x:v>都市夜景・建築</x:v>
      </x:c>
      <x:c r="Z151" s="22"/>
    </x:row>
    <x:row r="152">
      <x:c r="A152" s="22" t="str">
        <x:v>R151</x:v>
      </x:c>
      <x:c r="B152" s="22" t="str">
        <x:v>新宿・庭園と明治建築</x:v>
      </x:c>
      <x:c r="C152" s="22" t="str">
        <x:v>大庭園／近代建築／明治史</x:v>
      </x:c>
      <x:c r="D152" s="22" t="str">
        <x:v>現在地</x:v>
      </x:c>
      <x:c r="E152" s="22" t="str">
        <x:v>新宿御苑</x:v>
      </x:c>
      <x:c r="F152" s="22"/>
      <x:c r="G152" s="22"/>
      <x:c r="H152" s="22" t="str">
        <x:v>明治神宮外苑 聖徳記念絵画館</x:v>
      </x:c>
      <x:c r="I152" s="22" t="str">
        <x:v>160～230分</x:v>
      </x:c>
      <x:c r="J152" s="22" t="n">
        <x:v>1</x:v>
      </x:c>
      <x:c r="K152" s="22" t="str">
        <x:v>新宿3丁目37の路上枠は40分限定で、御苑内観光には使用不可。御苑駐車場と絵画館駐車場を基本とする。</x:v>
      </x:c>
      <x:c r="L152" s="22" t="e">
        <x:f>HYPERLINK("https://www.google.com/maps/dir/?api=1&amp;destination=%E6%98%8E%E6%B2%BB%E7%A5%9E%E5%AE%AE%E5%A4%96%E8%8B%91%20%E8%81%96%E5%BE%B3%E8%A8%98%E5%BF%B5%E7%B5%B5%E7%94%BB%E9%A4%A8&amp;travelmode=driving&amp;waypoints=%E6%96%B0%E5%AE%BF%E5%BE%A1%E8%8B%91","現在地からルート開始")</x:f>
      </x:c>
      <x:c r="M152" s="22" t="str">
        <x:v>休日半日・昼</x:v>
      </x:c>
      <x:c r="N152" s="22" t="n">
        <x:v>94</x:v>
      </x:c>
      <x:c r="O152" s="22" t="str">
        <x:v>新規</x:v>
      </x:c>
      <x:c r="P152" s="22" t="str">
        <x:v>江戸期から皇室庭園へ続く緑地の歴史と、明治を描く近代建築を一続きにする。</x:v>
      </x:c>
      <x:c r="Q152" s="22" t="str">
        <x:v>新宿区重点追加から新規作成</x:v>
      </x:c>
      <x:c r="R152" s="23" t="n">
        <x:v>46232</x:v>
      </x:c>
      <x:c r="S152" s="22" t="n">
        <x:v>96</x:v>
      </x:c>
      <x:c r="T152" s="22" t="n">
        <x:v>0</x:v>
      </x:c>
      <x:c r="U152" s="22" t="str">
        <x:v>庭園史 → 近代国家・建築Story</x:v>
      </x:c>
      <x:c r="V152" s="22" t="str">
        <x:v>新宿御苑:110分／聖徳記念絵画館:60分</x:v>
      </x:c>
      <x:c r="W152" s="22" t="str">
        <x:v>200台→396台</x:v>
      </x:c>
      <x:c r="X152" s="22" t="str">
        <x:v>絵画館休館時は都庁展望室へ／花見期は片方に絞る</x:v>
      </x:c>
      <x:c r="Y152" s="22" t="str">
        <x:v>Story・文化</x:v>
      </x:c>
      <x:c r="Z152" s="22"/>
    </x:row>
    <x:row r="153">
      <x:c r="A153" s="22" t="str">
        <x:v>R152</x:v>
      </x:c>
      <x:c r="B153" s="22" t="str">
        <x:v>西新宿・巨大空間から都庁夜景へ</x:v>
      </x:c>
      <x:c r="C153" s="22" t="str">
        <x:v>巨大アトリウム／超高層街／無料展望</x:v>
      </x:c>
      <x:c r="D153" s="22" t="str">
        <x:v>現在地</x:v>
      </x:c>
      <x:c r="E153" s="22" t="str">
        <x:v>新宿NSビル アトリウム・大時計</x:v>
      </x:c>
      <x:c r="F153" s="22"/>
      <x:c r="G153" s="22"/>
      <x:c r="H153" s="22" t="str">
        <x:v>東京都庁展望室</x:v>
      </x:c>
      <x:c r="I153" s="22" t="str">
        <x:v>90～140分</x:v>
      </x:c>
      <x:c r="J153" s="22" t="n">
        <x:v>5</x:v>
      </x:c>
      <x:c r="K153" s="22" t="str">
        <x:v>西新宿6丁目の路上枠は昼の短時間建築観察用。夜はNSビルまたは都庁駐車場を使用し、都庁は21:30入庫・22:00出庫期限。</x:v>
      </x:c>
      <x:c r="L153" s="22" t="e">
        <x:f>HYPERLINK("https://www.google.com/maps/dir/?api=1&amp;destination=%E6%9D%B1%E4%BA%AC%E9%83%BD%E5%BA%81%E5%B1%95%E6%9C%9B%E5%AE%A4&amp;travelmode=driving&amp;waypoints=%E6%96%B0%E5%AE%BFNS%E3%83%93%E3%83%AB%20%E3%82%A2%E3%83%88%E3%83%AA%E3%82%A6%E3%83%A0%E3%83%BB%E5%A4%A7%E6%99%82%E8%A8%88","現在地からルート開始")</x:f>
      </x:c>
      <x:c r="M153" s="22" t="str">
        <x:v>平日夜・雨天</x:v>
      </x:c>
      <x:c r="N153" s="22" t="n">
        <x:v>96</x:v>
      </x:c>
      <x:c r="O153" s="22" t="str">
        <x:v>新規</x:v>
      </x:c>
      <x:c r="P153" s="22" t="str">
        <x:v>屋内の巨大吹抜けと大時計を見てから、都庁展望室で西新宿全体を上空から捉える。</x:v>
      </x:c>
      <x:c r="Q153" s="22" t="str">
        <x:v>新宿区重点追加から新規作成</x:v>
      </x:c>
      <x:c r="R153" s="23" t="n">
        <x:v>46232</x:v>
      </x:c>
      <x:c r="S153" s="22" t="n">
        <x:v>98</x:v>
      </x:c>
      <x:c r="T153" s="22" t="n">
        <x:v>0</x:v>
      </x:c>
      <x:c r="U153" s="22" t="str">
        <x:v>巨大内部空間 → 超高層展望</x:v>
      </x:c>
      <x:c r="V153" s="22" t="str">
        <x:v>NSビル:35分／都庁展望室:55分</x:v>
      </x:c>
      <x:c r="W153" s="22" t="str">
        <x:v>336台→都庁来庁者駐車場</x:v>
      </x:c>
      <x:c r="X153" s="22" t="str">
        <x:v>都庁休室・22時超過時はNSビルで終了</x:v>
      </x:c>
      <x:c r="Y153" s="22" t="str">
        <x:v>都市夜景・建築</x:v>
      </x:c>
      <x:c r="Z153" s="22"/>
    </x:row>
  </x:sheetData>
  <x:conditionalFormatting sqref="J2:J13">
    <x:cfRule type="colorScale" priority="1">
      <x:colorScale>
        <x:cfvo type="min"/>
        <x:cfvo type="percentile" val="50"/>
        <x:cfvo type="max"/>
        <x:color rgb="FFFEE2E2"/>
        <x:color rgb="FFFEF3C7"/>
        <x:color rgb="FFDCFCE7"/>
      </x:colorScale>
    </x:cfRule>
  </x:conditionalFormatting>
  <x:conditionalFormatting sqref="J2:J25">
    <x:cfRule type="colorScale" priority="2">
      <x:colorScale>
        <x:cfvo type="min"/>
        <x:cfvo type="percentile" val="50"/>
        <x:cfvo type="max"/>
        <x:color rgb="FFFEE2E2"/>
        <x:color rgb="FFFEF3C7"/>
        <x:color rgb="FFDCFCE7"/>
      </x:colorScale>
    </x:cfRule>
  </x:conditionalFormatting>
  <x:conditionalFormatting sqref="J2:J37">
    <x:cfRule type="colorScale" priority="3">
      <x:colorScale>
        <x:cfvo type="min"/>
        <x:cfvo type="percentile" val="50"/>
        <x:cfvo type="max"/>
        <x:color rgb="FFFEE2E2"/>
        <x:color rgb="FFFEF3C7"/>
        <x:color rgb="FFDCFCE7"/>
      </x:colorScale>
    </x:cfRule>
  </x:conditionalFormatting>
  <x:conditionalFormatting sqref="J2:J49">
    <x:cfRule type="colorScale" priority="4">
      <x:colorScale>
        <x:cfvo type="min"/>
        <x:cfvo type="percentile" val="50"/>
        <x:cfvo type="max"/>
        <x:color rgb="FFFEE2E2"/>
        <x:color rgb="FFFEF3C7"/>
        <x:color rgb="FFDCFCE7"/>
      </x:colorScale>
    </x:cfRule>
  </x:conditionalFormatting>
  <x:conditionalFormatting sqref="J2:J61">
    <x:cfRule type="colorScale" priority="5">
      <x:colorScale>
        <x:cfvo type="min"/>
        <x:cfvo type="percentile" val="50"/>
        <x:cfvo type="max"/>
        <x:color rgb="FFFEE2E2"/>
        <x:color rgb="FFFEF3C7"/>
        <x:color rgb="FFDCFCE7"/>
      </x:colorScale>
    </x:cfRule>
  </x:conditionalFormatting>
  <x:conditionalFormatting sqref="J2:J73">
    <x:cfRule type="colorScale" priority="6">
      <x:colorScale>
        <x:cfvo type="min"/>
        <x:cfvo type="percentile" val="50"/>
        <x:cfvo type="max"/>
        <x:color rgb="FFFEE2E2"/>
        <x:color rgb="FFFEF3C7"/>
        <x:color rgb="FFDCFCE7"/>
      </x:colorScale>
    </x:cfRule>
  </x:conditionalFormatting>
  <x:conditionalFormatting sqref="J2:J85">
    <x:cfRule type="colorScale" priority="7">
      <x:colorScale>
        <x:cfvo type="min"/>
        <x:cfvo type="percentile" val="50"/>
        <x:cfvo type="max"/>
        <x:color rgb="FFFEE2E2"/>
        <x:color rgb="FFFEF3C7"/>
        <x:color rgb="FFDCFCE7"/>
      </x:colorScale>
    </x:cfRule>
  </x:conditionalFormatting>
  <x:conditionalFormatting sqref="J2:J97">
    <x:cfRule type="colorScale" priority="8">
      <x:colorScale>
        <x:cfvo type="min"/>
        <x:cfvo type="percentile" val="50"/>
        <x:cfvo type="max"/>
        <x:color rgb="FFFEE2E2"/>
        <x:color rgb="FFFEF3C7"/>
        <x:color rgb="FFDCFCE7"/>
      </x:colorScale>
    </x:cfRule>
  </x:conditionalFormatting>
  <x:conditionalFormatting sqref="J2:J109">
    <x:cfRule type="colorScale" priority="9">
      <x:colorScale>
        <x:cfvo type="min"/>
        <x:cfvo type="percentile" val="50"/>
        <x:cfvo type="max"/>
        <x:color rgb="FFFEE2E2"/>
        <x:color rgb="FFFEF3C7"/>
        <x:color rgb="FFDCFCE7"/>
      </x:colorScale>
    </x:cfRule>
  </x:conditionalFormatting>
  <x:conditionalFormatting sqref="J2:J121">
    <x:cfRule type="colorScale" priority="10">
      <x:colorScale>
        <x:cfvo type="min"/>
        <x:cfvo type="percentile" val="50"/>
        <x:cfvo type="max"/>
        <x:color rgb="FFFEE2E2"/>
        <x:color rgb="FFFEF3C7"/>
        <x:color rgb="FFDCFCE7"/>
      </x:colorScale>
    </x:cfRule>
  </x:conditionalFormatting>
  <x:conditionalFormatting sqref="J2:J133">
    <x:cfRule type="colorScale" priority="11">
      <x:colorScale>
        <x:cfvo type="min"/>
        <x:cfvo type="percentile" val="50"/>
        <x:cfvo type="max"/>
        <x:color rgb="FFFEE2E2"/>
        <x:color rgb="FFFEF3C7"/>
        <x:color rgb="FFDCFCE7"/>
      </x:colorScale>
    </x:cfRule>
  </x:conditionalFormatting>
  <x:conditionalFormatting sqref="N2:N145">
    <x:cfRule type="colorScale" priority="12">
      <x:colorScale>
        <x:cfvo type="min"/>
        <x:cfvo type="percentile" val="50"/>
        <x:cfvo type="max"/>
        <x:color rgb="FFFEE2E2"/>
        <x:color rgb="FFFEF3C7"/>
        <x:color rgb="FFDCFCE7"/>
      </x:colorScale>
    </x:cfRule>
  </x:conditionalFormatting>
  <x:conditionalFormatting sqref="N2:T145">
    <x:cfRule type="colorScale" priority="13">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757556a7aee9447c"/>
  </x:tableParts>
</x:worksheet>
</file>

<file path=xl/worksheets/sheet4.xml><?xml version="1.0" encoding="utf-8"?>
<x:worksheet xmlns:x="http://schemas.openxmlformats.org/spreadsheetml/2006/main">
  <x:sheetFormatPr defaultRowHeight="15"/>
  <x:cols>
    <x:col min="1" max="1" width="9" hidden="0" customWidth="1"/>
    <x:col min="2" max="2" width="30" hidden="0" customWidth="1"/>
    <x:col min="3" max="3" width="21" hidden="0" customWidth="1"/>
    <x:col min="4" max="4" width="26" hidden="0" customWidth="1"/>
    <x:col min="5" max="5" width="23" hidden="0" customWidth="1"/>
    <x:col min="6" max="6" width="47" hidden="0" customWidth="1"/>
    <x:col min="7" max="7" width="25" hidden="0" customWidth="1"/>
    <x:col min="8" max="8" width="32" hidden="0" customWidth="1"/>
    <x:col min="9" max="9" width="16" hidden="0" customWidth="1"/>
    <x:col min="10" max="10" width="13" hidden="0" customWidth="1"/>
    <x:col min="11" max="11" width="48" hidden="0" customWidth="1"/>
    <x:col min="12" max="12" width="13" hidden="0" customWidth="1"/>
    <x:col min="13" max="13" width="14" hidden="0" customWidth="1"/>
    <x:col min="14" max="14" width="43" hidden="0" customWidth="1"/>
    <x:col min="15" max="15" width="49" hidden="0" customWidth="1"/>
    <x:col min="16" max="16" width="23" hidden="0" customWidth="1"/>
    <x:col min="17" max="17" width="45" hidden="0" customWidth="1"/>
  </x:cols>
  <x:sheetData>
    <x:row r="1">
      <x:c r="A1" s="399" t="str">
        <x:v>ID</x:v>
      </x:c>
      <x:c r="B1" s="399" t="str">
        <x:v>名称</x:v>
      </x:c>
      <x:c r="C1" s="399" t="str">
        <x:v>エリア</x:v>
      </x:c>
      <x:c r="D1" s="399" t="str">
        <x:v>カテゴリ</x:v>
      </x:c>
      <x:c r="E1" s="399" t="str">
        <x:v>現在地→目的地（クリック）</x:v>
      </x:c>
      <x:c r="F1" s="399" t="str">
        <x:v>経由地・最終目的地として成立する理由</x:v>
      </x:c>
      <x:c r="G1" s="399" t="str">
        <x:v>駐車場</x:v>
      </x:c>
      <x:c r="H1" s="399" t="str">
        <x:v>利用可能時間</x:v>
      </x:c>
      <x:c r="I1" s="399" t="str">
        <x:v>夜間適性（並べ替え可）</x:v>
      </x:c>
      <x:c r="J1" s="399" t="str">
        <x:v>穴場度(1-5)</x:v>
      </x:c>
      <x:c r="K1" s="399" t="str">
        <x:v>注意事項</x:v>
      </x:c>
      <x:c r="L1" s="399" t="str">
        <x:v>確認日</x:v>
      </x:c>
      <x:c r="M1" s="399" t="str">
        <x:v>確認状態</x:v>
      </x:c>
      <x:c r="N1" s="399" t="str">
        <x:v>情報源URL</x:v>
      </x:c>
      <x:c r="O1" s="399" t="str">
        <x:v>Wikipedia由来の豆知識</x:v>
      </x:c>
      <x:c r="P1" s="399" t="str">
        <x:v>Wikipedia・関連項目（クリック）</x:v>
      </x:c>
      <x:c r="Q1" s="399" t="str">
        <x:v>品質補足・ブラッシュアップ履歴</x:v>
      </x:c>
    </x:row>
    <x:row r="2">
      <x:c r="A2" s="27" t="str">
        <x:v>D244</x:v>
      </x:c>
      <x:c r="B2" s="27" t="str">
        <x:v>ソラムナード羽田緑地</x:v>
      </x:c>
      <x:c r="C2" s="27" t="str">
        <x:v>大田区・羽田空港</x:v>
      </x:c>
      <x:c r="D2" s="27" t="str">
        <x:v>飛行機・多摩川0km・工場夜景</x:v>
      </x:c>
      <x:c r="E2" s="49" t="e">
        <x:f>HYPERLINK("https://www.google.com/maps/dir/?api=1&amp;destination=%E3%82%BD%E3%83%A9%E3%83%A0%E3%83%8A%E3%83%BC%E3%83%89%E7%BE%BD%E7%94%B0%E7%B7%91%E5%9C%B0&amp;travelmode=driving","現在地からナビ開始")</x:f>
      </x:c>
      <x:c r="F2" s="27" t="str">
        <x:v>多摩川河口、離着陸機、対岸の川崎工場夜景、日の出と夕日を一本の遊歩道で切り替えられる。</x:v>
      </x:c>
      <x:c r="G2" s="27" t="str">
        <x:v>専用駐車場なし／HIC P1等の合法駐車場から徒歩</x:v>
      </x:c>
      <x:c r="H2" s="27" t="str">
        <x:v>緑地常時利用を基本／照明・工事情報は当日確認</x:v>
      </x:c>
      <x:c r="I2" s="27" t="n">
        <x:v>5</x:v>
      </x:c>
      <x:c r="J2" s="27" t="n">
        <x:v>5</x:v>
      </x:c>
      <x:c r="K2" s="27" t="str">
        <x:v>路上駐車禁止。HICなど合法駐車場から徒歩。強風・高潮・増水時は利用を避ける。</x:v>
      </x:c>
      <x:c r="L2" s="28" t="n">
        <x:v>46232</x:v>
      </x:c>
      <x:c r="M2" s="27" t="str">
        <x:v>一次確認済</x:v>
      </x:c>
      <x:c r="N2" s="27" t="str">
        <x:v>https://www.city.ota.tokyo.jp/seikatsu/sumaimachinami/haneda_airport/hgw/waterside/soramunadohanedaryokuti.html</x:v>
      </x:c>
      <x:c r="O2" s="27" t="str">
        <x:v>全長約2km。多摩川0km地点標、干潟、約14,600株のスカシユリなど、空港と河口環境が同居する。</x:v>
      </x:c>
      <x:c r="P2" s="49" t="e">
        <x:f>HYPERLINK("https://ja.wikipedia.org/wiki/Special:Search?search=%E3%82%BD%E3%83%A9%E3%83%A0%E3%83%8A%E3%83%BC%E3%83%89%E7%BE%BD%E7%94%B0%E7%B7%91%E5%9C%B0","Wikipedia・関連項目")</x:f>
      </x:c>
      <x:c r="Q2" s="27" t="str">
        <x:v>近距離コア新規追加</x:v>
      </x:c>
    </x:row>
    <x:row r="3">
      <x:c r="A3" s="27" t="str">
        <x:v>D021</x:v>
      </x:c>
      <x:c r="B3" s="27" t="str">
        <x:v>暁ふ頭公園</x:v>
      </x:c>
      <x:c r="C3" s="27" t="str">
        <x:v>江東区・青海</x:v>
      </x:c>
      <x:c r="D3" s="27" t="str">
        <x:v>港・行き止まり・静かな休憩</x:v>
      </x:c>
      <x:c r="E3" s="49" t="e">
        <x:f>HYPERLINK("https://www.google.com/maps/dir/?api=1&amp;destination=%E6%9A%81%E3%81%B5%E9%A0%AD%E5%85%AC%E5%9C%92&amp;travelmode=driving","現在地からナビ開始")</x:f>
      </x:c>
      <x:c r="F3" s="27" t="str">
        <x:v>東京港最奥まで走り切る感覚があり、船と海を近距離で眺める穴場Ending。</x:v>
      </x:c>
      <x:c r="G3" s="27" t="str">
        <x:v>あり・小規模有料</x:v>
      </x:c>
      <x:c r="H3" s="27" t="str">
        <x:v>駐車場運用時間は公式ページで再確認</x:v>
      </x:c>
      <x:c r="I3" s="27" t="n">
        <x:v>5</x:v>
      </x:c>
      <x:c r="J3" s="27" t="n">
        <x:v>5</x:v>
      </x:c>
      <x:c r="K3" s="27" t="str">
        <x:v>港湾部で風が強い。工事・駐車運用変更を当日確認。</x:v>
      </x:c>
      <x:c r="L3" s="28" t="n">
        <x:v>46232</x:v>
      </x:c>
      <x:c r="M3" s="27" t="str">
        <x:v>当日再確認</x:v>
      </x:c>
      <x:c r="N3" s="27" t="str">
        <x:v>https://www.tptc.co.jp/park/01_10</x:v>
      </x:c>
      <x:c r="O3" s="27" t="str">
        <x:v>暁ふ頭周辺は東京港の埋立地の最奥部にあり、都市のごみ処理・物流・港湾拡張の歴史とつながっている。</x:v>
      </x:c>
      <x:c r="P3" s="49" t="e">
        <x:f>HYPERLINK("https://ja.wikipedia.org/wiki/Special:Search?search=%E6%9A%81%E3%81%B5%E9%A0%AD%E5%85%AC%E5%9C%92","Wikipedia・関連項目")</x:f>
      </x:c>
      <x:c r="Q3" s="27"/>
    </x:row>
    <x:row r="4">
      <x:c r="A4" s="27" t="str">
        <x:v>D107</x:v>
      </x:c>
      <x:c r="B4" s="27" t="str">
        <x:v>海浜大通り展望駐車場</x:v>
      </x:c>
      <x:c r="C4" s="27" t="str">
        <x:v>千葉市・美浜区</x:v>
      </x:c>
      <x:c r="D4" s="27" t="str">
        <x:v>海・展望駐車場・車内鑑賞</x:v>
      </x:c>
      <x:c r="E4" s="49" t="e">
        <x:f>HYPERLINK("https://www.google.com/maps/dir/?api=1&amp;destination=%E6%B5%B7%E6%B5%9C%E5%A4%A7%E9%80%9A%E3%82%8A%E5%B1%95%E6%9C%9B%E9%A7%90%E8%BB%8A%E5%A0%B4&amp;travelmode=driving","現在地からナビ開始")</x:f>
      </x:c>
      <x:c r="F4" s="27" t="str">
        <x:v>車に乗ったまま東京湾、富士山、スカイツリー方面を眺められる希少な車中心Ending。</x:v>
      </x:c>
      <x:c r="G4" s="27" t="str">
        <x:v>あり・13台・有料</x:v>
      </x:c>
      <x:c r="H4" s="27" t="str">
        <x:v>利用時間は公式ページの最新案内確認</x:v>
      </x:c>
      <x:c r="I4" s="27" t="n">
        <x:v>5</x:v>
      </x:c>
      <x:c r="J4" s="27" t="n">
        <x:v>5</x:v>
      </x:c>
      <x:c r="K4" s="27" t="str">
        <x:v>台数が少ない。満車時の路上待機禁止。強風時は短時間利用。</x:v>
      </x:c>
      <x:c r="L4" s="28" t="n">
        <x:v>46232</x:v>
      </x:c>
      <x:c r="M4" s="27" t="str">
        <x:v>当日再確認</x:v>
      </x:c>
      <x:c r="N4" s="27" t="str">
        <x:v>https://www.city.chiba.jp/toshi/koenryokuchi/kanri/chuo-mihama/tennbou-chuushajou.html</x:v>
      </x:c>
      <x:c r="O4" s="27" t="str">
        <x:v>海浜大通り一帯は幕張新都心の埋立地で、直線道路と人工海岸は戦後の大規模都市計画の産物である。</x:v>
      </x:c>
      <x:c r="P4" s="49" t="e">
        <x:f>HYPERLINK("https://ja.wikipedia.org/wiki/Special:Search?search=%E6%B5%B7%E6%B5%9C%E5%A4%A7%E9%80%9A%E3%82%8A%E5%B1%95%E6%9C%9B%E9%A7%90%E8%BB%8A%E5%A0%B4","Wikipedia・関連項目")</x:f>
      </x:c>
      <x:c r="Q4" s="27" t="str">
        <x:v>2026-07-29品質補足：13台のみ。満車時は稲毛海浜公園・検見川の浜へ差替え。</x:v>
      </x:c>
    </x:row>
    <x:row r="5">
      <x:c r="A5" s="27" t="str">
        <x:v>D002</x:v>
      </x:c>
      <x:c r="B5" s="27" t="str">
        <x:v>京浜島つばさ公園</x:v>
      </x:c>
      <x:c r="C5" s="27" t="str">
        <x:v>大田区・京浜島</x:v>
      </x:c>
      <x:c r="D5" s="27" t="str">
        <x:v>飛行機・工業島</x:v>
      </x:c>
      <x:c r="E5" s="49" t="e">
        <x:f>HYPERLINK("https://www.google.com/maps/dir/?api=1&amp;destination=%E4%BA%AC%E6%B5%9C%E5%B3%B6%E3%81%A4%E3%81%B0%E3%81%95%E5%85%AC%E5%9C%92&amp;travelmode=driving","現在地からナビ開始")</x:f>
      </x:c>
      <x:c r="F5" s="27" t="str">
        <x:v>滑走路を横から眺め、工業島の行き止まり感と航空機の迫力を味わえる。</x:v>
      </x:c>
      <x:c r="G5" s="27" t="str">
        <x:v>あり・小規模有料</x:v>
      </x:c>
      <x:c r="H5" s="27" t="str">
        <x:v>時間貸し駐車場は24時間運用の情報あり</x:v>
      </x:c>
      <x:c r="I5" s="27" t="n">
        <x:v>5</x:v>
      </x:c>
      <x:c r="J5" s="27" t="n">
        <x:v>4</x:v>
      </x:c>
      <x:c r="K5" s="27" t="str">
        <x:v>台数が少ない。満車時の路上待機・路上駐車は禁止。</x:v>
      </x:c>
      <x:c r="L5" s="28" t="n">
        <x:v>46232</x:v>
      </x:c>
      <x:c r="M5" s="27" t="str">
        <x:v>一次確認済</x:v>
      </x:c>
      <x:c r="N5" s="27" t="str">
        <x:v>https://tokyo-south-seaside-parks.com/keihinjima/</x:v>
      </x:c>
      <x:c r="O5" s="27" t="str">
        <x:v>京浜島も東京湾の人工島で、工場・倉庫地区と羽田空港が至近距離で隣り合う、東京らしい埋立地景観を持つ。</x:v>
      </x:c>
      <x:c r="P5" s="49" t="e">
        <x:f>HYPERLINK("https://ja.wikipedia.org/wiki/Special:Search?search=%E4%BA%AC%E6%B5%9C%E5%B3%B6%E3%81%A4%E3%81%B0%E3%81%95%E5%85%AC%E5%9C%92","Wikipedia・関連項目")</x:f>
      </x:c>
      <x:c r="Q5" s="27"/>
    </x:row>
    <x:row r="6">
      <x:c r="A6" s="27" t="str">
        <x:v>D134</x:v>
      </x:c>
      <x:c r="B6" s="27" t="str">
        <x:v>十余三 東雲の丘</x:v>
      </x:c>
      <x:c r="C6" s="27" t="str">
        <x:v>千葉県成田市</x:v>
      </x:c>
      <x:c r="D6" s="27" t="str">
        <x:v>飛行機・B滑走路・展望</x:v>
      </x:c>
      <x:c r="E6" s="49" t="e">
        <x:f>HYPERLINK("https://www.google.com/maps/dir/?api=1&amp;destination=%E5%8D%81%E4%BD%99%E4%B8%89%20%E6%9D%B1%E9%9B%B2%E3%81%AE%E4%B8%98&amp;travelmode=driving","現在地からナビ開始")</x:f>
      </x:c>
      <x:c r="F6" s="27" t="str">
        <x:v>B滑走路への誘導路と着陸機を間近で見られ、航空機の大きさを体感できる。</x:v>
      </x:c>
      <x:c r="G6" s="27" t="str">
        <x:v>あり・63台、無料</x:v>
      </x:c>
      <x:c r="H6" s="27" t="str">
        <x:v>7:00～22:00</x:v>
      </x:c>
      <x:c r="I6" s="27" t="n">
        <x:v>5</x:v>
      </x:c>
      <x:c r="J6" s="27" t="n">
        <x:v>4</x:v>
      </x:c>
      <x:c r="K6" s="27" t="str">
        <x:v>情報更新日が古いため現地掲示を優先。脚立・騒音・駐車枠外停車は禁止。</x:v>
      </x:c>
      <x:c r="L6" s="28" t="n">
        <x:v>46232</x:v>
      </x:c>
      <x:c r="M6" s="27" t="str">
        <x:v>当日再確認</x:v>
      </x:c>
      <x:c r="N6" s="27" t="str">
        <x:v>https://www.nrtk.jp/mypage/00252.html</x:v>
      </x:c>
      <x:c r="O6" s="27" t="str">
        <x:v>『十余三』は明治期の下総台地開墾で付けられた番号地名の一つで、十余一・十余二などと同系統である。</x:v>
      </x:c>
      <x:c r="P6" s="49" t="e">
        <x:f>HYPERLINK("https://ja.wikipedia.org/wiki/Special:Search?search=%E5%8D%81%E4%BD%99%E4%B8%89%20%E6%9D%B1%E9%9B%B2%E3%81%AE%E4%B8%98","Wikipedia・関連項目")</x:f>
      </x:c>
      <x:c r="Q6" s="27"/>
    </x:row>
    <x:row r="7">
      <x:c r="A7" s="27" t="str">
        <x:v>D009</x:v>
      </x:c>
      <x:c r="B7" s="27" t="str">
        <x:v>川崎マリエン</x:v>
      </x:c>
      <x:c r="C7" s="27" t="str">
        <x:v>川崎市・東扇島</x:v>
      </x:c>
      <x:c r="D7" s="27" t="str">
        <x:v>工場夜景・展望</x:v>
      </x:c>
      <x:c r="E7" s="49" t="e">
        <x:f>HYPERLINK("https://www.google.com/maps/dir/?api=1&amp;destination=%E5%B7%9D%E5%B4%8E%E3%83%9E%E3%83%AA%E3%82%A8%E3%83%B3&amp;travelmode=driving","現在地からナビ開始")</x:f>
      </x:c>
      <x:c r="F7" s="27" t="str">
        <x:v>川崎港、工場、大型船、東京湾を高所から360度眺められる主力Ending。</x:v>
      </x:c>
      <x:c r="G7" s="27" t="str">
        <x:v>あり・有料</x:v>
      </x:c>
      <x:c r="H7" s="27" t="str">
        <x:v>駐車場 24時間／展望室 9:00～21:00</x:v>
      </x:c>
      <x:c r="I7" s="27" t="n">
        <x:v>5</x:v>
      </x:c>
      <x:c r="J7" s="27" t="n">
        <x:v>4</x:v>
      </x:c>
      <x:c r="K7" s="27" t="str">
        <x:v>最終入場、休館日、工事情報を当日確認。</x:v>
      </x:c>
      <x:c r="L7" s="28" t="n">
        <x:v>46232</x:v>
      </x:c>
      <x:c r="M7" s="27" t="str">
        <x:v>一次確認済</x:v>
      </x:c>
      <x:c r="N7" s="27" t="str">
        <x:v>https://www.kawasakiport.or.jp/</x:v>
      </x:c>
      <x:c r="O7" s="27" t="str">
        <x:v>『マリエン』はMarineとEntranceを組み合わせた愛称で、川崎港の交流拠点として造られた。</x:v>
      </x:c>
      <x:c r="P7" s="49" t="e">
        <x:f>HYPERLINK("https://ja.wikipedia.org/wiki/Special:Search?search=%E5%B7%9D%E5%B4%8E%E3%83%9E%E3%83%AA%E3%82%A8%E3%83%B3","Wikipedia・関連項目")</x:f>
      </x:c>
      <x:c r="Q7" s="27"/>
    </x:row>
    <x:row r="8">
      <x:c r="A8" s="27" t="str">
        <x:v>D023</x:v>
      </x:c>
      <x:c r="B8" s="27" t="str">
        <x:v>晴海ふ頭公園</x:v>
      </x:c>
      <x:c r="C8" s="27" t="str">
        <x:v>中央区・晴海</x:v>
      </x:c>
      <x:c r="D8" s="27" t="str">
        <x:v>港・都市夜景・Story</x:v>
      </x:c>
      <x:c r="E8" s="49" t="e">
        <x:f>HYPERLINK("https://www.google.com/maps/dir/?api=1&amp;destination=%E6%99%B4%E6%B5%B7%E3%81%B5%E9%A0%AD%E5%85%AC%E5%9C%92&amp;travelmode=driving","現在地からナビ開始")</x:f>
      </x:c>
      <x:c r="F8" s="27" t="str">
        <x:v>東京港とTOKYOモニュメントが重なる都市型Ending。</x:v>
      </x:c>
      <x:c r="G8" s="27" t="str">
        <x:v>あり・小規模有料</x:v>
      </x:c>
      <x:c r="H8" s="27" t="str">
        <x:v>駐車場 24時間／点灯は日没～23時目安</x:v>
      </x:c>
      <x:c r="I8" s="27" t="n">
        <x:v>5</x:v>
      </x:c>
      <x:c r="J8" s="27" t="n">
        <x:v>4</x:v>
      </x:c>
      <x:c r="K8" s="27" t="str">
        <x:v>台数が少なくイベント時は入庫待ちに注意。</x:v>
      </x:c>
      <x:c r="L8" s="28" t="n">
        <x:v>46232</x:v>
      </x:c>
      <x:c r="M8" s="27" t="str">
        <x:v>一次確認済</x:v>
      </x:c>
      <x:c r="N8" s="27" t="str">
        <x:v>https://www.tptc.co.jp/park/02_01</x:v>
      </x:c>
      <x:c r="O8" s="27" t="str">
        <x:v>晴海は戦後の東京国際見本市会場として発展し、近年は東京2020大会の選手村が置かれた。</x:v>
      </x:c>
      <x:c r="P8" s="49" t="e">
        <x:f>HYPERLINK("https://ja.wikipedia.org/wiki/Special:Search?search=%E6%99%B4%E6%B5%B7%E3%81%B5%E9%A0%AD%E5%85%AC%E5%9C%92","Wikipedia・関連項目")</x:f>
      </x:c>
      <x:c r="Q8" s="27"/>
    </x:row>
    <x:row r="9">
      <x:c r="A9" s="27" t="str">
        <x:v>D146</x:v>
      </x:c>
      <x:c r="B9" s="27" t="str">
        <x:v>東扇島西公園</x:v>
      </x:c>
      <x:c r="C9" s="27" t="str">
        <x:v>川崎市・東扇島</x:v>
      </x:c>
      <x:c r="D9" s="27" t="str">
        <x:v>港・行き止まり・釣り</x:v>
      </x:c>
      <x:c r="E9" s="49" t="e">
        <x:f>HYPERLINK("https://www.google.com/maps/dir/?api=1&amp;destination=%E6%9D%B1%E6%89%87%E5%B3%B6%E8%A5%BF%E5%85%AC%E5%9C%92&amp;travelmode=driving","現在地からナビ開始")</x:f>
      </x:c>
      <x:c r="F9" s="27" t="str">
        <x:v>東扇島の西端まで走り切り、東京湾・船舶・工業港湾を眺める行き止まり型Ending。</x:v>
      </x:c>
      <x:c r="G9" s="27" t="str">
        <x:v>第1・第2駐車場 合計172台・有料・24時間</x:v>
      </x:c>
      <x:c r="H9" s="27" t="str">
        <x:v>公園・駐車場24時間</x:v>
      </x:c>
      <x:c r="I9" s="27" t="n">
        <x:v>5</x:v>
      </x:c>
      <x:c r="J9" s="27" t="n">
        <x:v>4</x:v>
      </x:c>
      <x:c r="K9" s="27" t="str">
        <x:v>土日祝・釣り時間帯は混雑。路上駐車・アイドリング禁止。臨時閉鎖を当日確認。</x:v>
      </x:c>
      <x:c r="L9" s="28" t="n">
        <x:v>46232</x:v>
      </x:c>
      <x:c r="M9" s="27" t="str">
        <x:v>一次確認済</x:v>
      </x:c>
      <x:c r="N9" s="27" t="str">
        <x:v>https://www.city.kawasaki.jp/580/page/0000001336.html</x:v>
      </x:c>
      <x:c r="O9" s="27" t="str">
        <x:v>東扇島は川崎港の物流機能拡張のため造成された人工島で、首都圏の国際物流拠点の一つ。</x:v>
      </x:c>
      <x:c r="P9" s="49" t="e">
        <x:f>HYPERLINK("https://ja.wikipedia.org/wiki/Special:Search?search=%E6%9D%B1%E6%89%87%E5%B3%B6%E8%A5%BF%E5%85%AC%E5%9C%92","Wikipedia・関連項目")</x:f>
      </x:c>
      <x:c r="Q9" s="27" t="str">
        <x:v>2026-07-29公式再確認：172台・24時間を深夜最終目的地条件へ反映。</x:v>
      </x:c>
    </x:row>
    <x:row r="10">
      <x:c r="A10" s="27" t="str">
        <x:v>D058</x:v>
      </x:c>
      <x:c r="B10" s="27" t="str">
        <x:v>浦安市総合公園</x:v>
      </x:c>
      <x:c r="C10" s="27" t="str">
        <x:v>浦安市・明海</x:v>
      </x:c>
      <x:c r="D10" s="27" t="str">
        <x:v>海・芝生・夜間公園</x:v>
      </x:c>
      <x:c r="E10" s="49" t="e">
        <x:f>HYPERLINK("https://www.google.com/maps/dir/?api=1&amp;destination=%E6%B5%A6%E5%AE%89%E5%B8%82%E7%B7%8F%E5%90%88%E5%85%AC%E5%9C%92&amp;travelmode=driving","現在地からナビ開始")</x:f>
      </x:c>
      <x:c r="F10" s="27" t="str">
        <x:v>海沿いの広い芝生と新浦安の灯りがあり、深夜にも使える穏やかな湾岸Ending。</x:v>
      </x:c>
      <x:c r="G10" s="27" t="str">
        <x:v>あり・251台・有料</x:v>
      </x:c>
      <x:c r="H10" s="27" t="str">
        <x:v>駐車場 終日利用可</x:v>
      </x:c>
      <x:c r="I10" s="27" t="n">
        <x:v>5</x:v>
      </x:c>
      <x:c r="J10" s="27" t="n">
        <x:v>4</x:v>
      </x:c>
      <x:c r="K10" s="27" t="str">
        <x:v>海側は風が強い。住宅・ホテルに近いため静粛に。</x:v>
      </x:c>
      <x:c r="L10" s="28" t="n">
        <x:v>46232</x:v>
      </x:c>
      <x:c r="M10" s="27" t="str">
        <x:v>一次確認済</x:v>
      </x:c>
      <x:c r="N10" s="27" t="str">
        <x:v>https://www.city.urayasu.lg.jp/shisetsu/kouen/1005625.html</x:v>
      </x:c>
      <x:c r="O10" s="27" t="str">
        <x:v>浦安の海側は大規模埋立地で、漁村だった浦安が住宅・リゾート都市へ変わった歴史を象徴する。</x:v>
      </x:c>
      <x:c r="P10" s="49" t="e">
        <x:f>HYPERLINK("https://ja.wikipedia.org/wiki/Special:Search?search=%E6%B5%A6%E5%AE%89%E5%B8%82%E7%B7%8F%E5%90%88%E5%85%AC%E5%9C%92","Wikipedia・関連項目")</x:f>
      </x:c>
      <x:c r="Q10" s="27"/>
    </x:row>
    <x:row r="11">
      <x:c r="A11" s="27" t="str">
        <x:v>D198</x:v>
      </x:c>
      <x:c r="B11" s="27" t="str">
        <x:v>湾岸幕張PA（上り）</x:v>
      </x:c>
      <x:c r="C11" s="27" t="str">
        <x:v>千葉市・美浜区</x:v>
      </x:c>
      <x:c r="D11" s="27" t="str">
        <x:v>PA・飛行機・湾岸帰路</x:v>
      </x:c>
      <x:c r="E11" s="49" t="e">
        <x:f>HYPERLINK("https://www.google.com/maps/dir/?api=1&amp;destination=%E6%B9%BE%E5%B2%B8%E5%B9%95%E5%BC%B5PA%EF%BC%88%E4%B8%8A%E3%82%8A%EF%BC%89&amp;travelmode=driving","現在地からナビ開始")</x:f>
      </x:c>
      <x:c r="F11" s="27" t="str">
        <x:v>東関東道最後のPAとして、千葉・成田方面から都心へ戻る前に夕日と旅客機を眺められる。</x:v>
      </x:c>
      <x:c r="G11" s="27" t="str">
        <x:v>あり・小型駐車場</x:v>
      </x:c>
      <x:c r="H11" s="27" t="str">
        <x:v>PA 24時間／店舗は個別営業時間</x:v>
      </x:c>
      <x:c r="I11" s="27" t="n">
        <x:v>5</x:v>
      </x:c>
      <x:c r="J11" s="27" t="n">
        <x:v>4</x:v>
      </x:c>
      <x:c r="K11" s="27" t="str">
        <x:v>上り線限定。首都高湾岸線へ入る前の最後の休憩点で混雑しやすい。</x:v>
      </x:c>
      <x:c r="L11" s="28" t="n">
        <x:v>46232</x:v>
      </x:c>
      <x:c r="M11" s="27" t="str">
        <x:v>一次確認済</x:v>
      </x:c>
      <x:c r="N11" s="27" t="str">
        <x:v>https://www.driveplaza.com/sapa/1120/1120016/1/</x:v>
      </x:c>
      <x:c r="O11" s="27" t="str">
        <x:v>幕張新都心の埋立地に近く、晴天時には夕日に浮かぶ航空機を望めるPAとして案内されている。</x:v>
      </x:c>
      <x:c r="P11" s="49" t="e">
        <x:f>HYPERLINK("https://ja.wikipedia.org/wiki/Special:Search?search=%E6%B9%BE%E5%B2%B8%E5%B9%95%E5%BC%B5PA%EF%BC%88%E4%B8%8A%E3%82%8A%EF%BC%89","Wikipedia・関連項目")</x:f>
      </x:c>
      <x:c r="Q11" s="27" t="str">
        <x:v>2026-07-29再点検：上り線限定。千葉・成田方面から都心へ戻る最後のPAという役割を維持。</x:v>
      </x:c>
    </x:row>
    <x:row r="12">
      <x:c r="A12" s="27" t="str">
        <x:v>D199</x:v>
      </x:c>
      <x:c r="B12" s="27" t="str">
        <x:v>湾岸幕張PA（下り）</x:v>
      </x:c>
      <x:c r="C12" s="27" t="str">
        <x:v>千葉市・美浜区</x:v>
      </x:c>
      <x:c r="D12" s="27" t="str">
        <x:v>PA・湾岸・千葉への入口</x:v>
      </x:c>
      <x:c r="E12" s="49" t="e">
        <x:f>HYPERLINK("https://www.google.com/maps/dir/?api=1&amp;destination=%E6%B9%BE%E5%B2%B8%E5%B9%95%E5%BC%B5PA%EF%BC%88%E4%B8%8B%E3%82%8A%EF%BC%89&amp;travelmode=driving","現在地からナビ開始")</x:f>
      </x:c>
      <x:c r="F12" s="27" t="str">
        <x:v>東京湾岸から成田・房総方面へ進む際の小休止となり、都市高速から千葉への切り替えを感じられる。</x:v>
      </x:c>
      <x:c r="G12" s="27" t="str">
        <x:v>あり・小型85台</x:v>
      </x:c>
      <x:c r="H12" s="27" t="str">
        <x:v>PA 24時間／店舗は個別営業時間</x:v>
      </x:c>
      <x:c r="I12" s="27" t="n">
        <x:v>5</x:v>
      </x:c>
      <x:c r="J12" s="27" t="n">
        <x:v>4</x:v>
      </x:c>
      <x:c r="K12" s="27" t="str">
        <x:v>下り線限定。ディズニーリゾート帰りや休日は混雑。長時間占有を避ける。</x:v>
      </x:c>
      <x:c r="L12" s="28" t="n">
        <x:v>46232</x:v>
      </x:c>
      <x:c r="M12" s="27" t="str">
        <x:v>一次確認済</x:v>
      </x:c>
      <x:c r="N12" s="27" t="str">
        <x:v>https://www.driveplaza.com/sapa/1120/1120016/2/</x:v>
      </x:c>
      <x:c r="O12" s="27" t="str">
        <x:v>東関東道の湾岸区間に置かれ、東京・千葉双方の土産を扱う都市近郊型PAである。</x:v>
      </x:c>
      <x:c r="P12" s="49" t="e">
        <x:f>HYPERLINK("https://ja.wikipedia.org/wiki/Special:Search?search=%E6%B9%BE%E5%B2%B8%E5%B9%95%E5%BC%B5PA%EF%BC%88%E4%B8%8B%E3%82%8A%EF%BC%89","Wikipedia・関連項目")</x:f>
      </x:c>
      <x:c r="Q12" s="27" t="str">
        <x:v>2026-07-29再点検：下り線限定・24時間PA。千葉方面への出発地点として役割を維持。</x:v>
      </x:c>
    </x:row>
    <x:row r="13">
      <x:c r="A13" s="27" t="str">
        <x:v>D181</x:v>
      </x:c>
      <x:c r="B13" s="27" t="str">
        <x:v>高洲海浜公園</x:v>
      </x:c>
      <x:c r="C13" s="27" t="str">
        <x:v>浦安市・高洲</x:v>
      </x:c>
      <x:c r="D13" s="27" t="str">
        <x:v>海・展望の丘・24時間駐車</x:v>
      </x:c>
      <x:c r="E13" s="49" t="e">
        <x:f>HYPERLINK("https://www.google.com/maps/dir/?api=1&amp;destination=%E9%AB%98%E6%B4%B2%E6%B5%B7%E6%B5%9C%E5%85%AC%E5%9C%92&amp;travelmode=driving","現在地からナビ開始")</x:f>
      </x:c>
      <x:c r="F13" s="27" t="str">
        <x:v>芝生、展望の丘、テラス式海岸を備え、東京湾の風と新浦安の街明かりを安全な駐車場から楽しめる。</x:v>
      </x:c>
      <x:c r="G13" s="27" t="str">
        <x:v>あり・152台・有料</x:v>
      </x:c>
      <x:c r="H13" s="27" t="str">
        <x:v>駐車場 年中無休・終日利用可</x:v>
      </x:c>
      <x:c r="I13" s="27" t="n">
        <x:v>5</x:v>
      </x:c>
      <x:c r="J13" s="27" t="n">
        <x:v>4</x:v>
      </x:c>
      <x:c r="K13" s="27" t="str">
        <x:v>海沿いは強風になりやすい。火気禁止。深夜は住宅地側への騒音と長時間滞在を避ける。</x:v>
      </x:c>
      <x:c r="L13" s="28" t="n">
        <x:v>46232</x:v>
      </x:c>
      <x:c r="M13" s="27" t="str">
        <x:v>一次確認済</x:v>
      </x:c>
      <x:c r="N13" s="27" t="str">
        <x:v>https://www.city.urayasu.lg.jp/shisetsu/kouen/1005634.html</x:v>
      </x:c>
      <x:c r="O13" s="27" t="str">
        <x:v>高洲は東京湾岸の埋立地として形成され、新浦安の住宅地と海辺の公共空間が隣り合う地区である。</x:v>
      </x:c>
      <x:c r="P13" s="49" t="e">
        <x:f>HYPERLINK("https://ja.wikipedia.org/wiki/Special:Search?search=%E9%AB%98%E6%B4%B2%E6%B5%B7%E6%B5%9C%E5%85%AC%E5%9C%92","Wikipedia・関連項目")</x:f>
      </x:c>
      <x:c r="Q13" s="27" t="str">
        <x:v>新規追加。24時間駐車可能な海辺Endingとして採用。</x:v>
      </x:c>
    </x:row>
    <x:row r="14">
      <x:c r="A14" s="27" t="str">
        <x:v>D220</x:v>
      </x:c>
      <x:c r="B14" s="27" t="str">
        <x:v>F・マリノス 成城石井パーク（大和ゆとりの森）</x:v>
      </x:c>
      <x:c r="C14" s="27" t="str">
        <x:v>大和市・福田</x:v>
      </x:c>
      <x:c r="D14" s="27" t="str">
        <x:v>飛行機・芝生・24時間駐車</x:v>
      </x:c>
      <x:c r="E14" s="49" t="e">
        <x:f>HYPERLINK("https://www.google.com/maps/dir/?api=1&amp;destination=F%E3%83%BB%E3%83%9E%E3%83%AA%E3%83%8E%E3%82%B9%20%E6%88%90%E5%9F%8E%E7%9F%B3%E4%BA%95%E3%83%91%E3%83%BC%E3%82%AF%EF%BC%88%E5%A4%A7%E5%92%8C%E3%82%86%E3%81%A8%E3%82%8A%E3%81%AE%E6%A3%AE%EF%BC%89&amp;travelmode=driving","現在地からナビ開始")</x:f>
      </x:c>
      <x:c r="F14" s="27" t="str">
        <x:v>厚木飛行場の南側で広い空と航空機を感じながら、芝生・遊具・スポーツ施設で休める。</x:v>
      </x:c>
      <x:c r="G14" s="27" t="str">
        <x:v>あり・東198台、南99台、南第2 197台・有料</x:v>
      </x:c>
      <x:c r="H14" s="27" t="str">
        <x:v>駐車場24時間／各施設は個別時間</x:v>
      </x:c>
      <x:c r="I14" s="27" t="n">
        <x:v>5</x:v>
      </x:c>
      <x:c r="J14" s="27" t="n">
        <x:v>3</x:v>
      </x:c>
      <x:c r="K14" s="27" t="str">
        <x:v>航空機運用は日による。夜は園内や周辺道路が暗い区域あり。基地施設の撮影ルールに配慮。</x:v>
      </x:c>
      <x:c r="L14" s="28" t="n">
        <x:v>46232</x:v>
      </x:c>
      <x:c r="M14" s="27" t="str">
        <x:v>一次確認済</x:v>
      </x:c>
      <x:c r="N14" s="27" t="str">
        <x:v>https://www.sakata-greenservice.co.jp/yutori/access/</x:v>
      </x:c>
      <x:c r="O14" s="27" t="str">
        <x:v>2007年開園。厚木飛行場に隣接し、公園名は引地川沿いの広い公共空間として整備された経緯を持つ。</x:v>
      </x:c>
      <x:c r="P14" s="49" t="e">
        <x:f>HYPERLINK("https://ja.wikipedia.org/wiki/Special:Search?search=F%E3%83%BB%E3%83%9E%E3%83%AA%E3%83%8E%E3%82%B9%20%E6%88%90%E5%9F%8E%E7%9F%B3%E4%BA%95%E3%83%91%E3%83%BC%E3%82%AF%EF%BC%88%E5%A4%A7%E5%92%8C%E3%82%86%E3%81%A8%E3%82%8A%E3%81%AE%E6%A3%AE%EF%BC%89","Wikipedia・関連項目")</x:f>
      </x:c>
      <x:c r="Q14" s="27" t="str">
        <x:v>新規追加。綾瀬スポーツ公園とは滑走路の南側・24時間駐車という役割で差別化。</x:v>
      </x:c>
    </x:row>
    <x:row r="15">
      <x:c r="A15" s="27" t="str">
        <x:v>D245</x:v>
      </x:c>
      <x:c r="B15" s="27" t="str">
        <x:v>HANEDA INNOVATION CITY 足湯スカイデッキ</x:v>
      </x:c>
      <x:c r="C15" s="27" t="str">
        <x:v>大田区・天空橋</x:v>
      </x:c>
      <x:c r="D15" s="27" t="str">
        <x:v>足湯・飛行機・夜景</x:v>
      </x:c>
      <x:c r="E15" s="49" t="e">
        <x:f>HYPERLINK("https://www.google.com/maps/dir/?api=1&amp;destination=HANEDA%20INNOVATION%20CITY%20%E8%B6%B3%E6%B9%AF%E3%82%B9%E3%82%AB%E3%82%A4%E3%83%87%E3%83%83%E3%82%AD&amp;travelmode=driving","現在地からナビ開始")</x:f>
      </x:c>
      <x:c r="F15" s="27" t="str">
        <x:v>無料の足湯に浸かりながら飛行機を眺められ、短時間でも『出かけた満足感』が非常に高い。</x:v>
      </x:c>
      <x:c r="G15" s="27" t="str">
        <x:v>HIC P1 190台・24時間／P2 18台・7:00～23:00</x:v>
      </x:c>
      <x:c r="H15" s="27" t="str">
        <x:v>足湯5:30～23:30</x:v>
      </x:c>
      <x:c r="I15" s="27" t="n">
        <x:v>5</x:v>
      </x:c>
      <x:c r="J15" s="27" t="n">
        <x:v>3</x:v>
      </x:c>
      <x:c r="K15" s="27" t="str">
        <x:v>貸切利用時は入場不可。食事は禁止。深夜帯は静粛にし、P2は営業時間外出庫不可。</x:v>
      </x:c>
      <x:c r="L15" s="28" t="n">
        <x:v>46232</x:v>
      </x:c>
      <x:c r="M15" s="27" t="str">
        <x:v>一次確認済</x:v>
      </x:c>
      <x:c r="N15" s="27" t="str">
        <x:v>https://haneda-innovation-city.com/facility/page/2/</x:v>
      </x:c>
      <x:c r="O15" s="27" t="str">
        <x:v>羽田空港跡地に整備されたイノベーション拠点の屋上施設で、足湯と航空機撮影を組み合わせた珍しい公共的空間。</x:v>
      </x:c>
      <x:c r="P15" s="49" t="e">
        <x:f>HYPERLINK("https://ja.wikipedia.org/wiki/Special:Search?search=HANEDA%20INNOVATION%20CITY%20%E8%B6%B3%E6%B9%AF%E3%82%B9%E3%82%AB%E3%82%A4%E3%83%87%E3%83%83%E3%82%AD","Wikipedia・関連項目")</x:f>
      </x:c>
      <x:c r="Q15" s="27" t="str">
        <x:v>近距離コア新規追加</x:v>
      </x:c>
    </x:row>
    <x:row r="16">
      <x:c r="A16" s="27" t="str">
        <x:v>D201</x:v>
      </x:c>
      <x:c r="B16" s="27" t="str">
        <x:v>ひこうきの丘</x:v>
      </x:c>
      <x:c r="C16" s="27" t="str">
        <x:v>千葉県芝山町</x:v>
      </x:c>
      <x:c r="D16" s="27" t="str">
        <x:v>飛行機・展望・芝生</x:v>
      </x:c>
      <x:c r="E16" s="49" t="e">
        <x:f>HYPERLINK("https://www.google.com/maps/dir/?api=1&amp;destination=%E3%81%B2%E3%81%93%E3%81%86%E3%81%8D%E3%81%AE%E4%B8%98&amp;travelmode=driving","現在地からナビ開始")</x:f>
      </x:c>
      <x:c r="F16" s="27" t="str">
        <x:v>成田空港A滑走路の南側約600mで、着陸機の巨大さと離陸機のエンジン音を芝生から体感できる航空機Ending。</x:v>
      </x:c>
      <x:c r="G16" s="27" t="str">
        <x:v>あり・無料（町公式は台数非記載）</x:v>
      </x:c>
      <x:c r="H16" s="27" t="str">
        <x:v>町公式で時間明記なし／現地掲示・当日情報を優先</x:v>
      </x:c>
      <x:c r="I16" s="27" t="n">
        <x:v>5</x:v>
      </x:c>
      <x:c r="J16" s="27" t="n">
        <x:v>3</x:v>
      </x:c>
      <x:c r="K16" s="27" t="str">
        <x:v>風向きで価値が大きく変わる。脚立・騒音・駐車枠外停車は禁止。イベント時は封鎖・交通規制あり。</x:v>
      </x:c>
      <x:c r="L16" s="28" t="n">
        <x:v>46232</x:v>
      </x:c>
      <x:c r="M16" s="27" t="str">
        <x:v>当日再確認</x:v>
      </x:c>
      <x:c r="N16" s="27" t="str">
        <x:v>https://www.town.shibayama.lg.jp/0000002556.html</x:v>
      </x:c>
      <x:c r="O16" s="27" t="str">
        <x:v>芝山町は成田空港と共生してきた地域で、ひこうきの丘は空港南側の観光拠点『スカイパークしばやま』の中心地点の一つ。</x:v>
      </x:c>
      <x:c r="P16" s="49" t="e">
        <x:f>HYPERLINK("https://ja.wikipedia.org/wiki/Special:Search?search=%E3%81%B2%E3%81%93%E3%81%86%E3%81%8D%E3%81%AE%E4%B8%98","Wikipedia・関連項目")</x:f>
      </x:c>
      <x:c r="Q16" s="27" t="str">
        <x:v>2026-07-29再点検：町公式で常設利用時間の明記を確認できないため、当日現地掲示優先を維持。</x:v>
      </x:c>
    </x:row>
    <x:row r="17">
      <x:c r="A17" s="27" t="str">
        <x:v>D035</x:v>
      </x:c>
      <x:c r="B17" s="27" t="str">
        <x:v>ヴェルニー公園</x:v>
      </x:c>
      <x:c r="C17" s="27" t="str">
        <x:v>横須賀市・汐入</x:v>
      </x:c>
      <x:c r="D17" s="27" t="str">
        <x:v>軍港・船・都市夜景</x:v>
      </x:c>
      <x:c r="E17" s="49" t="e">
        <x:f>HYPERLINK("https://www.google.com/maps/dir/?api=1&amp;destination=%E3%83%B4%E3%82%A7%E3%83%AB%E3%83%8B%E3%83%BC%E5%85%AC%E5%9C%92&amp;travelmode=driving","現在地からナビ開始")</x:f>
      </x:c>
      <x:c r="F17" s="27" t="str">
        <x:v>潜水艦や艦船、造船所の灯りを安全な公園から眺められる。</x:v>
      </x:c>
      <x:c r="G17" s="27" t="str">
        <x:v>あり・小規模有料</x:v>
      </x:c>
      <x:c r="H17" s="27" t="str">
        <x:v>普通車駐車場 24時間</x:v>
      </x:c>
      <x:c r="I17" s="27" t="n">
        <x:v>5</x:v>
      </x:c>
      <x:c r="J17" s="27" t="n">
        <x:v>3</x:v>
      </x:c>
      <x:c r="K17" s="27" t="str">
        <x:v>駐車台数が少ない。撮影時は通行を妨げない。</x:v>
      </x:c>
      <x:c r="L17" s="28" t="n">
        <x:v>46232</x:v>
      </x:c>
      <x:c r="M17" s="27" t="str">
        <x:v>一次確認済</x:v>
      </x:c>
      <x:c r="N17" s="27" t="str">
        <x:v>https://www.city.yokosuka.kanagawa.jp/faq/shisei/gaiyo/shisetsu/0744.html</x:v>
      </x:c>
      <x:c r="O17" s="27" t="str">
        <x:v>ヴェルニー公園の名は、横須賀製鉄所建設を指導したフランス人技師レオンス・ヴェルニーに由来する。</x:v>
      </x:c>
      <x:c r="P17" s="49" t="e">
        <x:f>HYPERLINK("https://ja.wikipedia.org/wiki/Special:Search?search=%E3%83%B4%E3%82%A7%E3%83%AB%E3%83%8B%E3%83%BC%E5%85%AC%E5%9C%92","Wikipedia・関連項目")</x:f>
      </x:c>
      <x:c r="Q17" s="27"/>
    </x:row>
    <x:row r="18">
      <x:c r="A18" s="27" t="str">
        <x:v>D196</x:v>
      </x:c>
      <x:c r="B18" s="27" t="str">
        <x:v>市原SA（上り）</x:v>
      </x:c>
      <x:c r="C18" s="27" t="str">
        <x:v>市原市・館山道</x:v>
      </x:c>
      <x:c r="D18" s="27" t="str">
        <x:v>SA・房総食・帰路</x:v>
      </x:c>
      <x:c r="E18" s="49" t="e">
        <x:f>HYPERLINK("https://www.google.com/maps/dir/?api=1&amp;destination=%E5%B8%82%E5%8E%9FSA%EF%BC%88%E4%B8%8A%E3%82%8A%EF%BC%89&amp;travelmode=driving","現在地からナビ開始")</x:f>
      </x:c>
      <x:c r="F18" s="27" t="str">
        <x:v>房総の海・山の食材を味わい、東京湾岸へ戻る前に旅の内容を回収する大型SA。</x:v>
      </x:c>
      <x:c r="G18" s="27" t="str">
        <x:v>あり・小型170台</x:v>
      </x:c>
      <x:c r="H18" s="27" t="str">
        <x:v>SA 24時間／コンシェルジュ 平日9:00～17:00、休日8:30～19:00</x:v>
      </x:c>
      <x:c r="I18" s="27" t="n">
        <x:v>5</x:v>
      </x:c>
      <x:c r="J18" s="27" t="n">
        <x:v>3</x:v>
      </x:c>
      <x:c r="K18" s="27" t="str">
        <x:v>上り線限定。店舗ごとに営業時間が異なる。繁忙期は駐車誘導に従う。</x:v>
      </x:c>
      <x:c r="L18" s="28" t="n">
        <x:v>46232</x:v>
      </x:c>
      <x:c r="M18" s="27" t="str">
        <x:v>一次確認済</x:v>
      </x:c>
      <x:c r="N18" s="27" t="str">
        <x:v>https://www.driveplaza.com/sapa/1130/1130011/1/shisetsu_service.html</x:v>
      </x:c>
      <x:c r="O18" s="27" t="str">
        <x:v>上り線は『房総を食べて旅するマーケット』を掲げ、房総の海・山の産物を帰路で楽しむ構成になっている。</x:v>
      </x:c>
      <x:c r="P18" s="49" t="e">
        <x:f>HYPERLINK("https://ja.wikipedia.org/wiki/Special:Search?search=%E5%B8%82%E5%8E%9FSA%EF%BC%88%E4%B8%8A%E3%82%8A%EF%BC%89","Wikipedia・関連項目")</x:f>
      </x:c>
      <x:c r="Q18" s="27" t="str">
        <x:v>新規追加。房総帰路の主力Ending。</x:v>
      </x:c>
    </x:row>
    <x:row r="19">
      <x:c r="A19" s="27" t="str">
        <x:v>D197</x:v>
      </x:c>
      <x:c r="B19" s="27" t="str">
        <x:v>市原SA（下り）</x:v>
      </x:c>
      <x:c r="C19" s="27" t="str">
        <x:v>市原市・館山道</x:v>
      </x:c>
      <x:c r="D19" s="27" t="str">
        <x:v>SA・房総食・ドッグラン</x:v>
      </x:c>
      <x:c r="E19" s="49" t="e">
        <x:f>HYPERLINK("https://www.google.com/maps/dir/?api=1&amp;destination=%E5%B8%82%E5%8E%9FSA%EF%BC%88%E4%B8%8B%E3%82%8A%EF%BC%89&amp;travelmode=driving","現在地からナビ開始")</x:f>
      </x:c>
      <x:c r="F19" s="27" t="str">
        <x:v>東京湾岸から房総へ入った実感を、食・土産・ドッグランで強められる目的地型SA。</x:v>
      </x:c>
      <x:c r="G19" s="27" t="str">
        <x:v>あり・高速側駐車場</x:v>
      </x:c>
      <x:c r="H19" s="27" t="str">
        <x:v>SA 24時間／コンシェルジュ 平日9:00～17:00、休日7:30～18:00</x:v>
      </x:c>
      <x:c r="I19" s="27" t="n">
        <x:v>5</x:v>
      </x:c>
      <x:c r="J19" s="27" t="n">
        <x:v>3</x:v>
      </x:c>
      <x:c r="K19" s="27" t="str">
        <x:v>下り線限定。施設営業時間は店舗別。高速道路上での方向転換不可。</x:v>
      </x:c>
      <x:c r="L19" s="28" t="n">
        <x:v>46232</x:v>
      </x:c>
      <x:c r="M19" s="27" t="str">
        <x:v>一次確認済</x:v>
      </x:c>
      <x:c r="N19" s="27" t="str">
        <x:v>https://www.driveplaza.com/sapa/1130/1130011/2/shisetsu_service.html</x:v>
      </x:c>
      <x:c r="O19" s="27" t="str">
        <x:v>下り線は『食べて、遊んで、房総を思いっきり楽しむマーケットプレイス』をコンセプトにしている。</x:v>
      </x:c>
      <x:c r="P19" s="49" t="e">
        <x:f>HYPERLINK("https://ja.wikipedia.org/wiki/Special:Search?search=%E5%B8%82%E5%8E%9FSA%EF%BC%88%E4%B8%8B%E3%82%8A%EF%BC%89","Wikipedia・関連項目")</x:f>
      </x:c>
      <x:c r="Q19" s="27" t="str">
        <x:v>新規追加。房総への入口として採用。</x:v>
      </x:c>
    </x:row>
    <x:row r="20">
      <x:c r="A20" s="27" t="str">
        <x:v>D144</x:v>
      </x:c>
      <x:c r="B20" s="27" t="str">
        <x:v>武蔵野の森公園</x:v>
      </x:c>
      <x:c r="C20" s="27" t="str">
        <x:v>府中市・調布市・三鷹市</x:v>
      </x:c>
      <x:c r="D20" s="27" t="str">
        <x:v>飛行機・広い空・24時間駐車</x:v>
      </x:c>
      <x:c r="E20" s="49" t="e">
        <x:f>HYPERLINK("https://www.google.com/maps/dir/?api=1&amp;destination=%E6%AD%A6%E8%94%B5%E9%87%8E%E3%81%AE%E6%A3%AE%E5%85%AC%E5%9C%92&amp;travelmode=driving","現在地からナビ開始")</x:f>
      </x:c>
      <x:c r="F20" s="27" t="str">
        <x:v>調布飛行場に隣接し、小型機の離着陸と広い空を眺められる航空系の安定候補。</x:v>
      </x:c>
      <x:c r="G20" s="27" t="str">
        <x:v>第1駐車場90台／第2駐車場143台・有料・24時間</x:v>
      </x:c>
      <x:c r="H20" s="27" t="str">
        <x:v>公園常時／駐車場24時間／北南プロムナード9:00～16:30</x:v>
      </x:c>
      <x:c r="I20" s="27" t="n">
        <x:v>5</x:v>
      </x:c>
      <x:c r="J20" s="27" t="n">
        <x:v>3</x:v>
      </x:c>
      <x:c r="K20" s="27" t="str">
        <x:v>夜間は北地区・南地区を結ぶプロムナードが閉鎖。飛行場側の明るい範囲を利用。</x:v>
      </x:c>
      <x:c r="L20" s="28" t="n">
        <x:v>46232</x:v>
      </x:c>
      <x:c r="M20" s="27" t="str">
        <x:v>一次確認済</x:v>
      </x:c>
      <x:c r="N20" s="27" t="str">
        <x:v>https://www.tokyo-park.or.jp/park/musashino-no-mori/index.html</x:v>
      </x:c>
      <x:c r="O20" s="27" t="str">
        <x:v>調布飛行場は戦時中に陸軍飛行場として整備され、現在は伊豆諸島への定期便が発着する。</x:v>
      </x:c>
      <x:c r="P20" s="49" t="e">
        <x:f>HYPERLINK("https://ja.wikipedia.org/wiki/Special:Search?search=%E6%AD%A6%E8%94%B5%E9%87%8E%E3%81%AE%E6%A3%AE%E5%85%AC%E5%9C%92","Wikipedia・関連項目")</x:f>
      </x:c>
      <x:c r="Q20" s="27" t="str">
        <x:v>2026-07-29公式再確認：第1・第2駐車場計233台・24時間、プロムナード16:30閉鎖を反映。</x:v>
      </x:c>
    </x:row>
    <x:row r="21">
      <x:c r="A21" s="27" t="str">
        <x:v>D005</x:v>
      </x:c>
      <x:c r="B21" s="27" t="str">
        <x:v>潮風公園</x:v>
      </x:c>
      <x:c r="C21" s="27" t="str">
        <x:v>港区・台場</x:v>
      </x:c>
      <x:c r="D21" s="27" t="str">
        <x:v>海・都市夜景</x:v>
      </x:c>
      <x:c r="E21" s="49" t="e">
        <x:f>HYPERLINK("https://www.google.com/maps/dir/?api=1&amp;destination=%E6%BD%AE%E9%A2%A8%E5%85%AC%E5%9C%92&amp;travelmode=driving","現在地からナビ開始")</x:f>
      </x:c>
      <x:c r="F21" s="27" t="str">
        <x:v>海辺でレインボーブリッジと都心の灯りを眺め、余韻を作りやすい。</x:v>
      </x:c>
      <x:c r="G21" s="27" t="str">
        <x:v>あり・有料</x:v>
      </x:c>
      <x:c r="H21" s="27" t="str">
        <x:v>駐車場 24時間</x:v>
      </x:c>
      <x:c r="I21" s="27" t="n">
        <x:v>5</x:v>
      </x:c>
      <x:c r="J21" s="27" t="n">
        <x:v>3</x:v>
      </x:c>
      <x:c r="K21" s="27" t="str">
        <x:v>イベント・工事による部分閉鎖を当日確認。集会や騒音行為は禁止。</x:v>
      </x:c>
      <x:c r="L21" s="28" t="n">
        <x:v>46232</x:v>
      </x:c>
      <x:c r="M21" s="27" t="str">
        <x:v>一次確認済</x:v>
      </x:c>
      <x:c r="N21" s="27" t="str">
        <x:v>https://www.tokyo-park.or.jp/park/shiokaze/index.html</x:v>
      </x:c>
      <x:c r="O21" s="27" t="str">
        <x:v>『お台場』の名は、江戸幕府が黒船来航に備えて東京湾に築いた砲台＝台場に由来する。</x:v>
      </x:c>
      <x:c r="P21" s="49" t="e">
        <x:f>HYPERLINK("https://ja.wikipedia.org/wiki/Special:Search?search=%E6%BD%AE%E9%A2%A8%E5%85%AC%E5%9C%92","Wikipedia・関連項目")</x:f>
      </x:c>
      <x:c r="Q21" s="27"/>
    </x:row>
    <x:row r="22">
      <x:c r="A22" s="27" t="str">
        <x:v>D151</x:v>
      </x:c>
      <x:c r="B22" s="27" t="str">
        <x:v>美の山公園</x:v>
      </x:c>
      <x:c r="C22" s="27" t="str">
        <x:v>埼玉県秩父市・皆野町</x:v>
      </x:c>
      <x:c r="D22" s="27" t="str">
        <x:v>山頂・夜景・雲海</x:v>
      </x:c>
      <x:c r="E22" s="49" t="e">
        <x:f>HYPERLINK("https://www.google.com/maps/dir/?api=1&amp;destination=%E7%BE%8E%E3%81%AE%E5%B1%B1%E5%85%AC%E5%9C%92&amp;travelmode=driving","現在地からナビ開始")</x:f>
      </x:c>
      <x:c r="F22" s="27" t="str">
        <x:v>山頂近くまで車で上がれ、秩父盆地の夜景や条件次第で雲海を狙える特別枠。</x:v>
      </x:c>
      <x:c r="G22" s="27" t="str">
        <x:v>あり・3駐車場、無料</x:v>
      </x:c>
      <x:c r="H22" s="27" t="str">
        <x:v>公園・駐車場 常時開放</x:v>
      </x:c>
      <x:c r="I22" s="27" t="n">
        <x:v>5</x:v>
      </x:c>
      <x:c r="J22" s="27" t="n">
        <x:v>3</x:v>
      </x:c>
      <x:c r="K22" s="27" t="str">
        <x:v>大田区から概ね70km圏をやや超える特別枠。夜間照明なし、凍結・霧・野生動物に注意。</x:v>
      </x:c>
      <x:c r="L22" s="28" t="n">
        <x:v>46232</x:v>
      </x:c>
      <x:c r="M22" s="27" t="str">
        <x:v>一次確認済</x:v>
      </x:c>
      <x:c r="N22" s="27" t="str">
        <x:v>https://www.pref.saitama.lg.jp/b0504/minoyamakouen-top/riyou.html</x:v>
      </x:c>
      <x:c r="O22" s="27" t="str">
        <x:v>標高586.9mの独立峰で、秩父盆地を見下ろす夜景・雲海地点として知られる。</x:v>
      </x:c>
      <x:c r="P22" s="49" t="e">
        <x:f>HYPERLINK("https://ja.wikipedia.org/wiki/Special:Search?search=%E7%BE%8E%E3%81%AE%E5%B1%B1%E5%85%AC%E5%9C%92","Wikipedia・関連項目")</x:f>
      </x:c>
      <x:c r="Q22" s="27"/>
    </x:row>
    <x:row r="23">
      <x:c r="A23" s="27" t="str">
        <x:v>D022</x:v>
      </x:c>
      <x:c r="B23" s="27" t="str">
        <x:v>豊洲ぐるり公園</x:v>
      </x:c>
      <x:c r="C23" s="27" t="str">
        <x:v>江東区・豊洲</x:v>
      </x:c>
      <x:c r="D23" s="27" t="str">
        <x:v>都市夜景・水辺</x:v>
      </x:c>
      <x:c r="E23" s="49" t="e">
        <x:f>HYPERLINK("https://www.google.com/maps/dir/?api=1&amp;destination=%E8%B1%8A%E6%B4%B2%E3%81%90%E3%82%8B%E3%82%8A%E5%85%AC%E5%9C%92&amp;travelmode=driving","現在地からナビ開始")</x:f>
      </x:c>
      <x:c r="F23" s="27" t="str">
        <x:v>レインボーブリッジと都心の高層群を水辺越しに眺め、歩いて余韻を作れる。</x:v>
      </x:c>
      <x:c r="G23" s="27" t="str">
        <x:v>あり・有料</x:v>
      </x:c>
      <x:c r="H23" s="27" t="str">
        <x:v>駐車場 終日</x:v>
      </x:c>
      <x:c r="I23" s="27" t="n">
        <x:v>5</x:v>
      </x:c>
      <x:c r="J23" s="27" t="n">
        <x:v>3</x:v>
      </x:c>
      <x:c r="K23" s="27" t="str">
        <x:v>市場周辺イベント時は混雑。駐車位置と見たい景色の位置関係を確認。</x:v>
      </x:c>
      <x:c r="L23" s="28" t="n">
        <x:v>46232</x:v>
      </x:c>
      <x:c r="M23" s="27" t="str">
        <x:v>一次確認済</x:v>
      </x:c>
      <x:c r="N23" s="27" t="str">
        <x:v>https://www.city.koto.lg.jp/470705/kasenkouen/toyosugururipark.html</x:v>
      </x:c>
      <x:c r="O23" s="27" t="str">
        <x:v>豊洲は関東大震災の瓦礫なども利用して造成された埋立地で、工業地から住宅・市場地区へ大転換した。</x:v>
      </x:c>
      <x:c r="P23" s="49" t="e">
        <x:f>HYPERLINK("https://ja.wikipedia.org/wiki/Special:Search?search=%E8%B1%8A%E6%B4%B2%E3%81%90%E3%82%8B%E3%82%8A%E5%85%AC%E5%9C%92","Wikipedia・関連項目")</x:f>
      </x:c>
      <x:c r="Q23" s="27"/>
    </x:row>
    <x:row r="24">
      <x:c r="A24" s="27" t="str">
        <x:v>D252</x:v>
      </x:c>
      <x:c r="B24" s="27" t="str">
        <x:v>豊洲市場 屋上緑化広場</x:v>
      </x:c>
      <x:c r="C24" s="27" t="str">
        <x:v>江東区・豊洲</x:v>
      </x:c>
      <x:c r="D24" s="27" t="str">
        <x:v>屋上芝生・市場・湾岸展望</x:v>
      </x:c>
      <x:c r="E24" s="49" t="e">
        <x:f>HYPERLINK("https://www.google.com/maps/dir/?api=1&amp;destination=%E8%B1%8A%E6%B4%B2%E5%B8%82%E5%A0%B4%20%E5%B1%8B%E4%B8%8A%E7%B7%91%E5%8C%96%E5%BA%83%E5%A0%B4&amp;travelmode=driving","現在地からナビ開始")</x:f>
      </x:c>
      <x:c r="F24" s="27" t="str">
        <x:v>市場建築の屋上に広い芝生と東京湾の眺望があり、食・産業・夜景を一地点でつなげられる。</x:v>
      </x:c>
      <x:c r="G24" s="27" t="str">
        <x:v>市場内一般駐車不可／周辺民間駐車場利用</x:v>
      </x:c>
      <x:c r="H24" s="27" t="str">
        <x:v>屋上5:00～23:00</x:v>
      </x:c>
      <x:c r="I24" s="27" t="n">
        <x:v>5</x:v>
      </x:c>
      <x:c r="J24" s="27" t="n">
        <x:v>3</x:v>
      </x:c>
      <x:c r="K24" s="27" t="str">
        <x:v>市場内駐車場は関係者専用。周辺道路は駐停車禁止。雨天時は芝生が滑りやすい。</x:v>
      </x:c>
      <x:c r="L24" s="28" t="n">
        <x:v>46232</x:v>
      </x:c>
      <x:c r="M24" s="27" t="str">
        <x:v>一次確認済</x:v>
      </x:c>
      <x:c r="N24" s="27" t="str">
        <x:v>https://www.shijou.metro.tokyo.lg.jp/info/0/kenngaku/kenngaku1</x:v>
      </x:c>
      <x:c r="O24" s="27" t="str">
        <x:v>築地市場から移転した中央卸売市場の屋上を緑化し、巨大な物流施設を公共的な展望空間として開放している。</x:v>
      </x:c>
      <x:c r="P24" s="49" t="e">
        <x:f>HYPERLINK("https://ja.wikipedia.org/wiki/Special:Search?search=%E8%B1%8A%E6%B4%B2%E5%B8%82%E5%A0%B4%20%E5%B1%8B%E4%B8%8A%E7%B7%91%E5%8C%96%E5%BA%83%E5%A0%B4","Wikipedia・関連項目")</x:f>
      </x:c>
      <x:c r="Q24" s="27" t="str">
        <x:v>近距離コア新規追加</x:v>
      </x:c>
    </x:row>
    <x:row r="25">
      <x:c r="A25" s="27" t="str">
        <x:v>D062</x:v>
      </x:c>
      <x:c r="B25" s="27" t="str">
        <x:v>辰巳第一PA</x:v>
      </x:c>
      <x:c r="C25" s="27" t="str">
        <x:v>江東区・辰巳</x:v>
      </x:c>
      <x:c r="D25" s="27" t="str">
        <x:v>PA・高層夜景・首都高</x:v>
      </x:c>
      <x:c r="E25" s="49" t="e">
        <x:f>HYPERLINK("https://www.google.com/maps/dir/?api=1&amp;destination=%E8%BE%B0%E5%B7%B3%E7%AC%AC%E4%B8%80PA&amp;travelmode=driving","現在地からナビ開始")</x:f>
      </x:c>
      <x:c r="F25" s="27" t="str">
        <x:v>湾岸線から都心高層群を見渡せ、短時間で首都高ドライブを締められる。</x:v>
      </x:c>
      <x:c r="G25" s="27" t="str">
        <x:v>あり・普通車29台</x:v>
      </x:c>
      <x:c r="H25" s="27" t="str">
        <x:v>原則24時間、夜間・工事閉鎖あり</x:v>
      </x:c>
      <x:c r="I25" s="27" t="n">
        <x:v>5</x:v>
      </x:c>
      <x:c r="J25" s="27" t="n">
        <x:v>3</x:v>
      </x:c>
      <x:c r="K25" s="27" t="str">
        <x:v>夜間閉鎖や入口規制を確認。撮影・滞留・騒音行為は避ける。</x:v>
      </x:c>
      <x:c r="L25" s="28" t="n">
        <x:v>46232</x:v>
      </x:c>
      <x:c r="M25" s="27" t="str">
        <x:v>当日再確認</x:v>
      </x:c>
      <x:c r="N25" s="27" t="str">
        <x:v>https://www.shutoko-sv.jp/pa/tatsumi-1</x:v>
      </x:c>
      <x:c r="O25" s="27" t="str">
        <x:v>辰巳は東京湾の埋立地で、PAから見える高層住宅群は湾岸部の都市化を象徴する景観である。</x:v>
      </x:c>
      <x:c r="P25" s="49" t="e">
        <x:f>HYPERLINK("https://ja.wikipedia.org/wiki/Special:Search?search=%E8%BE%B0%E5%B7%B3%E7%AC%AC%E4%B8%80PA","Wikipedia・関連項目")</x:f>
      </x:c>
      <x:c r="Q25" s="27"/>
    </x:row>
    <x:row r="26">
      <x:c r="A26" s="27" t="str">
        <x:v>D192</x:v>
      </x:c>
      <x:c r="B26" s="27" t="str">
        <x:v>EXPASA海老名（上り）</x:v>
      </x:c>
      <x:c r="C26" s="27" t="str">
        <x:v>海老名市・東名高速</x:v>
      </x:c>
      <x:c r="D26" s="27" t="str">
        <x:v>SA・食・帰路・24時間</x:v>
      </x:c>
      <x:c r="E26" s="49" t="e">
        <x:f>HYPERLINK("https://www.google.com/maps/dir/?api=1&amp;destination=EXPASA%E6%B5%B7%E8%80%81%E5%90%8D%EF%BC%88%E4%B8%8A%E3%82%8A%EF%BC%89&amp;travelmode=driving","現在地からナビ開始")</x:f>
      </x:c>
      <x:c r="F26" s="27" t="str">
        <x:v>遠出から東京へ戻る直前に、食事・土産・休憩をまとめて回収できる『帰路の最終章』として非常に強い。</x:v>
      </x:c>
      <x:c r="G26" s="27" t="str">
        <x:v>あり・高速側小型449台／ぷらっとパーク91台</x:v>
      </x:c>
      <x:c r="H26" s="27" t="str">
        <x:v>高速側24時間／ぷらっと第1は24時間、一部夜間制限</x:v>
      </x:c>
      <x:c r="I26" s="27" t="n">
        <x:v>5</x:v>
      </x:c>
      <x:c r="J26" s="27" t="n">
        <x:v>2</x:v>
      </x:c>
      <x:c r="K26" s="27" t="str">
        <x:v>上り線限定。高速側利用と一般道ぷらっとパークを混同しない。繁忙期は満車・渋滞。</x:v>
      </x:c>
      <x:c r="L26" s="28" t="n">
        <x:v>46232</x:v>
      </x:c>
      <x:c r="M26" s="27" t="str">
        <x:v>一次確認済</x:v>
      </x:c>
      <x:c r="N26" s="27" t="str">
        <x:v>https://sapa.c-nexco.co.jp/sapa/guide?sapainfoid=9</x:v>
      </x:c>
      <x:c r="O26" s="27" t="str">
        <x:v>海老名SAは東名高速を代表する大型サービスエリアで、SA自体を目的に訪れる利用者も多い。</x:v>
      </x:c>
      <x:c r="P26" s="49" t="e">
        <x:f>HYPERLINK("https://ja.wikipedia.org/wiki/Special:Search?search=EXPASA%E6%B5%B7%E8%80%81%E5%90%8D%EF%BC%88%E4%B8%8A%E3%82%8A%EF%BC%89","Wikipedia・関連項目")</x:f>
      </x:c>
      <x:c r="Q26" s="27" t="str">
        <x:v>新規追加。帰路Endingと一般道目的地の両方に対応。</x:v>
      </x:c>
    </x:row>
    <x:row r="27">
      <x:c r="A27" s="27" t="str">
        <x:v>D193</x:v>
      </x:c>
      <x:c r="B27" s="27" t="str">
        <x:v>EXPASA海老名（下り）</x:v>
      </x:c>
      <x:c r="C27" s="27" t="str">
        <x:v>海老名市・東名高速</x:v>
      </x:c>
      <x:c r="D27" s="27" t="str">
        <x:v>SA・食・出発感・24時間</x:v>
      </x:c>
      <x:c r="E27" s="49" t="e">
        <x:f>HYPERLINK("https://www.google.com/maps/dir/?api=1&amp;destination=EXPASA%E6%B5%B7%E8%80%81%E5%90%8D%EF%BC%88%E4%B8%8B%E3%82%8A%EF%BC%89&amp;travelmode=driving","現在地からナビ開始")</x:f>
      </x:c>
      <x:c r="F27" s="27" t="str">
        <x:v>東名へ入った直後に旅のスイッチを入れ、食事と買物を楽しめる『出発そのものが目的』のSA。</x:v>
      </x:c>
      <x:c r="G27" s="27" t="str">
        <x:v>あり・高速側小型528台／ぷらっとパーク13台</x:v>
      </x:c>
      <x:c r="H27" s="27" t="str">
        <x:v>高速側・ぷらっとパーク 24時間</x:v>
      </x:c>
      <x:c r="I27" s="27" t="n">
        <x:v>5</x:v>
      </x:c>
      <x:c r="J27" s="27" t="n">
        <x:v>2</x:v>
      </x:c>
      <x:c r="K27" s="27" t="str">
        <x:v>下り線限定。ぷらっとパークは13台と少ない。連休は本線・駐車場とも混雑。</x:v>
      </x:c>
      <x:c r="L27" s="28" t="n">
        <x:v>46232</x:v>
      </x:c>
      <x:c r="M27" s="27" t="str">
        <x:v>一次確認済</x:v>
      </x:c>
      <x:c r="N27" s="27" t="str">
        <x:v>https://sapa.c-nexco.co.jp/sapa/guide?sapainfoid=10</x:v>
      </x:c>
      <x:c r="O27" s="27" t="str">
        <x:v>上り・下りで店舗構成と役割が異なり、下りは名古屋方面への旅立ちを演出する商業空間として発達した。</x:v>
      </x:c>
      <x:c r="P27" s="49" t="e">
        <x:f>HYPERLINK("https://ja.wikipedia.org/wiki/Special:Search?search=EXPASA%E6%B5%B7%E8%80%81%E5%90%8D%EF%BC%88%E4%B8%8B%E3%82%8A%EF%BC%89","Wikipedia・関連項目")</x:f>
      </x:c>
      <x:c r="Q27" s="27" t="str">
        <x:v>新規追加。出発前の食事・集合Endingとして評価。</x:v>
      </x:c>
    </x:row>
    <x:row r="28">
      <x:c r="A28" s="27" t="str">
        <x:v>D194</x:v>
      </x:c>
      <x:c r="B28" s="27" t="str">
        <x:v>Pasar幕張（上り）</x:v>
      </x:c>
      <x:c r="C28" s="27" t="str">
        <x:v>千葉市・花見川区</x:v>
      </x:c>
      <x:c r="D28" s="27" t="str">
        <x:v>PA・千葉土産・24時間</x:v>
      </x:c>
      <x:c r="E28" s="49" t="e">
        <x:f>HYPERLINK("https://www.google.com/maps/dir/?api=1&amp;destination=Pasar%E5%B9%95%E5%BC%B5%EF%BC%88%E4%B8%8A%E3%82%8A%EF%BC%89&amp;travelmode=driving","現在地からナビ開始")</x:f>
      </x:c>
      <x:c r="F28" s="27" t="str">
        <x:v>房総・千葉から東京へ戻る途中、千葉県産商品と食事で旅を締める大型PA。</x:v>
      </x:c>
      <x:c r="G28" s="27" t="str">
        <x:v>あり・小型238台</x:v>
      </x:c>
      <x:c r="H28" s="27" t="str">
        <x:v>PA・コンビニ 24時間／主要飲食 6:00～22:00中心</x:v>
      </x:c>
      <x:c r="I28" s="27" t="n">
        <x:v>5</x:v>
      </x:c>
      <x:c r="J28" s="27" t="n">
        <x:v>2</x:v>
      </x:c>
      <x:c r="K28" s="27" t="str">
        <x:v>上り線限定。京葉道路の進行方向を確認。イベント時は混雑。</x:v>
      </x:c>
      <x:c r="L28" s="28" t="n">
        <x:v>46232</x:v>
      </x:c>
      <x:c r="M28" s="27" t="str">
        <x:v>一次確認済</x:v>
      </x:c>
      <x:c r="N28" s="27" t="str">
        <x:v>https://www.driveplaza.com/sapa/213A/213A041/1/</x:v>
      </x:c>
      <x:c r="O28" s="27" t="str">
        <x:v>PasarはPA・SA・Relaxationを組み合わせた名称で、インドネシア語では『市場』を意味する。</x:v>
      </x:c>
      <x:c r="P28" s="49" t="e">
        <x:f>HYPERLINK("https://ja.wikipedia.org/wiki/Special:Search?search=Pasar%E5%B9%95%E5%BC%B5%EF%BC%88%E4%B8%8A%E3%82%8A%EF%BC%89","Wikipedia・関連項目")</x:f>
      </x:c>
      <x:c r="Q28" s="27" t="str">
        <x:v>新規追加。房総帰路の食・土産Ending。</x:v>
      </x:c>
    </x:row>
    <x:row r="29">
      <x:c r="A29" s="27" t="str">
        <x:v>D195</x:v>
      </x:c>
      <x:c r="B29" s="27" t="str">
        <x:v>Pasar幕張（下り）</x:v>
      </x:c>
      <x:c r="C29" s="27" t="str">
        <x:v>千葉市・花見川区</x:v>
      </x:c>
      <x:c r="D29" s="27" t="str">
        <x:v>PA・食・房総への入口</x:v>
      </x:c>
      <x:c r="E29" s="49" t="e">
        <x:f>HYPERLINK("https://www.google.com/maps/dir/?api=1&amp;destination=Pasar%E5%B9%95%E5%BC%B5%EF%BC%88%E4%B8%8B%E3%82%8A%EF%BC%89&amp;travelmode=driving","現在地からナビ開始")</x:f>
      </x:c>
      <x:c r="F29" s="27" t="str">
        <x:v>東京側から千葉へ向かう途中に食事・農産物・休憩を入れ、房総ドライブの始まりを明確にできる。</x:v>
      </x:c>
      <x:c r="G29" s="27" t="str">
        <x:v>あり・小型186台</x:v>
      </x:c>
      <x:c r="H29" s="27" t="str">
        <x:v>PA・コンビニ 24時間／主要飲食 6:00～22:00中心</x:v>
      </x:c>
      <x:c r="I29" s="27" t="n">
        <x:v>5</x:v>
      </x:c>
      <x:c r="J29" s="27" t="n">
        <x:v>2</x:v>
      </x:c>
      <x:c r="K29" s="27" t="str">
        <x:v>下り線限定。幕張IC・武石IC付近の分岐と混雑を確認。</x:v>
      </x:c>
      <x:c r="L29" s="28" t="n">
        <x:v>46232</x:v>
      </x:c>
      <x:c r="M29" s="27" t="str">
        <x:v>一次確認済</x:v>
      </x:c>
      <x:c r="N29" s="27" t="str">
        <x:v>https://www.driveplaza.com/sapa/213A/213A041/2/</x:v>
      </x:c>
      <x:c r="O29" s="27" t="str">
        <x:v>下り線は東京土産と首都圏の商品も扱い、千葉へ向かう人のための『市場』として構成されている。</x:v>
      </x:c>
      <x:c r="P29" s="49" t="e">
        <x:f>HYPERLINK("https://ja.wikipedia.org/wiki/Special:Search?search=Pasar%E5%B9%95%E5%BC%B5%EF%BC%88%E4%B8%8B%E3%82%8A%EF%BC%89","Wikipedia・関連項目")</x:f>
      </x:c>
      <x:c r="Q29" s="27" t="str">
        <x:v>新規追加。東側ルートの出発・回復地点。</x:v>
      </x:c>
    </x:row>
    <x:row r="30">
      <x:c r="A30" s="27" t="str">
        <x:v>D110</x:v>
      </x:c>
      <x:c r="B30" s="27" t="str">
        <x:v>千葉ポートタワー</x:v>
      </x:c>
      <x:c r="C30" s="27" t="str">
        <x:v>千葉市・中央港</x:v>
      </x:c>
      <x:c r="D30" s="27" t="str">
        <x:v>展望塔・港・都市夜景</x:v>
      </x:c>
      <x:c r="E30" s="49" t="e">
        <x:f>HYPERLINK("https://www.google.com/maps/dir/?api=1&amp;destination=%E5%8D%83%E8%91%89%E3%83%9D%E3%83%BC%E3%83%88%E3%82%BF%E3%83%AF%E3%83%BC&amp;travelmode=driving","現在地からナビ開始")</x:f>
      </x:c>
      <x:c r="F30" s="27" t="str">
        <x:v>高さ113mの展望室から千葉港、幕張、東京湾を一望できる夜景Ending。</x:v>
      </x:c>
      <x:c r="G30" s="27" t="str">
        <x:v>あり・ポートパーク駐車場</x:v>
      </x:c>
      <x:c r="H30" s="27" t="str">
        <x:v>6～9月 9:00～21:00／10～5月は曜日で19～20時</x:v>
      </x:c>
      <x:c r="I30" s="27" t="n">
        <x:v>5</x:v>
      </x:c>
      <x:c r="J30" s="27" t="n">
        <x:v>2</x:v>
      </x:c>
      <x:c r="K30" s="27" t="str">
        <x:v>休館日・最終入館・イベント延長を当日確認。</x:v>
      </x:c>
      <x:c r="L30" s="28" t="n">
        <x:v>46232</x:v>
      </x:c>
      <x:c r="M30" s="27" t="str">
        <x:v>一次確認済</x:v>
      </x:c>
      <x:c r="N30" s="27" t="str">
        <x:v>https://www.city.chiba.jp/keizainosei/keizai/promotion/baria_kanko.html</x:v>
      </x:c>
      <x:c r="O30" s="27" t="str">
        <x:v>千葉ポートタワーは千葉県人口500万人突破を記念して建設された、高さ125mのガラス張り展望塔である。</x:v>
      </x:c>
      <x:c r="P30" s="49" t="e">
        <x:f>HYPERLINK("https://ja.wikipedia.org/wiki/Special:Search?search=%E5%8D%83%E8%91%89%E3%83%9D%E3%83%BC%E3%83%88%E3%82%BF%E3%83%AF%E3%83%BC","Wikipedia・関連項目")</x:f>
      </x:c>
      <x:c r="Q30" s="27"/>
    </x:row>
    <x:row r="31">
      <x:c r="A31" s="27" t="str">
        <x:v>D233</x:v>
      </x:c>
      <x:c r="B31" s="27" t="str">
        <x:v>千葉県立幕張海浜公園</x:v>
      </x:c>
      <x:c r="C31" s="27" t="str">
        <x:v>千葉市美浜区</x:v>
      </x:c>
      <x:c r="D31" s="27" t="str">
        <x:v>計画都市・日本庭園・24時間駐車</x:v>
      </x:c>
      <x:c r="E31" s="49" t="e">
        <x:f>HYPERLINK("https://www.google.com/maps/dir/?api=1&amp;destination=%E5%8D%83%E8%91%89%E7%9C%8C%E7%AB%8B%E5%B9%95%E5%BC%B5%E6%B5%B7%E6%B5%9C%E5%85%AC%E5%9C%92&amp;travelmode=driving","現在地からナビ開始")</x:f>
      </x:c>
      <x:c r="F31" s="27" t="str">
        <x:v>幕張新都心の高層ビル、広場、日本庭園を歩き、計画都市のスケールを感じる都市型Ending。</x:v>
      </x:c>
      <x:c r="G31" s="27" t="str">
        <x:v>あり・A63台／B92台／C46台・有料</x:v>
      </x:c>
      <x:c r="H31" s="27" t="str">
        <x:v>公園終日／各駐車場24時間</x:v>
      </x:c>
      <x:c r="I31" s="27" t="n">
        <x:v>5</x:v>
      </x:c>
      <x:c r="J31" s="27" t="n">
        <x:v>2</x:v>
      </x:c>
      <x:c r="K31" s="27" t="str">
        <x:v>イベント開催時は満車・交通規制。見浜園は別営業時間。2025年に料金改定・C駐車場機械化。</x:v>
      </x:c>
      <x:c r="L31" s="28" t="n">
        <x:v>46232</x:v>
      </x:c>
      <x:c r="M31" s="27" t="str">
        <x:v>一次確認済</x:v>
      </x:c>
      <x:c r="N31" s="27" t="str">
        <x:v>https://www.seibu-la.co.jp/makuhari/access.html</x:v>
      </x:c>
      <x:c r="O31" s="27" t="str">
        <x:v>幕張新都心は1970年代後半から整備された計画都市で、公園は業務・住宅・国際展示場を結ぶ緑の骨格となる。</x:v>
      </x:c>
      <x:c r="P31" s="49" t="e">
        <x:f>HYPERLINK("https://ja.wikipedia.org/wiki/Special:Search?search=%E5%8D%83%E8%91%89%E7%9C%8C%E7%AB%8B%E5%B9%95%E5%BC%B5%E6%B5%B7%E6%B5%9C%E5%85%AC%E5%9C%92","Wikipedia・関連項目")</x:f>
      </x:c>
      <x:c r="Q31" s="27" t="str">
        <x:v>新規追加。海浜大通り展望駐車場と異なる都市・庭園型。</x:v>
      </x:c>
    </x:row>
    <x:row r="32">
      <x:c r="A32" s="27" t="str">
        <x:v>D061</x:v>
      </x:c>
      <x:c r="B32" s="27" t="str">
        <x:v>大黒PA</x:v>
      </x:c>
      <x:c r="C32" s="27" t="str">
        <x:v>横浜市・大黒ふ頭</x:v>
      </x:c>
      <x:c r="D32" s="27" t="str">
        <x:v>PA・湾岸・車文化</x:v>
      </x:c>
      <x:c r="E32" s="49" t="e">
        <x:f>HYPERLINK("https://www.google.com/maps/dir/?api=1&amp;destination=%E5%A4%A7%E9%BB%92PA&amp;travelmode=driving","現在地からナビ開始")</x:f>
      </x:c>
      <x:c r="F32" s="27" t="str">
        <x:v>湾岸線とベイブリッジの走行後に到達し、車で来た実感そのものが最終体験になる。</x:v>
      </x:c>
      <x:c r="G32" s="27" t="str">
        <x:v>あり・普通車335台</x:v>
      </x:c>
      <x:c r="H32" s="27" t="str">
        <x:v>原則24時間、工事・混雑対策で臨時閉鎖あり</x:v>
      </x:c>
      <x:c r="I32" s="27" t="n">
        <x:v>5</x:v>
      </x:c>
      <x:c r="J32" s="27" t="n">
        <x:v>2</x:v>
      </x:c>
      <x:c r="K32" s="27" t="str">
        <x:v>閉鎖情報を出発直前に確認。集会・空ぶかし・長時間占有は禁止。</x:v>
      </x:c>
      <x:c r="L32" s="28" t="n">
        <x:v>46232</x:v>
      </x:c>
      <x:c r="M32" s="27" t="str">
        <x:v>当日再確認</x:v>
      </x:c>
      <x:c r="N32" s="27" t="str">
        <x:v>https://www.shutoko-sv.jp/pa/daikoku</x:v>
      </x:c>
      <x:c r="O32" s="27" t="str">
        <x:v>大黒PAは大黒ふ頭の巨大なループ状ランプに囲まれ、首都高の立体構造を間近に感じられる。</x:v>
      </x:c>
      <x:c r="P32" s="49" t="e">
        <x:f>HYPERLINK("https://ja.wikipedia.org/wiki/Special:Search?search=%E5%A4%A7%E9%BB%92PA","Wikipedia・関連項目")</x:f>
      </x:c>
      <x:c r="Q32" s="27"/>
    </x:row>
    <x:row r="33">
      <x:c r="A33" s="27" t="str">
        <x:v>D148</x:v>
      </x:c>
      <x:c r="B33" s="27" t="str">
        <x:v>富津公園 明治百年記念展望塔</x:v>
      </x:c>
      <x:c r="C33" s="27" t="str">
        <x:v>千葉県富津市</x:v>
      </x:c>
      <x:c r="D33" s="27" t="str">
        <x:v>岬・展望塔・富士山</x:v>
      </x:c>
      <x:c r="E33" s="49" t="e">
        <x:f>HYPERLINK("https://www.google.com/maps/dir/?api=1&amp;destination=%E5%AF%8C%E6%B4%A5%E5%85%AC%E5%9C%92%20%E6%98%8E%E6%B2%BB%E7%99%BE%E5%B9%B4%E8%A8%98%E5%BF%B5%E5%B1%95%E6%9C%9B%E5%A1%94&amp;travelmode=driving","現在地からナビ開始")</x:f>
      </x:c>
      <x:c r="F33" s="27" t="str">
        <x:v>東京湾に突き出す砂州の先端で、三浦半島・富士山・湾内航路を一望できる強いEnding。</x:v>
      </x:c>
      <x:c r="G33" s="27" t="str">
        <x:v>あり・無料駐車場</x:v>
      </x:c>
      <x:c r="H33" s="27" t="str">
        <x:v>公園は常時利用可、施設は個別時間</x:v>
      </x:c>
      <x:c r="I33" s="27" t="n">
        <x:v>5</x:v>
      </x:c>
      <x:c r="J33" s="27" t="n">
        <x:v>2</x:v>
      </x:c>
      <x:c r="K33" s="27" t="str">
        <x:v>強風・荒天時は展望塔に上らない。砂浜への車両乗入禁止。</x:v>
      </x:c>
      <x:c r="L33" s="28" t="n">
        <x:v>46232</x:v>
      </x:c>
      <x:c r="M33" s="27" t="str">
        <x:v>一次確認済</x:v>
      </x:c>
      <x:c r="N33" s="27" t="str">
        <x:v>https://www.cue-net.or.jp/kouen/futtsu/index.html</x:v>
      </x:c>
      <x:c r="O33" s="27" t="str">
        <x:v>富津岬は東京湾へ伸びる砂州で、幕末から近代にかけて海防上の重要地点でもあった。</x:v>
      </x:c>
      <x:c r="P33" s="49" t="e">
        <x:f>HYPERLINK("https://ja.wikipedia.org/wiki/Special:Search?search=%E5%AF%8C%E6%B4%A5%E5%85%AC%E5%9C%92%20%E6%98%8E%E6%B2%BB%E7%99%BE%E5%B9%B4%E8%A8%98%E5%BF%B5%E5%B1%95%E6%9C%9B%E5%A1%94","Wikipedia・関連項目")</x:f>
      </x:c>
      <x:c r="Q33" s="27"/>
    </x:row>
    <x:row r="34">
      <x:c r="A34" s="27" t="str">
        <x:v>D026</x:v>
      </x:c>
      <x:c r="B34" s="27" t="str">
        <x:v>港の見える丘公園</x:v>
      </x:c>
      <x:c r="C34" s="27" t="str">
        <x:v>横浜市・山手</x:v>
      </x:c>
      <x:c r="D34" s="27" t="str">
        <x:v>高台・港・都市夜景</x:v>
      </x:c>
      <x:c r="E34" s="49" t="e">
        <x:f>HYPERLINK("https://www.google.com/maps/dir/?api=1&amp;destination=%E6%B8%AF%E3%81%AE%E8%A6%8B%E3%81%88%E3%82%8B%E4%B8%98%E5%85%AC%E5%9C%92&amp;travelmode=driving","現在地からナビ開始")</x:f>
      </x:c>
      <x:c r="F34" s="27" t="str">
        <x:v>横浜港とベイブリッジを高台から眺め、街の物語性を残せる。</x:v>
      </x:c>
      <x:c r="G34" s="27" t="str">
        <x:v>あり・小規模有料</x:v>
      </x:c>
      <x:c r="H34" s="27" t="str">
        <x:v>駐車場 24時間</x:v>
      </x:c>
      <x:c r="I34" s="27" t="n">
        <x:v>5</x:v>
      </x:c>
      <x:c r="J34" s="27" t="n">
        <x:v>2</x:v>
      </x:c>
      <x:c r="K34" s="27" t="str">
        <x:v>台数が少ない。周辺住宅地で騒音を出さない。</x:v>
      </x:c>
      <x:c r="L34" s="28" t="n">
        <x:v>46232</x:v>
      </x:c>
      <x:c r="M34" s="27" t="str">
        <x:v>一次確認済</x:v>
      </x:c>
      <x:c r="N34" s="27" t="str">
        <x:v>https://www.hama-midorinokyokai.or.jp/park/parking/minato/minato/</x:v>
      </x:c>
      <x:c r="O34" s="27" t="str">
        <x:v>港の見える丘公園一帯は開港後に英仏軍が駐屯した高台で、横浜の外国人居留地史と深く結び付く。</x:v>
      </x:c>
      <x:c r="P34" s="49" t="e">
        <x:f>HYPERLINK("https://ja.wikipedia.org/wiki/Special:Search?search=%E6%B8%AF%E3%81%AE%E8%A6%8B%E3%81%88%E3%82%8B%E4%B8%98%E5%85%AC%E5%9C%92","Wikipedia・関連項目")</x:f>
      </x:c>
      <x:c r="Q34" s="27"/>
    </x:row>
    <x:row r="35">
      <x:c r="A35" s="27" t="str">
        <x:v>D018</x:v>
      </x:c>
      <x:c r="B35" s="27" t="str">
        <x:v>湘南平</x:v>
      </x:c>
      <x:c r="C35" s="27" t="str">
        <x:v>平塚市・万田</x:v>
      </x:c>
      <x:c r="D35" s="27" t="str">
        <x:v>高台・夜景・富士山</x:v>
      </x:c>
      <x:c r="E35" s="49" t="e">
        <x:f>HYPERLINK("https://www.google.com/maps/dir/?api=1&amp;destination=%E6%B9%98%E5%8D%97%E5%B9%B3&amp;travelmode=driving","現在地からナビ開始")</x:f>
      </x:c>
      <x:c r="F35" s="27" t="str">
        <x:v>湘南、相模湾、富士山、市街地を一望できる山系Endingの代表。</x:v>
      </x:c>
      <x:c r="G35" s="27" t="str">
        <x:v>あり・無料</x:v>
      </x:c>
      <x:c r="H35" s="27" t="str">
        <x:v>展望台エリアは概ね21:30まで</x:v>
      </x:c>
      <x:c r="I35" s="27" t="n">
        <x:v>5</x:v>
      </x:c>
      <x:c r="J35" s="27" t="n">
        <x:v>2</x:v>
      </x:c>
      <x:c r="K35" s="27" t="str">
        <x:v>山道・野生動物・濃霧に注意。駐車場の一部閉鎖確認。</x:v>
      </x:c>
      <x:c r="L35" s="28" t="n">
        <x:v>46232</x:v>
      </x:c>
      <x:c r="M35" s="27" t="str">
        <x:v>当日再確認</x:v>
      </x:c>
      <x:c r="N35" s="27" t="str">
        <x:v>https://www.city.hiratsuka.kanagawa.jp/kanko/page-c_02820.html</x:v>
      </x:c>
      <x:c r="O35" s="27" t="str">
        <x:v>湘南平は高麗山公園の一部で、テレビ塔と展望台から相模湾・富士山・丹沢を一望できる。</x:v>
      </x:c>
      <x:c r="P35" s="49" t="e">
        <x:f>HYPERLINK("https://ja.wikipedia.org/wiki/Special:Search?search=%E6%B9%98%E5%8D%97%E5%B9%B3","Wikipedia・関連項目")</x:f>
      </x:c>
      <x:c r="Q35" s="27"/>
    </x:row>
    <x:row r="36">
      <x:c r="A36" s="27" t="str">
        <x:v>D246</x:v>
      </x:c>
      <x:c r="B36" s="27" t="str">
        <x:v>羽田空港 第1ターミナル展望デッキ</x:v>
      </x:c>
      <x:c r="C36" s="27" t="str">
        <x:v>大田区・羽田空港</x:v>
      </x:c>
      <x:c r="D36" s="27" t="str">
        <x:v>飛行機・国内線・空港</x:v>
      </x:c>
      <x:c r="E36" s="49" t="e">
        <x:f>HYPERLINK("https://www.google.com/maps/dir/?api=1&amp;destination=%E7%BE%BD%E7%94%B0%E7%A9%BA%E6%B8%AF%20%E7%AC%AC1%E3%82%BF%E3%83%BC%E3%83%9F%E3%83%8A%E3%83%AB%E5%B1%95%E6%9C%9B%E3%83%87%E3%83%83%E3%82%AD&amp;travelmode=driving","現在地からナビ開始")</x:f>
      </x:c>
      <x:c r="F36" s="27" t="str">
        <x:v>JAL系の国内線機材や滑走路運用を見ながら、空港飲食と組み合わせられる雨天対応の近距離Ending。</x:v>
      </x:c>
      <x:c r="G36" s="27" t="str">
        <x:v>P1 2,351台／P2 2,315台・料金は時期別</x:v>
      </x:c>
      <x:c r="H36" s="27" t="str">
        <x:v>展望デッキ6:30～22:00</x:v>
      </x:c>
      <x:c r="I36" s="27" t="n">
        <x:v>5</x:v>
      </x:c>
      <x:c r="J36" s="27" t="n">
        <x:v>2</x:v>
      </x:c>
      <x:c r="K36" s="27" t="str">
        <x:v>悪天候・保安上の閉鎖あり。多客期5:30～20:00は駐車場が数時間待ちになる場合がある。</x:v>
      </x:c>
      <x:c r="L36" s="28" t="n">
        <x:v>46232</x:v>
      </x:c>
      <x:c r="M36" s="27" t="str">
        <x:v>一次確認済</x:v>
      </x:c>
      <x:c r="N36" s="27" t="str">
        <x:v>https://tokyo-haneda.com/service/facilities/observation_deck.html</x:v>
      </x:c>
      <x:c r="O36" s="27" t="str">
        <x:v>1955年開業の旧国内線ターミナルを起源に持ち、現在も羽田国内線の主要拠点の一つ。</x:v>
      </x:c>
      <x:c r="P36" s="49" t="e">
        <x:f>HYPERLINK("https://ja.wikipedia.org/wiki/Special:Search?search=%E7%BE%BD%E7%94%B0%E7%A9%BA%E6%B8%AF%20%E7%AC%AC1%E3%82%BF%E3%83%BC%E3%83%9F%E3%83%8A%E3%83%AB%E5%B1%95%E6%9C%9B%E3%83%87%E3%83%83%E3%82%AD","Wikipedia・関連項目")</x:f>
      </x:c>
      <x:c r="Q36" s="27" t="str">
        <x:v>近距離コア新規追加</x:v>
      </x:c>
    </x:row>
    <x:row r="37">
      <x:c r="A37" s="27" t="str">
        <x:v>D247</x:v>
      </x:c>
      <x:c r="B37" s="27" t="str">
        <x:v>羽田空港 第2ターミナル展望デッキ／FLIGHT DECK TOKYO</x:v>
      </x:c>
      <x:c r="C37" s="27" t="str">
        <x:v>大田区・羽田空港</x:v>
      </x:c>
      <x:c r="D37" s="27" t="str">
        <x:v>飛行機・屋内展望・雨天</x:v>
      </x:c>
      <x:c r="E37" s="49" t="e">
        <x:f>HYPERLINK("https://www.google.com/maps/dir/?api=1&amp;destination=%E7%BE%BD%E7%94%B0%E7%A9%BA%E6%B8%AF%20%E7%AC%AC2%E3%82%BF%E3%83%BC%E3%83%9F%E3%83%8A%E3%83%AB%E5%B1%95%E6%9C%9B%E3%83%87%E3%83%83%E3%82%AD%EF%BC%8FFLIGHT%20DECK%20TOKYO&amp;travelmode=driving","現在地からナビ開始")</x:f>
      </x:c>
      <x:c r="F37" s="27" t="str">
        <x:v>屋外デッキと屋内展望フロアを使い分けられ、雨天や強風でも航空機を目的地化しやすい。</x:v>
      </x:c>
      <x:c r="G37" s="27" t="str">
        <x:v>P3 2,449台／P4 3,087台・有料</x:v>
      </x:c>
      <x:c r="H37" s="27" t="str">
        <x:v>屋外展望デッキ6:30～22:00／屋内FLIGHT DECK 5:00～23:00</x:v>
      </x:c>
      <x:c r="I37" s="27" t="n">
        <x:v>5</x:v>
      </x:c>
      <x:c r="J37" s="27" t="n">
        <x:v>2</x:v>
      </x:c>
      <x:c r="K37" s="27" t="str">
        <x:v>悪天候時は屋外閉鎖。多客期は駐車場混雑。雨天ルートでは屋内FLIGHT DECKを優先。</x:v>
      </x:c>
      <x:c r="L37" s="28" t="n">
        <x:v>46232</x:v>
      </x:c>
      <x:c r="M37" s="27" t="str">
        <x:v>一次確認済</x:v>
      </x:c>
      <x:c r="N37" s="27" t="str">
        <x:v>https://tokyo-haneda.com/service/facilities/observation_deck.html</x:v>
      </x:c>
      <x:c r="O37" s="27" t="str">
        <x:v>第2ターミナルはANA系国内線の拠点として開業し、現在は国際線機能も備える。</x:v>
      </x:c>
      <x:c r="P37" s="49" t="e">
        <x:f>HYPERLINK("https://ja.wikipedia.org/wiki/Special:Search?search=%E7%BE%BD%E7%94%B0%E7%A9%BA%E6%B8%AF%20%E7%AC%AC2%E3%82%BF%E3%83%BC%E3%83%9F%E3%83%8A%E3%83%AB%E5%B1%95%E6%9C%9B%E3%83%87%E3%83%83%E3%82%AD%EF%BC%8FFLIGHT%20DECK%20TOKYO","Wikipedia・関連項目")</x:f>
      </x:c>
      <x:c r="Q37" s="27" t="str">
        <x:v>2026-07-29公式再確認：屋外22時、屋内23時、大規模駐車場を反映。</x:v>
      </x:c>
    </x:row>
    <x:row r="38">
      <x:c r="A38" s="27" t="str">
        <x:v>D003</x:v>
      </x:c>
      <x:c r="B38" s="27" t="str">
        <x:v>羽田空港 第3ターミナル展望デッキ</x:v>
      </x:c>
      <x:c r="C38" s="27" t="str">
        <x:v>大田区・羽田</x:v>
      </x:c>
      <x:c r="D38" s="27" t="str">
        <x:v>飛行機・展望</x:v>
      </x:c>
      <x:c r="E38" s="49" t="e">
        <x:f>HYPERLINK("https://www.google.com/maps/dir/?api=1&amp;destination=%E7%BE%BD%E7%94%B0%E7%A9%BA%E6%B8%AF%20%E7%AC%AC3%E3%82%BF%E3%83%BC%E3%83%9F%E3%83%8A%E3%83%AB%E5%B1%95%E6%9C%9B%E3%83%87%E3%83%83%E3%82%AD&amp;travelmode=driving","現在地からナビ開始")</x:f>
      </x:c>
      <x:c r="F38" s="27" t="str">
        <x:v>深夜でも滑走路灯火と航空機を楽しめる、安定性の高いEnding。</x:v>
      </x:c>
      <x:c r="G38" s="27" t="str">
        <x:v>P5 2,910台・24時間・有料</x:v>
      </x:c>
      <x:c r="H38" s="27" t="str">
        <x:v>展望デッキ24時間</x:v>
      </x:c>
      <x:c r="I38" s="27" t="n">
        <x:v>5</x:v>
      </x:c>
      <x:c r="J38" s="27" t="n">
        <x:v>2</x:v>
      </x:c>
      <x:c r="K38" s="27" t="str">
        <x:v>保安・悪天候・イベントで一時閉鎖の場合あり。多客期は駐車場混雑。</x:v>
      </x:c>
      <x:c r="L38" s="28" t="n">
        <x:v>46232</x:v>
      </x:c>
      <x:c r="M38" s="27" t="str">
        <x:v>一次確認済</x:v>
      </x:c>
      <x:c r="N38" s="27" t="str">
        <x:v>https://tokyo-haneda.com/service/facilities/observation_deck.html</x:v>
      </x:c>
      <x:c r="O38" s="27" t="str">
        <x:v>現在の第3ターミナルは2010年に国際線ターミナルとして開業し、2020年に現在の名称へ変更された。</x:v>
      </x:c>
      <x:c r="P38" s="49" t="e">
        <x:f>HYPERLINK("https://ja.wikipedia.org/wiki/Special:Search?search=%E7%BE%BD%E7%94%B0%E7%A9%BA%E6%B8%AF%20%E7%AC%AC3%E3%82%BF%E3%83%BC%E3%83%9F%E3%83%8A%E3%83%AB%E5%B1%95%E6%9C%9B%E3%83%87%E3%83%83%E3%82%AD","Wikipedia・関連項目")</x:f>
      </x:c>
      <x:c r="Q38" s="27" t="str">
        <x:v>2026-07-29公式再確認：T3展望デッキ24時間を深夜ルートのHard Gateなし条件へ反映。</x:v>
      </x:c>
    </x:row>
    <x:row r="39">
      <x:c r="A39" s="27" t="str">
        <x:v>D237</x:v>
      </x:c>
      <x:c r="B39" s="27" t="str">
        <x:v>道の駅 足柄・金太郎のふるさと</x:v>
      </x:c>
      <x:c r="C39" s="27" t="str">
        <x:v>神奈川県南足柄市</x:v>
      </x:c>
      <x:c r="D39" s="27" t="str">
        <x:v>道の駅・金太郎Story・24時間</x:v>
      </x:c>
      <x:c r="E39" s="49" t="e">
        <x:f>HYPERLINK("https://www.google.com/maps/dir/?api=1&amp;destination=%E9%81%93%E3%81%AE%E9%A7%85%20%E8%B6%B3%E6%9F%84%E3%83%BB%E9%87%91%E5%A4%AA%E9%83%8E%E3%81%AE%E3%81%B5%E3%82%8B%E3%81%95%E3%81%A8&amp;travelmode=driving","現在地からナビ開始")</x:f>
      </x:c>
      <x:c r="F39" s="27" t="str">
        <x:v>足柄の農産物と金太郎伝説を食・土産へ変換し、箱根・小田原方面の帰路Endingとして使える。</x:v>
      </x:c>
      <x:c r="G39" s="27" t="str">
        <x:v>あり・24時間利用可</x:v>
      </x:c>
      <x:c r="H39" s="27" t="str">
        <x:v>店舗9:00～17:00／駐車場・トイレ24時間</x:v>
      </x:c>
      <x:c r="I39" s="27" t="n">
        <x:v>5</x:v>
      </x:c>
      <x:c r="J39" s="27" t="n">
        <x:v>2</x:v>
      </x:c>
      <x:c r="K39" s="27" t="str">
        <x:v>満車時は右折入場できない場合あり。竹松交差点側から左折入場を推奨。長時間占有禁止。</x:v>
      </x:c>
      <x:c r="L39" s="28" t="n">
        <x:v>46232</x:v>
      </x:c>
      <x:c r="M39" s="27" t="str">
        <x:v>一次確認済</x:v>
      </x:c>
      <x:c r="N39" s="27" t="str">
        <x:v>https://www.michinoeki-ashigara.com/</x:v>
      </x:c>
      <x:c r="O39" s="27" t="str">
        <x:v>足柄山は坂田金時＝金太郎伝説の舞台の一つとされ、地域ブランドの中心になっている。</x:v>
      </x:c>
      <x:c r="P39" s="49" t="e">
        <x:f>HYPERLINK("https://ja.wikipedia.org/wiki/Special:Search?search=%E9%81%93%E3%81%AE%E9%A7%85%20%E8%B6%B3%E6%9F%84%E3%83%BB%E9%87%91%E5%A4%AA%E9%83%8E%E3%81%AE%E3%81%B5%E3%82%8B%E3%81%95%E3%81%A8","Wikipedia・関連項目")</x:f>
      </x:c>
      <x:c r="Q39" s="27" t="str">
        <x:v>新規追加。Storyと24時間休憩を両立。</x:v>
      </x:c>
    </x:row>
    <x:row r="40">
      <x:c r="A40" s="27" t="str">
        <x:v>D251</x:v>
      </x:c>
      <x:c r="B40" s="27" t="str">
        <x:v>お台場海浜公園</x:v>
      </x:c>
      <x:c r="C40" s="27" t="str">
        <x:v>港区・台場</x:v>
      </x:c>
      <x:c r="D40" s="27" t="str">
        <x:v>海浜・第三台場・都市夜景</x:v>
      </x:c>
      <x:c r="E40" s="49" t="e">
        <x:f>HYPERLINK("https://www.google.com/maps/dir/?api=1&amp;destination=%E3%81%8A%E5%8F%B0%E5%A0%B4%E6%B5%B7%E6%B5%9C%E5%85%AC%E5%9C%92&amp;travelmode=driving","現在地からナビ開始")</x:f>
      </x:c>
      <x:c r="F40" s="27" t="str">
        <x:v>レインボーブリッジ、砂浜、第三台場、都心夜景が一つにまとまり、近距離でも王道の到達感を得られる。</x:v>
      </x:c>
      <x:c r="G40" s="27" t="str">
        <x:v>中央101台／北口244台・有料・24時間</x:v>
      </x:c>
      <x:c r="H40" s="27" t="str">
        <x:v>公園・駐車場24時間</x:v>
      </x:c>
      <x:c r="I40" s="27" t="n">
        <x:v>5</x:v>
      </x:c>
      <x:c r="J40" s="27" t="n">
        <x:v>1</x:v>
      </x:c>
      <x:c r="K40" s="27" t="str">
        <x:v>大規模イベント時は駐車場閉鎖・交通規制あり。北口のみ24時間最大料金設定。</x:v>
      </x:c>
      <x:c r="L40" s="28" t="n">
        <x:v>46232</x:v>
      </x:c>
      <x:c r="M40" s="27" t="str">
        <x:v>一次確認済</x:v>
      </x:c>
      <x:c r="N40" s="27" t="str">
        <x:v>https://www.tptc.co.jp/park/01_02/access</x:v>
      </x:c>
      <x:c r="O40" s="27" t="str">
        <x:v>第三台場はペリー来航後に江戸幕府が東京湾防備のため築いた砲台跡で、公園から徒歩で入れる。</x:v>
      </x:c>
      <x:c r="P40" s="49" t="e">
        <x:f>HYPERLINK("https://ja.wikipedia.org/wiki/Special:Search?search=%E3%81%8A%E5%8F%B0%E5%A0%B4%E6%B5%B7%E6%B5%9C%E5%85%AC%E5%9C%92","Wikipedia・関連項目")</x:f>
      </x:c>
      <x:c r="Q40" s="27" t="str">
        <x:v>2026-07-29公式再確認：中央・北口とも24時間、台数・料金条件を反映。</x:v>
      </x:c>
    </x:row>
    <x:row r="41">
      <x:c r="A41" s="27" t="str">
        <x:v>D136</x:v>
      </x:c>
      <x:c r="B41" s="27" t="str">
        <x:v>成田空港 第1ターミナル展望デッキ</x:v>
      </x:c>
      <x:c r="C41" s="27" t="str">
        <x:v>成田市成田国際空港</x:v>
      </x:c>
      <x:c r="D41" s="27" t="str">
        <x:v>飛行機・空港・展望</x:v>
      </x:c>
      <x:c r="E41" s="49" t="e">
        <x:f>HYPERLINK("https://www.google.com/maps/dir/?api=1&amp;destination=%E6%88%90%E7%94%B0%E7%A9%BA%E6%B8%AF%20%E7%AC%AC1%E3%82%BF%E3%83%BC%E3%83%9F%E3%83%8A%E3%83%AB%E5%B1%95%E6%9C%9B%E3%83%87%E3%83%83%E3%82%AD&amp;travelmode=driving","現在地からナビ開始")</x:f>
      </x:c>
      <x:c r="F41" s="27" t="str">
        <x:v>4000mのA滑走路全体を見渡し、飲食・空港施設と航空機鑑賞を安定して組み合わせられる。</x:v>
      </x:c>
      <x:c r="G41" s="27" t="str">
        <x:v>あり・空港P1/P5等、24時間</x:v>
      </x:c>
      <x:c r="H41" s="27" t="str">
        <x:v>4～9月 6:30～21:00／10～3月 7:00～21:00</x:v>
      </x:c>
      <x:c r="I41" s="27" t="n">
        <x:v>5</x:v>
      </x:c>
      <x:c r="J41" s="27" t="n">
        <x:v>1</x:v>
      </x:c>
      <x:c r="K41" s="27" t="str">
        <x:v>天候・保安上の閉鎖あり。2026年リニューアル後は高台部分で大型撮影機材禁止。</x:v>
      </x:c>
      <x:c r="L41" s="28" t="n">
        <x:v>46232</x:v>
      </x:c>
      <x:c r="M41" s="27" t="str">
        <x:v>一次確認済</x:v>
      </x:c>
      <x:c r="N41" s="27" t="str">
        <x:v>https://www.narita-airport.jp/ja/fun/view/</x:v>
      </x:c>
      <x:c r="O41" s="27" t="str">
        <x:v>第1ターミナル展望デッキは成田空港の4000m級A滑走路を見渡せ、長距離国際線機材を観察しやすい。</x:v>
      </x:c>
      <x:c r="P41" s="49" t="e">
        <x:f>HYPERLINK("https://ja.wikipedia.org/wiki/Special:Search?search=%E6%88%90%E7%94%B0%E7%A9%BA%E6%B8%AF%20%E7%AC%AC1%E3%82%BF%E3%83%BC%E3%83%9F%E3%83%8A%E3%83%AB%E5%B1%95%E6%9C%9B%E3%83%87%E3%83%83%E3%82%AD","Wikipedia・関連項目")</x:f>
      </x:c>
      <x:c r="Q41" s="27"/>
    </x:row>
    <x:row r="42">
      <x:c r="A42" s="27" t="str">
        <x:v>D013</x:v>
      </x:c>
      <x:c r="B42" s="27" t="str">
        <x:v>横浜港大さん橋</x:v>
      </x:c>
      <x:c r="C42" s="27" t="str">
        <x:v>横浜市・中区</x:v>
      </x:c>
      <x:c r="D42" s="27" t="str">
        <x:v>港・都市夜景</x:v>
      </x:c>
      <x:c r="E42" s="49" t="e">
        <x:f>HYPERLINK("https://www.google.com/maps/dir/?api=1&amp;destination=%E6%A8%AA%E6%B5%9C%E6%B8%AF%E5%A4%A7%E3%81%95%E3%82%93%E6%A9%8B&amp;travelmode=driving","現在地からナビ開始")</x:f>
      </x:c>
      <x:c r="F42" s="27" t="str">
        <x:v>みなとみらいとベイブリッジを受け止める完成度の高い都市型Ending。</x:v>
      </x:c>
      <x:c r="G42" s="27" t="str">
        <x:v>あり・有料</x:v>
      </x:c>
      <x:c r="H42" s="27" t="str">
        <x:v>駐車場 24時間</x:v>
      </x:c>
      <x:c r="I42" s="27" t="n">
        <x:v>5</x:v>
      </x:c>
      <x:c r="J42" s="27" t="n">
        <x:v>1</x:v>
      </x:c>
      <x:c r="K42" s="27" t="str">
        <x:v>イベント日・客船入港日は混雑。穴場性より確実性重視。</x:v>
      </x:c>
      <x:c r="L42" s="28" t="n">
        <x:v>46232</x:v>
      </x:c>
      <x:c r="M42" s="27" t="str">
        <x:v>一次確認済</x:v>
      </x:c>
      <x:c r="N42" s="27" t="str">
        <x:v>https://osanbashi.jp/</x:v>
      </x:c>
      <x:c r="O42" s="27" t="str">
        <x:v>大さん橋の起源は1894年完成の鉄桟橋で、現在の客船ターミナルは波打つ屋上デッキを持つ建築として評価が高い。</x:v>
      </x:c>
      <x:c r="P42" s="49" t="e">
        <x:f>HYPERLINK("https://ja.wikipedia.org/wiki/Special:Search?search=%E6%A8%AA%E6%B5%9C%E6%B8%AF%E5%A4%A7%E3%81%95%E3%82%93%E6%A9%8B","Wikipedia・関連項目")</x:f>
      </x:c>
      <x:c r="Q42" s="27"/>
    </x:row>
    <x:row r="43">
      <x:c r="A43" s="27" t="str">
        <x:v>D019</x:v>
      </x:c>
      <x:c r="B43" s="27" t="str">
        <x:v>海ほたるPA</x:v>
      </x:c>
      <x:c r="C43" s="27" t="str">
        <x:v>東京湾アクアライン</x:v>
      </x:c>
      <x:c r="D43" s="27" t="str">
        <x:v>海上・夜景・非日常</x:v>
      </x:c>
      <x:c r="E43" s="49" t="e">
        <x:f>HYPERLINK("https://www.google.com/maps/dir/?api=1&amp;destination=%E6%B5%B7%E3%81%BB%E3%81%9F%E3%82%8BPA&amp;travelmode=driving","現在地からナビ開始")</x:f>
      </x:c>
      <x:c r="F43" s="27" t="str">
        <x:v>東京湾中央を最終地点にする非日常性が圧倒的で、深夜にも成立。</x:v>
      </x:c>
      <x:c r="G43" s="27" t="str">
        <x:v>あり・PA</x:v>
      </x:c>
      <x:c r="H43" s="27" t="str">
        <x:v>24時間</x:v>
      </x:c>
      <x:c r="I43" s="27" t="n">
        <x:v>5</x:v>
      </x:c>
      <x:c r="J43" s="27" t="n">
        <x:v>1</x:v>
      </x:c>
      <x:c r="K43" s="27" t="str">
        <x:v>強風・事故・アクアライン規制と通行料金を確認。</x:v>
      </x:c>
      <x:c r="L43" s="28" t="n">
        <x:v>46232</x:v>
      </x:c>
      <x:c r="M43" s="27" t="str">
        <x:v>一次確認済</x:v>
      </x:c>
      <x:c r="N43" s="27" t="str">
        <x:v>https://www.umihotaru.com/</x:v>
      </x:c>
      <x:c r="O43" s="27" t="str">
        <x:v>海ほたるは東京湾上の人工島に造られたPAで、名称は東京湾にも生息する発光性の甲殻類『ウミホタル』に由来する。</x:v>
      </x:c>
      <x:c r="P43" s="49" t="e">
        <x:f>HYPERLINK("https://ja.wikipedia.org/wiki/Special:Search?search=%E6%B5%B7%E3%81%BB%E3%81%9F%E3%82%8BPA","Wikipedia・関連項目")</x:f>
      </x:c>
      <x:c r="Q43" s="27"/>
    </x:row>
    <x:row r="44">
      <x:c r="A44" s="27" t="str">
        <x:v>D104</x:v>
      </x:c>
      <x:c r="B44" s="27" t="str">
        <x:v>殿町緑地</x:v>
      </x:c>
      <x:c r="C44" s="27" t="str">
        <x:v>川崎市・川崎区</x:v>
      </x:c>
      <x:c r="D44" s="27" t="str">
        <x:v>多摩川・飛行機・河川敷</x:v>
      </x:c>
      <x:c r="E44" s="49" t="e">
        <x:f>HYPERLINK("https://www.google.com/maps/dir/?api=1&amp;destination=%E6%AE%BF%E7%94%BA%E7%B7%91%E5%9C%B0&amp;travelmode=driving","現在地からナビ開始")</x:f>
      </x:c>
      <x:c r="F44" s="27" t="str">
        <x:v>羽田空港対岸の多摩川沿いで、橋・航空機・広い空を近距離で味わえる。</x:v>
      </x:c>
      <x:c r="G44" s="27" t="str">
        <x:v>あり・河川敷駐車場</x:v>
      </x:c>
      <x:c r="H44" s="27" t="str">
        <x:v>駐車時間は河川敷駐車場案内を当日確認</x:v>
      </x:c>
      <x:c r="I44" s="27" t="n">
        <x:v>4</x:v>
      </x:c>
      <x:c r="J44" s="27" t="n">
        <x:v>5</x:v>
      </x:c>
      <x:c r="K44" s="27" t="str">
        <x:v>増水・工事・閉鎖時は利用不可。緑地外や堤防上への駐車禁止。</x:v>
      </x:c>
      <x:c r="L44" s="28" t="n">
        <x:v>46232</x:v>
      </x:c>
      <x:c r="M44" s="27" t="str">
        <x:v>当日再確認</x:v>
      </x:c>
      <x:c r="N44" s="27" t="str">
        <x:v>https://www.city.kawasaki.jp/530/page/0000020718.html</x:v>
      </x:c>
      <x:c r="O44" s="27" t="str">
        <x:v>殿町周辺は現在『キングスカイフロント』と呼ばれる研究開発拠点へ変貌し、羽田対岸の国際戦略地区となった。</x:v>
      </x:c>
      <x:c r="P44" s="49" t="e">
        <x:f>HYPERLINK("https://ja.wikipedia.org/wiki/Special:Search?search=%E6%AE%BF%E7%94%BA%E7%B7%91%E5%9C%B0","Wikipedia・関連項目")</x:f>
      </x:c>
      <x:c r="Q44" s="27"/>
    </x:row>
    <x:row r="45">
      <x:c r="A45" s="27" t="str">
        <x:v>D034</x:v>
      </x:c>
      <x:c r="B45" s="27" t="str">
        <x:v>燈明堂緑地</x:v>
      </x:c>
      <x:c r="C45" s="27" t="str">
        <x:v>横須賀市・浦賀</x:v>
      </x:c>
      <x:c r="D45" s="27" t="str">
        <x:v>入り江・歴史・穴場</x:v>
      </x:c>
      <x:c r="E45" s="49" t="e">
        <x:f>HYPERLINK("https://www.google.com/maps/dir/?api=1&amp;destination=%E7%87%88%E6%98%8E%E5%A0%82%E7%B7%91%E5%9C%B0&amp;travelmode=driving","現在地からナビ開始")</x:f>
      </x:c>
      <x:c r="F45" s="27" t="str">
        <x:v>小さな入り江と復元燈明堂が、静かな秘密基地感を作る。</x:v>
      </x:c>
      <x:c r="G45" s="27" t="str">
        <x:v>あり・有料</x:v>
      </x:c>
      <x:c r="H45" s="27" t="str">
        <x:v>入庫 5:00～21:30／以後は出庫のみ</x:v>
      </x:c>
      <x:c r="I45" s="27" t="n">
        <x:v>4</x:v>
      </x:c>
      <x:c r="J45" s="27" t="n">
        <x:v>5</x:v>
      </x:c>
      <x:c r="K45" s="27" t="str">
        <x:v>夜は照明が少ない。生活地域に近いため静粛に。</x:v>
      </x:c>
      <x:c r="L45" s="28" t="n">
        <x:v>46232</x:v>
      </x:c>
      <x:c r="M45" s="27" t="str">
        <x:v>一次確認済</x:v>
      </x:c>
      <x:c r="N45" s="27" t="str">
        <x:v>https://www.city.yokosuka.kanagawa.jp/5560/toumyoudouryokuchi.html</x:v>
      </x:c>
      <x:c r="O45" s="27" t="str">
        <x:v>燈明堂は江戸幕府が1648年に建てた灯台で、菜種油の灯火で浦賀へ入る船を導いた。</x:v>
      </x:c>
      <x:c r="P45" s="49" t="e">
        <x:f>HYPERLINK("https://ja.wikipedia.org/wiki/Special:Search?search=%E7%87%88%E6%98%8E%E5%A0%82%E7%B7%91%E5%9C%B0","Wikipedia・関連項目")</x:f>
      </x:c>
      <x:c r="Q45" s="27"/>
    </x:row>
    <x:row r="46">
      <x:c r="A46" s="27" t="str">
        <x:v>D052</x:v>
      </x:c>
      <x:c r="B46" s="27" t="str">
        <x:v>袖ケ浦海浜公園</x:v>
      </x:c>
      <x:c r="C46" s="27" t="str">
        <x:v>袖ケ浦市・南袖</x:v>
      </x:c>
      <x:c r="D46" s="27" t="str">
        <x:v>工場夜景・海・展望塔</x:v>
      </x:c>
      <x:c r="E46" s="49" t="e">
        <x:f>HYPERLINK("https://www.google.com/maps/dir/?api=1&amp;destination=%E8%A2%96%E3%82%B1%E6%B5%A6%E6%B5%B7%E6%B5%9C%E5%85%AC%E5%9C%92&amp;travelmode=driving","現在地からナビ開始")</x:f>
      </x:c>
      <x:c r="F46" s="27" t="str">
        <x:v>海沿いの展望塔から東京湾と対岸、工業地帯を見渡せる房総側の工場夜景Ending。</x:v>
      </x:c>
      <x:c r="G46" s="27" t="str">
        <x:v>あり・無料</x:v>
      </x:c>
      <x:c r="H46" s="27" t="str">
        <x:v>駐車場利用時間は当日公式・現地掲示で確認</x:v>
      </x:c>
      <x:c r="I46" s="27" t="n">
        <x:v>4</x:v>
      </x:c>
      <x:c r="J46" s="27" t="n">
        <x:v>5</x:v>
      </x:c>
      <x:c r="K46" s="27" t="str">
        <x:v>公式ページで恒常的な駐車時間が明瞭でない。強風時と夜間の展望塔に注意。</x:v>
      </x:c>
      <x:c r="L46" s="28" t="n">
        <x:v>46232</x:v>
      </x:c>
      <x:c r="M46" s="27" t="str">
        <x:v>当日再確認</x:v>
      </x:c>
      <x:c r="N46" s="27" t="str">
        <x:v>https://www.city.sodegaura.lg.jp/soshiki/toshi/kaihinkouen.html</x:v>
      </x:c>
      <x:c r="O46" s="27" t="str">
        <x:v>袖ケ浦の海岸部は京葉工業地域の一角で、石油・化学・エネルギー施設が東京湾岸に連続する。</x:v>
      </x:c>
      <x:c r="P46" s="49" t="e">
        <x:f>HYPERLINK("https://ja.wikipedia.org/wiki/Special:Search?search=%E8%A2%96%E3%82%B1%E6%B5%A6%E6%B5%B7%E6%B5%9C%E5%85%AC%E5%9C%92","Wikipedia・関連項目")</x:f>
      </x:c>
      <x:c r="Q46" s="27"/>
    </x:row>
    <x:row r="47">
      <x:c r="A47" s="27" t="str">
        <x:v>D219</x:v>
      </x:c>
      <x:c r="B47" s="27" t="str">
        <x:v>ぼうさいの丘公園</x:v>
      </x:c>
      <x:c r="C47" s="27" t="str">
        <x:v>厚木市・温水</x:v>
      </x:c>
      <x:c r="D47" s="27" t="str">
        <x:v>高台・防災・丹沢展望</x:v>
      </x:c>
      <x:c r="E47" s="49" t="e">
        <x:f>HYPERLINK("https://www.google.com/maps/dir/?api=1&amp;destination=%E3%81%BC%E3%81%86%E3%81%95%E3%81%84%E3%81%AE%E4%B8%98%E5%85%AC%E5%9C%92&amp;travelmode=driving","現在地からナビ開始")</x:f>
      </x:c>
      <x:c r="F47" s="27" t="str">
        <x:v>丹沢・大山を望む高台が、災害時には避難地とヘリポートへ変わる二重機能を持つ。</x:v>
      </x:c>
      <x:c r="G47" s="27" t="str">
        <x:v>あり・350台・無料</x:v>
      </x:c>
      <x:c r="H47" s="27" t="str">
        <x:v>9:00～21:00</x:v>
      </x:c>
      <x:c r="I47" s="27" t="n">
        <x:v>4</x:v>
      </x:c>
      <x:c r="J47" s="27" t="n">
        <x:v>4</x:v>
      </x:c>
      <x:c r="K47" s="27" t="str">
        <x:v>21時閉場。熱中症アラート時は遊具休止あり。災害対応・イベント時は利用制限。</x:v>
      </x:c>
      <x:c r="L47" s="28" t="n">
        <x:v>46232</x:v>
      </x:c>
      <x:c r="M47" s="27" t="str">
        <x:v>一次確認済</x:v>
      </x:c>
      <x:c r="N47" s="27" t="str">
        <x:v>https://www.atsugi-midori.jp/park/bosai/</x:v>
      </x:c>
      <x:c r="O47" s="27" t="str">
        <x:v>約2万人を受け入れる広域避難場所として、生活用水になる流れ、備蓄、防災設備、ヘリポートを備える。</x:v>
      </x:c>
      <x:c r="P47" s="49" t="e">
        <x:f>HYPERLINK("https://ja.wikipedia.org/wiki/Special:Search?search=%E3%81%BC%E3%81%86%E3%81%95%E3%81%84%E3%81%AE%E4%B8%98%E5%85%AC%E5%9C%92","Wikipedia・関連項目")</x:f>
      </x:c>
      <x:c r="Q47" s="27" t="str">
        <x:v>新規追加。夜まで利用できる防災Storyの高台Ending。</x:v>
      </x:c>
    </x:row>
    <x:row r="48">
      <x:c r="A48" s="27" t="str">
        <x:v>D048</x:v>
      </x:c>
      <x:c r="B48" s="27" t="str">
        <x:v>みさと公園</x:v>
      </x:c>
      <x:c r="C48" s="27" t="str">
        <x:v>三郷市・高州</x:v>
      </x:c>
      <x:c r="D48" s="27" t="str">
        <x:v>水辺・公園・展望</x:v>
      </x:c>
      <x:c r="E48" s="49" t="e">
        <x:f>HYPERLINK("https://www.google.com/maps/dir/?api=1&amp;destination=%E3%81%BF%E3%81%95%E3%81%A8%E5%85%AC%E5%9C%92&amp;travelmode=driving","現在地からナビ開始")</x:f>
      </x:c>
      <x:c r="F48" s="27" t="str">
        <x:v>水元公園と向かい合う水辺空間で、池越しの緑と展望台を楽しめる。</x:v>
      </x:c>
      <x:c r="G48" s="27" t="str">
        <x:v>あり・有料</x:v>
      </x:c>
      <x:c r="H48" s="27" t="str">
        <x:v>第2駐車場 24時間</x:v>
      </x:c>
      <x:c r="I48" s="27" t="n">
        <x:v>4</x:v>
      </x:c>
      <x:c r="J48" s="27" t="n">
        <x:v>4</x:v>
      </x:c>
      <x:c r="K48" s="27" t="str">
        <x:v>第1駐車場は季節時間制。夜は第2駐車場利用を前提にする。</x:v>
      </x:c>
      <x:c r="L48" s="28" t="n">
        <x:v>46232</x:v>
      </x:c>
      <x:c r="M48" s="27" t="str">
        <x:v>一次確認済</x:v>
      </x:c>
      <x:c r="N48" s="27" t="str">
        <x:v>https://www.seibu-la.co.jp/misato-yoshikawa/facility/misato.html</x:v>
      </x:c>
      <x:c r="O48" s="27" t="str">
        <x:v>みさと公園と水元公園は小合溜を挟んで向かい合い、県境を越えて一つの水郷景観を形成する。</x:v>
      </x:c>
      <x:c r="P48" s="49" t="e">
        <x:f>HYPERLINK("https://ja.wikipedia.org/wiki/Special:Search?search=%E3%81%BF%E3%81%95%E3%81%A8%E5%85%AC%E5%9C%92","Wikipedia・関連項目")</x:f>
      </x:c>
      <x:c r="Q48" s="27"/>
    </x:row>
    <x:row r="49">
      <x:c r="A49" s="27" t="str">
        <x:v>D087</x:v>
      </x:c>
      <x:c r="B49" s="27" t="str">
        <x:v>中の島公園・中の島大橋</x:v>
      </x:c>
      <x:c r="C49" s="27" t="str">
        <x:v>木更津市・中の島</x:v>
      </x:c>
      <x:c r="D49" s="27" t="str">
        <x:v>港・橋・夕景</x:v>
      </x:c>
      <x:c r="E49" s="49" t="e">
        <x:f>HYPERLINK("https://www.google.com/maps/dir/?api=1&amp;destination=%E4%B8%AD%E3%81%AE%E5%B3%B6%E5%85%AC%E5%9C%92%E3%83%BB%E4%B8%AD%E3%81%AE%E5%B3%B6%E5%A4%A7%E6%A9%8B&amp;travelmode=driving","現在地からナビ開始")</x:f>
      </x:c>
      <x:c r="F49" s="27" t="str">
        <x:v>木更津港の歩道橋を渡る到達感があり、夕焼けと港を眺める海辺Endingになる。</x:v>
      </x:c>
      <x:c r="G49" s="27" t="str">
        <x:v>あり・海浜公園約100台</x:v>
      </x:c>
      <x:c r="H49" s="27" t="str">
        <x:v>公園 常時開設／橋は工事による期間閉鎖あり</x:v>
      </x:c>
      <x:c r="I49" s="27" t="n">
        <x:v>4</x:v>
      </x:c>
      <x:c r="J49" s="27" t="n">
        <x:v>4</x:v>
      </x:c>
      <x:c r="K49" s="27" t="str">
        <x:v>中の島大橋は2026-02-21に通行再開。2026年10月頃～2027年2月頃に再度通行止め予定。出発前に確認。</x:v>
      </x:c>
      <x:c r="L49" s="28" t="n">
        <x:v>46232</x:v>
      </x:c>
      <x:c r="M49" s="27" t="str">
        <x:v>当日再確認</x:v>
      </x:c>
      <x:c r="N49" s="27" t="str">
        <x:v>https://www.city.kisarazu.lg.jp/kurashi/shisetsuannai/koen/6616.html</x:v>
      </x:c>
      <x:c r="O49" s="27" t="str">
        <x:v>中の島大橋は高さ27m・長さ236mの歩道橋で、木更津港の象徴。恋人を背負って渡る物語も地域観光に定着した。</x:v>
      </x:c>
      <x:c r="P49" s="49" t="e">
        <x:f>HYPERLINK("https://ja.wikipedia.org/wiki/Special:Search?search=%E4%B8%AD%E3%81%AE%E5%B3%B6%E5%85%AC%E5%9C%92%E3%83%BB%E4%B8%AD%E3%81%AE%E5%B3%B6%E5%A4%A7%E6%A9%8B","Wikipedia・関連項目")</x:f>
      </x:c>
      <x:c r="Q49" s="27" t="str">
        <x:v>2026-07-29更新：橋の再開と次期工事予定を反映。</x:v>
      </x:c>
    </x:row>
    <x:row r="50">
      <x:c r="A50" s="27" t="str">
        <x:v>D001</x:v>
      </x:c>
      <x:c r="B50" s="27" t="str">
        <x:v>城南島海浜公園</x:v>
      </x:c>
      <x:c r="C50" s="27" t="str">
        <x:v>大田区・城南島</x:v>
      </x:c>
      <x:c r="D50" s="27" t="str">
        <x:v>飛行機・海・港</x:v>
      </x:c>
      <x:c r="E50" s="49" t="e">
        <x:f>HYPERLINK("https://www.google.com/maps/dir/?api=1&amp;destination=%E5%9F%8E%E5%8D%97%E5%B3%B6%E6%B5%B7%E6%B5%9C%E5%85%AC%E5%9C%92&amp;travelmode=driving","現在地からナビ開始")</x:f>
      </x:c>
      <x:c r="F50" s="27" t="str">
        <x:v>羽田の航空機、東京湾、コンテナ港を同時に味わえる大田区起点の基準Ending。</x:v>
      </x:c>
      <x:c r="G50" s="27" t="str">
        <x:v>あり・有料</x:v>
      </x:c>
      <x:c r="H50" s="27" t="str">
        <x:v>駐車場 7:30～21:00</x:v>
      </x:c>
      <x:c r="I50" s="27" t="n">
        <x:v>4</x:v>
      </x:c>
      <x:c r="J50" s="27" t="n">
        <x:v>4</x:v>
      </x:c>
      <x:c r="K50" s="27" t="str">
        <x:v>21時以降は入出庫不可。臨時閉鎖と高さ制限を当日確認。</x:v>
      </x:c>
      <x:c r="L50" s="28" t="n">
        <x:v>46232</x:v>
      </x:c>
      <x:c r="M50" s="27" t="str">
        <x:v>一次確認済</x:v>
      </x:c>
      <x:c r="N50" s="27" t="str">
        <x:v>https://tokyo-south-seaside-parks.com/jonanjima/</x:v>
      </x:c>
      <x:c r="O50" s="27" t="str">
        <x:v>城南島は東京湾を埋め立てて造られた人工島で、大井ふ頭の物流機能を補う工業・港湾地区として整備された。</x:v>
      </x:c>
      <x:c r="P50" s="49" t="e">
        <x:f>HYPERLINK("https://ja.wikipedia.org/wiki/Special:Search?search=%E5%9F%8E%E5%8D%97%E5%B3%B6%E6%B5%B7%E6%B5%9C%E5%85%AC%E5%9C%92","Wikipedia・関連項目")</x:f>
      </x:c>
      <x:c r="Q50" s="27"/>
    </x:row>
    <x:row r="51">
      <x:c r="A51" s="27" t="str">
        <x:v>D103</x:v>
      </x:c>
      <x:c r="B51" s="27" t="str">
        <x:v>夢見ヶ崎動物公園</x:v>
      </x:c>
      <x:c r="C51" s="27" t="str">
        <x:v>川崎市・幸区</x:v>
      </x:c>
      <x:c r="D51" s="27" t="str">
        <x:v>高台・動物公園・夜景</x:v>
      </x:c>
      <x:c r="E51" s="49" t="e">
        <x:f>HYPERLINK("https://www.google.com/maps/dir/?api=1&amp;destination=%E5%A4%A2%E8%A6%8B%E3%83%B6%E5%B4%8E%E5%8B%95%E7%89%A9%E5%85%AC%E5%9C%92&amp;travelmode=driving","現在地からナビ開始")</x:f>
      </x:c>
      <x:c r="F51" s="27" t="str">
        <x:v>小高い丘の展望広場から住宅地の灯りを眺められ、近距離の静かな夜景Endingになる。</x:v>
      </x:c>
      <x:c r="G51" s="27" t="str">
        <x:v>あり・小規模</x:v>
      </x:c>
      <x:c r="H51" s="27" t="str">
        <x:v>公園は常時利用可、駐車場は現地掲示優先</x:v>
      </x:c>
      <x:c r="I51" s="27" t="n">
        <x:v>4</x:v>
      </x:c>
      <x:c r="J51" s="27" t="n">
        <x:v>4</x:v>
      </x:c>
      <x:c r="K51" s="27" t="str">
        <x:v>夜間は動物舎周辺へ近づかず、近隣住宅へ配慮。</x:v>
      </x:c>
      <x:c r="L51" s="28" t="n">
        <x:v>46232</x:v>
      </x:c>
      <x:c r="M51" s="27" t="str">
        <x:v>当日再確認</x:v>
      </x:c>
      <x:c r="N51" s="27" t="str">
        <x:v>https://www.city.kawasaki.jp/530/page/0000063423.html</x:v>
      </x:c>
      <x:c r="O51" s="27" t="str">
        <x:v>夢見ヶ崎の名は、太田道灌が城を築こうとした際に不吉な夢を見て断念したという伝説に由来する。</x:v>
      </x:c>
      <x:c r="P51" s="49" t="e">
        <x:f>HYPERLINK("https://ja.wikipedia.org/wiki/Special:Search?search=%E5%A4%A2%E8%A6%8B%E3%83%B6%E5%B4%8E%E5%8B%95%E7%89%A9%E5%85%AC%E5%9C%92","Wikipedia・関連項目")</x:f>
      </x:c>
      <x:c r="Q51" s="27"/>
    </x:row>
    <x:row r="52">
      <x:c r="A52" s="27" t="str">
        <x:v>D064</x:v>
      </x:c>
      <x:c r="B52" s="27" t="str">
        <x:v>大井PA（東行き）</x:v>
      </x:c>
      <x:c r="C52" s="27" t="str">
        <x:v>品川区・八潮</x:v>
      </x:c>
      <x:c r="D52" s="27" t="str">
        <x:v>PA・湾岸・近距離休憩</x:v>
      </x:c>
      <x:c r="E52" s="49" t="e">
        <x:f>HYPERLINK("https://www.google.com/maps/dir/?api=1&amp;destination=%E5%A4%A7%E4%BA%95PA%EF%BC%88%E6%9D%B1%E8%A1%8C%E3%81%8D%EF%BC%89&amp;travelmode=driving","現在地からナビ開始")</x:f>
      </x:c>
      <x:c r="F52" s="27" t="str">
        <x:v>大田区から近く、短時間だけ湾岸を走りたい夜のミニマムEndingになる。</x:v>
      </x:c>
      <x:c r="G52" s="27" t="str">
        <x:v>あり・普通車19台</x:v>
      </x:c>
      <x:c r="H52" s="27" t="str">
        <x:v>原則24時間、工事閉鎖あり</x:v>
      </x:c>
      <x:c r="I52" s="27" t="n">
        <x:v>4</x:v>
      </x:c>
      <x:c r="J52" s="27" t="n">
        <x:v>4</x:v>
      </x:c>
      <x:c r="K52" s="27" t="str">
        <x:v>東行き専用で進行方向制約あり。工事情報を確認。</x:v>
      </x:c>
      <x:c r="L52" s="28" t="n">
        <x:v>46232</x:v>
      </x:c>
      <x:c r="M52" s="27" t="str">
        <x:v>当日再確認</x:v>
      </x:c>
      <x:c r="N52" s="27" t="str">
        <x:v>https://www.shutoko-sv.jp/pa/oi-eastbound</x:v>
      </x:c>
      <x:c r="O52" s="27" t="str">
        <x:v>大井PA周辺の八潮・大井ふ頭は東京港の主要物流拠点で、巨大な倉庫・コンテナ施設が集まる。</x:v>
      </x:c>
      <x:c r="P52" s="49" t="e">
        <x:f>HYPERLINK("https://ja.wikipedia.org/wiki/Special:Search?search=%E5%A4%A7%E4%BA%95PA%EF%BC%88%E6%9D%B1%E8%A1%8C%E3%81%8D%EF%BC%89","Wikipedia・関連項目")</x:f>
      </x:c>
      <x:c r="Q52" s="27"/>
    </x:row>
    <x:row r="53">
      <x:c r="A53" s="27" t="str">
        <x:v>D096</x:v>
      </x:c>
      <x:c r="B53" s="27" t="str">
        <x:v>大島小松川公園</x:v>
      </x:c>
      <x:c r="C53" s="27" t="str">
        <x:v>江戸川区・小松川</x:v>
      </x:c>
      <x:c r="D53" s="27" t="str">
        <x:v>河川・高台・夜間公園</x:v>
      </x:c>
      <x:c r="E53" s="49" t="e">
        <x:f>HYPERLINK("https://www.google.com/maps/dir/?api=1&amp;destination=%E5%A4%A7%E5%B3%B6%E5%B0%8F%E6%9D%BE%E5%B7%9D%E5%85%AC%E5%9C%92&amp;travelmode=driving","現在地からナビ開始")</x:f>
      </x:c>
      <x:c r="F53" s="27" t="str">
        <x:v>旧中川と荒川に挟まれた高台公園で、都心東側を静かに終える24時間候補になる。</x:v>
      </x:c>
      <x:c r="G53" s="27" t="str">
        <x:v>あり・97台・有料</x:v>
      </x:c>
      <x:c r="H53" s="27" t="str">
        <x:v>駐車場 24時間</x:v>
      </x:c>
      <x:c r="I53" s="27" t="n">
        <x:v>4</x:v>
      </x:c>
      <x:c r="J53" s="27" t="n">
        <x:v>4</x:v>
      </x:c>
      <x:c r="K53" s="27" t="str">
        <x:v>夜は暗い区域を避ける。公道での入庫待ち・騒音行為は禁止。</x:v>
      </x:c>
      <x:c r="L53" s="28" t="n">
        <x:v>46232</x:v>
      </x:c>
      <x:c r="M53" s="27" t="str">
        <x:v>一次確認済</x:v>
      </x:c>
      <x:c r="N53" s="27" t="str">
        <x:v>https://www.tokyo-park.or.jp/park/ojima-komatsugawa/index.html</x:v>
      </x:c>
      <x:c r="O53" s="27" t="str">
        <x:v>大島小松川公園は荒川と旧中川に挟まれた防災拠点で、災害時には避難・救援空間として機能する。</x:v>
      </x:c>
      <x:c r="P53" s="49" t="e">
        <x:f>HYPERLINK("https://ja.wikipedia.org/wiki/Special:Search?search=%E5%A4%A7%E5%B3%B6%E5%B0%8F%E6%9D%BE%E5%B7%9D%E5%85%AC%E5%9C%92","Wikipedia・関連項目")</x:f>
      </x:c>
      <x:c r="Q53" s="27"/>
    </x:row>
    <x:row r="54">
      <x:c r="A54" s="27" t="str">
        <x:v>D066</x:v>
      </x:c>
      <x:c r="B54" s="27" t="str">
        <x:v>太田山公園</x:v>
      </x:c>
      <x:c r="C54" s="27" t="str">
        <x:v>木更津市・太田</x:v>
      </x:c>
      <x:c r="D54" s="27" t="str">
        <x:v>高台・港町・展望塔</x:v>
      </x:c>
      <x:c r="E54" s="49" t="e">
        <x:f>HYPERLINK("https://www.google.com/maps/dir/?api=1&amp;destination=%E5%A4%AA%E7%94%B0%E5%B1%B1%E5%85%AC%E5%9C%92&amp;travelmode=driving","現在地からナビ開始")</x:f>
      </x:c>
      <x:c r="F54" s="27" t="str">
        <x:v>きみさらずタワーから木更津市街と東京湾方向を見渡し、アクアライン後の高台Endingになる。</x:v>
      </x:c>
      <x:c r="G54" s="27" t="str">
        <x:v>あり・68台</x:v>
      </x:c>
      <x:c r="H54" s="27" t="str">
        <x:v>公園 常時開設</x:v>
      </x:c>
      <x:c r="I54" s="27" t="n">
        <x:v>4</x:v>
      </x:c>
      <x:c r="J54" s="27" t="n">
        <x:v>4</x:v>
      </x:c>
      <x:c r="K54" s="27" t="str">
        <x:v>夜は園内照明と展望塔利用状況を現地確認。住宅地に配慮。</x:v>
      </x:c>
      <x:c r="L54" s="28" t="n">
        <x:v>46232</x:v>
      </x:c>
      <x:c r="M54" s="27" t="str">
        <x:v>一次確認済</x:v>
      </x:c>
      <x:c r="N54" s="27" t="str">
        <x:v>https://www.city.kisarazu.lg.jp/soshiki/toshiseibi/shigaichiseibi/1/park/2596.html</x:v>
      </x:c>
      <x:c r="O54" s="27" t="str">
        <x:v>太田山の『きみさらずタワー』は日本武尊と弟橘媛の伝説を表し、木更津の地名伝承にもつながる。</x:v>
      </x:c>
      <x:c r="P54" s="49" t="e">
        <x:f>HYPERLINK("https://ja.wikipedia.org/wiki/Special:Search?search=%E5%A4%AA%E7%94%B0%E5%B1%B1%E5%85%AC%E5%9C%92","Wikipedia・関連項目")</x:f>
      </x:c>
      <x:c r="Q54" s="27"/>
    </x:row>
    <x:row r="55">
      <x:c r="A55" s="27" t="str">
        <x:v>D111</x:v>
      </x:c>
      <x:c r="B55" s="27" t="str">
        <x:v>太田山公園</x:v>
      </x:c>
      <x:c r="C55" s="27" t="str">
        <x:v>木更津市・太田</x:v>
      </x:c>
      <x:c r="D55" s="27" t="str">
        <x:v>高台・展望塔・Story</x:v>
      </x:c>
      <x:c r="E55" s="49" t="e">
        <x:f>HYPERLINK("https://www.google.com/maps/dir/?api=1&amp;destination=%E5%A4%AA%E7%94%B0%E5%B1%B1%E5%85%AC%E5%9C%92&amp;travelmode=driving","現在地からナビ開始")</x:f>
      </x:c>
      <x:c r="F55" s="27" t="str">
        <x:v>木更津市街と東京湾を望む高台で、きみさらずタワーの物語性もある。</x:v>
      </x:c>
      <x:c r="G55" s="27" t="str">
        <x:v>あり・68台</x:v>
      </x:c>
      <x:c r="H55" s="27" t="str">
        <x:v>公園 常時開設</x:v>
      </x:c>
      <x:c r="I55" s="27" t="n">
        <x:v>4</x:v>
      </x:c>
      <x:c r="J55" s="27" t="n">
        <x:v>4</x:v>
      </x:c>
      <x:c r="K55" s="27" t="str">
        <x:v>夜間は展望塔周辺の足元に注意。桜期は混雑。</x:v>
      </x:c>
      <x:c r="L55" s="28" t="n">
        <x:v>46232</x:v>
      </x:c>
      <x:c r="M55" s="27" t="str">
        <x:v>一次確認済</x:v>
      </x:c>
      <x:c r="N55" s="27" t="str">
        <x:v>https://www.city.kisarazu.lg.jp/soshiki/toshiseibi/shigaichiseibi/1/park/2596.html</x:v>
      </x:c>
      <x:c r="O55" s="27" t="str">
        <x:v>太田山公園の名称と塔は、日本武尊が弟橘媛を偲んだ『君去らず』伝説を物語化している。</x:v>
      </x:c>
      <x:c r="P55" s="49" t="e">
        <x:f>HYPERLINK("https://ja.wikipedia.org/wiki/Special:Search?search=%E5%A4%AA%E7%94%B0%E5%B1%B1%E5%85%AC%E5%9C%92","Wikipedia・関連項目")</x:f>
      </x:c>
      <x:c r="Q55" s="27"/>
    </x:row>
    <x:row r="56">
      <x:c r="A56" s="27" t="str">
        <x:v>D065</x:v>
      </x:c>
      <x:c r="B56" s="27" t="str">
        <x:v>平和島PA（上り）</x:v>
      </x:c>
      <x:c r="C56" s="27" t="str">
        <x:v>大田区・平和島</x:v>
      </x:c>
      <x:c r="D56" s="27" t="str">
        <x:v>PA・近距離・夜間休憩</x:v>
      </x:c>
      <x:c r="E56" s="49" t="e">
        <x:f>HYPERLINK("https://www.google.com/maps/dir/?api=1&amp;destination=%E5%B9%B3%E5%92%8C%E5%B3%B6PA%EF%BC%88%E4%B8%8A%E3%82%8A%EF%BC%89&amp;travelmode=driving","現在地からナビ開始")</x:f>
      </x:c>
      <x:c r="F56" s="27" t="str">
        <x:v>大田区内で最短の首都高体験を作れ、出発後すぐに気分転換したい夜に使える。</x:v>
      </x:c>
      <x:c r="G56" s="27" t="str">
        <x:v>あり・首都高PA</x:v>
      </x:c>
      <x:c r="H56" s="27" t="str">
        <x:v>原則24時間、工事閉鎖あり</x:v>
      </x:c>
      <x:c r="I56" s="27" t="n">
        <x:v>4</x:v>
      </x:c>
      <x:c r="J56" s="27" t="n">
        <x:v>4</x:v>
      </x:c>
      <x:c r="K56" s="27" t="str">
        <x:v>上り線専用。短時間休憩に限定し、周回目的の走行はしない。</x:v>
      </x:c>
      <x:c r="L56" s="28" t="n">
        <x:v>46232</x:v>
      </x:c>
      <x:c r="M56" s="27" t="str">
        <x:v>当日再確認</x:v>
      </x:c>
      <x:c r="N56" s="27" t="str">
        <x:v>https://www.shutoko-sv.jp/pa/heiwajima-up</x:v>
      </x:c>
      <x:c r="O56" s="27" t="str">
        <x:v>平和島は昭和期に造成された人工島で、『平和』を願う名称が町名として採用された。</x:v>
      </x:c>
      <x:c r="P56" s="49" t="e">
        <x:f>HYPERLINK("https://ja.wikipedia.org/wiki/Special:Search?search=%E5%B9%B3%E5%92%8C%E5%B3%B6PA%EF%BC%88%E4%B8%8A%E3%82%8A%EF%BC%89","Wikipedia・関連項目")</x:f>
      </x:c>
      <x:c r="Q56" s="27"/>
    </x:row>
    <x:row r="57">
      <x:c r="A57" s="27" t="str">
        <x:v>D027</x:v>
      </x:c>
      <x:c r="B57" s="27" t="str">
        <x:v>本牧山頂公園</x:v>
      </x:c>
      <x:c r="C57" s="27" t="str">
        <x:v>横浜市・本牧</x:v>
      </x:c>
      <x:c r="D57" s="27" t="str">
        <x:v>高台・芝生・夜景</x:v>
      </x:c>
      <x:c r="E57" s="49" t="e">
        <x:f>HYPERLINK("https://www.google.com/maps/dir/?api=1&amp;destination=%E6%9C%AC%E7%89%A7%E5%B1%B1%E9%A0%82%E5%85%AC%E5%9C%92&amp;travelmode=driving","現在地からナビ開始")</x:f>
      </x:c>
      <x:c r="F57" s="27" t="str">
        <x:v>本牧の尾根上を歩き、港湾都市を静かな高台から眺められる。</x:v>
      </x:c>
      <x:c r="G57" s="27" t="str">
        <x:v>あり・有料</x:v>
      </x:c>
      <x:c r="H57" s="27" t="str">
        <x:v>駐車場 24時間</x:v>
      </x:c>
      <x:c r="I57" s="27" t="n">
        <x:v>4</x:v>
      </x:c>
      <x:c r="J57" s="27" t="n">
        <x:v>4</x:v>
      </x:c>
      <x:c r="K57" s="27" t="str">
        <x:v>園内が広く暗い区域もある。単独深夜は主要園路に限定。</x:v>
      </x:c>
      <x:c r="L57" s="28" t="n">
        <x:v>46232</x:v>
      </x:c>
      <x:c r="M57" s="27" t="str">
        <x:v>一次確認済</x:v>
      </x:c>
      <x:c r="N57" s="27" t="str">
        <x:v>https://sancho-yokohamaueki.com/guide/</x:v>
      </x:c>
      <x:c r="O57" s="27" t="str">
        <x:v>本牧は戦後長く米軍住宅地が置かれた地域で、返還後の再開発が現在の街並みを形作った。</x:v>
      </x:c>
      <x:c r="P57" s="49" t="e">
        <x:f>HYPERLINK("https://ja.wikipedia.org/wiki/Special:Search?search=%E6%9C%AC%E7%89%A7%E5%B1%B1%E9%A0%82%E5%85%AC%E5%9C%92","Wikipedia・関連項目")</x:f>
      </x:c>
      <x:c r="Q57" s="27"/>
    </x:row>
    <x:row r="58">
      <x:c r="A58" s="27" t="str">
        <x:v>D257</x:v>
      </x:c>
      <x:c r="B58" s="27" t="str">
        <x:v>東扇島中公園</x:v>
      </x:c>
      <x:c r="C58" s="27" t="str">
        <x:v>川崎市川崎区・東扇島</x:v>
      </x:c>
      <x:c r="D58" s="27" t="str">
        <x:v>芝生・港湾休憩・共有駐車</x:v>
      </x:c>
      <x:c r="E58" s="49" t="e">
        <x:f>HYPERLINK("https://www.google.com/maps/dir/?api=1&amp;destination=%E6%9D%B1%E6%89%87%E5%B3%B6%E4%B8%AD%E5%85%AC%E5%9C%92&amp;travelmode=driving","現在地からナビ開始")</x:f>
      </x:c>
      <x:c r="F58" s="27" t="str">
        <x:v>川崎マリエンに隣接し、芝生・港湾の空・休憩を短時間で取り込める。マリエンと1回の駐車で組み合わせられる。</x:v>
      </x:c>
      <x:c r="G58" s="27" t="str">
        <x:v>川崎マリエン駐車場を共用・有料</x:v>
      </x:c>
      <x:c r="H58" s="27" t="str">
        <x:v>公園24時間／駐車場22:30～6:00は入出場に一部制限</x:v>
      </x:c>
      <x:c r="I58" s="27" t="n">
        <x:v>4</x:v>
      </x:c>
      <x:c r="J58" s="27" t="n">
        <x:v>4</x:v>
      </x:c>
      <x:c r="K58" s="27" t="str">
        <x:v>深夜は駐車場の入出場制限を確認。公園単独で再駐車せず、川崎マリエンとの徒歩連結を基本とする。</x:v>
      </x:c>
      <x:c r="L58" s="28" t="n">
        <x:v>46232</x:v>
      </x:c>
      <x:c r="M58" s="27" t="str">
        <x:v>一次確認済</x:v>
      </x:c>
      <x:c r="N58" s="27" t="str">
        <x:v>https://www.city.kawasaki.jp/580/page/0000041705.html</x:v>
      </x:c>
      <x:c r="O58" s="27" t="str">
        <x:v>川崎マリエンに隣接する港湾公園で、芝生広場、バーベキュー場、キャンプサイトを備える。</x:v>
      </x:c>
      <x:c r="P58" s="49" t="e">
        <x:f>HYPERLINK("https://ja.wikipedia.org/wiki/Special:Search?search=%E6%9D%B1%E6%89%87%E5%B3%B6%E4%B8%AD%E5%85%AC%E5%9C%92","Wikipedia・関連項目")</x:f>
      </x:c>
      <x:c r="Q58" s="27" t="str">
        <x:v>近距離代替経由地プール追加</x:v>
      </x:c>
    </x:row>
    <x:row r="59">
      <x:c r="A59" s="27" t="str">
        <x:v>D044</x:v>
      </x:c>
      <x:c r="B59" s="27" t="str">
        <x:v>桜ヶ丘公園 ゆうひの丘</x:v>
      </x:c>
      <x:c r="C59" s="27" t="str">
        <x:v>多摩市・連光寺</x:v>
      </x:c>
      <x:c r="D59" s="27" t="str">
        <x:v>高台・夕景・夜景</x:v>
      </x:c>
      <x:c r="E59" s="49" t="e">
        <x:f>HYPERLINK("https://www.google.com/maps/dir/?api=1&amp;destination=%E6%A1%9C%E3%83%B6%E4%B8%98%E5%85%AC%E5%9C%92%20%E3%82%86%E3%81%86%E3%81%B2%E3%81%AE%E4%B8%98&amp;travelmode=driving","現在地からナビ開始")</x:f>
      </x:c>
      <x:c r="F59" s="27" t="str">
        <x:v>多摩丘陵から市街地を見下ろす夕景が強く、都心湾岸とは別系統の高台Endingになる。</x:v>
      </x:c>
      <x:c r="G59" s="27" t="str">
        <x:v>あり・無料・約38台</x:v>
      </x:c>
      <x:c r="H59" s="27" t="str">
        <x:v>ゆうひの丘側 8:45～20:00</x:v>
      </x:c>
      <x:c r="I59" s="27" t="n">
        <x:v>4</x:v>
      </x:c>
      <x:c r="J59" s="27" t="n">
        <x:v>4</x:v>
      </x:c>
      <x:c r="K59" s="27" t="str">
        <x:v>20時に夜間閉鎖。台数が少なく、公道での入庫待ちは不可。</x:v>
      </x:c>
      <x:c r="L59" s="28" t="n">
        <x:v>46232</x:v>
      </x:c>
      <x:c r="M59" s="27" t="str">
        <x:v>一次確認済</x:v>
      </x:c>
      <x:c r="N59" s="27" t="str">
        <x:v>https://www.tokyo-park.or.jp/park/sakuragaoka/index.html</x:v>
      </x:c>
      <x:c r="O59" s="27" t="str">
        <x:v>ゆうひの丘は多摩丘陵の高低差を生かした展望地で、テレビドラマや映像作品のロケ地としても使われてきた。</x:v>
      </x:c>
      <x:c r="P59" s="49" t="e">
        <x:f>HYPERLINK("https://ja.wikipedia.org/wiki/Special:Search?search=%E6%A1%9C%E3%83%B6%E4%B8%98%E5%85%AC%E5%9C%92%20%E3%82%86%E3%81%86%E3%81%B2%E3%81%AE%E4%B8%98","Wikipedia・関連項目")</x:f>
      </x:c>
      <x:c r="Q59" s="27"/>
    </x:row>
    <x:row r="60">
      <x:c r="A60" s="27" t="str">
        <x:v>D243</x:v>
      </x:c>
      <x:c r="B60" s="27" t="str">
        <x:v>森ケ崎公園</x:v>
      </x:c>
      <x:c r="C60" s="27" t="str">
        <x:v>大田区・大森南</x:v>
      </x:c>
      <x:c r="D60" s="27" t="str">
        <x:v>屋上公園・飛行機・富士山</x:v>
      </x:c>
      <x:c r="E60" s="49" t="e">
        <x:f>HYPERLINK("https://www.google.com/maps/dir/?api=1&amp;destination=%E6%A3%AE%E3%82%B1%E5%B4%8E%E5%85%AC%E5%9C%92&amp;travelmode=driving","現在地からナビ開始")</x:f>
      </x:c>
      <x:c r="F60" s="27" t="str">
        <x:v>水再生センター屋上という特殊な立地から、羽田空港と富士山方向を望める。近いのに地上から切り離された感覚がある。</x:v>
      </x:c>
      <x:c r="G60" s="27" t="str">
        <x:v>あり・47台・30分100円</x:v>
      </x:c>
      <x:c r="H60" s="27" t="str">
        <x:v>4～11月・2～3月 6:30～21:30／12～1月 7:30～20:30</x:v>
      </x:c>
      <x:c r="I60" s="27" t="n">
        <x:v>4</x:v>
      </x:c>
      <x:c r="J60" s="27" t="n">
        <x:v>4</x:v>
      </x:c>
      <x:c r="K60" s="27" t="str">
        <x:v>利用時間外は入出庫不可。土日祝は入場待ちが発生しやすく、急ぐ場合は近隣民間駐車場へ切替。</x:v>
      </x:c>
      <x:c r="L60" s="28" t="n">
        <x:v>46232</x:v>
      </x:c>
      <x:c r="M60" s="27" t="str">
        <x:v>一次確認済</x:v>
      </x:c>
      <x:c r="N60" s="27" t="str">
        <x:v>https://www.city.ota.tokyo.jp/shisetsu/park/morigasaki.html</x:v>
      </x:c>
      <x:c r="O60" s="27" t="str">
        <x:v>森ケ崎水再生センターの屋上を公園として再利用した都市インフラ上の緑地である。</x:v>
      </x:c>
      <x:c r="P60" s="49" t="e">
        <x:f>HYPERLINK("https://ja.wikipedia.org/wiki/Special:Search?search=%E6%A3%AE%E3%82%B1%E5%B4%8E%E5%85%AC%E5%9C%92","Wikipedia・関連項目")</x:f>
      </x:c>
      <x:c r="Q60" s="27" t="str">
        <x:v>2026-07-29公式再確認：2026-04-01以降の延長時間と47台駐車場を反映。</x:v>
      </x:c>
    </x:row>
    <x:row r="61">
      <x:c r="A61" s="27" t="str">
        <x:v>D155</x:v>
      </x:c>
      <x:c r="B61" s="27" t="str">
        <x:v>横浜市児童遊園地</x:v>
      </x:c>
      <x:c r="C61" s="27" t="str">
        <x:v>横浜市・保土ケ谷区</x:v>
      </x:c>
      <x:c r="D61" s="27" t="str">
        <x:v>梅林・丘陵・24時間駐車</x:v>
      </x:c>
      <x:c r="E61" s="49" t="e">
        <x:f>HYPERLINK("https://www.google.com/maps/dir/?api=1&amp;destination=%E6%A8%AA%E6%B5%9C%E5%B8%82%E5%85%90%E7%AB%A5%E9%81%8A%E5%9C%92%E5%9C%B0&amp;travelmode=driving","現在地からナビ開始")</x:f>
      </x:c>
      <x:c r="F61" s="27" t="str">
        <x:v>丘陵地の梅林と広場があり、横浜内陸の夜間・早朝休憩地点として使える。</x:v>
      </x:c>
      <x:c r="G61" s="27" t="str">
        <x:v>あり・50台、有料</x:v>
      </x:c>
      <x:c r="H61" s="27" t="str">
        <x:v>駐車場 24時間</x:v>
      </x:c>
      <x:c r="I61" s="27" t="n">
        <x:v>4</x:v>
      </x:c>
      <x:c r="J61" s="27" t="n">
        <x:v>4</x:v>
      </x:c>
      <x:c r="K61" s="27" t="str">
        <x:v>夜は園内が暗い。梅の季節は混雑し、環境活動施設の利用時間は別。</x:v>
      </x:c>
      <x:c r="L61" s="28" t="n">
        <x:v>46232</x:v>
      </x:c>
      <x:c r="M61" s="27" t="str">
        <x:v>一次確認済</x:v>
      </x:c>
      <x:c r="N61" s="27" t="str">
        <x:v>https://www.city.yokohama.lg.jp/kurashi/machizukuri-kankyo/nochi/center/map/parking.html</x:v>
      </x:c>
      <x:c r="O61" s="27" t="str">
        <x:v>横浜の丘陵部には谷戸と雑木林が多く残り、都市近郊農業や里山保全の舞台になってきた。</x:v>
      </x:c>
      <x:c r="P61" s="49" t="e">
        <x:f>HYPERLINK("https://ja.wikipedia.org/wiki/Special:Search?search=%E6%A8%AA%E6%B5%9C%E5%B8%82%E5%85%90%E7%AB%A5%E9%81%8A%E5%9C%92%E5%9C%B0","Wikipedia・関連項目")</x:f>
      </x:c>
      <x:c r="Q61" s="27"/>
    </x:row>
    <x:row r="62">
      <x:c r="A62" s="27" t="str">
        <x:v>D101</x:v>
      </x:c>
      <x:c r="B62" s="27" t="str">
        <x:v>武蔵野公園</x:v>
      </x:c>
      <x:c r="C62" s="27" t="str">
        <x:v>府中市・小金井市</x:v>
      </x:c>
      <x:c r="D62" s="27" t="str">
        <x:v>河川・草地・夜間公園</x:v>
      </x:c>
      <x:c r="E62" s="49" t="e">
        <x:f>HYPERLINK("https://www.google.com/maps/dir/?api=1&amp;destination=%E6%AD%A6%E8%94%B5%E9%87%8E%E5%85%AC%E5%9C%92&amp;travelmode=driving","現在地からナビ開始")</x:f>
      </x:c>
      <x:c r="F62" s="27" t="str">
        <x:v>野川沿いの広い草地と樹林があり、西東京方面の長い一般道ドライブを静かに終えられる。</x:v>
      </x:c>
      <x:c r="G62" s="27" t="str">
        <x:v>あり・122台・有料</x:v>
      </x:c>
      <x:c r="H62" s="27" t="str">
        <x:v>駐車場 24時間</x:v>
      </x:c>
      <x:c r="I62" s="27" t="n">
        <x:v>4</x:v>
      </x:c>
      <x:c r="J62" s="27" t="n">
        <x:v>4</x:v>
      </x:c>
      <x:c r="K62" s="27" t="str">
        <x:v>夜間は照明のある主要園路に限定。大型車不可。</x:v>
      </x:c>
      <x:c r="L62" s="28" t="n">
        <x:v>46232</x:v>
      </x:c>
      <x:c r="M62" s="27" t="str">
        <x:v>一次確認済</x:v>
      </x:c>
      <x:c r="N62" s="27" t="str">
        <x:v>https://www.s-park.jp/map/996</x:v>
      </x:c>
      <x:c r="O62" s="27" t="str">
        <x:v>武蔵野公園には東京都の街路樹を育てる苗圃があり、園内に多様な樹種が並ぶ理由になっている。</x:v>
      </x:c>
      <x:c r="P62" s="49" t="e">
        <x:f>HYPERLINK("https://ja.wikipedia.org/wiki/Special:Search?search=%E6%AD%A6%E8%94%B5%E9%87%8E%E5%85%AC%E5%9C%92","Wikipedia・関連項目")</x:f>
      </x:c>
      <x:c r="Q62" s="27"/>
    </x:row>
    <x:row r="63">
      <x:c r="A63" s="27" t="str">
        <x:v>D045</x:v>
      </x:c>
      <x:c r="B63" s="27" t="str">
        <x:v>汐入公園</x:v>
      </x:c>
      <x:c r="C63" s="27" t="str">
        <x:v>荒川区・南千住</x:v>
      </x:c>
      <x:c r="D63" s="27" t="str">
        <x:v>河川・橋・都市夜景</x:v>
      </x:c>
      <x:c r="E63" s="49" t="e">
        <x:f>HYPERLINK("https://www.google.com/maps/dir/?api=1&amp;destination=%E6%B1%90%E5%85%A5%E5%85%AC%E5%9C%92&amp;travelmode=driving","現在地からナビ開始")</x:f>
      </x:c>
      <x:c r="F63" s="27" t="str">
        <x:v>隅田川沿いの開放感と橋・高層住宅の灯りがあり、都心北東側の河川Endingになる。</x:v>
      </x:c>
      <x:c r="G63" s="27" t="str">
        <x:v>あり・有料</x:v>
      </x:c>
      <x:c r="H63" s="27" t="str">
        <x:v>第二駐車場 24時間</x:v>
      </x:c>
      <x:c r="I63" s="27" t="n">
        <x:v>4</x:v>
      </x:c>
      <x:c r="J63" s="27" t="n">
        <x:v>4</x:v>
      </x:c>
      <x:c r="K63" s="27" t="str">
        <x:v>住宅地に近い。深夜の騒音や長時間滞在を避ける。</x:v>
      </x:c>
      <x:c r="L63" s="28" t="n">
        <x:v>46232</x:v>
      </x:c>
      <x:c r="M63" s="27" t="str">
        <x:v>一次確認済</x:v>
      </x:c>
      <x:c r="N63" s="27" t="str">
        <x:v>https://www.tokyo-park.or.jp/park/shioiri/index.html</x:v>
      </x:c>
      <x:c r="O63" s="27" t="str">
        <x:v>汐入地区は隅田川沿いの工場地帯から大規模住宅地・公園へ再開発された地域である。</x:v>
      </x:c>
      <x:c r="P63" s="49" t="e">
        <x:f>HYPERLINK("https://ja.wikipedia.org/wiki/Special:Search?search=%E6%B1%90%E5%85%A5%E5%85%AC%E5%9C%92","Wikipedia・関連項目")</x:f>
      </x:c>
      <x:c r="Q63" s="27"/>
    </x:row>
    <x:row r="64">
      <x:c r="A64" s="27" t="str">
        <x:v>D043</x:v>
      </x:c>
      <x:c r="B64" s="27" t="str">
        <x:v>浮間公園</x:v>
      </x:c>
      <x:c r="C64" s="27" t="str">
        <x:v>板橋区・北区</x:v>
      </x:c>
      <x:c r="D64" s="27" t="str">
        <x:v>池・風車・夜間休憩</x:v>
      </x:c>
      <x:c r="E64" s="49" t="e">
        <x:f>HYPERLINK("https://www.google.com/maps/dir/?api=1&amp;destination=%E6%B5%AE%E9%96%93%E5%85%AC%E5%9C%92&amp;travelmode=driving","現在地からナビ開始")</x:f>
      </x:c>
      <x:c r="F64" s="27" t="str">
        <x:v>大きな池と風車のある景観がコンパクトにまとまり、短時間の静かな終点に向く。</x:v>
      </x:c>
      <x:c r="G64" s="27" t="str">
        <x:v>あり・35台・有料</x:v>
      </x:c>
      <x:c r="H64" s="27" t="str">
        <x:v>駐車場 24時間</x:v>
      </x:c>
      <x:c r="I64" s="27" t="n">
        <x:v>4</x:v>
      </x:c>
      <x:c r="J64" s="27" t="n">
        <x:v>4</x:v>
      </x:c>
      <x:c r="K64" s="27" t="str">
        <x:v>駐車台数が少ない。大型車不可。住宅地に近いため静粛に。</x:v>
      </x:c>
      <x:c r="L64" s="28" t="n">
        <x:v>46232</x:v>
      </x:c>
      <x:c r="M64" s="27" t="str">
        <x:v>一次確認済</x:v>
      </x:c>
      <x:c r="N64" s="27" t="str">
        <x:v>https://www.tokyo-park.or.jp/park/ukima/index.html</x:v>
      </x:c>
      <x:c r="O64" s="27" t="str">
        <x:v>浮間ヶ池は荒川の旧流路の一部で、公園の風車はオランダ風の景観をつくる象徴になっている。</x:v>
      </x:c>
      <x:c r="P64" s="49" t="e">
        <x:f>HYPERLINK("https://ja.wikipedia.org/wiki/Special:Search?search=%E6%B5%AE%E9%96%93%E5%85%AC%E5%9C%92","Wikipedia・関連項目")</x:f>
      </x:c>
      <x:c r="Q64" s="27"/>
    </x:row>
    <x:row r="65">
      <x:c r="A65" s="27" t="str">
        <x:v>D032</x:v>
      </x:c>
      <x:c r="B65" s="27" t="str">
        <x:v>立石公園・県立立石駐車場</x:v>
      </x:c>
      <x:c r="C65" s="27" t="str">
        <x:v>横須賀市・秋谷</x:v>
      </x:c>
      <x:c r="D65" s="27" t="str">
        <x:v>海岸・夕日・富士山</x:v>
      </x:c>
      <x:c r="E65" s="49" t="e">
        <x:f>HYPERLINK("https://www.google.com/maps/dir/?api=1&amp;destination=%E7%AB%8B%E7%9F%B3%E5%85%AC%E5%9C%92%E3%83%BB%E7%9C%8C%E7%AB%8B%E7%AB%8B%E7%9F%B3%E9%A7%90%E8%BB%8A%E5%A0%B4&amp;travelmode=driving","現在地からナビ開始")</x:f>
      </x:c>
      <x:c r="F65" s="27" t="str">
        <x:v>立石、相模湾、夕日、富士山が一枚に収まる西岸ドライブの象徴。</x:v>
      </x:c>
      <x:c r="G65" s="27" t="str">
        <x:v>あり・無料</x:v>
      </x:c>
      <x:c r="H65" s="27" t="str">
        <x:v>原則24時間／7～8月は6:00～20:00</x:v>
      </x:c>
      <x:c r="I65" s="27" t="n">
        <x:v>4</x:v>
      </x:c>
      <x:c r="J65" s="27" t="n">
        <x:v>4</x:v>
      </x:c>
      <x:c r="K65" s="27" t="str">
        <x:v>夏季時間制限。満車時の路上待機は禁止。</x:v>
      </x:c>
      <x:c r="L65" s="28" t="n">
        <x:v>46232</x:v>
      </x:c>
      <x:c r="M65" s="27" t="str">
        <x:v>一次確認済</x:v>
      </x:c>
      <x:c r="N65" s="27" t="str">
        <x:v>https://www.city.yokosuka.kanagawa.jp/5560/sisetu/fc00000486.html</x:v>
      </x:c>
      <x:c r="O65" s="27" t="str">
        <x:v>秋谷の立石は江戸時代から名勝として知られ、歌川広重も相模湾越しの富士山とともに描いた。</x:v>
      </x:c>
      <x:c r="P65" s="49" t="e">
        <x:f>HYPERLINK("https://ja.wikipedia.org/wiki/Special:Search?search=%E7%AB%8B%E7%9F%B3%E5%85%AC%E5%9C%92%E3%83%BB%E7%9C%8C%E7%AB%8B%E7%AB%8B%E7%9F%B3%E9%A7%90%E8%BB%8A%E5%A0%B4","Wikipedia・関連項目")</x:f>
      </x:c>
      <x:c r="Q65" s="27"/>
    </x:row>
    <x:row r="66">
      <x:c r="A66" s="27" t="str">
        <x:v>D097</x:v>
      </x:c>
      <x:c r="B66" s="27" t="str">
        <x:v>篠崎公園</x:v>
      </x:c>
      <x:c r="C66" s="27" t="str">
        <x:v>江戸川区・上篠崎</x:v>
      </x:c>
      <x:c r="D66" s="27" t="str">
        <x:v>河川敷・公園・夜間休憩</x:v>
      </x:c>
      <x:c r="E66" s="49" t="e">
        <x:f>HYPERLINK("https://www.google.com/maps/dir/?api=1&amp;destination=%E7%AF%A0%E5%B4%8E%E5%85%AC%E5%9C%92&amp;travelmode=driving","現在地からナビ開始")</x:f>
      </x:c>
      <x:c r="F66" s="27" t="str">
        <x:v>江戸川に近い広い公園で、東東京方面の長い一般道ドライブを落ち着かせられる。</x:v>
      </x:c>
      <x:c r="G66" s="27" t="str">
        <x:v>あり・第一駐車場有料</x:v>
      </x:c>
      <x:c r="H66" s="27" t="str">
        <x:v>駐車場 24時間</x:v>
      </x:c>
      <x:c r="I66" s="27" t="n">
        <x:v>4</x:v>
      </x:c>
      <x:c r="J66" s="27" t="n">
        <x:v>4</x:v>
      </x:c>
      <x:c r="K66" s="27" t="str">
        <x:v>花火大会日は駐車場利用制限あり。夜間は外灯のある区域に限定。</x:v>
      </x:c>
      <x:c r="L66" s="28" t="n">
        <x:v>46232</x:v>
      </x:c>
      <x:c r="M66" s="27" t="str">
        <x:v>一次確認済</x:v>
      </x:c>
      <x:c r="N66" s="27" t="str">
        <x:v>https://www.tokyo-park.or.jp/park/shinozaki/index.html</x:v>
      </x:c>
      <x:c r="O66" s="27" t="str">
        <x:v>篠崎公園は江戸川沿いの防災公園として計画され、広いオープンスペースを確保している。</x:v>
      </x:c>
      <x:c r="P66" s="49" t="e">
        <x:f>HYPERLINK("https://ja.wikipedia.org/wiki/Special:Search?search=%E7%AF%A0%E5%B4%8E%E5%85%AC%E5%9C%92","Wikipedia・関連項目")</x:f>
      </x:c>
      <x:c r="Q66" s="27"/>
    </x:row>
    <x:row r="67">
      <x:c r="A67" s="27" t="str">
        <x:v>D090</x:v>
      </x:c>
      <x:c r="B67" s="27" t="str">
        <x:v>菜の花台展望台</x:v>
      </x:c>
      <x:c r="C67" s="27" t="str">
        <x:v>秦野市・羽根</x:v>
      </x:c>
      <x:c r="D67" s="27" t="str">
        <x:v>高台・富士山・ワインディング</x:v>
      </x:c>
      <x:c r="E67" s="49" t="e">
        <x:f>HYPERLINK("https://www.google.com/maps/dir/?api=1&amp;destination=%E8%8F%9C%E3%81%AE%E8%8A%B1%E5%8F%B0%E5%B1%95%E6%9C%9B%E5%8F%B0&amp;travelmode=driving","現在地からナビ開始")</x:f>
      </x:c>
      <x:c r="F67" s="27" t="str">
        <x:v>ヤビツ峠へ向かう山道の途中で秦野盆地・相模湾・富士山を望め、道路型Endingとして強い。</x:v>
      </x:c>
      <x:c r="G67" s="27" t="str">
        <x:v>あり・無料・小規模</x:v>
      </x:c>
      <x:c r="H67" s="27" t="str">
        <x:v>利用時間の明記なし／現地掲示優先</x:v>
      </x:c>
      <x:c r="I67" s="27" t="n">
        <x:v>4</x:v>
      </x:c>
      <x:c r="J67" s="27" t="n">
        <x:v>4</x:v>
      </x:c>
      <x:c r="K67" s="27" t="str">
        <x:v>夜は暗く、霧・凍結・野生動物に注意。満車時の路上駐車は禁止。</x:v>
      </x:c>
      <x:c r="L67" s="28" t="n">
        <x:v>46232</x:v>
      </x:c>
      <x:c r="M67" s="27" t="str">
        <x:v>当日再確認</x:v>
      </x:c>
      <x:c r="N67" s="27" t="str">
        <x:v>https://www.city.hadano.kanagawa.jp/soshiki/7/1051/2/2204.html</x:v>
      </x:c>
      <x:c r="O67" s="27" t="str">
        <x:v>ヤビツ峠の『ヤビツ』は、戦国期の矢を入れる櫃が見つかったという伝承に由来するとされる。</x:v>
      </x:c>
      <x:c r="P67" s="49" t="e">
        <x:f>HYPERLINK("https://ja.wikipedia.org/wiki/Special:Search?search=%E8%8F%9C%E3%81%AE%E8%8A%B1%E5%8F%B0%E5%B1%95%E6%9C%9B%E5%8F%B0","Wikipedia・関連項目")</x:f>
      </x:c>
      <x:c r="Q67" s="27"/>
    </x:row>
    <x:row r="68">
      <x:c r="A68" s="27" t="str">
        <x:v>D053</x:v>
      </x:c>
      <x:c r="B68" s="27" t="str">
        <x:v>袖ケ浦公園</x:v>
      </x:c>
      <x:c r="C68" s="27" t="str">
        <x:v>袖ケ浦市・飯富</x:v>
      </x:c>
      <x:c r="D68" s="27" t="str">
        <x:v>池・高台・静かな公園</x:v>
      </x:c>
      <x:c r="E68" s="49" t="e">
        <x:f>HYPERLINK("https://www.google.com/maps/dir/?api=1&amp;destination=%E8%A2%96%E3%82%B1%E6%B5%A6%E5%85%AC%E5%9C%92&amp;travelmode=driving","現在地からナビ開始")</x:f>
      </x:c>
      <x:c r="F68" s="27" t="str">
        <x:v>池と高台、花木があり、アクアライン後の興奮を静かに落とす内陸Endingになる。</x:v>
      </x:c>
      <x:c r="G68" s="27" t="str">
        <x:v>あり・無料</x:v>
      </x:c>
      <x:c r="H68" s="27" t="str">
        <x:v>第1・第2駐車場 24時間</x:v>
      </x:c>
      <x:c r="I68" s="27" t="n">
        <x:v>4</x:v>
      </x:c>
      <x:c r="J68" s="27" t="n">
        <x:v>4</x:v>
      </x:c>
      <x:c r="K68" s="27" t="str">
        <x:v>夜は暗い区域を避ける。駐車場ではアイドリング・騒音禁止。</x:v>
      </x:c>
      <x:c r="L68" s="28" t="n">
        <x:v>46232</x:v>
      </x:c>
      <x:c r="M68" s="27" t="str">
        <x:v>一次確認済</x:v>
      </x:c>
      <x:c r="N68" s="27" t="str">
        <x:v>https://www.park-sodegaura.or.jp/faq_category/faq_category4/</x:v>
      </x:c>
      <x:c r="O68" s="27" t="str">
        <x:v>袖ケ浦公園周辺には郷土博物館や復元住居があり、縄文時代からの地域史に触れられる。</x:v>
      </x:c>
      <x:c r="P68" s="49" t="e">
        <x:f>HYPERLINK("https://ja.wikipedia.org/wiki/Special:Search?search=%E8%A2%96%E3%82%B1%E6%B5%A6%E5%85%AC%E5%9C%92","Wikipedia・関連項目")</x:f>
      </x:c>
      <x:c r="Q68" s="27"/>
    </x:row>
    <x:row r="69">
      <x:c r="A69" s="27" t="str">
        <x:v>D177</x:v>
      </x:c>
      <x:c r="B69" s="27" t="str">
        <x:v>袖ケ浦海浜公園</x:v>
      </x:c>
      <x:c r="C69" s="27" t="str">
        <x:v>千葉県袖ケ浦市</x:v>
      </x:c>
      <x:c r="D69" s="27" t="str">
        <x:v>港・海・展望塔・工場夜景</x:v>
      </x:c>
      <x:c r="E69" s="49" t="e">
        <x:f>HYPERLINK("https://www.google.com/maps/dir/?api=1&amp;destination=%E8%A2%96%E3%82%B1%E6%B5%A6%E6%B5%B7%E6%B5%9C%E5%85%AC%E5%9C%92&amp;travelmode=driving","現在地からナビ開始")</x:f>
      </x:c>
      <x:c r="F69" s="27" t="str">
        <x:v>東京湾に突き出す公園からアクアライン、対岸の街、京葉工業地帯を見渡せる。</x:v>
      </x:c>
      <x:c r="G69" s="27" t="str">
        <x:v>あり・無料</x:v>
      </x:c>
      <x:c r="H69" s="27" t="str">
        <x:v>公園・駐車場の最新開放時間は指定管理者確認</x:v>
      </x:c>
      <x:c r="I69" s="27" t="n">
        <x:v>4</x:v>
      </x:c>
      <x:c r="J69" s="27" t="n">
        <x:v>4</x:v>
      </x:c>
      <x:c r="K69" s="27" t="str">
        <x:v>強風時は展望塔周辺に注意。イベント・撮影規制、指定場所以外への車両進入禁止。</x:v>
      </x:c>
      <x:c r="L69" s="28" t="n">
        <x:v>46232</x:v>
      </x:c>
      <x:c r="M69" s="27" t="str">
        <x:v>当日再確認</x:v>
      </x:c>
      <x:c r="N69" s="27" t="str">
        <x:v>https://www.city.sodegaura.lg.jp/soshiki/toshi/kaihinkouen.html</x:v>
      </x:c>
      <x:c r="O69" s="27" t="str">
        <x:v>袖ケ浦海浜公園は千葉港南部の埋立地に造られ、東京湾岸の工業地帯と海景を同時に見られる。</x:v>
      </x:c>
      <x:c r="P69" s="49" t="e">
        <x:f>HYPERLINK("https://ja.wikipedia.org/wiki/Special:Search?search=%E8%A2%96%E3%82%B1%E6%B5%A6%E6%B5%B7%E6%B5%9C%E5%85%AC%E5%9C%92","Wikipedia・関連項目")</x:f>
      </x:c>
      <x:c r="Q69" s="27"/>
    </x:row>
    <x:row r="70">
      <x:c r="A70" s="27" t="str">
        <x:v>D028</x:v>
      </x:c>
      <x:c r="B70" s="27" t="str">
        <x:v>野島公園</x:v>
      </x:c>
      <x:c r="C70" s="27" t="str">
        <x:v>横浜市・金沢区</x:v>
      </x:c>
      <x:c r="D70" s="27" t="str">
        <x:v>海・展望台・島</x:v>
      </x:c>
      <x:c r="E70" s="49" t="e">
        <x:f>HYPERLINK("https://www.google.com/maps/dir/?api=1&amp;destination=%E9%87%8E%E5%B3%B6%E5%85%AC%E5%9C%92&amp;travelmode=driving","現在地からナビ開始")</x:f>
      </x:c>
      <x:c r="F70" s="27" t="str">
        <x:v>平潟湾、八景島、金沢の海を見渡し、島へ渡る小旅行感がある。</x:v>
      </x:c>
      <x:c r="G70" s="27" t="str">
        <x:v>あり・有料</x:v>
      </x:c>
      <x:c r="H70" s="27" t="str">
        <x:v>第1駐車場 7:00～23:00</x:v>
      </x:c>
      <x:c r="I70" s="27" t="n">
        <x:v>4</x:v>
      </x:c>
      <x:c r="J70" s="27" t="n">
        <x:v>4</x:v>
      </x:c>
      <x:c r="K70" s="27" t="str">
        <x:v>潮干狩り・夏休みは混雑。23時閉鎖前に出庫。</x:v>
      </x:c>
      <x:c r="L70" s="28" t="n">
        <x:v>46232</x:v>
      </x:c>
      <x:c r="M70" s="27" t="str">
        <x:v>一次確認済</x:v>
      </x:c>
      <x:c r="N70" s="27" t="str">
        <x:v>https://www.hama-midorinokyokai.or.jp/park/parking/nojima/nojima1/</x:v>
      </x:c>
      <x:c r="O70" s="27" t="str">
        <x:v>野島には横浜市内で数少ない自然海岸が残り、展望台周辺には旧軍施設の痕跡もある。</x:v>
      </x:c>
      <x:c r="P70" s="49" t="e">
        <x:f>HYPERLINK("https://ja.wikipedia.org/wiki/Special:Search?search=%E9%87%8E%E5%B3%B6%E5%85%AC%E5%9C%92","Wikipedia・関連項目")</x:f>
      </x:c>
      <x:c r="Q70" s="27"/>
    </x:row>
    <x:row r="71">
      <x:c r="A71" s="27" t="str">
        <x:v>D161</x:v>
      </x:c>
      <x:c r="B71" s="27" t="str">
        <x:v>野島公園</x:v>
      </x:c>
      <x:c r="C71" s="27" t="str">
        <x:v>横浜市・金沢区</x:v>
      </x:c>
      <x:c r="D71" s="27" t="str">
        <x:v>海・高台・旧別邸・港</x:v>
      </x:c>
      <x:c r="E71" s="49" t="e">
        <x:f>HYPERLINK("https://www.google.com/maps/dir/?api=1&amp;destination=%E9%87%8E%E5%B3%B6%E5%85%AC%E5%9C%92&amp;travelmode=driving","現在地からナビ開始")</x:f>
      </x:c>
      <x:c r="F71" s="27" t="str">
        <x:v>標高約54mの展望台から平潟湾と八景島方面を見渡せ、海辺の静けさと近代史を同時に味わえる。</x:v>
      </x:c>
      <x:c r="G71" s="27" t="str">
        <x:v>あり・第1 104台、第2 52台、有料</x:v>
      </x:c>
      <x:c r="H71" s="27" t="str">
        <x:v>第1駐車場 7:00～23:00</x:v>
      </x:c>
      <x:c r="I71" s="27" t="n">
        <x:v>4</x:v>
      </x:c>
      <x:c r="J71" s="27" t="n">
        <x:v>4</x:v>
      </x:c>
      <x:c r="K71" s="27" t="str">
        <x:v>潮干狩り・行楽期は満車。閉場後は出庫不可となる可能性があるため23時前に退出。</x:v>
      </x:c>
      <x:c r="L71" s="28" t="n">
        <x:v>46232</x:v>
      </x:c>
      <x:c r="M71" s="27" t="str">
        <x:v>一次確認済</x:v>
      </x:c>
      <x:c r="N71" s="27" t="str">
        <x:v>https://www.hama-midorinokyokai.or.jp/park/parking/nojima/nojima1/</x:v>
      </x:c>
      <x:c r="O71" s="27" t="str">
        <x:v>園内には伊藤博文が憲法草案を検討した地として知られる旧別邸が残り、海辺の公園に明治政治史が重なる。</x:v>
      </x:c>
      <x:c r="P71" s="49" t="e">
        <x:f>HYPERLINK("https://ja.wikipedia.org/wiki/Special:Search?search=%E9%87%8E%E5%B3%B6%E5%85%AC%E5%9C%92","Wikipedia・関連項目")</x:f>
      </x:c>
      <x:c r="Q71" s="27"/>
    </x:row>
    <x:row r="72">
      <x:c r="A72" s="27" t="str">
        <x:v>D175</x:v>
      </x:c>
      <x:c r="B72" s="27" t="str">
        <x:v>高井戸公園</x:v>
      </x:c>
      <x:c r="C72" s="27" t="str">
        <x:v>東京都杉並区</x:v>
      </x:c>
      <x:c r="D72" s="27" t="str">
        <x:v>24時間駐車・旧施設跡・芝生</x:v>
      </x:c>
      <x:c r="E72" s="49" t="e">
        <x:f>HYPERLINK("https://www.google.com/maps/dir/?api=1&amp;destination=%E9%AB%98%E4%BA%95%E6%88%B8%E5%85%AC%E5%9C%92&amp;travelmode=driving","現在地からナビ開始")</x:f>
      </x:c>
      <x:c r="F72" s="27" t="str">
        <x:v>環八・首都高4号線から寄りやすく、広い芝生と開けた空で走行後に休憩できる。</x:v>
      </x:c>
      <x:c r="G72" s="27" t="str">
        <x:v>あり・40台、有料</x:v>
      </x:c>
      <x:c r="H72" s="27" t="str">
        <x:v>駐車場24時間</x:v>
      </x:c>
      <x:c r="I72" s="27" t="n">
        <x:v>4</x:v>
      </x:c>
      <x:c r="J72" s="27" t="n">
        <x:v>4</x:v>
      </x:c>
      <x:c r="K72" s="27" t="str">
        <x:v>台数が少ない。満車時は周辺路上待機せず通過。住宅地への騒音配慮。</x:v>
      </x:c>
      <x:c r="L72" s="28" t="n">
        <x:v>46232</x:v>
      </x:c>
      <x:c r="M72" s="27" t="str">
        <x:v>一次確認済</x:v>
      </x:c>
      <x:c r="N72" s="27" t="str">
        <x:v>https://www.tokyo-park.or.jp/park/takaido/index.html</x:v>
      </x:c>
      <x:c r="O72" s="27" t="str">
        <x:v>公園用地の一部は旧NHK富士見ヶ丘運動場などの跡地で、都市内の大規模空地を公園へ転換した。</x:v>
      </x:c>
      <x:c r="P72" s="49" t="e">
        <x:f>HYPERLINK("https://ja.wikipedia.org/wiki/Special:Search?search=%E9%AB%98%E4%BA%95%E6%88%B8%E5%85%AC%E5%9C%92","Wikipedia・関連項目")</x:f>
      </x:c>
      <x:c r="Q72" s="27"/>
    </x:row>
    <x:row r="73">
      <x:c r="A73" s="27" t="str">
        <x:v>D014</x:v>
      </x:c>
      <x:c r="B73" s="27" t="str">
        <x:v>うみかぜ公園</x:v>
      </x:c>
      <x:c r="C73" s="27" t="str">
        <x:v>横須賀市・平成町</x:v>
      </x:c>
      <x:c r="D73" s="27" t="str">
        <x:v>海・猿島・船</x:v>
      </x:c>
      <x:c r="E73" s="49" t="e">
        <x:f>HYPERLINK("https://www.google.com/maps/dir/?api=1&amp;destination=%E3%81%86%E3%81%BF%E3%81%8B%E3%81%9C%E5%85%AC%E5%9C%92&amp;travelmode=driving","現在地からナビ開始")</x:f>
      </x:c>
      <x:c r="F73" s="27" t="str">
        <x:v>猿島と東京湾航路を眺め、夜にも使える横須賀の安定Ending。</x:v>
      </x:c>
      <x:c r="G73" s="27" t="str">
        <x:v>あり・有料</x:v>
      </x:c>
      <x:c r="H73" s="27" t="str">
        <x:v>駐車場 24時間</x:v>
      </x:c>
      <x:c r="I73" s="27" t="n">
        <x:v>4</x:v>
      </x:c>
      <x:c r="J73" s="27" t="n">
        <x:v>3</x:v>
      </x:c>
      <x:c r="K73" s="27" t="str">
        <x:v>海風が強い。深夜は静粛にし、公園設備の利用範囲を守る。</x:v>
      </x:c>
      <x:c r="L73" s="28" t="n">
        <x:v>46232</x:v>
      </x:c>
      <x:c r="M73" s="27" t="str">
        <x:v>一次確認済</x:v>
      </x:c>
      <x:c r="N73" s="27" t="str">
        <x:v>https://www.city.yokosuka.kanagawa.jp/5820/sisetu/fc00000441.html</x:v>
      </x:c>
      <x:c r="O73" s="27" t="str">
        <x:v>正面に見える猿島は、東京湾に残る唯一の自然島とされ、旧軍の砲台跡も残る。</x:v>
      </x:c>
      <x:c r="P73" s="49" t="e">
        <x:f>HYPERLINK("https://ja.wikipedia.org/wiki/Special:Search?search=%E3%81%86%E3%81%BF%E3%81%8B%E3%81%9C%E5%85%AC%E5%9C%92","Wikipedia・関連項目")</x:f>
      </x:c>
      <x:c r="Q73" s="27"/>
    </x:row>
    <x:row r="74">
      <x:c r="A74" s="27" t="str">
        <x:v>D125</x:v>
      </x:c>
      <x:c r="B74" s="27" t="str">
        <x:v>さきたま古墳公園</x:v>
      </x:c>
      <x:c r="C74" s="27" t="str">
        <x:v>埼玉県行田市</x:v>
      </x:c>
      <x:c r="D74" s="27" t="str">
        <x:v>古墳・広大公園・24時間駐車</x:v>
      </x:c>
      <x:c r="E74" s="49" t="e">
        <x:f>HYPERLINK("https://www.google.com/maps/dir/?api=1&amp;destination=%E3%81%95%E3%81%8D%E3%81%9F%E3%81%BE%E5%8F%A4%E5%A2%B3%E5%85%AC%E5%9C%92&amp;travelmode=driving","現在地からナビ開始")</x:f>
      </x:c>
      <x:c r="F74" s="27" t="str">
        <x:v>大型古墳群の輪郭と広い空があり、古代史を伴う強い到達感を作れる。</x:v>
      </x:c>
      <x:c r="G74" s="27" t="str">
        <x:v>あり・約295台、無料</x:v>
      </x:c>
      <x:c r="H74" s="27" t="str">
        <x:v>駐車場 24時間・年中無休</x:v>
      </x:c>
      <x:c r="I74" s="27" t="n">
        <x:v>4</x:v>
      </x:c>
      <x:c r="J74" s="27" t="n">
        <x:v>3</x:v>
      </x:c>
      <x:c r="K74" s="27" t="str">
        <x:v>夜間は照明のある区域に限定。古墳の立入禁止区域や園路への車両進入は禁止。</x:v>
      </x:c>
      <x:c r="L74" s="28" t="n">
        <x:v>46232</x:v>
      </x:c>
      <x:c r="M74" s="27" t="str">
        <x:v>一次確認済</x:v>
      </x:c>
      <x:c r="N74" s="27" t="str">
        <x:v>https://sakitama-muse.spec.ed.jp/faqs/faq_questions/view/446/1cd88b621f0b3d9d86d3b767cf670983</x:v>
      </x:c>
      <x:c r="O74" s="27" t="str">
        <x:v>さきたま古墳群の丸墓山古墳は日本最大級の円墳で、稲荷山古墳出土の鉄剣銘は古代史の重要資料である。</x:v>
      </x:c>
      <x:c r="P74" s="49" t="e">
        <x:f>HYPERLINK("https://ja.wikipedia.org/wiki/Special:Search?search=%E3%81%95%E3%81%8D%E3%81%9F%E3%81%BE%E5%8F%A4%E5%A2%B3%E5%85%AC%E5%9C%92","Wikipedia・関連項目")</x:f>
      </x:c>
      <x:c r="Q74" s="27"/>
    </x:row>
    <x:row r="75">
      <x:c r="A75" s="27" t="str">
        <x:v>D039</x:v>
      </x:c>
      <x:c r="B75" s="27" t="str">
        <x:v>三崎港 うらり駐車場周辺</x:v>
      </x:c>
      <x:c r="C75" s="27" t="str">
        <x:v>三浦市・三崎</x:v>
      </x:c>
      <x:c r="D75" s="27" t="str">
        <x:v>漁港・市場・夜の港</x:v>
      </x:c>
      <x:c r="E75" s="49" t="e">
        <x:f>HYPERLINK("https://www.google.com/maps/dir/?api=1&amp;destination=%E4%B8%89%E5%B4%8E%E6%B8%AF%20%E3%81%86%E3%82%89%E3%82%8A%E9%A7%90%E8%BB%8A%E5%A0%B4%E5%91%A8%E8%BE%BA&amp;travelmode=driving","現在地からナビ開始")</x:f>
      </x:c>
      <x:c r="F75" s="27" t="str">
        <x:v>マグロの港と停泊船を眺め、港町Endingとして使える。</x:v>
      </x:c>
      <x:c r="G75" s="27" t="str">
        <x:v>あり・有料</x:v>
      </x:c>
      <x:c r="H75" s="27" t="str">
        <x:v>駐車場 24時間</x:v>
      </x:c>
      <x:c r="I75" s="27" t="n">
        <x:v>4</x:v>
      </x:c>
      <x:c r="J75" s="27" t="n">
        <x:v>3</x:v>
      </x:c>
      <x:c r="K75" s="27" t="str">
        <x:v>漁業作業区域や岸壁へ立ち入らない。</x:v>
      </x:c>
      <x:c r="L75" s="28" t="n">
        <x:v>46232</x:v>
      </x:c>
      <x:c r="M75" s="27" t="str">
        <x:v>一次確認済</x:v>
      </x:c>
      <x:c r="N75" s="27" t="str">
        <x:v>https://miura-info.ne.jp/access/parking/</x:v>
      </x:c>
      <x:c r="O75" s="27" t="str">
        <x:v>三崎港は遠洋マグロ漁業の基地として発展し、冷凍マグロ流通の中心地の一つとなった。</x:v>
      </x:c>
      <x:c r="P75" s="49" t="e">
        <x:f>HYPERLINK("https://ja.wikipedia.org/wiki/Special:Search?search=%E4%B8%89%E5%B4%8E%E6%B8%AF%20%E3%81%86%E3%82%89%E3%82%8A%E9%A7%90%E8%BB%8A%E5%A0%B4%E5%91%A8%E8%BE%BA","Wikipedia・関連項目")</x:f>
      </x:c>
      <x:c r="Q75" s="27"/>
    </x:row>
    <x:row r="76">
      <x:c r="A76" s="27" t="str">
        <x:v>D108</x:v>
      </x:c>
      <x:c r="B76" s="27" t="str">
        <x:v>千葉公園</x:v>
      </x:c>
      <x:c r="C76" s="27" t="str">
        <x:v>千葉市・中央区</x:v>
      </x:c>
      <x:c r="D76" s="27" t="str">
        <x:v>池・都市公園・夜間散歩</x:v>
      </x:c>
      <x:c r="E76" s="49" t="e">
        <x:f>HYPERLINK("https://www.google.com/maps/dir/?api=1&amp;destination=%E5%8D%83%E8%91%89%E5%85%AC%E5%9C%92&amp;travelmode=driving","現在地からナビ開始")</x:f>
      </x:c>
      <x:c r="F76" s="27" t="str">
        <x:v>池とモノレール、市街地の灯りが重なり、千葉市中心部の落ち着いたEndingになる。</x:v>
      </x:c>
      <x:c r="G76" s="27" t="str">
        <x:v>あり・有料</x:v>
      </x:c>
      <x:c r="H76" s="27" t="str">
        <x:v>公園は常時開園、駐車場は最新案内確認</x:v>
      </x:c>
      <x:c r="I76" s="27" t="n">
        <x:v>4</x:v>
      </x:c>
      <x:c r="J76" s="27" t="n">
        <x:v>3</x:v>
      </x:c>
      <x:c r="K76" s="27" t="str">
        <x:v>イベント・ボート営業日で混雑。夜は主要園路のみ。</x:v>
      </x:c>
      <x:c r="L76" s="28" t="n">
        <x:v>46232</x:v>
      </x:c>
      <x:c r="M76" s="27" t="str">
        <x:v>当日再確認</x:v>
      </x:c>
      <x:c r="N76" s="27" t="str">
        <x:v>https://www.city.chiba.jp/toshi/koenryokuchi/kanri/chuo-inage/chibap02acces.html</x:v>
      </x:c>
      <x:c r="O76" s="27" t="str">
        <x:v>千葉公園の大賀ハスは、植物学者・大賀一郎が約2000年前とされる種子から発芽させた古代ハスである。</x:v>
      </x:c>
      <x:c r="P76" s="49" t="e">
        <x:f>HYPERLINK("https://ja.wikipedia.org/wiki/Special:Search?search=%E5%8D%83%E8%91%89%E5%85%AC%E5%9C%92","Wikipedia・関連項目")</x:f>
      </x:c>
      <x:c r="Q76" s="27"/>
    </x:row>
    <x:row r="77">
      <x:c r="A77" s="27" t="str">
        <x:v>D209</x:v>
      </x:c>
      <x:c r="B77" s="27" t="str">
        <x:v>和光樹林公園</x:v>
      </x:c>
      <x:c r="C77" s="27" t="str">
        <x:v>埼玉県和光市</x:v>
      </x:c>
      <x:c r="D77" s="27" t="str">
        <x:v>樹林・旧軍用地・夜間公園</x:v>
      </x:c>
      <x:c r="E77" s="49" t="e">
        <x:f>HYPERLINK("https://www.google.com/maps/dir/?api=1&amp;destination=%E5%92%8C%E5%85%89%E6%A8%B9%E6%9E%97%E5%85%AC%E5%9C%92&amp;travelmode=driving","現在地からナビ開始")</x:f>
      </x:c>
      <x:c r="F77" s="27" t="str">
        <x:v>広い芝生と樹林、長い園路があり、東京北西側で夜まで使える回復系Endingになる。</x:v>
      </x:c>
      <x:c r="G77" s="27" t="str">
        <x:v>あり・北南182台、中央157台・有料</x:v>
      </x:c>
      <x:c r="H77" s="27" t="str">
        <x:v>公園終日／北南6:00～19:00、中央8:00～23:30</x:v>
      </x:c>
      <x:c r="I77" s="27" t="n">
        <x:v>4</x:v>
      </x:c>
      <x:c r="J77" s="27" t="n">
        <x:v>3</x:v>
      </x:c>
      <x:c r="K77" s="27" t="str">
        <x:v>中央駐車場は体育館管理で休館日は22:30まで。夜は明るい園路に限定。</x:v>
      </x:c>
      <x:c r="L77" s="28" t="n">
        <x:v>46232</x:v>
      </x:c>
      <x:c r="M77" s="27" t="str">
        <x:v>一次確認済</x:v>
      </x:c>
      <x:c r="N77" s="27" t="str">
        <x:v>https://www.seibu-green.co.jp/wako-jurin/facility.html</x:v>
      </x:c>
      <x:c r="O77" s="27" t="str">
        <x:v>周辺は戦後に米軍施設キャンプ・ドレイクとして使われた地域で、その返還地に公共施設と公園が整備された。</x:v>
      </x:c>
      <x:c r="P77" s="49" t="e">
        <x:f>HYPERLINK("https://ja.wikipedia.org/wiki/Special:Search?search=%E5%92%8C%E5%85%89%E6%A8%B9%E6%9E%97%E5%85%AC%E5%9C%92","Wikipedia・関連項目")</x:f>
      </x:c>
      <x:c r="Q77" s="27" t="str">
        <x:v>新規追加。埼玉南部で23時台まで合法駐車できる貴重な公園。</x:v>
      </x:c>
    </x:row>
    <x:row r="78">
      <x:c r="A78" s="27" t="str">
        <x:v>D171</x:v>
      </x:c>
      <x:c r="B78" s="27" t="str">
        <x:v>城北中央公園</x:v>
      </x:c>
      <x:c r="C78" s="27" t="str">
        <x:v>東京都板橋区・練馬区</x:v>
      </x:c>
      <x:c r="D78" s="27" t="str">
        <x:v>24時間駐車・遺跡・都市公園</x:v>
      </x:c>
      <x:c r="E78" s="49" t="e">
        <x:f>HYPERLINK("https://www.google.com/maps/dir/?api=1&amp;destination=%E5%9F%8E%E5%8C%97%E4%B8%AD%E5%A4%AE%E5%85%AC%E5%9C%92&amp;travelmode=driving","現在地からナビ開始")</x:f>
      </x:c>
      <x:c r="F78" s="27" t="str">
        <x:v>都心北西部で24時間駐車でき、古代遺跡と広い運動公園を短時間の夜間休憩に使える。</x:v>
      </x:c>
      <x:c r="G78" s="27" t="str">
        <x:v>あり・66台、有料</x:v>
      </x:c>
      <x:c r="H78" s="27" t="str">
        <x:v>駐車場24時間</x:v>
      </x:c>
      <x:c r="I78" s="27" t="n">
        <x:v>4</x:v>
      </x:c>
      <x:c r="J78" s="27" t="n">
        <x:v>3</x:v>
      </x:c>
      <x:c r="K78" s="27" t="str">
        <x:v>住宅地に囲まれるため深夜は短時間利用。競技・イベント時は満車。</x:v>
      </x:c>
      <x:c r="L78" s="28" t="n">
        <x:v>46232</x:v>
      </x:c>
      <x:c r="M78" s="27" t="str">
        <x:v>一次確認済</x:v>
      </x:c>
      <x:c r="N78" s="27" t="str">
        <x:v>https://www.tokyo-park.or.jp/park/johoku-chuo/index.html</x:v>
      </x:c>
      <x:c r="O78" s="27" t="str">
        <x:v>園内周辺には栗原遺跡など古代の住居跡があり、武蔵野台地の古い人々の暮らしを示す。</x:v>
      </x:c>
      <x:c r="P78" s="49" t="e">
        <x:f>HYPERLINK("https://ja.wikipedia.org/wiki/Special:Search?search=%E5%9F%8E%E5%8C%97%E4%B8%AD%E5%A4%AE%E5%85%AC%E5%9C%92","Wikipedia・関連項目")</x:f>
      </x:c>
      <x:c r="Q78" s="27"/>
    </x:row>
    <x:row r="79">
      <x:c r="A79" s="27" t="str">
        <x:v>D255</x:v>
      </x:c>
      <x:c r="B79" s="27" t="str">
        <x:v>大井ふ頭中央海浜公園</x:v>
      </x:c>
      <x:c r="C79" s="27" t="str">
        <x:v>品川区・八潮／大田区・東海</x:v>
      </x:c>
      <x:c r="D79" s="27" t="str">
        <x:v>運河・干潟・スポーツ・産業景観</x:v>
      </x:c>
      <x:c r="E79" s="49" t="e">
        <x:f>HYPERLINK("https://www.google.com/maps/dir/?api=1&amp;destination=%E5%A4%A7%E4%BA%95%E3%81%B5%E9%A0%AD%E4%B8%AD%E5%A4%AE%E6%B5%B7%E6%B5%9C%E5%85%AC%E5%9C%92&amp;travelmode=driving","現在地からナビ開始")</x:f>
      </x:c>
      <x:c r="F79" s="27" t="str">
        <x:v>スポーツの森となぎさの森を使い分けられ、京浜運河、人工なぎさ、物流地帯の景観を近距離で回収できる。</x:v>
      </x:c>
      <x:c r="G79" s="27" t="str">
        <x:v>第2駐車場110台・1時間300円＋30分100円・現在24時間／第1駐車場190台は工事閉鎖中</x:v>
      </x:c>
      <x:c r="H79" s="27" t="str">
        <x:v>公園常時を基本／第2駐車場24時間は第1駐車場工事中のみ／12月30日～1月1日休業</x:v>
      </x:c>
      <x:c r="I79" s="27" t="n">
        <x:v>4</x:v>
      </x:c>
      <x:c r="J79" s="27" t="n">
        <x:v>3</x:v>
      </x:c>
      <x:c r="K79" s="27" t="str">
        <x:v>第1駐車場は2027年3月下旬予定まで閉鎖。自然観察路の立入制限や大会開催を当日確認。夜は明るい範囲のみ利用。</x:v>
      </x:c>
      <x:c r="L79" s="28" t="n">
        <x:v>46232</x:v>
      </x:c>
      <x:c r="M79" s="27" t="str">
        <x:v>一次確認済</x:v>
      </x:c>
      <x:c r="N79" s="27" t="str">
        <x:v>https://tokyo-south-seaside-parks.com/oi-hockey-access/</x:v>
      </x:c>
      <x:c r="O79" s="27" t="str">
        <x:v>公園は『スポーツの森』と『なぎさの森』に分かれ、東京湾岸のスポーツ拠点と水辺環境を一体化している。</x:v>
      </x:c>
      <x:c r="P79" s="49" t="e">
        <x:f>HYPERLINK("https://ja.wikipedia.org/wiki/Special:Search?search=%E5%A4%A7%E4%BA%95%E3%81%B5%E9%A0%AD%E4%B8%AD%E5%A4%AE%E6%B5%B7%E6%B5%9C%E5%85%AC%E5%9C%92","Wikipedia・関連項目")</x:f>
      </x:c>
      <x:c r="Q79" s="27" t="str">
        <x:v>近距離代替経由地プール追加</x:v>
      </x:c>
    </x:row>
    <x:row r="80">
      <x:c r="A80" s="27" t="str">
        <x:v>D089</x:v>
      </x:c>
      <x:c r="B80" s="27" t="str">
        <x:v>大磯港</x:v>
      </x:c>
      <x:c r="C80" s="27" t="str">
        <x:v>大磯町・大磯</x:v>
      </x:c>
      <x:c r="D80" s="27" t="str">
        <x:v>港・防波堤・相模湾</x:v>
      </x:c>
      <x:c r="E80" s="49" t="e">
        <x:f>HYPERLINK("https://www.google.com/maps/dir/?api=1&amp;destination=%E5%A4%A7%E7%A3%AF%E6%B8%AF&amp;travelmode=driving","現在地からナビ開始")</x:f>
      </x:c>
      <x:c r="F80" s="27" t="str">
        <x:v>港、遊歩道、防波堤から富士山・湘南平方面を望み、海沿いドライブを締められる。</x:v>
      </x:c>
      <x:c r="G80" s="27" t="str">
        <x:v>あり・最大約353台・有料</x:v>
      </x:c>
      <x:c r="H80" s="27" t="str">
        <x:v>入庫時間は季節・イベントで変動／出庫24時間の運用情報あり</x:v>
      </x:c>
      <x:c r="I80" s="27" t="n">
        <x:v>4</x:v>
      </x:c>
      <x:c r="J80" s="27" t="n">
        <x:v>3</x:v>
      </x:c>
      <x:c r="K80" s="27" t="str">
        <x:v>漁業区域へ立ち入らない。荒天時や利用時間外は防波堤門扉が施錠される。</x:v>
      </x:c>
      <x:c r="L80" s="28" t="n">
        <x:v>46232</x:v>
      </x:c>
      <x:c r="M80" s="27" t="str">
        <x:v>当日再確認</x:v>
      </x:c>
      <x:c r="N80" s="27" t="str">
        <x:v>https://www.town.oiso.kanagawa.jp/sangyo/doro/1359443393477.html</x:v>
      </x:c>
      <x:c r="O80" s="27" t="str">
        <x:v>大磯は明治期に海水浴場と政財界人の別荘地として発展し、日本の近代リゾート文化の先駆けとなった。</x:v>
      </x:c>
      <x:c r="P80" s="49" t="e">
        <x:f>HYPERLINK("https://ja.wikipedia.org/wiki/Special:Search?search=%E5%A4%A7%E7%A3%AF%E6%B8%AF","Wikipedia・関連項目")</x:f>
      </x:c>
      <x:c r="Q80" s="27"/>
    </x:row>
    <x:row r="81">
      <x:c r="A81" s="27" t="str">
        <x:v>D099</x:v>
      </x:c>
      <x:c r="B81" s="27" t="str">
        <x:v>小金井公園</x:v>
      </x:c>
      <x:c r="C81" s="27" t="str">
        <x:v>小金井市・関野町</x:v>
      </x:c>
      <x:c r="D81" s="27" t="str">
        <x:v>大規模公園・並木・夜間休憩</x:v>
      </x:c>
      <x:c r="E81" s="49" t="e">
        <x:f>HYPERLINK("https://www.google.com/maps/dir/?api=1&amp;destination=%E5%B0%8F%E9%87%91%E4%BA%95%E5%85%AC%E5%9C%92&amp;travelmode=driving","現在地からナビ開始")</x:f>
      </x:c>
      <x:c r="F81" s="27" t="str">
        <x:v>東京西部で広い公園と並木に到達し、夜間でも安全な駐車場を利用できる。</x:v>
      </x:c>
      <x:c r="G81" s="27" t="str">
        <x:v>あり・557台・有料</x:v>
      </x:c>
      <x:c r="H81" s="27" t="str">
        <x:v>第一・第二駐車場 24時間</x:v>
      </x:c>
      <x:c r="I81" s="27" t="n">
        <x:v>4</x:v>
      </x:c>
      <x:c r="J81" s="27" t="n">
        <x:v>3</x:v>
      </x:c>
      <x:c r="K81" s="27" t="str">
        <x:v>休日は五日市街道が渋滞。入庫規制時の路上待機は禁止。</x:v>
      </x:c>
      <x:c r="L81" s="28" t="n">
        <x:v>46232</x:v>
      </x:c>
      <x:c r="M81" s="27" t="str">
        <x:v>一次確認済</x:v>
      </x:c>
      <x:c r="N81" s="27" t="str">
        <x:v>https://www.tokyo-park.or.jp/park/koganei/</x:v>
      </x:c>
      <x:c r="O81" s="27" t="str">
        <x:v>小金井公園内には江戸東京たてもの園があり、江戸から昭和の建築を移築保存している。</x:v>
      </x:c>
      <x:c r="P81" s="49" t="e">
        <x:f>HYPERLINK("https://ja.wikipedia.org/wiki/Special:Search?search=%E5%B0%8F%E9%87%91%E4%BA%95%E5%85%AC%E5%9C%92","Wikipedia・関連項目")</x:f>
      </x:c>
      <x:c r="Q81" s="27"/>
    </x:row>
    <x:row r="82">
      <x:c r="A82" s="27" t="str">
        <x:v>D157</x:v>
      </x:c>
      <x:c r="B82" s="27" t="str">
        <x:v>川崎市役所 展望ロビー・スカイデッキ</x:v>
      </x:c>
      <x:c r="C82" s="27" t="str">
        <x:v>川崎市・川崎区</x:v>
      </x:c>
      <x:c r="D82" s="27" t="str">
        <x:v>市役所・展望・都市史</x:v>
      </x:c>
      <x:c r="E82" s="49" t="e">
        <x:f>HYPERLINK("https://www.google.com/maps/dir/?api=1&amp;destination=%E5%B7%9D%E5%B4%8E%E5%B8%82%E5%BD%B9%E6%89%80%20%E5%B1%95%E6%9C%9B%E3%83%AD%E3%83%93%E3%83%BC%E3%83%BB%E3%82%B9%E3%82%AB%E3%82%A4%E3%83%87%E3%83%83%E3%82%AD&amp;travelmode=driving","現在地からナビ開始")</x:f>
      </x:c>
      <x:c r="F82" s="27" t="str">
        <x:v>無料の高層展望から川崎・東京・横浜方面を一望し、旧庁舎復元部の歴史展示も見られる。</x:v>
      </x:c>
      <x:c r="G82" s="27" t="str">
        <x:v>本庁舎駐車場あり・展望利用は無料措置対象外</x:v>
      </x:c>
      <x:c r="H82" s="27" t="str">
        <x:v>展望フロア利用時間は公式最新情報確認</x:v>
      </x:c>
      <x:c r="I82" s="27" t="n">
        <x:v>4</x:v>
      </x:c>
      <x:c r="J82" s="27" t="n">
        <x:v>3</x:v>
      </x:c>
      <x:c r="K82" s="27" t="str">
        <x:v>駐車料金が発生。行政行事・荒天でスカイデッキ閉鎖あり。</x:v>
      </x:c>
      <x:c r="L82" s="28" t="n">
        <x:v>46232</x:v>
      </x:c>
      <x:c r="M82" s="27" t="str">
        <x:v>一次確認済</x:v>
      </x:c>
      <x:c r="N82" s="27" t="str">
        <x:v>https://www.city.kawasaki.jp/170/page/0000153797.html</x:v>
      </x:c>
      <x:c r="O82" s="27" t="str">
        <x:v>復元棟は旧川崎市役所本庁舎の象徴的外観を再現し、都市の記憶を新庁舎へ継承している。</x:v>
      </x:c>
      <x:c r="P82" s="49" t="e">
        <x:f>HYPERLINK("https://ja.wikipedia.org/wiki/Special:Search?search=%E5%B7%9D%E5%B4%8E%E5%B8%82%E5%BD%B9%E6%89%80%20%E5%B1%95%E6%9C%9B%E3%83%AD%E3%83%93%E3%83%BC%E3%83%BB%E3%82%B9%E3%82%AB%E3%82%A4%E3%83%87%E3%83%83%E3%82%AD","Wikipedia・関連項目")</x:f>
      </x:c>
      <x:c r="Q82" s="27"/>
    </x:row>
    <x:row r="83">
      <x:c r="A83" s="27" t="str">
        <x:v>D210</x:v>
      </x:c>
      <x:c r="B83" s="27" t="str">
        <x:v>川越水上公園</x:v>
      </x:c>
      <x:c r="C83" s="27" t="str">
        <x:v>埼玉県川越市</x:v>
      </x:c>
      <x:c r="D83" s="27" t="str">
        <x:v>池・水上公園・夜間休憩</x:v>
      </x:c>
      <x:c r="E83" s="49" t="e">
        <x:f>HYPERLINK("https://www.google.com/maps/dir/?api=1&amp;destination=%E5%B7%9D%E8%B6%8A%E6%B0%B4%E4%B8%8A%E5%85%AC%E5%9C%92&amp;travelmode=driving","現在地からナビ開始")</x:f>
      </x:c>
      <x:c r="F83" s="27" t="str">
        <x:v>大きな池、芝生、季節施設があり、川越観光の後に市街地を離れて水辺で休める。</x:v>
      </x:c>
      <x:c r="G83" s="27" t="str">
        <x:v>あり・通常無料、夏季プール期間は有料</x:v>
      </x:c>
      <x:c r="H83" s="27" t="str">
        <x:v>正門閉鎖 0:30～5:00／施設は個別時間</x:v>
      </x:c>
      <x:c r="I83" s="27" t="n">
        <x:v>4</x:v>
      </x:c>
      <x:c r="J83" s="27" t="n">
        <x:v>3</x:v>
      </x:c>
      <x:c r="K83" s="27" t="str">
        <x:v>深夜は正門閉鎖。夏季プール期間は駐車料金と混雑が変わる。公園利用目的外の駐車禁止。</x:v>
      </x:c>
      <x:c r="L83" s="28" t="n">
        <x:v>46232</x:v>
      </x:c>
      <x:c r="M83" s="27" t="str">
        <x:v>一次確認済</x:v>
      </x:c>
      <x:c r="N83" s="27" t="str">
        <x:v>https://www.parks.or.jp/kawagoesuijo/faq/001/001296.html</x:v>
      </x:c>
      <x:c r="O83" s="27" t="str">
        <x:v>夏はプール、冬はプールを活用した管理釣り場など、季節で水面の役割が変わる県営公園。</x:v>
      </x:c>
      <x:c r="P83" s="49" t="e">
        <x:f>HYPERLINK("https://ja.wikipedia.org/wiki/Special:Search?search=%E5%B7%9D%E8%B6%8A%E6%B0%B4%E4%B8%8A%E5%85%AC%E5%9C%92","Wikipedia・関連項目")</x:f>
      </x:c>
      <x:c r="Q83" s="27" t="str">
        <x:v>新規追加。川越方面の夜間Ending候補として採用。</x:v>
      </x:c>
    </x:row>
    <x:row r="84">
      <x:c r="A84" s="27" t="str">
        <x:v>D060</x:v>
      </x:c>
      <x:c r="B84" s="27" t="str">
        <x:v>幕張海浜公園 Cブロック</x:v>
      </x:c>
      <x:c r="C84" s="27" t="str">
        <x:v>千葉市・美浜区</x:v>
      </x:c>
      <x:c r="D84" s="27" t="str">
        <x:v>都市海岸・日本庭園・夜間公園</x:v>
      </x:c>
      <x:c r="E84" s="49" t="e">
        <x:f>HYPERLINK("https://www.google.com/maps/dir/?api=1&amp;destination=%E5%B9%95%E5%BC%B5%E6%B5%B7%E6%B5%9C%E5%85%AC%E5%9C%92%20C%E3%83%96%E3%83%AD%E3%83%83%E3%82%AF&amp;travelmode=driving","現在地からナビ開始")</x:f>
      </x:c>
      <x:c r="F84" s="27" t="str">
        <x:v>幕張の都市景観と広い公園を組み合わせ、千葉湾岸の夜間中継・Endingに使える。</x:v>
      </x:c>
      <x:c r="G84" s="27" t="str">
        <x:v>あり・46台・有料</x:v>
      </x:c>
      <x:c r="H84" s="27" t="str">
        <x:v>Cブロック駐車場 24時間</x:v>
      </x:c>
      <x:c r="I84" s="27" t="n">
        <x:v>4</x:v>
      </x:c>
      <x:c r="J84" s="27" t="n">
        <x:v>3</x:v>
      </x:c>
      <x:c r="K84" s="27" t="str">
        <x:v>大規模イベント・花火・野球開催日は規制と混雑を確認。</x:v>
      </x:c>
      <x:c r="L84" s="28" t="n">
        <x:v>46232</x:v>
      </x:c>
      <x:c r="M84" s="27" t="str">
        <x:v>一次確認済</x:v>
      </x:c>
      <x:c r="N84" s="27" t="str">
        <x:v>https://www.seibu-la.co.jp/makuhari/news/202506111502328159.html</x:v>
      </x:c>
      <x:c r="O84" s="27" t="str">
        <x:v>幕張海浜公園は幕張新都心の都市計画と一体で整備され、日本庭園『見浜園』は山・川・海を凝縮して表現する。</x:v>
      </x:c>
      <x:c r="P84" s="49" t="e">
        <x:f>HYPERLINK("https://ja.wikipedia.org/wiki/Special:Search?search=%E5%B9%95%E5%BC%B5%E6%B5%B7%E6%B5%9C%E5%85%AC%E5%9C%92%20C%E3%83%96%E3%83%AD%E3%83%83%E3%82%AF","Wikipedia・関連項目")</x:f>
      </x:c>
      <x:c r="Q84" s="27"/>
    </x:row>
    <x:row r="85">
      <x:c r="A85" s="27" t="str">
        <x:v>D253</x:v>
      </x:c>
      <x:c r="B85" s="27" t="str">
        <x:v>平和島公園</x:v>
      </x:c>
      <x:c r="C85" s="27" t="str">
        <x:v>大田区・平和島</x:v>
      </x:c>
      <x:c r="D85" s="27" t="str">
        <x:v>総合公園・防災・24時間駐車</x:v>
      </x:c>
      <x:c r="E85" s="49" t="e">
        <x:f>HYPERLINK("https://www.google.com/maps/dir/?api=1&amp;destination=%E5%B9%B3%E5%92%8C%E5%B3%B6%E5%85%AC%E5%9C%92&amp;travelmode=driving","現在地からナビ開始")</x:f>
      </x:c>
      <x:c r="F85" s="27" t="str">
        <x:v>蒲田から近く、80台の24時間駐車場がある。遠出する気力がない夜でも、緑・広場・水施設で短時間のリセット先になる。</x:v>
      </x:c>
      <x:c r="G85" s="27" t="str">
        <x:v>第1駐車場60台＋第2駐車場20台・30分100円・24時間</x:v>
      </x:c>
      <x:c r="H85" s="27" t="str">
        <x:v>公園・駐車場24時間</x:v>
      </x:c>
      <x:c r="I85" s="27" t="n">
        <x:v>4</x:v>
      </x:c>
      <x:c r="J85" s="27" t="n">
        <x:v>3</x:v>
      </x:c>
      <x:c r="K85" s="27" t="str">
        <x:v>休日は入庫待ちが長くなる場合がある。公園利用以外の駐車は禁止。夜間は住宅・スポーツ利用者へ配慮。</x:v>
      </x:c>
      <x:c r="L85" s="28" t="n">
        <x:v>46232</x:v>
      </x:c>
      <x:c r="M85" s="27" t="str">
        <x:v>一次確認済</x:v>
      </x:c>
      <x:c r="N85" s="27" t="str">
        <x:v>https://www.city.ota.tokyo.jp/shisetsu/park/heiwajima.html</x:v>
      </x:c>
      <x:c r="O85" s="27" t="str">
        <x:v>京浜運河沿いの埋立地に整備された公園で、スポーツ・レクリエーションと防災機能を兼ねる。</x:v>
      </x:c>
      <x:c r="P85" s="49" t="e">
        <x:f>HYPERLINK("https://ja.wikipedia.org/wiki/Special:Search?search=%E5%B9%B3%E5%92%8C%E5%B3%B6%E5%85%AC%E5%9C%92","Wikipedia・関連項目")</x:f>
      </x:c>
      <x:c r="Q85" s="27" t="str">
        <x:v>近距離代替経由地プール追加</x:v>
      </x:c>
    </x:row>
    <x:row r="86">
      <x:c r="A86" s="27" t="str">
        <x:v>D152</x:v>
      </x:c>
      <x:c r="B86" s="27" t="str">
        <x:v>府中の森公園</x:v>
      </x:c>
      <x:c r="C86" s="27" t="str">
        <x:v>府中市・浅間町</x:v>
      </x:c>
      <x:c r="D86" s="27" t="str">
        <x:v>並木・文化施設・24時間駐車</x:v>
      </x:c>
      <x:c r="E86" s="49" t="e">
        <x:f>HYPERLINK("https://www.google.com/maps/dir/?api=1&amp;destination=%E5%BA%9C%E4%B8%AD%E3%81%AE%E6%A3%AE%E5%85%AC%E5%9C%92&amp;travelmode=driving","現在地からナビ開始")</x:f>
      </x:c>
      <x:c r="F86" s="27" t="str">
        <x:v>整った並木と文化施設があり、西東京の夜間休憩地点として安定する。</x:v>
      </x:c>
      <x:c r="G86" s="27" t="str">
        <x:v>あり・有料・24時間</x:v>
      </x:c>
      <x:c r="H86" s="27" t="str">
        <x:v>公園常時／駐車場24時間</x:v>
      </x:c>
      <x:c r="I86" s="27" t="n">
        <x:v>4</x:v>
      </x:c>
      <x:c r="J86" s="27" t="n">
        <x:v>3</x:v>
      </x:c>
      <x:c r="K86" s="27" t="str">
        <x:v>イベント時は駐車場混雑。住宅地に近いため夜間は静粛に利用。</x:v>
      </x:c>
      <x:c r="L86" s="28" t="n">
        <x:v>46232</x:v>
      </x:c>
      <x:c r="M86" s="27" t="str">
        <x:v>一次確認済</x:v>
      </x:c>
      <x:c r="N86" s="27" t="str">
        <x:v>https://www.tokyo-park.or.jp/park/fuchunomori/index.html</x:v>
      </x:c>
      <x:c r="O86" s="27" t="str">
        <x:v>周辺は旧米軍府中基地跡地を含む公共施設集積地で、戦後の土地利用転換を感じられる。</x:v>
      </x:c>
      <x:c r="P86" s="49" t="e">
        <x:f>HYPERLINK("https://ja.wikipedia.org/wiki/Special:Search?search=%E5%BA%9C%E4%B8%AD%E3%81%AE%E6%A3%AE%E5%85%AC%E5%9C%92","Wikipedia・関連項目")</x:f>
      </x:c>
      <x:c r="Q86" s="27" t="str">
        <x:v>2026-07-29公式再確認：駐車場24時間営業を反映。</x:v>
      </x:c>
    </x:row>
    <x:row r="87">
      <x:c r="A87" s="27" t="str">
        <x:v>D085</x:v>
      </x:c>
      <x:c r="B87" s="27" t="str">
        <x:v>成田市さくらの山</x:v>
      </x:c>
      <x:c r="C87" s="27" t="str">
        <x:v>成田市・駒井野</x:v>
      </x:c>
      <x:c r="D87" s="27" t="str">
        <x:v>飛行機・高台・桜</x:v>
      </x:c>
      <x:c r="E87" s="49" t="e">
        <x:f>HYPERLINK("https://www.google.com/maps/dir/?api=1&amp;destination=%E6%88%90%E7%94%B0%E5%B8%82%E3%81%95%E3%81%8F%E3%82%89%E3%81%AE%E5%B1%B1&amp;travelmode=driving","現在地からナビ開始")</x:f>
      </x:c>
      <x:c r="F87" s="27" t="str">
        <x:v>成田空港の離着陸機を小高い丘から望み、羽田とは異なる航空機Endingを作れる。</x:v>
      </x:c>
      <x:c r="G87" s="27" t="str">
        <x:v>あり・無料</x:v>
      </x:c>
      <x:c r="H87" s="27" t="str">
        <x:v>6:00～23:00</x:v>
      </x:c>
      <x:c r="I87" s="27" t="n">
        <x:v>4</x:v>
      </x:c>
      <x:c r="J87" s="27" t="n">
        <x:v>3</x:v>
      </x:c>
      <x:c r="K87" s="27" t="str">
        <x:v>桜期は大混雑。脚立・騒音・指定外への車両進入は禁止。</x:v>
      </x:c>
      <x:c r="L87" s="28" t="n">
        <x:v>46232</x:v>
      </x:c>
      <x:c r="M87" s="27" t="str">
        <x:v>一次確認済</x:v>
      </x:c>
      <x:c r="N87" s="27" t="str">
        <x:v>https://www.city.narita.chiba.jp/kanko/page151300.html</x:v>
      </x:c>
      <x:c r="O87" s="27" t="str">
        <x:v>さくらの山は成田空港A滑走路北側の代表的な航空機観賞地で、風向きにより着陸・離陸の表情が変わる。</x:v>
      </x:c>
      <x:c r="P87" s="49" t="e">
        <x:f>HYPERLINK("https://ja.wikipedia.org/wiki/Special:Search?search=%E6%88%90%E7%94%B0%E5%B8%82%E3%81%95%E3%81%8F%E3%82%89%E3%81%AE%E5%B1%B1","Wikipedia・関連項目")</x:f>
      </x:c>
      <x:c r="Q87" s="27" t="str">
        <x:v>2026-07-29品質補足：風向きで離着陸方向が変わるため、当日の滑走路運用で価値が変動。</x:v>
      </x:c>
    </x:row>
    <x:row r="88">
      <x:c r="A88" s="27" t="str">
        <x:v>D121</x:v>
      </x:c>
      <x:c r="B88" s="27" t="str">
        <x:v>所沢航空記念公園</x:v>
      </x:c>
      <x:c r="C88" s="27" t="str">
        <x:v>埼玉県所沢市</x:v>
      </x:c>
      <x:c r="D88" s="27" t="str">
        <x:v>飛行機・航空史・24時間駐車</x:v>
      </x:c>
      <x:c r="E88" s="49" t="e">
        <x:f>HYPERLINK("https://www.google.com/maps/dir/?api=1&amp;destination=%E6%89%80%E6%B2%A2%E8%88%AA%E7%A9%BA%E8%A8%98%E5%BF%B5%E5%85%AC%E5%9C%92&amp;travelmode=driving","現在地からナビ開始")</x:f>
      </x:c>
      <x:c r="F88" s="27" t="str">
        <x:v>日本の航空発祥地というStory Layerと実機展示があり、昼は展示、夜は広い空と公園の余韻を楽しめる。</x:v>
      </x:c>
      <x:c r="G88" s="27" t="str">
        <x:v>あり・計580台、記念館横は工事閉鎖中</x:v>
      </x:c>
      <x:c r="H88" s="27" t="str">
        <x:v>南・東・北駐車場 24時間</x:v>
      </x:c>
      <x:c r="I88" s="27" t="n">
        <x:v>4</x:v>
      </x:c>
      <x:c r="J88" s="27" t="n">
        <x:v>3</x:v>
      </x:c>
      <x:c r="K88" s="27" t="str">
        <x:v>航空発祥記念館は2027年3月末予定まで改修中。夜は園路の明るい区域に限定。</x:v>
      </x:c>
      <x:c r="L88" s="28" t="n">
        <x:v>46232</x:v>
      </x:c>
      <x:c r="M88" s="27" t="str">
        <x:v>一次確認済</x:v>
      </x:c>
      <x:c r="N88" s="27" t="str">
        <x:v>https://www.parks.or.jp/tokorozawa-kokuu/guide/001/001581.html</x:v>
      </x:c>
      <x:c r="O88" s="27" t="str">
        <x:v>所沢には1911年、日本初の飛行場が開設され、『日本の航空発祥の地』とされている。</x:v>
      </x:c>
      <x:c r="P88" s="49" t="e">
        <x:f>HYPERLINK("https://ja.wikipedia.org/wiki/Special:Search?search=%E6%89%80%E6%B2%A2%E8%88%AA%E7%A9%BA%E8%A8%98%E5%BF%B5%E5%85%AC%E5%9C%92","Wikipedia・関連項目")</x:f>
      </x:c>
      <x:c r="Q88" s="27" t="str">
        <x:v>2026-07-29再点検：記念館改修中と24時間駐車場の役割分離を維持。</x:v>
      </x:c>
    </x:row>
    <x:row r="89">
      <x:c r="A89" s="27" t="str">
        <x:v>D083</x:v>
      </x:c>
      <x:c r="B89" s="27" t="str">
        <x:v>手賀沼公園</x:v>
      </x:c>
      <x:c r="C89" s="27" t="str">
        <x:v>我孫子市・若松</x:v>
      </x:c>
      <x:c r="D89" s="27" t="str">
        <x:v>湖・水辺・夕景</x:v>
      </x:c>
      <x:c r="E89" s="49" t="e">
        <x:f>HYPERLINK("https://www.google.com/maps/dir/?api=1&amp;destination=%E6%89%8B%E8%B3%80%E6%B2%BC%E5%85%AC%E5%9C%92&amp;travelmode=driving","現在地からナビ開始")</x:f>
      </x:c>
      <x:c r="F89" s="27" t="str">
        <x:v>手賀沼の大きな水面と遊歩道があり、湖畔を眺めながら静かに終われる。</x:v>
      </x:c>
      <x:c r="G89" s="27" t="str">
        <x:v>あり・50台・有料</x:v>
      </x:c>
      <x:c r="H89" s="27" t="str">
        <x:v>入庫 6:00～21:30／出庫24時間</x:v>
      </x:c>
      <x:c r="I89" s="27" t="n">
        <x:v>4</x:v>
      </x:c>
      <x:c r="J89" s="27" t="n">
        <x:v>3</x:v>
      </x:c>
      <x:c r="K89" s="27" t="str">
        <x:v>花火大会等は周辺規制あり。21時30分以降は新規入庫不可。</x:v>
      </x:c>
      <x:c r="L89" s="28" t="n">
        <x:v>46232</x:v>
      </x:c>
      <x:c r="M89" s="27" t="str">
        <x:v>一次確認済</x:v>
      </x:c>
      <x:c r="N89" s="27" t="str">
        <x:v>https://www.city.abiko.chiba.jp/event/shizennonaka/kouenryokuchi/park/citypark/teganuma.html</x:v>
      </x:c>
      <x:c r="O89" s="27" t="str">
        <x:v>手賀沼周辺には志賀直哉・武者小路実篤ら白樺派の文人が暮らし、我孫子は文学の町として知られる。</x:v>
      </x:c>
      <x:c r="P89" s="49" t="e">
        <x:f>HYPERLINK("https://ja.wikipedia.org/wiki/Special:Search?search=%E6%89%8B%E8%B3%80%E6%B2%BC%E5%85%AC%E5%9C%92","Wikipedia・関連項目")</x:f>
      </x:c>
      <x:c r="Q89" s="27"/>
    </x:row>
    <x:row r="90">
      <x:c r="A90" s="27" t="str">
        <x:v>D098</x:v>
      </x:c>
      <x:c r="B90" s="27" t="str">
        <x:v>木場公園</x:v>
      </x:c>
      <x:c r="C90" s="27" t="str">
        <x:v>江東区・木場</x:v>
      </x:c>
      <x:c r="D90" s="27" t="str">
        <x:v>都市公園・橋・夜間休憩</x:v>
      </x:c>
      <x:c r="E90" s="49" t="e">
        <x:f>HYPERLINK("https://www.google.com/maps/dir/?api=1&amp;destination=%E6%9C%A8%E5%A0%B4%E5%85%AC%E5%9C%92&amp;travelmode=driving","現在地からナビ開始")</x:f>
      </x:c>
      <x:c r="F90" s="27" t="str">
        <x:v>木場公園大橋と広い芝生があり、湾岸・都心走行を緑の空間で終えられる。</x:v>
      </x:c>
      <x:c r="G90" s="27" t="str">
        <x:v>あり・有料</x:v>
      </x:c>
      <x:c r="H90" s="27" t="str">
        <x:v>駐車場 24時間</x:v>
      </x:c>
      <x:c r="I90" s="27" t="n">
        <x:v>4</x:v>
      </x:c>
      <x:c r="J90" s="27" t="n">
        <x:v>3</x:v>
      </x:c>
      <x:c r="K90" s="27" t="str">
        <x:v>イベント時は混雑。公道での入庫待ち禁止。商用撮影は申請が必要。</x:v>
      </x:c>
      <x:c r="L90" s="28" t="n">
        <x:v>46232</x:v>
      </x:c>
      <x:c r="M90" s="27" t="str">
        <x:v>一次確認済</x:v>
      </x:c>
      <x:c r="N90" s="27" t="str">
        <x:v>https://www.tokyo-park.or.jp/park/kiba/index.html</x:v>
      </x:c>
      <x:c r="O90" s="27" t="str">
        <x:v>木場という地名は、江戸時代に材木を保管・取引した『木場』が置かれたことに由来する。</x:v>
      </x:c>
      <x:c r="P90" s="49" t="e">
        <x:f>HYPERLINK("https://ja.wikipedia.org/wiki/Special:Search?search=%E6%9C%A8%E5%A0%B4%E5%85%AC%E5%9C%92","Wikipedia・関連項目")</x:f>
      </x:c>
      <x:c r="Q90" s="27"/>
    </x:row>
    <x:row r="91">
      <x:c r="A91" s="27" t="str">
        <x:v>D222</x:v>
      </x:c>
      <x:c r="B91" s="27" t="str">
        <x:v>東品川海上公園</x:v>
      </x:c>
      <x:c r="C91" s="27" t="str">
        <x:v>東京都品川区</x:v>
      </x:c>
      <x:c r="D91" s="27" t="str">
        <x:v>運河・屋上庭園・Story</x:v>
      </x:c>
      <x:c r="E91" s="49" t="e">
        <x:f>HYPERLINK("https://www.google.com/maps/dir/?api=1&amp;destination=%E6%9D%B1%E5%93%81%E5%B7%9D%E6%B5%B7%E4%B8%8A%E5%85%AC%E5%9C%92&amp;travelmode=driving","現在地からナビ開始")</x:f>
      </x:c>
      <x:c r="F91" s="27" t="str">
        <x:v>目黒川が天王洲南運河へ注ぐ河口で、運河、橋、ポンプ場屋上庭園、ミッフィー花壇を短時間で巡れる。</x:v>
      </x:c>
      <x:c r="G91" s="27" t="str">
        <x:v>園内専用なし／隣接時間貸し19台・24時間</x:v>
      </x:c>
      <x:c r="H91" s="27" t="str">
        <x:v>公園常時利用可／工事・イベント範囲は当日確認</x:v>
      </x:c>
      <x:c r="I91" s="27" t="n">
        <x:v>4</x:v>
      </x:c>
      <x:c r="J91" s="27" t="n">
        <x:v>3</x:v>
      </x:c>
      <x:c r="K91" s="27" t="str">
        <x:v>専用駐車場はない。必ず合法な時間貸し駐車場を利用し、周辺道路での乗降・待機をしない。Park-PFI工事確認。</x:v>
      </x:c>
      <x:c r="L91" s="28" t="n">
        <x:v>46232</x:v>
      </x:c>
      <x:c r="M91" s="27" t="str">
        <x:v>条件付き採用</x:v>
      </x:c>
      <x:c r="N91" s="27" t="str">
        <x:v>https://shinagawa-kanko.or.jp/spot/higasishinagawakaijoukouen/</x:v>
      </x:c>
      <x:c r="O91" s="27" t="str">
        <x:v>天王洲の運河景観に、下水ポンプ場上部の屋上庭園を重ねた立体的な都市公園。ディック・ブルーナの意匠もある。</x:v>
      </x:c>
      <x:c r="P91" s="49" t="e">
        <x:f>HYPERLINK("https://ja.wikipedia.org/wiki/Special:Search?search=%E6%9D%B1%E5%93%81%E5%B7%9D%E6%B5%B7%E4%B8%8A%E5%85%AC%E5%9C%92","Wikipedia・関連項目")</x:f>
      </x:c>
      <x:c r="Q91" s="27" t="str">
        <x:v>新規追加。駐車場条件を明示した近距離・短時間Ending。</x:v>
      </x:c>
    </x:row>
    <x:row r="92">
      <x:c r="A92" s="27" t="str">
        <x:v>D139</x:v>
      </x:c>
      <x:c r="B92" s="27" t="str">
        <x:v>東綾瀬公園</x:v>
      </x:c>
      <x:c r="C92" s="27" t="str">
        <x:v>東京都足立区</x:v>
      </x:c>
      <x:c r="D92" s="27" t="str">
        <x:v>水辺・都市公園・24時間駐車</x:v>
      </x:c>
      <x:c r="E92" s="49" t="e">
        <x:f>HYPERLINK("https://www.google.com/maps/dir/?api=1&amp;destination=%E6%9D%B1%E7%B6%BE%E7%80%AC%E5%85%AC%E5%9C%92&amp;travelmode=driving","現在地からナビ開始")</x:f>
      </x:c>
      <x:c r="F92" s="27" t="str">
        <x:v>曲線状に続く水辺と緑地があり、東京東部の夜間Sessionを安全な駐車場で締められる。</x:v>
      </x:c>
      <x:c r="G92" s="27" t="str">
        <x:v>あり・107台、有料</x:v>
      </x:c>
      <x:c r="H92" s="27" t="str">
        <x:v>駐車場 24時間</x:v>
      </x:c>
      <x:c r="I92" s="27" t="n">
        <x:v>4</x:v>
      </x:c>
      <x:c r="J92" s="27" t="n">
        <x:v>3</x:v>
      </x:c>
      <x:c r="K92" s="27" t="str">
        <x:v>住宅地に近い。夜間は照明のある主要区域に限定し、騒音・長時間滞在を避ける。</x:v>
      </x:c>
      <x:c r="L92" s="28" t="n">
        <x:v>46232</x:v>
      </x:c>
      <x:c r="M92" s="27" t="str">
        <x:v>一次確認済</x:v>
      </x:c>
      <x:c r="N92" s="27" t="str">
        <x:v>https://www.tokyo-park.or.jp/park/higashi-ayase/index.html</x:v>
      </x:c>
      <x:c r="O92" s="27" t="str">
        <x:v>東綾瀬公園は細長く湾曲した園地が水路沿いに続き、周辺住宅地を包む大きな緑の帯になっている。</x:v>
      </x:c>
      <x:c r="P92" s="49" t="e">
        <x:f>HYPERLINK("https://ja.wikipedia.org/wiki/Special:Search?search=%E6%9D%B1%E7%B6%BE%E7%80%AC%E5%85%AC%E5%9C%92","Wikipedia・関連項目")</x:f>
      </x:c>
      <x:c r="Q92" s="27"/>
    </x:row>
    <x:row r="93">
      <x:c r="A93" s="27" t="str">
        <x:v>D080</x:v>
      </x:c>
      <x:c r="B93" s="27" t="str">
        <x:v>根岸森林公園</x:v>
      </x:c>
      <x:c r="C93" s="27" t="str">
        <x:v>横浜市・中区</x:v>
      </x:c>
      <x:c r="D93" s="27" t="str">
        <x:v>高台・芝生・都市近郊</x:v>
      </x:c>
      <x:c r="E93" s="49" t="e">
        <x:f>HYPERLINK("https://www.google.com/maps/dir/?api=1&amp;destination=%E6%A0%B9%E5%B2%B8%E6%A3%AE%E6%9E%97%E5%85%AC%E5%9C%92&amp;travelmode=driving","現在地からナビ開始")</x:f>
      </x:c>
      <x:c r="F93" s="27" t="str">
        <x:v>広い芝生と旧競馬場の高台景観があり、横浜中心部の後に静けさを作れる。</x:v>
      </x:c>
      <x:c r="G93" s="27" t="str">
        <x:v>第1・第2駐車場 各約100台・有料</x:v>
      </x:c>
      <x:c r="H93" s="27" t="str">
        <x:v>公園常時／駐車場は運営案内・現地表示を確認</x:v>
      </x:c>
      <x:c r="I93" s="27" t="n">
        <x:v>4</x:v>
      </x:c>
      <x:c r="J93" s="27" t="n">
        <x:v>3</x:v>
      </x:c>
      <x:c r="K93" s="27" t="str">
        <x:v>桜期・休日は満車と周辺渋滞。路上待機禁止。閉場時刻は当日表示を優先。</x:v>
      </x:c>
      <x:c r="L93" s="28" t="n">
        <x:v>46232</x:v>
      </x:c>
      <x:c r="M93" s="27" t="str">
        <x:v>一次確認済</x:v>
      </x:c>
      <x:c r="N93" s="27" t="str">
        <x:v>https://www.city.yokohama.lg.jp/kurashi/machizukuri-kankyo/midori-koen/koen/koen/daihyoteki/negishi/kouen010.html</x:v>
      </x:c>
      <x:c r="O93" s="27" t="str">
        <x:v>根岸森林公園は日本初の本格的な洋式競馬場・横浜競馬場の跡地で、旧一等馬見所が今も残る。</x:v>
      </x:c>
      <x:c r="P93" s="49" t="e">
        <x:f>HYPERLINK("https://ja.wikipedia.org/wiki/Special:Search?search=%E6%A0%B9%E5%B2%B8%E6%A3%AE%E6%9E%97%E5%85%AC%E5%9C%92","Wikipedia・関連項目")</x:f>
      </x:c>
      <x:c r="Q93" s="27" t="str">
        <x:v>2026-07-29公式再確認：駐車場合計約200台と競馬場跡Storyを経由地設計へ反映。</x:v>
      </x:c>
    </x:row>
    <x:row r="94">
      <x:c r="A94" s="27" t="str">
        <x:v>D143</x:v>
      </x:c>
      <x:c r="B94" s="27" t="str">
        <x:v>桜ヶ丘公園 ゆうひの丘</x:v>
      </x:c>
      <x:c r="C94" s="27" t="str">
        <x:v>多摩市・連光寺</x:v>
      </x:c>
      <x:c r="D94" s="27" t="str">
        <x:v>高台・夕景・夜景</x:v>
      </x:c>
      <x:c r="E94" s="49" t="e">
        <x:f>HYPERLINK("https://www.google.com/maps/dir/?api=1&amp;destination=%E6%A1%9C%E3%83%B6%E4%B8%98%E5%85%AC%E5%9C%92%20%E3%82%86%E3%81%86%E3%81%B2%E3%81%AE%E4%B8%98&amp;travelmode=driving","現在地からナビ開始")</x:f>
      </x:c>
      <x:c r="F94" s="27" t="str">
        <x:v>多摩丘陵の高台から市街地の夕景を眺められ、短い徒歩で到達感が得られる。</x:v>
      </x:c>
      <x:c r="G94" s="27" t="str">
        <x:v>あり・ゆうひの丘側約38台、無料</x:v>
      </x:c>
      <x:c r="H94" s="27" t="str">
        <x:v>8:45～20:00、夜間閉鎖</x:v>
      </x:c>
      <x:c r="I94" s="27" t="n">
        <x:v>4</x:v>
      </x:c>
      <x:c r="J94" s="27" t="n">
        <x:v>3</x:v>
      </x:c>
      <x:c r="K94" s="27" t="str">
        <x:v>20時閉鎖。週末は満車時の公道待機禁止。住宅地のため静粛必須。</x:v>
      </x:c>
      <x:c r="L94" s="28" t="n">
        <x:v>46232</x:v>
      </x:c>
      <x:c r="M94" s="27" t="str">
        <x:v>一次確認済</x:v>
      </x:c>
      <x:c r="N94" s="27" t="str">
        <x:v>https://www.tokyo-park.or.jp/park/sakuragaoka/index.html</x:v>
      </x:c>
      <x:c r="O94" s="27" t="str">
        <x:v>園内には旧多摩聖蹟記念館があり、『聖蹟』は明治天皇が当地を訪れたことに由来する。</x:v>
      </x:c>
      <x:c r="P94" s="49" t="e">
        <x:f>HYPERLINK("https://ja.wikipedia.org/wiki/Special:Search?search=%E6%A1%9C%E3%83%B6%E4%B8%98%E5%85%AC%E5%9C%92%20%E3%82%86%E3%81%86%E3%81%B2%E3%81%AE%E4%B8%98","Wikipedia・関連項目")</x:f>
      </x:c>
      <x:c r="Q94" s="27"/>
    </x:row>
    <x:row r="95">
      <x:c r="A95" s="27" t="str">
        <x:v>D185</x:v>
      </x:c>
      <x:c r="B95" s="27" t="str">
        <x:v>横須賀美術館 海の広場</x:v>
      </x:c>
      <x:c r="C95" s="27" t="str">
        <x:v>横須賀市・観音崎</x:v>
      </x:c>
      <x:c r="D95" s="27" t="str">
        <x:v>建築・海・美術・夜間広場</x:v>
      </x:c>
      <x:c r="E95" s="49" t="e">
        <x:f>HYPERLINK("https://www.google.com/maps/dir/?api=1&amp;destination=%E6%A8%AA%E9%A0%88%E8%B3%80%E7%BE%8E%E8%A1%93%E9%A4%A8%20%E6%B5%B7%E3%81%AE%E5%BA%83%E5%A0%B4&amp;travelmode=driving","現在地からナビ開始")</x:f>
      </x:c>
      <x:c r="F95" s="27" t="str">
        <x:v>ガラスと白い建築、芝生、浦賀水道を一体で眺められ、展示を見なくても建築と海で目的地として成立する。</x:v>
      </x:c>
      <x:c r="G95" s="27" t="str">
        <x:v>あり・普通車120台・有料</x:v>
      </x:c>
      <x:c r="H95" s="27" t="str">
        <x:v>駐車場 8:00～22:00／美術館は2026-09-04まで長期休館</x:v>
      </x:c>
      <x:c r="I95" s="27" t="n">
        <x:v>4</x:v>
      </x:c>
      <x:c r="J95" s="27" t="n">
        <x:v>3</x:v>
      </x:c>
      <x:c r="K95" s="27" t="str">
        <x:v>休館中も海の広場と駐車場は利用可。屋上広場は閉鎖中。道路上での入庫待ち・路上駐車は禁止。</x:v>
      </x:c>
      <x:c r="L95" s="28" t="n">
        <x:v>46232</x:v>
      </x:c>
      <x:c r="M95" s="27" t="str">
        <x:v>一次確認済</x:v>
      </x:c>
      <x:c r="N95" s="27" t="str">
        <x:v>https://www.yokosuka-moa.jp/archive/news/2026/data-20260701-226.html</x:v>
      </x:c>
      <x:c r="O95" s="27" t="str">
        <x:v>横須賀美術館は山本理顕設計の建築で、建物の多くを地下に収め、海と緑の景観を壊さない構成が特徴とされる。</x:v>
      </x:c>
      <x:c r="P95" s="49" t="e">
        <x:f>HYPERLINK("https://ja.wikipedia.org/wiki/Special:Search?search=%E6%A8%AA%E9%A0%88%E8%B3%80%E7%BE%8E%E8%A1%93%E9%A4%A8%20%E6%B5%B7%E3%81%AE%E5%BA%83%E5%A0%B4","Wikipedia・関連項目")</x:f>
      </x:c>
      <x:c r="Q95" s="27" t="str">
        <x:v>2026-07-29再点検：本館休館中も海の広場・駐車場利用可。屋上広場閉鎖情報を維持。</x:v>
      </x:c>
    </x:row>
    <x:row r="96">
      <x:c r="A96" s="27" t="str">
        <x:v>D232</x:v>
      </x:c>
      <x:c r="B96" s="27" t="str">
        <x:v>武蔵国分寺公園</x:v>
      </x:c>
      <x:c r="C96" s="27" t="str">
        <x:v>東京都国分寺市</x:v>
      </x:c>
      <x:c r="D96" s="27" t="str">
        <x:v>歴史・鉄道学園跡・24時間駐車</x:v>
      </x:c>
      <x:c r="E96" s="49" t="e">
        <x:f>HYPERLINK("https://www.google.com/maps/dir/?api=1&amp;destination=%E6%AD%A6%E8%94%B5%E5%9B%BD%E5%88%86%E5%AF%BA%E5%85%AC%E5%9C%92&amp;travelmode=driving","現在地からナビ開始")</x:f>
      </x:c>
      <x:c r="F96" s="27" t="str">
        <x:v>芝生と円形広場の地下・周辺に古代国分寺と鉄道学園の記憶が重なる、夜間も使えるStory公園。</x:v>
      </x:c>
      <x:c r="G96" s="27" t="str">
        <x:v>あり・有料</x:v>
      </x:c>
      <x:c r="H96" s="27" t="str">
        <x:v>駐車場24時間</x:v>
      </x:c>
      <x:c r="I96" s="27" t="n">
        <x:v>4</x:v>
      </x:c>
      <x:c r="J96" s="27" t="n">
        <x:v>3</x:v>
      </x:c>
      <x:c r="K96" s="27" t="str">
        <x:v>駐車台数が多くない。住宅地に近いため夜間は静粛にし、史跡区域への車両進入禁止。</x:v>
      </x:c>
      <x:c r="L96" s="28" t="n">
        <x:v>46232</x:v>
      </x:c>
      <x:c r="M96" s="27" t="str">
        <x:v>一次確認済</x:v>
      </x:c>
      <x:c r="N96" s="27" t="str">
        <x:v>https://www.tokyo-park.or.jp/park/musashikokubunji/index.html</x:v>
      </x:c>
      <x:c r="O96" s="27" t="str">
        <x:v>旧国鉄中央鉄道学園跡地を公園化し、近隣には奈良時代の武蔵国分寺跡が残る。</x:v>
      </x:c>
      <x:c r="P96" s="49" t="e">
        <x:f>HYPERLINK("https://ja.wikipedia.org/wiki/Special:Search?search=%E6%AD%A6%E8%94%B5%E5%9B%BD%E5%88%86%E5%AF%BA%E5%85%AC%E5%9C%92","Wikipedia・関連項目")</x:f>
      </x:c>
      <x:c r="Q96" s="27" t="str">
        <x:v>新規追加。古代史と鉄道教育史を重ねる夜間対応地点。</x:v>
      </x:c>
    </x:row>
    <x:row r="97">
      <x:c r="A97" s="27" t="str">
        <x:v>D041</x:v>
      </x:c>
      <x:c r="B97" s="27" t="str">
        <x:v>水元公園</x:v>
      </x:c>
      <x:c r="C97" s="27" t="str">
        <x:v>葛飾区・水元</x:v>
      </x:c>
      <x:c r="D97" s="27" t="str">
        <x:v>湖沼・水辺・公園</x:v>
      </x:c>
      <x:c r="E97" s="49" t="e">
        <x:f>HYPERLINK("https://www.google.com/maps/dir/?api=1&amp;destination=%E6%B0%B4%E5%85%83%E5%85%AC%E5%9C%92&amp;travelmode=driving","現在地からナビ開始")</x:f>
      </x:c>
      <x:c r="F97" s="27" t="str">
        <x:v>都内最大級の水郷景観と広い水面があり、都市ドライブの最後を静かに落とせる。</x:v>
      </x:c>
      <x:c r="G97" s="27" t="str">
        <x:v>あり・有料</x:v>
      </x:c>
      <x:c r="H97" s="27" t="str">
        <x:v>駐車場 24時間</x:v>
      </x:c>
      <x:c r="I97" s="27" t="n">
        <x:v>4</x:v>
      </x:c>
      <x:c r="J97" s="27" t="n">
        <x:v>3</x:v>
      </x:c>
      <x:c r="K97" s="27" t="str">
        <x:v>夜は園内が広く暗い。駐車場周辺と主要園路に限定し、夏季の虫にも注意。</x:v>
      </x:c>
      <x:c r="L97" s="28" t="n">
        <x:v>46232</x:v>
      </x:c>
      <x:c r="M97" s="27" t="str">
        <x:v>一次確認済</x:v>
      </x:c>
      <x:c r="N97" s="27" t="str">
        <x:v>https://www.tokyo-park.or.jp/park/mizumoto/index.html</x:v>
      </x:c>
      <x:c r="O97" s="27" t="str">
        <x:v>水元公園は都内では珍しい水郷景観を持ち、かつての遊水地・ため池の環境を生かしている。</x:v>
      </x:c>
      <x:c r="P97" s="49" t="e">
        <x:f>HYPERLINK("https://ja.wikipedia.org/wiki/Special:Search?search=%E6%B0%B4%E5%85%83%E5%85%AC%E5%9C%92","Wikipedia・関連項目")</x:f>
      </x:c>
      <x:c r="Q97" s="27"/>
    </x:row>
    <x:row r="98">
      <x:c r="A98" s="27" t="str">
        <x:v>D217</x:v>
      </x:c>
      <x:c r="B98" s="27" t="str">
        <x:v>相模原麻溝公園</x:v>
      </x:c>
      <x:c r="C98" s="27" t="str">
        <x:v>相模原市・南区</x:v>
      </x:c>
      <x:c r="D98" s="27" t="str">
        <x:v>展望塔・大規模公園・夜間駐車</x:v>
      </x:c>
      <x:c r="E98" s="49" t="e">
        <x:f>HYPERLINK("https://www.google.com/maps/dir/?api=1&amp;destination=%E7%9B%B8%E6%A8%A1%E5%8E%9F%E9%BA%BB%E6%BA%9D%E5%85%AC%E5%9C%92&amp;travelmode=driving","現在地からナビ開始")</x:f>
      </x:c>
      <x:c r="F98" s="27" t="str">
        <x:v>グリーンタワーから相模原台地を見渡し、隣接する相模原公園と合わせて広い園地を巡れる。</x:v>
      </x:c>
      <x:c r="G98" s="27" t="str">
        <x:v>あり・第1駐車場常時開放、第2は混雑時</x:v>
      </x:c>
      <x:c r="H98" s="27" t="str">
        <x:v>第1駐車場常時開放／各施設は個別時間</x:v>
      </x:c>
      <x:c r="I98" s="27" t="n">
        <x:v>4</x:v>
      </x:c>
      <x:c r="J98" s="27" t="n">
        <x:v>3</x:v>
      </x:c>
      <x:c r="K98" s="27" t="str">
        <x:v>展望塔・動物広場等は時間制。イベント時は一部駐車場規制。夜は駐車場周辺中心。</x:v>
      </x:c>
      <x:c r="L98" s="28" t="n">
        <x:v>46232</x:v>
      </x:c>
      <x:c r="M98" s="27" t="str">
        <x:v>一次確認済</x:v>
      </x:c>
      <x:c r="N98" s="27" t="str">
        <x:v>https://www.city.sagamihara.kanagawa.jp/kurashi/shisetsu/kouen_kankou/kouen_ryokuchi/1003087.html</x:v>
      </x:c>
      <x:c r="O98" s="27" t="str">
        <x:v>高さ55mのグリーンタワー相模原は公園の象徴で、相模原市制施行30周年を記念して建てられた。</x:v>
      </x:c>
      <x:c r="P98" s="49" t="e">
        <x:f>HYPERLINK("https://ja.wikipedia.org/wiki/Special:Search?search=%E7%9B%B8%E6%A8%A1%E5%8E%9F%E9%BA%BB%E6%BA%9D%E5%85%AC%E5%9C%92","Wikipedia・関連項目")</x:f>
      </x:c>
      <x:c r="Q98" s="27" t="str">
        <x:v>新規追加。夜間駐車の確実性と昼の展望を両立。</x:v>
      </x:c>
    </x:row>
    <x:row r="99">
      <x:c r="A99" s="27" t="str">
        <x:v>D174</x:v>
      </x:c>
      <x:c r="B99" s="27" t="str">
        <x:v>石神井公園</x:v>
      </x:c>
      <x:c r="C99" s="27" t="str">
        <x:v>東京都練馬区</x:v>
      </x:c>
      <x:c r="D99" s="27" t="str">
        <x:v>池・城址・24時間出庫</x:v>
      </x:c>
      <x:c r="E99" s="49" t="e">
        <x:f>HYPERLINK("https://www.google.com/maps/dir/?api=1&amp;destination=%E7%9F%B3%E7%A5%9E%E4%BA%95%E5%85%AC%E5%9C%92&amp;travelmode=driving","現在地からナビ開始")</x:f>
      </x:c>
      <x:c r="F99" s="27" t="str">
        <x:v>三宝寺池の自然と石神井城址のStoryがあり、住宅都市の中で水辺と歴史を感じるEnding。</x:v>
      </x:c>
      <x:c r="G99" s="27" t="str">
        <x:v>あり・73台、有料</x:v>
      </x:c>
      <x:c r="H99" s="27" t="str">
        <x:v>第1は24時間／第2は入庫7:00～20:00・出庫24時間可</x:v>
      </x:c>
      <x:c r="I99" s="27" t="n">
        <x:v>4</x:v>
      </x:c>
      <x:c r="J99" s="27" t="n">
        <x:v>3</x:v>
      </x:c>
      <x:c r="K99" s="27" t="str">
        <x:v>池周辺は夜間暗い。住宅地のため静粛にし、石神井城址の立入範囲を守る。</x:v>
      </x:c>
      <x:c r="L99" s="28" t="n">
        <x:v>46232</x:v>
      </x:c>
      <x:c r="M99" s="27" t="str">
        <x:v>一次確認済</x:v>
      </x:c>
      <x:c r="N99" s="27" t="str">
        <x:v>https://www.tokyo-park.or.jp/park/shakujii/index.html</x:v>
      </x:c>
      <x:c r="O99" s="27" t="str">
        <x:v>三宝寺池周辺には中世の石神井城跡があり、豊島氏の滅亡伝説と照姫伝説が残る。</x:v>
      </x:c>
      <x:c r="P99" s="49" t="e">
        <x:f>HYPERLINK("https://ja.wikipedia.org/wiki/Special:Search?search=%E7%9F%B3%E7%A5%9E%E4%BA%95%E5%85%AC%E5%9C%92","Wikipedia・関連項目")</x:f>
      </x:c>
      <x:c r="Q99" s="27"/>
    </x:row>
    <x:row r="100">
      <x:c r="A100" s="27" t="str">
        <x:v>D131</x:v>
      </x:c>
      <x:c r="B100" s="27" t="str">
        <x:v>綾瀬スポーツ公園</x:v>
      </x:c>
      <x:c r="C100" s="27" t="str">
        <x:v>神奈川県綾瀬市</x:v>
      </x:c>
      <x:c r="D100" s="27" t="str">
        <x:v>飛行機・厚木基地・大規模駐車</x:v>
      </x:c>
      <x:c r="E100" s="49" t="e">
        <x:f>HYPERLINK("https://www.google.com/maps/dir/?api=1&amp;destination=%E7%B6%BE%E7%80%AC%E3%82%B9%E3%83%9D%E3%83%BC%E3%83%84%E5%85%AC%E5%9C%92&amp;travelmode=driving","現在地からナビ開始")</x:f>
      </x:c>
      <x:c r="F100" s="27" t="str">
        <x:v>厚木航空基地に隣接し、航空機を感じられる大規模公園。近距離の飛行機Sessionに向く。</x:v>
      </x:c>
      <x:c r="G100" s="27" t="str">
        <x:v>あり・普通車461台ほか、有料</x:v>
      </x:c>
      <x:c r="H100" s="27" t="str">
        <x:v>公園施設 6:00～19:00中心／レストハウス等は21:00まで</x:v>
      </x:c>
      <x:c r="I100" s="27" t="n">
        <x:v>4</x:v>
      </x:c>
      <x:c r="J100" s="27" t="n">
        <x:v>3</x:v>
      </x:c>
      <x:c r="K100" s="27" t="str">
        <x:v>航空機運用は日による。飛行場・基地施設の撮影ルールと公園利用時間を守る。</x:v>
      </x:c>
      <x:c r="L100" s="28" t="n">
        <x:v>46232</x:v>
      </x:c>
      <x:c r="M100" s="27" t="str">
        <x:v>一次確認済</x:v>
      </x:c>
      <x:c r="N100" s="27" t="str">
        <x:v>https://www.city.ayase.kanagawa.jp/kurashi_tetsuzuki/koen/ayasesportskoen/8199.html</x:v>
      </x:c>
      <x:c r="O100" s="27" t="str">
        <x:v>綾瀬スポーツ公園は厚木航空基地に隣接し、基地は海上自衛隊と米海軍が共同使用している。</x:v>
      </x:c>
      <x:c r="P100" s="49" t="e">
        <x:f>HYPERLINK("https://ja.wikipedia.org/wiki/Special:Search?search=%E7%B6%BE%E7%80%AC%E3%82%B9%E3%83%9D%E3%83%BC%E3%83%84%E5%85%AC%E5%9C%92","Wikipedia・関連項目")</x:f>
      </x:c>
      <x:c r="Q100" s="27"/>
    </x:row>
    <x:row r="101">
      <x:c r="A101" s="27" t="str">
        <x:v>D042</x:v>
      </x:c>
      <x:c r="B101" s="27" t="str">
        <x:v>舎人公園</x:v>
      </x:c>
      <x:c r="C101" s="27" t="str">
        <x:v>足立区・舎人</x:v>
      </x:c>
      <x:c r="D101" s="27" t="str">
        <x:v>池・公園・夜間休憩</x:v>
      </x:c>
      <x:c r="E101" s="49" t="e">
        <x:f>HYPERLINK("https://www.google.com/maps/dir/?api=1&amp;destination=%E8%88%8E%E4%BA%BA%E5%85%AC%E5%9C%92&amp;travelmode=driving","現在地からナビ開始")</x:f>
      </x:c>
      <x:c r="F101" s="27" t="str">
        <x:v>広い公園と池、複数の24時間駐車場があり、北東京方面の夜間Endingとして安定する。</x:v>
      </x:c>
      <x:c r="G101" s="27" t="str">
        <x:v>あり・有料</x:v>
      </x:c>
      <x:c r="H101" s="27" t="str">
        <x:v>第一～第三駐車場 24時間</x:v>
      </x:c>
      <x:c r="I101" s="27" t="n">
        <x:v>4</x:v>
      </x:c>
      <x:c r="J101" s="27" t="n">
        <x:v>3</x:v>
      </x:c>
      <x:c r="K101" s="27" t="str">
        <x:v>イベント時と週末は混雑。満車時の路上入庫待ちは不可。</x:v>
      </x:c>
      <x:c r="L101" s="28" t="n">
        <x:v>46232</x:v>
      </x:c>
      <x:c r="M101" s="27" t="str">
        <x:v>一次確認済</x:v>
      </x:c>
      <x:c r="N101" s="27" t="str">
        <x:v>https://www.tokyo-park.or.jp/park/toneri/index.html</x:v>
      </x:c>
      <x:c r="O101" s="27" t="str">
        <x:v>舎人公園は大規模な防災公園として計画され、震災時には避難・救援活動の拠点となる。</x:v>
      </x:c>
      <x:c r="P101" s="49" t="e">
        <x:f>HYPERLINK("https://ja.wikipedia.org/wiki/Special:Search?search=%E8%88%8E%E4%BA%BA%E5%85%AC%E5%9C%92","Wikipedia・関連項目")</x:f>
      </x:c>
      <x:c r="Q101" s="27"/>
    </x:row>
    <x:row r="102">
      <x:c r="A102" s="27" t="str">
        <x:v>D173</x:v>
      </x:c>
      <x:c r="B102" s="27" t="str">
        <x:v>舎人公園</x:v>
      </x:c>
      <x:c r="C102" s="27" t="str">
        <x:v>東京都足立区</x:v>
      </x:c>
      <x:c r="D102" s="27" t="str">
        <x:v>24時間駐車・池・高台・夜間</x:v>
      </x:c>
      <x:c r="E102" s="49" t="e">
        <x:f>HYPERLINK("https://www.google.com/maps/dir/?api=1&amp;destination=%E8%88%8E%E4%BA%BA%E5%85%AC%E5%9C%92&amp;travelmode=driving","現在地からナビ開始")</x:f>
      </x:c>
      <x:c r="F102" s="27" t="str">
        <x:v>大きな池と広場、少し高い丘があり、東京北東部の夜間Sessionを安定して終えられる。</x:v>
      </x:c>
      <x:c r="G102" s="27" t="str">
        <x:v>あり・146台、有料</x:v>
      </x:c>
      <x:c r="H102" s="27" t="str">
        <x:v>駐車場24時間</x:v>
      </x:c>
      <x:c r="I102" s="27" t="n">
        <x:v>4</x:v>
      </x:c>
      <x:c r="J102" s="27" t="n">
        <x:v>3</x:v>
      </x:c>
      <x:c r="K102" s="27" t="str">
        <x:v>深夜は照明のある主要区域のみ。休日はスポーツ利用で混雑。</x:v>
      </x:c>
      <x:c r="L102" s="28" t="n">
        <x:v>46232</x:v>
      </x:c>
      <x:c r="M102" s="27" t="str">
        <x:v>一次確認済</x:v>
      </x:c>
      <x:c r="N102" s="27" t="str">
        <x:v>https://www.tokyo-park.or.jp/park/toneri/index.html</x:v>
      </x:c>
      <x:c r="O102" s="27" t="str">
        <x:v>舎人という地名は古代の官職名『舎人』との関係が指摘され、足立北部の古い地域名として残る。</x:v>
      </x:c>
      <x:c r="P102" s="49" t="e">
        <x:f>HYPERLINK("https://ja.wikipedia.org/wiki/Special:Search?search=%E8%88%8E%E4%BA%BA%E5%85%AC%E5%9C%92","Wikipedia・関連項目")</x:f>
      </x:c>
      <x:c r="Q102" s="27"/>
    </x:row>
    <x:row r="103">
      <x:c r="A103" s="27" t="str">
        <x:v>D063</x:v>
      </x:c>
      <x:c r="B103" s="27" t="str">
        <x:v>芝浦PA</x:v>
      </x:c>
      <x:c r="C103" s="27" t="str">
        <x:v>港区・海岸</x:v>
      </x:c>
      <x:c r="D103" s="27" t="str">
        <x:v>PA・高架・都市夜景</x:v>
      </x:c>
      <x:c r="E103" s="49" t="e">
        <x:f>HYPERLINK("https://www.google.com/maps/dir/?api=1&amp;destination=%E8%8A%9D%E6%B5%A6PA&amp;travelmode=driving","現在地からナビ開始")</x:f>
      </x:c>
      <x:c r="F103" s="27" t="str">
        <x:v>レインボーブリッジ手前の高架空間で、都心湾岸ルートの余韻を短く残せる。</x:v>
      </x:c>
      <x:c r="G103" s="27" t="str">
        <x:v>あり・小規模</x:v>
      </x:c>
      <x:c r="H103" s="27" t="str">
        <x:v>原則24時間、夜間・工事閉鎖あり</x:v>
      </x:c>
      <x:c r="I103" s="27" t="n">
        <x:v>4</x:v>
      </x:c>
      <x:c r="J103" s="27" t="n">
        <x:v>3</x:v>
      </x:c>
      <x:c r="K103" s="27" t="str">
        <x:v>閉鎖措置が入りやすい。満車時は通過し、待機しない。</x:v>
      </x:c>
      <x:c r="L103" s="28" t="n">
        <x:v>46232</x:v>
      </x:c>
      <x:c r="M103" s="27" t="str">
        <x:v>当日再確認</x:v>
      </x:c>
      <x:c r="N103" s="27" t="str">
        <x:v>https://www.shutoko-sv.jp/pa/shibaura</x:v>
      </x:c>
      <x:c r="O103" s="27" t="str">
        <x:v>芝浦PAはレインボーブリッジへ続く11号台場線上にあり、都心高架と港湾景観が交差する。</x:v>
      </x:c>
      <x:c r="P103" s="49" t="e">
        <x:f>HYPERLINK("https://ja.wikipedia.org/wiki/Special:Search?search=%E8%8A%9D%E6%B5%A6PA","Wikipedia・関連項目")</x:f>
      </x:c>
      <x:c r="Q103" s="27"/>
    </x:row>
    <x:row r="104">
      <x:c r="A104" s="27" t="str">
        <x:v>D006</x:v>
      </x:c>
      <x:c r="B104" s="27" t="str">
        <x:v>若洲海浜公園</x:v>
      </x:c>
      <x:c r="C104" s="27" t="str">
        <x:v>江東区・若洲</x:v>
      </x:c>
      <x:c r="D104" s="27" t="str">
        <x:v>橋・海・港</x:v>
      </x:c>
      <x:c r="E104" s="49" t="e">
        <x:f>HYPERLINK("https://www.google.com/maps/dir/?api=1&amp;destination=%E8%8B%A5%E6%B4%B2%E6%B5%B7%E6%B5%9C%E5%85%AC%E5%9C%92&amp;travelmode=driving","現在地からナビ開始")</x:f>
      </x:c>
      <x:c r="F104" s="27" t="str">
        <x:v>東京ゲートブリッジを間近に感じ、東京港の最奥へ走る感覚が強い。</x:v>
      </x:c>
      <x:c r="G104" s="27" t="str">
        <x:v>東京都立若洲海浜公園駐車場322台・有料</x:v>
      </x:c>
      <x:c r="H104" s="27" t="str">
        <x:v>駐車場6:00～22:00／年末年始休場</x:v>
      </x:c>
      <x:c r="I104" s="27" t="n">
        <x:v>4</x:v>
      </x:c>
      <x:c r="J104" s="27" t="n">
        <x:v>3</x:v>
      </x:c>
      <x:c r="K104" s="27" t="str">
        <x:v>江東区立若洲公園はリニューアル工事中で、駐車場の一部・キャンプ場・貸自転車等が利用休止。強風時は滞在短縮。</x:v>
      </x:c>
      <x:c r="L104" s="28" t="n">
        <x:v>46232</x:v>
      </x:c>
      <x:c r="M104" s="27" t="str">
        <x:v>一次確認済</x:v>
      </x:c>
      <x:c r="N104" s="27" t="str">
        <x:v>https://www.tptc.co.jp/park/03_07/access</x:v>
      </x:c>
      <x:c r="O104" s="27" t="str">
        <x:v>東京ゲートブリッジはトラス部分の形から『恐竜橋』とも呼ばれ、羽田空港の航空制限を避けるため吊橋ではなくトラス橋になった。</x:v>
      </x:c>
      <x:c r="P104" s="49" t="e">
        <x:f>HYPERLINK("https://ja.wikipedia.org/wiki/Special:Search?search=%E8%8B%A5%E6%B4%B2%E6%B5%B7%E6%B5%9C%E5%85%AC%E5%9C%92","Wikipedia・関連項目")</x:f>
      </x:c>
      <x:c r="Q104" s="27" t="str">
        <x:v>2026-07-29公式再確認：駐車場322台・6:00～22:00と、リニューアル工事による一部利用休止を反映。</x:v>
      </x:c>
    </x:row>
    <x:row r="105">
      <x:c r="A105" s="27" t="str">
        <x:v>D081</x:v>
      </x:c>
      <x:c r="B105" s="27" t="str">
        <x:v>道の駅 いちかわ</x:v>
      </x:c>
      <x:c r="C105" s="27" t="str">
        <x:v>市川市・国分</x:v>
      </x:c>
      <x:c r="D105" s="27" t="str">
        <x:v>道の駅・都市型休憩</x:v>
      </x:c>
      <x:c r="E105" s="49" t="e">
        <x:f>HYPERLINK("https://www.google.com/maps/dir/?api=1&amp;destination=%E9%81%93%E3%81%AE%E9%A7%85%20%E3%81%84%E3%81%A1%E3%81%8B%E3%82%8F&amp;travelmode=driving","現在地からナビ開始")</x:f>
      </x:c>
      <x:c r="F105" s="27" t="str">
        <x:v>外環道と都心近郊道路の節目で、食事・トイレ・短い休憩を確実に組み込める都市型Ending。</x:v>
      </x:c>
      <x:c r="G105" s="27" t="str">
        <x:v>あり・24時間利用可</x:v>
      </x:c>
      <x:c r="H105" s="27" t="str">
        <x:v>駐車場・トイレ 24時間／店舗は個別営業時間</x:v>
      </x:c>
      <x:c r="I105" s="27" t="n">
        <x:v>4</x:v>
      </x:c>
      <x:c r="J105" s="27" t="n">
        <x:v>3</x:v>
      </x:c>
      <x:c r="K105" s="27" t="str">
        <x:v>住宅地に近く夜間騒音が課題となっているため、アイドリング・長時間滞在を避ける。</x:v>
      </x:c>
      <x:c r="L105" s="28" t="n">
        <x:v>46232</x:v>
      </x:c>
      <x:c r="M105" s="27" t="str">
        <x:v>一次確認済</x:v>
      </x:c>
      <x:c r="N105" s="27" t="str">
        <x:v>https://www.michinoeki-ichikawa.jp/access/</x:v>
      </x:c>
      <x:c r="O105" s="27" t="str">
        <x:v>道の駅いちかわは農村部ではなく市街地に造られた『都市型道の駅』として珍しい。</x:v>
      </x:c>
      <x:c r="P105" s="49" t="e">
        <x:f>HYPERLINK("https://ja.wikipedia.org/wiki/Special:Search?search=%E9%81%93%E3%81%AE%E9%A7%85%20%E3%81%84%E3%81%A1%E3%81%8B%E3%82%8F","Wikipedia・関連項目")</x:f>
      </x:c>
      <x:c r="Q105" s="27"/>
    </x:row>
    <x:row r="106">
      <x:c r="A106" s="27" t="str">
        <x:v>D082</x:v>
      </x:c>
      <x:c r="B106" s="27" t="str">
        <x:v>道の駅 しょうなん</x:v>
      </x:c>
      <x:c r="C106" s="27" t="str">
        <x:v>柏市・箕輪新田</x:v>
      </x:c>
      <x:c r="D106" s="27" t="str">
        <x:v>道の駅・湖・農地</x:v>
      </x:c>
      <x:c r="E106" s="49" t="e">
        <x:f>HYPERLINK("https://www.google.com/maps/dir/?api=1&amp;destination=%E9%81%93%E3%81%AE%E9%A7%85%20%E3%81%97%E3%82%87%E3%81%86%E3%81%AA%E3%82%93&amp;travelmode=driving","現在地からナビ開始")</x:f>
      </x:c>
      <x:c r="F106" s="27" t="str">
        <x:v>手賀沼と農地の広がりに接し、東葛方面のドライブを安全な休憩拠点で締められる。</x:v>
      </x:c>
      <x:c r="G106" s="27" t="str">
        <x:v>あり・第1・第2は24時間</x:v>
      </x:c>
      <x:c r="H106" s="27" t="str">
        <x:v>駐車場 24時間／店舗 9:00～18:00</x:v>
      </x:c>
      <x:c r="I106" s="27" t="n">
        <x:v>4</x:v>
      </x:c>
      <x:c r="J106" s="27" t="n">
        <x:v>3</x:v>
      </x:c>
      <x:c r="K106" s="27" t="str">
        <x:v>花火・マラソン等で交通規制や出庫制限がある。イベント日を当日確認。</x:v>
      </x:c>
      <x:c r="L106" s="28" t="n">
        <x:v>46232</x:v>
      </x:c>
      <x:c r="M106" s="27" t="str">
        <x:v>一次確認済</x:v>
      </x:c>
      <x:c r="N106" s="27" t="str">
        <x:v>https://www.michinoeki-shonan.jp/access/</x:v>
      </x:c>
      <x:c r="O106" s="27" t="str">
        <x:v>『しょうなん』は神奈川の湘南ではなく、合併前の千葉県沼南町という地名に由来する。</x:v>
      </x:c>
      <x:c r="P106" s="49" t="e">
        <x:f>HYPERLINK("https://ja.wikipedia.org/wiki/Special:Search?search=%E9%81%93%E3%81%AE%E9%A7%85%20%E3%81%97%E3%82%87%E3%81%86%E3%81%AA%E3%82%93","Wikipedia・関連項目")</x:f>
      </x:c>
      <x:c r="Q106" s="27"/>
    </x:row>
    <x:row r="107">
      <x:c r="A107" s="27" t="str">
        <x:v>D092</x:v>
      </x:c>
      <x:c r="B107" s="27" t="str">
        <x:v>道の駅 八王子滝山</x:v>
      </x:c>
      <x:c r="C107" s="27" t="str">
        <x:v>八王子市・滝山町</x:v>
      </x:c>
      <x:c r="D107" s="27" t="str">
        <x:v>道の駅・東京西部・夜間休憩</x:v>
      </x:c>
      <x:c r="E107" s="49" t="e">
        <x:f>HYPERLINK("https://www.google.com/maps/dir/?api=1&amp;destination=%E9%81%93%E3%81%AE%E9%A7%85%20%E5%85%AB%E7%8E%8B%E5%AD%90%E6%BB%9D%E5%B1%B1&amp;travelmode=driving","現在地からナビ開始")</x:f>
      </x:c>
      <x:c r="F107" s="27" t="str">
        <x:v>東京西部の山・城址Sessionの帰路に、24時間の駐車とトイレで確実なEndingを作れる。</x:v>
      </x:c>
      <x:c r="G107" s="27" t="str">
        <x:v>あり・P1普通車55台ほか</x:v>
      </x:c>
      <x:c r="H107" s="27" t="str">
        <x:v>P1 24時間／P2 8:00～18:00</x:v>
      </x:c>
      <x:c r="I107" s="27" t="n">
        <x:v>4</x:v>
      </x:c>
      <x:c r="J107" s="27" t="n">
        <x:v>3</x:v>
      </x:c>
      <x:c r="K107" s="27" t="str">
        <x:v>北側道路は狭く通り抜け非推奨。繁忙時は誘導に従う。</x:v>
      </x:c>
      <x:c r="L107" s="28" t="n">
        <x:v>46232</x:v>
      </x:c>
      <x:c r="M107" s="27" t="str">
        <x:v>一次確認済</x:v>
      </x:c>
      <x:c r="N107" s="27" t="str">
        <x:v>https://www.michinoeki-hachioji.net/</x:v>
      </x:c>
      <x:c r="O107" s="27" t="str">
        <x:v>道の駅八王子滝山は東京都で最初に登録され、現在も都内唯一の道の駅として知られる。</x:v>
      </x:c>
      <x:c r="P107" s="49" t="e">
        <x:f>HYPERLINK("https://ja.wikipedia.org/wiki/Special:Search?search=%E9%81%93%E3%81%AE%E9%A7%85%20%E5%85%AB%E7%8E%8B%E5%AD%90%E6%BB%9D%E5%B1%B1","Wikipedia・関連項目")</x:f>
      </x:c>
      <x:c r="Q107" s="27"/>
    </x:row>
    <x:row r="108">
      <x:c r="A108" s="27" t="str">
        <x:v>D086</x:v>
      </x:c>
      <x:c r="B108" s="27" t="str">
        <x:v>道の駅 木更津うまくたの里</x:v>
      </x:c>
      <x:c r="C108" s="27" t="str">
        <x:v>木更津市・下郡</x:v>
      </x:c>
      <x:c r="D108" s="27" t="str">
        <x:v>道の駅・房総内陸</x:v>
      </x:c>
      <x:c r="E108" s="49" t="e">
        <x:f>HYPERLINK("https://www.google.com/maps/dir/?api=1&amp;destination=%E9%81%93%E3%81%AE%E9%A7%85%20%E6%9C%A8%E6%9B%B4%E6%B4%A5%E3%81%86%E3%81%BE%E3%81%8F%E3%81%9F%E3%81%AE%E9%87%8C&amp;travelmode=driving","現在地からナビ開始")</x:f>
      </x:c>
      <x:c r="F108" s="27" t="str">
        <x:v>アクアラインから房総内陸へ入った実感があり、食と里山を伴う休憩型Endingになる。</x:v>
      </x:c>
      <x:c r="G108" s="27" t="str">
        <x:v>あり・24時間利用可</x:v>
      </x:c>
      <x:c r="H108" s="27" t="str">
        <x:v>駐車場 24時間／店舗は個別営業時間</x:v>
      </x:c>
      <x:c r="I108" s="27" t="n">
        <x:v>4</x:v>
      </x:c>
      <x:c r="J108" s="27" t="n">
        <x:v>3</x:v>
      </x:c>
      <x:c r="K108" s="27" t="str">
        <x:v>夜間は休憩目的に限定し、車中泊・長時間占有と騒音を避ける。</x:v>
      </x:c>
      <x:c r="L108" s="28" t="n">
        <x:v>46232</x:v>
      </x:c>
      <x:c r="M108" s="27" t="str">
        <x:v>一次確認済</x:v>
      </x:c>
      <x:c r="N108" s="27" t="str">
        <x:v>https://chiba-kisarazu.com/access/</x:v>
      </x:c>
      <x:c r="O108" s="27" t="str">
        <x:v>『うまくた』は木更津周辺の古い地域名・馬来田に由来し、古代の地名を現代の施設名に残している。</x:v>
      </x:c>
      <x:c r="P108" s="49" t="e">
        <x:f>HYPERLINK("https://ja.wikipedia.org/wiki/Special:Search?search=%E9%81%93%E3%81%AE%E9%A7%85%20%E6%9C%A8%E6%9B%B4%E6%B4%A5%E3%81%86%E3%81%BE%E3%81%8F%E3%81%9F%E3%81%AE%E9%87%8C","Wikipedia・関連項目")</x:f>
      </x:c>
      <x:c r="Q108" s="27"/>
    </x:row>
    <x:row r="109">
      <x:c r="A109" s="27" t="str">
        <x:v>D091</x:v>
      </x:c>
      <x:c r="B109" s="27" t="str">
        <x:v>道の駅 清川</x:v>
      </x:c>
      <x:c r="C109" s="27" t="str">
        <x:v>清川村・煤ヶ谷</x:v>
      </x:c>
      <x:c r="D109" s="27" t="str">
        <x:v>道の駅・山・静かな休憩</x:v>
      </x:c>
      <x:c r="E109" s="49" t="e">
        <x:f>HYPERLINK("https://www.google.com/maps/dir/?api=1&amp;destination=%E9%81%93%E3%81%AE%E9%A7%85%20%E6%B8%85%E5%B7%9D&amp;travelmode=driving","現在地からナビ開始")</x:f>
      </x:c>
      <x:c r="F109" s="27" t="str">
        <x:v>丹沢・宮ヶ瀬方面から戻る際、山間の静けさを保ったまま安全に休憩できる。</x:v>
      </x:c>
      <x:c r="G109" s="27" t="str">
        <x:v>あり・24時間利用可</x:v>
      </x:c>
      <x:c r="H109" s="27" t="str">
        <x:v>駐車場・トイレ 24時間／店舗 10:00～18:00</x:v>
      </x:c>
      <x:c r="I109" s="27" t="n">
        <x:v>4</x:v>
      </x:c>
      <x:c r="J109" s="27" t="n">
        <x:v>3</x:v>
      </x:c>
      <x:c r="K109" s="27" t="str">
        <x:v>村中心部に位置するため深夜の騒音・長時間占有を避ける。</x:v>
      </x:c>
      <x:c r="L109" s="28" t="n">
        <x:v>46232</x:v>
      </x:c>
      <x:c r="M109" s="27" t="str">
        <x:v>一次確認済</x:v>
      </x:c>
      <x:c r="N109" s="27" t="str">
        <x:v>https://michinoeki-kiyokawa.jp/</x:v>
      </x:c>
      <x:c r="O109" s="27" t="str">
        <x:v>清川村は神奈川県で唯一の『村』で、丹沢山地と宮ヶ瀬湖に囲まれている。</x:v>
      </x:c>
      <x:c r="P109" s="49" t="e">
        <x:f>HYPERLINK("https://ja.wikipedia.org/wiki/Special:Search?search=%E9%81%93%E3%81%AE%E9%A7%85%20%E6%B8%85%E5%B7%9D","Wikipedia・関連項目")</x:f>
      </x:c>
      <x:c r="Q109" s="27"/>
    </x:row>
    <x:row r="110">
      <x:c r="A110" s="27" t="str">
        <x:v>D067</x:v>
      </x:c>
      <x:c r="B110" s="27" t="str">
        <x:v>鳥居崎海浜公園</x:v>
      </x:c>
      <x:c r="C110" s="27" t="str">
        <x:v>木更津市・富士見</x:v>
      </x:c>
      <x:c r="D110" s="27" t="str">
        <x:v>港・海浜・橋</x:v>
      </x:c>
      <x:c r="E110" s="49" t="e">
        <x:f>HYPERLINK("https://www.google.com/maps/dir/?api=1&amp;destination=%E9%B3%A5%E5%B1%85%E5%B4%8E%E6%B5%B7%E6%B5%9C%E5%85%AC%E5%9C%92&amp;travelmode=driving","現在地からナビ開始")</x:f>
      </x:c>
      <x:c r="F110" s="27" t="str">
        <x:v>木更津港と中の島大橋を近くに感じ、港町らしい海辺のEndingを作れる。</x:v>
      </x:c>
      <x:c r="G110" s="27" t="str">
        <x:v>あり・215台</x:v>
      </x:c>
      <x:c r="H110" s="27" t="str">
        <x:v>公園利用時間は現地掲示、駐車場は当日確認</x:v>
      </x:c>
      <x:c r="I110" s="27" t="n">
        <x:v>4</x:v>
      </x:c>
      <x:c r="J110" s="27" t="n">
        <x:v>3</x:v>
      </x:c>
      <x:c r="K110" s="27" t="str">
        <x:v>イベント時は駐車規制あり。岸壁・作業区域へ入らない。</x:v>
      </x:c>
      <x:c r="L110" s="28" t="n">
        <x:v>46232</x:v>
      </x:c>
      <x:c r="M110" s="27" t="str">
        <x:v>当日再確認</x:v>
      </x:c>
      <x:c r="N110" s="27" t="str">
        <x:v>https://www.city.kisarazu.lg.jp/soshiki/toshiseibi/shigaichiseibi/1/park/2599.html</x:v>
      </x:c>
      <x:c r="O110" s="27" t="str">
        <x:v>木更津という地名は、日本武尊が弟橘媛を偲んで『君去らず』と言ったという伝説に結び付けられる。</x:v>
      </x:c>
      <x:c r="P110" s="49" t="e">
        <x:f>HYPERLINK("https://ja.wikipedia.org/wiki/Special:Search?search=%E9%B3%A5%E5%B1%85%E5%B4%8E%E6%B5%B7%E6%B5%9C%E5%85%AC%E5%9C%92","Wikipedia・関連項目")</x:f>
      </x:c>
      <x:c r="Q110" s="27"/>
    </x:row>
    <x:row r="111">
      <x:c r="A111" s="27" t="str">
        <x:v>D132</x:v>
      </x:c>
      <x:c r="B111" s="27" t="str">
        <x:v>七里ヶ浜海岸駐車場</x:v>
      </x:c>
      <x:c r="C111" s="27" t="str">
        <x:v>鎌倉市七里ガ浜</x:v>
      </x:c>
      <x:c r="D111" s="27" t="str">
        <x:v>海岸・夕日・車内鑑賞</x:v>
      </x:c>
      <x:c r="E111" s="49" t="e">
        <x:f>HYPERLINK("https://www.google.com/maps/dir/?api=1&amp;destination=%E4%B8%83%E9%87%8C%E3%83%B6%E6%B5%9C%E6%B5%B7%E5%B2%B8%E9%A7%90%E8%BB%8A%E5%A0%B4&amp;travelmode=driving","現在地からナビ開始")</x:f>
      </x:c>
      <x:c r="F111" s="27" t="str">
        <x:v>江の島、富士山、相模湾を駐車場から眺められ、海岸へすぐ降りられる強い夕景Ending。</x:v>
      </x:c>
      <x:c r="G111" s="27" t="str">
        <x:v>あり・有料</x:v>
      </x:c>
      <x:c r="H111" s="27" t="str">
        <x:v>6:00～21:00</x:v>
      </x:c>
      <x:c r="I111" s="27" t="n">
        <x:v>4</x:v>
      </x:c>
      <x:c r="J111" s="27" t="n">
        <x:v>2</x:v>
      </x:c>
      <x:c r="K111" s="27" t="str">
        <x:v>夏季料金が高く休日は混雑。21時閉場前に退出し、海況が悪い日は海岸へ降りない。</x:v>
      </x:c>
      <x:c r="L111" s="28" t="n">
        <x:v>46232</x:v>
      </x:c>
      <x:c r="M111" s="27" t="str">
        <x:v>一次確認済</x:v>
      </x:c>
      <x:c r="N111" s="27" t="str">
        <x:v>https://www.princehotels.co.jp/kamakura/facility/shichirigahama-park/</x:v>
      </x:c>
      <x:c r="O111" s="27" t="str">
        <x:v>七里ヶ浜は江の島と富士山を望む鎌倉の代表的海岸で、海岸線近くを江ノ電が走る。</x:v>
      </x:c>
      <x:c r="P111" s="49" t="e">
        <x:f>HYPERLINK("https://ja.wikipedia.org/wiki/Special:Search?search=%E4%B8%83%E9%87%8C%E3%83%B6%E6%B5%9C%E6%B5%B7%E5%B2%B8%E9%A7%90%E8%BB%8A%E5%A0%B4","Wikipedia・関連項目")</x:f>
      </x:c>
      <x:c r="Q111" s="27"/>
    </x:row>
    <x:row r="112">
      <x:c r="A112" s="27" t="str">
        <x:v>D172</x:v>
      </x:c>
      <x:c r="B112" s="27" t="str">
        <x:v>光が丘公園</x:v>
      </x:c>
      <x:c r="C112" s="27" t="str">
        <x:v>東京都練馬区</x:v>
      </x:c>
      <x:c r="D112" s="27" t="str">
        <x:v>24時間駐車・旧飛行場・大並木</x:v>
      </x:c>
      <x:c r="E112" s="49" t="e">
        <x:f>HYPERLINK("https://www.google.com/maps/dir/?api=1&amp;destination=%E5%85%89%E3%81%8C%E4%B8%98%E5%85%AC%E5%9C%92&amp;travelmode=driving","現在地からナビ開始")</x:f>
      </x:c>
      <x:c r="F112" s="27" t="str">
        <x:v>広い芝生とイチョウ並木があり、西東京方面の夜間ルートを確実な駐車場で締められる。</x:v>
      </x:c>
      <x:c r="G112" s="27" t="str">
        <x:v>あり・251台、有料</x:v>
      </x:c>
      <x:c r="H112" s="27" t="str">
        <x:v>駐車場24時間</x:v>
      </x:c>
      <x:c r="I112" s="27" t="n">
        <x:v>4</x:v>
      </x:c>
      <x:c r="J112" s="27" t="n">
        <x:v>2</x:v>
      </x:c>
      <x:c r="K112" s="27" t="str">
        <x:v>イベント日は混雑。深夜の長時間滞在や大音量は禁止。</x:v>
      </x:c>
      <x:c r="L112" s="28" t="n">
        <x:v>46232</x:v>
      </x:c>
      <x:c r="M112" s="27" t="str">
        <x:v>一次確認済</x:v>
      </x:c>
      <x:c r="N112" s="27" t="str">
        <x:v>https://www.tokyo-park.or.jp/park/hikarigaoka/index.html</x:v>
      </x:c>
      <x:c r="O112" s="27" t="str">
        <x:v>光が丘一帯は戦時中の成増飛行場、戦後の米軍住宅地を経て大規模団地と公園へ転換された。</x:v>
      </x:c>
      <x:c r="P112" s="49" t="e">
        <x:f>HYPERLINK("https://ja.wikipedia.org/wiki/Special:Search?search=%E5%85%89%E3%81%8C%E4%B8%98%E5%85%AC%E5%9C%92","Wikipedia・関連項目")</x:f>
      </x:c>
      <x:c r="Q112" s="27"/>
    </x:row>
    <x:row r="113">
      <x:c r="A113" s="27" t="str">
        <x:v>D050</x:v>
      </x:c>
      <x:c r="B113" s="27" t="str">
        <x:v>千葉ポートパーク</x:v>
      </x:c>
      <x:c r="C113" s="27" t="str">
        <x:v>千葉市・中央港</x:v>
      </x:c>
      <x:c r="D113" s="27" t="str">
        <x:v>港・人工海浜・展望塔</x:v>
      </x:c>
      <x:c r="E113" s="49" t="e">
        <x:f>HYPERLINK("https://www.google.com/maps/dir/?api=1&amp;destination=%E5%8D%83%E8%91%89%E3%83%9D%E3%83%BC%E3%83%88%E3%83%91%E3%83%BC%E3%82%AF&amp;travelmode=driving","現在地からナビ開始")</x:f>
      </x:c>
      <x:c r="F113" s="27" t="str">
        <x:v>人工海浜と港、ポートタワーを組み合わせ、千葉湾岸の象徴的Endingになる。</x:v>
      </x:c>
      <x:c r="G113" s="27" t="str">
        <x:v>あり・約250台・無料</x:v>
      </x:c>
      <x:c r="H113" s="27" t="str">
        <x:v>6～9月 9:00～21:00／10～5月 9:00～19:00</x:v>
      </x:c>
      <x:c r="I113" s="27" t="n">
        <x:v>4</x:v>
      </x:c>
      <x:c r="J113" s="27" t="n">
        <x:v>2</x:v>
      </x:c>
      <x:c r="K113" s="27" t="str">
        <x:v>施錠30分前が入場目安。イベント時は時間変更や規制あり。</x:v>
      </x:c>
      <x:c r="L113" s="28" t="n">
        <x:v>46232</x:v>
      </x:c>
      <x:c r="M113" s="27" t="str">
        <x:v>一次確認済</x:v>
      </x:c>
      <x:c r="N113" s="27" t="str">
        <x:v>https://www.pref.chiba.lg.jp/cs-chiba-k/kankou/chiba.html</x:v>
      </x:c>
      <x:c r="O113" s="27" t="str">
        <x:v>千葉ポートタワーは千葉県人口500万人突破を記念して1986年に建設された。</x:v>
      </x:c>
      <x:c r="P113" s="49" t="e">
        <x:f>HYPERLINK("https://ja.wikipedia.org/wiki/Special:Search?search=%E5%8D%83%E8%91%89%E3%83%9D%E3%83%BC%E3%83%88%E3%83%91%E3%83%BC%E3%82%AF","Wikipedia・関連項目")</x:f>
      </x:c>
      <x:c r="Q113" s="27"/>
    </x:row>
    <x:row r="114">
      <x:c r="A114" s="27" t="str">
        <x:v>D211</x:v>
      </x:c>
      <x:c r="B114" s="27" t="str">
        <x:v>大宮公園</x:v>
      </x:c>
      <x:c r="C114" s="27" t="str">
        <x:v>さいたま市・大宮区</x:v>
      </x:c>
      <x:c r="D114" s="27" t="str">
        <x:v>歴史公園・池・24時間駐車</x:v>
      </x:c>
      <x:c r="E114" s="49" t="e">
        <x:f>HYPERLINK("https://www.google.com/maps/dir/?api=1&amp;destination=%E5%A4%A7%E5%AE%AE%E5%85%AC%E5%9C%92&amp;travelmode=driving","現在地からナビ開始")</x:f>
      </x:c>
      <x:c r="F114" s="27" t="str">
        <x:v>氷川神社、池、赤松林、スポーツ施設を抱え、夜間でも合法駐車から短い散歩ができる北側の安定Ending。</x:v>
      </x:c>
      <x:c r="G114" s="27" t="str">
        <x:v>あり・278台・有料</x:v>
      </x:c>
      <x:c r="H114" s="27" t="str">
        <x:v>駐車場24時間／公園毎日開園</x:v>
      </x:c>
      <x:c r="I114" s="27" t="n">
        <x:v>4</x:v>
      </x:c>
      <x:c r="J114" s="27" t="n">
        <x:v>2</x:v>
      </x:c>
      <x:c r="K114" s="27" t="str">
        <x:v>料金上限なし。花見、競輪、野球、サッカー開催時は満車・周辺渋滞。</x:v>
      </x:c>
      <x:c r="L114" s="28" t="n">
        <x:v>46232</x:v>
      </x:c>
      <x:c r="M114" s="27" t="str">
        <x:v>一次確認済</x:v>
      </x:c>
      <x:c r="N114" s="27" t="str">
        <x:v>https://www.pref.saitama.lg.jp/omiya-park/shisetsu.html</x:v>
      </x:c>
      <x:c r="O114" s="27" t="str">
        <x:v>1885年に『氷川公園』として開園した、埼玉県内で最も歴史の長い県営公園。</x:v>
      </x:c>
      <x:c r="P114" s="49" t="e">
        <x:f>HYPERLINK("https://ja.wikipedia.org/wiki/Special:Search?search=%E5%A4%A7%E5%AE%AE%E5%85%AC%E5%9C%92","Wikipedia・関連項目")</x:f>
      </x:c>
      <x:c r="Q114" s="27" t="str">
        <x:v>新規追加。Storyと24時間駐車の両立を評価。</x:v>
      </x:c>
    </x:row>
    <x:row r="115">
      <x:c r="A115" s="27" t="str">
        <x:v>D241</x:v>
      </x:c>
      <x:c r="B115" s="27" t="str">
        <x:v>大森ふるさとの浜辺公園</x:v>
      </x:c>
      <x:c r="C115" s="27" t="str">
        <x:v>大田区・大森東</x:v>
      </x:c>
      <x:c r="D115" s="27" t="str">
        <x:v>人工海浜・干潟・海苔Story</x:v>
      </x:c>
      <x:c r="E115" s="49" t="e">
        <x:f>HYPERLINK("https://www.google.com/maps/dir/?api=1&amp;destination=%E5%A4%A7%E6%A3%AE%E3%81%B5%E3%82%8B%E3%81%95%E3%81%A8%E3%81%AE%E6%B5%9C%E8%BE%BA%E5%85%AC%E5%9C%92&amp;travelmode=driving","現在地からナビ開始")</x:f>
      </x:c>
      <x:c r="F115" s="27" t="str">
        <x:v>蒲田から短時間で、砂浜・干潟・芝生・運河を味わえる。遠出せず『海へ来た感覚』を得られる近距離の主力Ending。</x:v>
      </x:c>
      <x:c r="G115" s="27" t="str">
        <x:v>共用駐車場・平日121台／土日祝142台・30分100円・24時間</x:v>
      </x:c>
      <x:c r="H115" s="27" t="str">
        <x:v>広場エリア終日／浜辺エリア5:30～21:00</x:v>
      </x:c>
      <x:c r="I115" s="27" t="n">
        <x:v>4</x:v>
      </x:c>
      <x:c r="J115" s="27" t="n">
        <x:v>2</x:v>
      </x:c>
      <x:c r="K115" s="27" t="str">
        <x:v>浜辺は21時閉門。休日は駐車待ちが発生。遊泳・釣り・火気は禁止。</x:v>
      </x:c>
      <x:c r="L115" s="28" t="n">
        <x:v>46232</x:v>
      </x:c>
      <x:c r="M115" s="27" t="str">
        <x:v>一次確認済</x:v>
      </x:c>
      <x:c r="N115" s="27" t="str">
        <x:v>https://www.city.ota.tokyo.jp/shisetsu/park/oomorifurusatonohamabe.html</x:v>
      </x:c>
      <x:c r="O115" s="27" t="str">
        <x:v>かつて海苔養殖で栄えた大森海岸の記憶を、人工海浜と隣接する海苔のふるさと館が伝えている。</x:v>
      </x:c>
      <x:c r="P115" s="49" t="e">
        <x:f>HYPERLINK("https://ja.wikipedia.org/wiki/Special:Search?search=%E5%A4%A7%E6%A3%AE%E3%81%B5%E3%82%8B%E3%81%95%E3%81%A8%E3%81%AE%E6%B5%9C%E8%BE%BA%E5%85%AC%E5%9C%92","Wikipedia・関連項目")</x:f>
      </x:c>
      <x:c r="Q115" s="27" t="str">
        <x:v>2026-07-29公式再確認：駐車台数、24時間駐車、浜辺21時閉門を更新。</x:v>
      </x:c>
    </x:row>
    <x:row r="116">
      <x:c r="A116" s="27" t="str">
        <x:v>D242</x:v>
      </x:c>
      <x:c r="B116" s="27" t="str">
        <x:v>平和の森公園</x:v>
      </x:c>
      <x:c r="C116" s="27" t="str">
        <x:v>大田区・平和の森公園</x:v>
      </x:c>
      <x:c r="D116" s="27" t="str">
        <x:v>大規模公園・池・平和Story</x:v>
      </x:c>
      <x:c r="E116" s="49" t="e">
        <x:f>HYPERLINK("https://www.google.com/maps/dir/?api=1&amp;destination=%E5%B9%B3%E5%92%8C%E3%81%AE%E6%A3%AE%E5%85%AC%E5%9C%92&amp;travelmode=driving","現在地からナビ開始")</x:f>
      </x:c>
      <x:c r="F116" s="27" t="str">
        <x:v>区内最大級の公園で、ひょうたん池、梅、広場、アスレチックを近距離で選べる。浜辺公園とのセット性能が高い。</x:v>
      </x:c>
      <x:c r="G116" s="27" t="str">
        <x:v>あり・186台・30分100円</x:v>
      </x:c>
      <x:c r="H116" s="27" t="str">
        <x:v>公園常時利用可／施設ごとに時間制</x:v>
      </x:c>
      <x:c r="I116" s="27" t="n">
        <x:v>4</x:v>
      </x:c>
      <x:c r="J116" s="27" t="n">
        <x:v>2</x:v>
      </x:c>
      <x:c r="K116" s="27" t="str">
        <x:v>施設利用時間は個別。休日は大森ふるさとの浜辺公園と共用で混雑する。</x:v>
      </x:c>
      <x:c r="L116" s="28" t="n">
        <x:v>46232</x:v>
      </x:c>
      <x:c r="M116" s="27" t="str">
        <x:v>一次確認済</x:v>
      </x:c>
      <x:c r="N116" s="27" t="str">
        <x:v>https://www.city.ota.tokyo.jp/shisetsu/park/heiwanomori.html</x:v>
      </x:c>
      <x:c r="O116" s="27" t="str">
        <x:v>名称には大田区の恒久平和への願いが込められ、平和都市宣言を象徴する像が置かれている。</x:v>
      </x:c>
      <x:c r="P116" s="49" t="e">
        <x:f>HYPERLINK("https://ja.wikipedia.org/wiki/Special:Search?search=%E5%B9%B3%E5%92%8C%E3%81%AE%E6%A3%AE%E5%85%AC%E5%9C%92","Wikipedia・関連項目")</x:f>
      </x:c>
      <x:c r="Q116" s="27" t="str">
        <x:v>近距離コア新規追加</x:v>
      </x:c>
    </x:row>
    <x:row r="117">
      <x:c r="A117" s="27" t="str">
        <x:v>D040</x:v>
      </x:c>
      <x:c r="B117" s="27" t="str">
        <x:v>湘南港・江の島ヨットハーバー</x:v>
      </x:c>
      <x:c r="C117" s="27" t="str">
        <x:v>藤沢市・江の島</x:v>
      </x:c>
      <x:c r="D117" s="27" t="str">
        <x:v>港・島・海</x:v>
      </x:c>
      <x:c r="E117" s="49" t="e">
        <x:f>HYPERLINK("https://www.google.com/maps/dir/?api=1&amp;destination=%E6%B9%98%E5%8D%97%E6%B8%AF%E3%83%BB%E6%B1%9F%E3%81%AE%E5%B3%B6%E3%83%A8%E3%83%83%E3%83%88%E3%83%8F%E3%83%BC%E3%83%90%E3%83%BC&amp;travelmode=driving","現在地からナビ開始")</x:f>
      </x:c>
      <x:c r="F117" s="27" t="str">
        <x:v>橋を渡って島の奥へ入り、ヨットと相模湾を見て終える到達感がある。</x:v>
      </x:c>
      <x:c r="G117" s="27" t="str">
        <x:v>あり・有料</x:v>
      </x:c>
      <x:c r="H117" s="27" t="str">
        <x:v>駐車場 5:00～21:30</x:v>
      </x:c>
      <x:c r="I117" s="27" t="n">
        <x:v>4</x:v>
      </x:c>
      <x:c r="J117" s="27" t="n">
        <x:v>2</x:v>
      </x:c>
      <x:c r="K117" s="27" t="str">
        <x:v>休日・夏季は渋滞。閉場前に余裕を持って出庫。</x:v>
      </x:c>
      <x:c r="L117" s="28" t="n">
        <x:v>46232</x:v>
      </x:c>
      <x:c r="M117" s="27" t="str">
        <x:v>一次確認済</x:v>
      </x:c>
      <x:c r="N117" s="27" t="str">
        <x:v>https://www.pref.kanagawa.jp/docs/f4i/cnt/f7377/siteikanri.html</x:v>
      </x:c>
      <x:c r="O117" s="27" t="str">
        <x:v>江の島は弁才天信仰の島として栄え、源頼朝や北条氏にまつわる伝承も多い。</x:v>
      </x:c>
      <x:c r="P117" s="49" t="e">
        <x:f>HYPERLINK("https://ja.wikipedia.org/wiki/Special:Search?search=%E6%B9%98%E5%8D%97%E6%B8%AF%E3%83%BB%E6%B1%9F%E3%81%AE%E5%B3%B6%E3%83%A8%E3%83%83%E3%83%88%E3%83%8F%E3%83%BC%E3%83%90%E3%83%BC","Wikipedia・関連項目")</x:f>
      </x:c>
      <x:c r="Q117" s="27"/>
    </x:row>
    <x:row r="118">
      <x:c r="A118" s="27" t="str">
        <x:v>D207</x:v>
      </x:c>
      <x:c r="B118" s="27" t="str">
        <x:v>生田緑地・枡形山展望台</x:v>
      </x:c>
      <x:c r="C118" s="27" t="str">
        <x:v>川崎市・多摩区</x:v>
      </x:c>
      <x:c r="D118" s="27" t="str">
        <x:v>高台・展望・文化施設</x:v>
      </x:c>
      <x:c r="E118" s="49" t="e">
        <x:f>HYPERLINK("https://www.google.com/maps/dir/?api=1&amp;destination=%E7%94%9F%E7%94%B0%E7%B7%91%E5%9C%B0%E3%83%BB%E6%9E%A1%E5%BD%A2%E5%B1%B1%E5%B1%95%E6%9C%9B%E5%8F%B0&amp;travelmode=driving","現在地からナビ開始")</x:f>
      </x:c>
      <x:c r="F118" s="27" t="str">
        <x:v>枡形山の展望、民家園、岡本太郎美術館、プラネタリウムを組み合わせ、自然と文化の両方で目的地化できる。</x:v>
      </x:c>
      <x:c r="G118" s="27" t="str">
        <x:v>あり・東口約140台、西口約50台・有料</x:v>
      </x:c>
      <x:c r="H118" s="27" t="str">
        <x:v>駐車場入庫5:00～22:00／出庫は22:00以降も可</x:v>
      </x:c>
      <x:c r="I118" s="27" t="n">
        <x:v>4</x:v>
      </x:c>
      <x:c r="J118" s="27" t="n">
        <x:v>2</x:v>
      </x:c>
      <x:c r="K118" s="27" t="str">
        <x:v>展望台や園路は夜に暗い。施設営業時間は別。休日は東口駐車場が混雑。</x:v>
      </x:c>
      <x:c r="L118" s="28" t="n">
        <x:v>46232</x:v>
      </x:c>
      <x:c r="M118" s="27" t="str">
        <x:v>一次確認済</x:v>
      </x:c>
      <x:c r="N118" s="27" t="str">
        <x:v>https://www.ikutaryokuti.jp/access.html</x:v>
      </x:c>
      <x:c r="O118" s="27" t="str">
        <x:v>多摩丘陵の自然を残す川崎市最大級の緑地で、日本民家園や岡本太郎美術館など複数の文化施設が集まる。</x:v>
      </x:c>
      <x:c r="P118" s="49" t="e">
        <x:f>HYPERLINK("https://ja.wikipedia.org/wiki/Special:Search?search=%E7%94%9F%E7%94%B0%E7%B7%91%E5%9C%B0%E3%83%BB%E6%9E%A1%E5%BD%A2%E5%B1%B1%E5%B1%95%E6%9C%9B%E5%8F%B0","Wikipedia・関連項目")</x:f>
      </x:c>
      <x:c r="Q118" s="27" t="str">
        <x:v>新規追加。夜は駐車場と明るい園路中心、展望台は日没前後向け。</x:v>
      </x:c>
    </x:row>
    <x:row r="119">
      <x:c r="A119" s="27" t="str">
        <x:v>D094</x:v>
      </x:c>
      <x:c r="B119" s="27" t="str">
        <x:v>秋川渓谷 瀬音の湯</x:v>
      </x:c>
      <x:c r="C119" s="27" t="str">
        <x:v>あきる野市・乙津</x:v>
      </x:c>
      <x:c r="D119" s="27" t="str">
        <x:v>温泉・渓谷・夜間休憩</x:v>
      </x:c>
      <x:c r="E119" s="49" t="e">
        <x:f>HYPERLINK("https://www.google.com/maps/dir/?api=1&amp;destination=%E7%A7%8B%E5%B7%9D%E6%B8%93%E8%B0%B7%20%E7%80%AC%E9%9F%B3%E3%81%AE%E6%B9%AF&amp;travelmode=driving","現在地からナビ開始")</x:f>
      </x:c>
      <x:c r="F119" s="27" t="str">
        <x:v>秋川渓谷の山道を走った後、温泉と森の静けさで体験を完結できる。</x:v>
      </x:c>
      <x:c r="G119" s="27" t="str">
        <x:v>あり</x:v>
      </x:c>
      <x:c r="H119" s="27" t="str">
        <x:v>通常 10:00～22:00／季節短縮・休館あり</x:v>
      </x:c>
      <x:c r="I119" s="27" t="n">
        <x:v>4</x:v>
      </x:c>
      <x:c r="J119" s="27" t="n">
        <x:v>2</x:v>
      </x:c>
      <x:c r="K119" s="27" t="str">
        <x:v>最終受付・休館日を当日確認。疲労・飲酒後の運転は禁止。</x:v>
      </x:c>
      <x:c r="L119" s="28" t="n">
        <x:v>46232</x:v>
      </x:c>
      <x:c r="M119" s="27" t="str">
        <x:v>当日再確認</x:v>
      </x:c>
      <x:c r="N119" s="27" t="str">
        <x:v>https://www.city.akiruno.tokyo.jp/kanko/0000008755.html</x:v>
      </x:c>
      <x:c r="O119" s="27" t="str">
        <x:v>秋川渓谷は多摩川支流・秋川が刻んだ渓谷で、東京とは思えない岩場と清流景観が続く。</x:v>
      </x:c>
      <x:c r="P119" s="49" t="e">
        <x:f>HYPERLINK("https://ja.wikipedia.org/wiki/Special:Search?search=%E7%A7%8B%E5%B7%9D%E6%B8%93%E8%B0%B7%20%E7%80%AC%E9%9F%B3%E3%81%AE%E6%B9%AF","Wikipedia・関連項目")</x:f>
      </x:c>
      <x:c r="Q119" s="27"/>
    </x:row>
    <x:row r="120">
      <x:c r="A120" s="27" t="str">
        <x:v>D051</x:v>
      </x:c>
      <x:c r="B120" s="27" t="str">
        <x:v>稲毛海浜公園・いなげの浜</x:v>
      </x:c>
      <x:c r="C120" s="27" t="str">
        <x:v>千葉市・美浜区</x:v>
      </x:c>
      <x:c r="D120" s="27" t="str">
        <x:v>人工海浜・夕日・都市海岸</x:v>
      </x:c>
      <x:c r="E120" s="49" t="e">
        <x:f>HYPERLINK("https://www.google.com/maps/dir/?api=1&amp;destination=%E7%A8%B2%E6%AF%9B%E6%B5%B7%E6%B5%9C%E5%85%AC%E5%9C%92%E3%83%BB%E3%81%84%E3%81%AA%E3%81%92%E3%81%AE%E6%B5%9C&amp;travelmode=driving","現在地からナビ開始")</x:f>
      </x:c>
      <x:c r="F120" s="27" t="str">
        <x:v>白い砂浜と東京湾の夕日があり、湾岸道路の先に海辺へ抜ける体験を作れる。</x:v>
      </x:c>
      <x:c r="G120" s="27" t="str">
        <x:v>あり・大規模有料</x:v>
      </x:c>
      <x:c r="H120" s="27" t="str">
        <x:v>第1・第2駐車場 6:00～23:00</x:v>
      </x:c>
      <x:c r="I120" s="27" t="n">
        <x:v>4</x:v>
      </x:c>
      <x:c r="J120" s="27" t="n">
        <x:v>2</x:v>
      </x:c>
      <x:c r="K120" s="27" t="str">
        <x:v>夏季・イベント日は料金体系と混雑が変わる。23時閉鎖。</x:v>
      </x:c>
      <x:c r="L120" s="28" t="n">
        <x:v>46232</x:v>
      </x:c>
      <x:c r="M120" s="27" t="str">
        <x:v>一次確認済</x:v>
      </x:c>
      <x:c r="N120" s="27" t="str">
        <x:v>https://sunsetbeachpark.jp/access/</x:v>
      </x:c>
      <x:c r="O120" s="27" t="str">
        <x:v>いなげの浜は1976年に開設された、日本初の人工海浜とされる。</x:v>
      </x:c>
      <x:c r="P120" s="49" t="e">
        <x:f>HYPERLINK("https://ja.wikipedia.org/wiki/Special:Search?search=%E7%A8%B2%E6%AF%9B%E6%B5%B7%E6%B5%9C%E5%85%AC%E5%9C%92%E3%83%BB%E3%81%84%E3%81%AA%E3%81%92%E3%81%AE%E6%B5%9C","Wikipedia・関連項目")</x:f>
      </x:c>
      <x:c r="Q120" s="27"/>
    </x:row>
    <x:row r="121">
      <x:c r="A121" s="27" t="str">
        <x:v>D221</x:v>
      </x:c>
      <x:c r="B121" s="27" t="str">
        <x:v>葛西海浜公園</x:v>
      </x:c>
      <x:c r="C121" s="27" t="str">
        <x:v>東京都江戸川区</x:v>
      </x:c>
      <x:c r="D121" s="27" t="str">
        <x:v>干潟・海浜・東京湾</x:v>
      </x:c>
      <x:c r="E121" s="49" t="e">
        <x:f>HYPERLINK("https://www.google.com/maps/dir/?api=1&amp;destination=%E8%91%9B%E8%A5%BF%E6%B5%B7%E6%B5%9C%E5%85%AC%E5%9C%92&amp;travelmode=driving","現在地からナビ開始")</x:f>
      </x:c>
      <x:c r="F121" s="27" t="str">
        <x:v>都心近くで干潟と東京湾の水平線を感じられ、臨海公園の人工景観から自然海浜へ抜けるEndingになる。</x:v>
      </x:c>
      <x:c r="G121" s="27" t="str">
        <x:v>葛西臨海公園駐車場を利用・有料</x:v>
      </x:c>
      <x:c r="H121" s="27" t="str">
        <x:v>駐車場24時間／西なぎさ利用は季節・潮位条件を確認</x:v>
      </x:c>
      <x:c r="I121" s="27" t="n">
        <x:v>4</x:v>
      </x:c>
      <x:c r="J121" s="27" t="n">
        <x:v>2</x:v>
      </x:c>
      <x:c r="K121" s="27" t="str">
        <x:v>大型連休は早朝から満車。入庫規制中の路上待機禁止。荒天・高波・潮位上昇時は海浜へ入らない。</x:v>
      </x:c>
      <x:c r="L121" s="28" t="n">
        <x:v>46232</x:v>
      </x:c>
      <x:c r="M121" s="27" t="str">
        <x:v>一次確認済</x:v>
      </x:c>
      <x:c r="N121" s="27" t="str">
        <x:v>https://www.tokyo-park.or.jp/park/kasaikaihin/index.html</x:v>
      </x:c>
      <x:c r="O121" s="27" t="str">
        <x:v>葛西沖の干潟を保全・再生した海浜公園で、西なぎさは東京23区内で海へ直接近づける数少ない公共海浜。</x:v>
      </x:c>
      <x:c r="P121" s="49" t="e">
        <x:f>HYPERLINK("https://ja.wikipedia.org/wiki/Special:Search?search=%E8%91%9B%E8%A5%BF%E6%B5%B7%E6%B5%9C%E5%85%AC%E5%9C%92","Wikipedia・関連項目")</x:f>
      </x:c>
      <x:c r="Q121" s="27" t="str">
        <x:v>新規追加。既存の葛西臨海公園とは『干潟・海へ降りる体験』で差別化。</x:v>
      </x:c>
    </x:row>
    <x:row r="122">
      <x:c r="A122" s="27" t="str">
        <x:v>D007</x:v>
      </x:c>
      <x:c r="B122" s="27" t="str">
        <x:v>葛西臨海公園</x:v>
      </x:c>
      <x:c r="C122" s="27" t="str">
        <x:v>江戸川区・臨海町</x:v>
      </x:c>
      <x:c r="D122" s="27" t="str">
        <x:v>海・観覧車・公園</x:v>
      </x:c>
      <x:c r="E122" s="49" t="e">
        <x:f>HYPERLINK("https://www.google.com/maps/dir/?api=1&amp;destination=%E8%91%9B%E8%A5%BF%E8%87%A8%E6%B5%B7%E5%85%AC%E5%9C%92&amp;travelmode=driving","現在地からナビ開始")</x:f>
      </x:c>
      <x:c r="F122" s="27" t="str">
        <x:v>湾岸道路の先に海辺と観覧車が現れ、東側の安定Endingになる。</x:v>
      </x:c>
      <x:c r="G122" s="27" t="str">
        <x:v>あり・有料</x:v>
      </x:c>
      <x:c r="H122" s="27" t="str">
        <x:v>駐車場 24時間</x:v>
      </x:c>
      <x:c r="I122" s="27" t="n">
        <x:v>4</x:v>
      </x:c>
      <x:c r="J122" s="27" t="n">
        <x:v>2</x:v>
      </x:c>
      <x:c r="K122" s="27" t="str">
        <x:v>休日は混雑。深夜は暗い園路や人通りの少ない区域を避ける。</x:v>
      </x:c>
      <x:c r="L122" s="28" t="n">
        <x:v>46232</x:v>
      </x:c>
      <x:c r="M122" s="27" t="str">
        <x:v>一次確認済</x:v>
      </x:c>
      <x:c r="N122" s="27" t="str">
        <x:v>https://www.tokyo-park.or.jp/park/kasairinkai/index.html</x:v>
      </x:c>
      <x:c r="O122" s="27" t="str">
        <x:v>園内の葛西臨海水族園は、ドーナツ形の大型水槽でクロマグロを群泳展示したことで世界的にも知られた。</x:v>
      </x:c>
      <x:c r="P122" s="49" t="e">
        <x:f>HYPERLINK("https://ja.wikipedia.org/wiki/Special:Search?search=%E8%91%9B%E8%A5%BF%E8%87%A8%E6%B5%B7%E5%85%AC%E5%9C%92","Wikipedia・関連項目")</x:f>
      </x:c>
      <x:c r="Q122" s="27"/>
    </x:row>
    <x:row r="123">
      <x:c r="A123" s="27" t="str">
        <x:v>D235</x:v>
      </x:c>
      <x:c r="B123" s="27" t="str">
        <x:v>道の駅 いちかわ</x:v>
      </x:c>
      <x:c r="C123" s="27" t="str">
        <x:v>千葉県市川市</x:v>
      </x:c>
      <x:c r="D123" s="27" t="str">
        <x:v>道の駅・外環・都市農業</x:v>
      </x:c>
      <x:c r="E123" s="49" t="e">
        <x:f>HYPERLINK("https://www.google.com/maps/dir/?api=1&amp;destination=%E9%81%93%E3%81%AE%E9%A7%85%20%E3%81%84%E3%81%A1%E3%81%8B%E3%82%8F&amp;travelmode=driving","現在地からナビ開始")</x:f>
      </x:c>
      <x:c r="F123" s="27" t="str">
        <x:v>東京外環沿いで食事、地元農産物、珈琲焙煎を楽しめ、近距離ドライブを目的地化できる。</x:v>
      </x:c>
      <x:c r="G123" s="27" t="str">
        <x:v>あり・小型69台ほか</x:v>
      </x:c>
      <x:c r="H123" s="27" t="str">
        <x:v>開館9:00～22:00／店舗別</x:v>
      </x:c>
      <x:c r="I123" s="27" t="n">
        <x:v>4</x:v>
      </x:c>
      <x:c r="J123" s="27" t="n">
        <x:v>2</x:v>
      </x:c>
      <x:c r="K123" s="27" t="str">
        <x:v>高速道路から直接入れない。混雑表示を確認。長時間休憩や車中泊前提の占有を避ける。</x:v>
      </x:c>
      <x:c r="L123" s="28" t="n">
        <x:v>46232</x:v>
      </x:c>
      <x:c r="M123" s="27" t="str">
        <x:v>一次確認済</x:v>
      </x:c>
      <x:c r="N123" s="27" t="str">
        <x:v>https://www.michinoeki-ichikawa.jp/access/</x:v>
      </x:c>
      <x:c r="O123" s="27" t="str">
        <x:v>都市化の進む市川で、梨など近郊農業と外環道路の交通結節を結びつける道の駅。</x:v>
      </x:c>
      <x:c r="P123" s="49" t="e">
        <x:f>HYPERLINK("https://ja.wikipedia.org/wiki/Special:Search?search=%E9%81%93%E3%81%AE%E9%A7%85%20%E3%81%84%E3%81%A1%E3%81%8B%E3%82%8F","Wikipedia・関連項目")</x:f>
      </x:c>
      <x:c r="Q123" s="27" t="str">
        <x:v>新規追加。大田区から短時間で到達する食・休憩Ending。</x:v>
      </x:c>
    </x:row>
    <x:row r="124">
      <x:c r="A124" s="27" t="str">
        <x:v>D238</x:v>
      </x:c>
      <x:c r="B124" s="27" t="str">
        <x:v>道の駅 しょうなん</x:v>
      </x:c>
      <x:c r="C124" s="27" t="str">
        <x:v>千葉県柏市</x:v>
      </x:c>
      <x:c r="D124" s="27" t="str">
        <x:v>道の駅・手賀沼・農産物</x:v>
      </x:c>
      <x:c r="E124" s="49" t="e">
        <x:f>HYPERLINK("https://www.google.com/maps/dir/?api=1&amp;destination=%E9%81%93%E3%81%AE%E9%A7%85%20%E3%81%97%E3%82%87%E3%81%86%E3%81%AA%E3%82%93&amp;travelmode=driving","現在地からナビ開始")</x:f>
      </x:c>
      <x:c r="F124" s="27" t="str">
        <x:v>手賀沼の水辺と柏の農産物を組み合わせ、東葛方面の昼ドライブを食と休憩で締められる。</x:v>
      </x:c>
      <x:c r="G124" s="27" t="str">
        <x:v>あり・第1・第2駐車場は24時間</x:v>
      </x:c>
      <x:c r="H124" s="27" t="str">
        <x:v>店舗9:00～18:00</x:v>
      </x:c>
      <x:c r="I124" s="27" t="n">
        <x:v>4</x:v>
      </x:c>
      <x:c r="J124" s="27" t="n">
        <x:v>2</x:v>
      </x:c>
      <x:c r="K124" s="27" t="str">
        <x:v>花火大会・イベント日は入出庫規制あり。駐車場拡張後も休日は混雑。手賀沼周辺の虫・濃霧注意。</x:v>
      </x:c>
      <x:c r="L124" s="28" t="n">
        <x:v>46232</x:v>
      </x:c>
      <x:c r="M124" s="27" t="str">
        <x:v>一次確認済</x:v>
      </x:c>
      <x:c r="N124" s="27" t="str">
        <x:v>https://www.michinoeki-shonan.jp/access/</x:v>
      </x:c>
      <x:c r="O124" s="27" t="str">
        <x:v>旧沼南町の名称を残す道の駅で、手賀沼の農業・水辺観光拠点として再整備された。</x:v>
      </x:c>
      <x:c r="P124" s="49" t="e">
        <x:f>HYPERLINK("https://ja.wikipedia.org/wiki/Special:Search?search=%E9%81%93%E3%81%AE%E9%A7%85%20%E3%81%97%E3%82%87%E3%81%86%E3%81%AA%E3%82%93","Wikipedia・関連項目")</x:f>
      </x:c>
      <x:c r="Q124" s="27" t="str">
        <x:v>新規追加。夜間駐車可能だが、店舗目的は18時まで。</x:v>
      </x:c>
    </x:row>
    <x:row r="125">
      <x:c r="A125" s="27" t="str">
        <x:v>D159</x:v>
      </x:c>
      <x:c r="B125" s="27" t="str">
        <x:v>青葉の森公園</x:v>
      </x:c>
      <x:c r="C125" s="27" t="str">
        <x:v>千葉市・中央区</x:v>
      </x:c>
      <x:c r="D125" s="27" t="str">
        <x:v>大規模公園・文化施設・夜間</x:v>
      </x:c>
      <x:c r="E125" s="49" t="e">
        <x:f>HYPERLINK("https://www.google.com/maps/dir/?api=1&amp;destination=%E9%9D%92%E8%91%89%E3%81%AE%E6%A3%AE%E5%85%AC%E5%9C%92&amp;travelmode=driving","現在地からナビ開始")</x:f>
      </x:c>
      <x:c r="F125" s="27" t="str">
        <x:v>広い芝生、博物館、芸術文化ホールが集まり、千葉市内の文化系Endingとして安定する。</x:v>
      </x:c>
      <x:c r="G125" s="27" t="str">
        <x:v>あり・普通車573台ほか、有料</x:v>
      </x:c>
      <x:c r="H125" s="27" t="str">
        <x:v>公園24時間／駐車場6:00～22:00</x:v>
      </x:c>
      <x:c r="I125" s="27" t="n">
        <x:v>4</x:v>
      </x:c>
      <x:c r="J125" s="27" t="n">
        <x:v>2</x:v>
      </x:c>
      <x:c r="K125" s="27" t="str">
        <x:v>22時閉鎖。イベント日は満車、周辺路上駐車禁止。</x:v>
      </x:c>
      <x:c r="L125" s="28" t="n">
        <x:v>46232</x:v>
      </x:c>
      <x:c r="M125" s="27" t="str">
        <x:v>一次確認済</x:v>
      </x:c>
      <x:c r="N125" s="27" t="str">
        <x:v>https://www.cue-net.or.jp/kouen/aoba/annai/parking.html</x:v>
      </x:c>
      <x:c r="O125" s="27" t="str">
        <x:v>園内の千葉県立中央博物館は房総の自然と歴史を総合的に扱う県立博物館。</x:v>
      </x:c>
      <x:c r="P125" s="49" t="e">
        <x:f>HYPERLINK("https://ja.wikipedia.org/wiki/Special:Search?search=%E9%9D%92%E8%91%89%E3%81%AE%E6%A3%AE%E5%85%AC%E5%9C%92","Wikipedia・関連項目")</x:f>
      </x:c>
      <x:c r="Q125" s="27"/>
    </x:row>
    <x:row r="126">
      <x:c r="A126" s="27" t="str">
        <x:v>D145</x:v>
      </x:c>
      <x:c r="B126" s="27" t="str">
        <x:v>駒沢オリンピック公園</x:v>
      </x:c>
      <x:c r="C126" s="27" t="str">
        <x:v>世田谷区・駒沢</x:v>
      </x:c>
      <x:c r="D126" s="27" t="str">
        <x:v>オリンピック・建築・24時間駐車</x:v>
      </x:c>
      <x:c r="E126" s="49" t="e">
        <x:f>HYPERLINK("https://www.google.com/maps/dir/?api=1&amp;destination=%E9%A7%92%E6%B2%A2%E3%82%AA%E3%83%AA%E3%83%B3%E3%83%94%E3%83%83%E3%82%AF%E5%85%AC%E5%9C%92&amp;travelmode=driving","現在地からナビ開始")</x:f>
      </x:c>
      <x:c r="F126" s="27" t="str">
        <x:v>1964年東京大会の競技施設群を夜間でも眺められ、建築と都市史のStory Layerが強い。</x:v>
      </x:c>
      <x:c r="G126" s="27" t="str">
        <x:v>あり・第1駐車場ほか、有料</x:v>
      </x:c>
      <x:c r="H126" s="27" t="str">
        <x:v>第1駐車場 24時間</x:v>
      </x:c>
      <x:c r="I126" s="27" t="n">
        <x:v>4</x:v>
      </x:c>
      <x:c r="J126" s="27" t="n">
        <x:v>2</x:v>
      </x:c>
      <x:c r="K126" s="27" t="str">
        <x:v>大会・イベント日は混雑。第一駐車場は工事による一部閉鎖情報を確認。</x:v>
      </x:c>
      <x:c r="L126" s="28" t="n">
        <x:v>46232</x:v>
      </x:c>
      <x:c r="M126" s="27" t="str">
        <x:v>一次確認済</x:v>
      </x:c>
      <x:c r="N126" s="27" t="str">
        <x:v>https://www.tokyo-park.or.jp/park/komazawa-olympic/index.html</x:v>
      </x:c>
      <x:c r="O126" s="27" t="str">
        <x:v>1964年東京オリンピックではレスリングやバレーボールなどの会場となった。</x:v>
      </x:c>
      <x:c r="P126" s="49" t="e">
        <x:f>HYPERLINK("https://ja.wikipedia.org/wiki/Special:Search?search=%E9%A7%92%E6%B2%A2%E3%82%AA%E3%83%AA%E3%83%B3%E3%83%94%E3%83%83%E3%82%AF%E5%85%AC%E5%9C%92","Wikipedia・関連項目")</x:f>
      </x:c>
      <x:c r="Q126" s="27"/>
    </x:row>
    <x:row r="127">
      <x:c r="A127" s="27" t="str">
        <x:v>D187</x:v>
      </x:c>
      <x:c r="B127" s="27" t="str">
        <x:v>燈明堂緑地</x:v>
      </x:c>
      <x:c r="C127" s="27" t="str">
        <x:v>横須賀市・西浦賀</x:v>
      </x:c>
      <x:c r="D127" s="27" t="str">
        <x:v>歴史・小海岸・行き止まり</x:v>
      </x:c>
      <x:c r="E127" s="49" t="e">
        <x:f>HYPERLINK("https://www.google.com/maps/dir/?api=1&amp;destination=%E7%87%88%E6%98%8E%E5%A0%82%E7%B7%91%E5%9C%B0&amp;travelmode=driving","現在地からナビ開始")</x:f>
      </x:c>
      <x:c r="F127" s="27" t="str">
        <x:v>復元された江戸期の燈明堂と小さな海岸があり、浦賀の船交通史を静かな行き止まりで感じられる。</x:v>
      </x:c>
      <x:c r="G127" s="27" t="str">
        <x:v>あり・有料</x:v>
      </x:c>
      <x:c r="H127" s="27" t="str">
        <x:v>駐車場利用時間は当日公式・現地表示を確認</x:v>
      </x:c>
      <x:c r="I127" s="27" t="n">
        <x:v>3</x:v>
      </x:c>
      <x:c r="J127" s="27" t="n">
        <x:v>5</x:v>
      </x:c>
      <x:c r="K127" s="27" t="str">
        <x:v>海岸は狭く、夏季料金が高い。港湾作業・私有地へ入らず、満車時は路上待機しない。</x:v>
      </x:c>
      <x:c r="L127" s="28" t="n">
        <x:v>46232</x:v>
      </x:c>
      <x:c r="M127" s="27" t="str">
        <x:v>当日再確認</x:v>
      </x:c>
      <x:c r="N127" s="27" t="str">
        <x:v>https://www.city.yokosuka.kanagawa.jp/8120/sisetu/fc00000754.html</x:v>
      </x:c>
      <x:c r="O127" s="27" t="str">
        <x:v>燈明堂は1684年に建てられ、菜種油の灯火で約220年間、浦賀水道を行き交う船を導いたとされる。</x:v>
      </x:c>
      <x:c r="P127" s="49" t="e">
        <x:f>HYPERLINK("https://ja.wikipedia.org/wiki/Special:Search?search=%E7%87%88%E6%98%8E%E5%A0%82%E7%B7%91%E5%9C%B0","Wikipedia・関連項目")</x:f>
      </x:c>
      <x:c r="Q127" s="27" t="str">
        <x:v>新規追加。現代灯台と対比できるStory Layerが強い。</x:v>
      </x:c>
    </x:row>
    <x:row r="128">
      <x:c r="A128" s="27" t="str">
        <x:v>D070</x:v>
      </x:c>
      <x:c r="B128" s="27" t="str">
        <x:v>鹿野山 九十九谷展望公園</x:v>
      </x:c>
      <x:c r="C128" s="27" t="str">
        <x:v>君津市・鹿野山</x:v>
      </x:c>
      <x:c r="D128" s="27" t="str">
        <x:v>高台・山並み・雲海</x:v>
      </x:c>
      <x:c r="E128" s="49" t="e">
        <x:f>HYPERLINK("https://www.google.com/maps/dir/?api=1&amp;destination=%E9%B9%BF%E9%87%8E%E5%B1%B1%20%E4%B9%9D%E5%8D%81%E4%B9%9D%E8%B0%B7%E5%B1%95%E6%9C%9B%E5%85%AC%E5%9C%92&amp;travelmode=driving","現在地からナビ開始")</x:f>
      </x:c>
      <x:c r="F128" s="27" t="str">
        <x:v>房総丘陵の幾重もの尾根を見渡し、海とは別種の遠景Endingを作れる。</x:v>
      </x:c>
      <x:c r="G128" s="27" t="str">
        <x:v>あり・無料</x:v>
      </x:c>
      <x:c r="H128" s="27" t="str">
        <x:v>常時利用可能の案内あり、現地掲示優先</x:v>
      </x:c>
      <x:c r="I128" s="27" t="n">
        <x:v>3</x:v>
      </x:c>
      <x:c r="J128" s="27" t="n">
        <x:v>5</x:v>
      </x:c>
      <x:c r="K128" s="27" t="str">
        <x:v>濃霧・夜間の山道・野生動物に注意。単独深夜は推奨しない。</x:v>
      </x:c>
      <x:c r="L128" s="28" t="n">
        <x:v>46232</x:v>
      </x:c>
      <x:c r="M128" s="27" t="str">
        <x:v>当日再確認</x:v>
      </x:c>
      <x:c r="N128" s="27" t="str">
        <x:v>https://maruchiba.jp/spot/detail_10352.html</x:v>
      </x:c>
      <x:c r="O128" s="27" t="str">
        <x:v>九十九谷の眺望は日本画家・東山魁夷の代表作『残照』の着想地として知られる。</x:v>
      </x:c>
      <x:c r="P128" s="49" t="e">
        <x:f>HYPERLINK("https://ja.wikipedia.org/wiki/Special:Search?search=%E9%B9%BF%E9%87%8E%E5%B1%B1%20%E4%B9%9D%E5%8D%81%E4%B9%9D%E8%B0%B7%E5%B1%95%E6%9C%9B%E5%85%AC%E5%9C%92","Wikipedia・関連項目")</x:f>
      </x:c>
      <x:c r="Q128" s="27"/>
    </x:row>
    <x:row r="129">
      <x:c r="A129" s="27" t="str">
        <x:v>D068</x:v>
      </x:c>
      <x:c r="B129" s="27" t="str">
        <x:v>中の島公園</x:v>
      </x:c>
      <x:c r="C129" s="27" t="str">
        <x:v>木更津市・中の島</x:v>
      </x:c>
      <x:c r="D129" s="27" t="str">
        <x:v>橋・港・夕景</x:v>
      </x:c>
      <x:c r="E129" s="49" t="e">
        <x:f>HYPERLINK("https://www.google.com/maps/dir/?api=1&amp;destination=%E4%B8%AD%E3%81%AE%E5%B3%B6%E5%85%AC%E5%9C%92&amp;travelmode=driving","現在地からナビ開始")</x:f>
      </x:c>
      <x:c r="F129" s="27" t="str">
        <x:v>中の島大橋を徒歩で渡った先にあり、車を降りて短い冒険を加えられる。</x:v>
      </x:c>
      <x:c r="G129" s="27" t="str">
        <x:v>鳥居崎海浜公園駐車場を利用・約100台案内</x:v>
      </x:c>
      <x:c r="H129" s="27" t="str">
        <x:v>公園 常時利用、駐車場は当日確認</x:v>
      </x:c>
      <x:c r="I129" s="27" t="n">
        <x:v>3</x:v>
      </x:c>
      <x:c r="J129" s="27" t="n">
        <x:v>4</x:v>
      </x:c>
      <x:c r="K129" s="27" t="str">
        <x:v>橋は徒歩移動。転落防止柵を越えない。強風時は避ける。</x:v>
      </x:c>
      <x:c r="L129" s="28" t="n">
        <x:v>46232</x:v>
      </x:c>
      <x:c r="M129" s="27" t="str">
        <x:v>当日再確認</x:v>
      </x:c>
      <x:c r="N129" s="27" t="str">
        <x:v>https://www.city.kisarazu.lg.jp/soshiki/toshiseibi/shigaichiseibi/1/park/2597.html</x:v>
      </x:c>
      <x:c r="O129" s="27" t="str">
        <x:v>中の島大橋は日本有数の高さを持つ歩道橋で、ドラマ『木更津キャッツアイ』の舞台として有名になった。</x:v>
      </x:c>
      <x:c r="P129" s="49" t="e">
        <x:f>HYPERLINK("https://ja.wikipedia.org/wiki/Special:Search?search=%E4%B8%AD%E3%81%AE%E5%B3%B6%E5%85%AC%E5%9C%92","Wikipedia・関連項目")</x:f>
      </x:c>
      <x:c r="Q129" s="27"/>
    </x:row>
    <x:row r="130">
      <x:c r="A130" s="27" t="str">
        <x:v>D109</x:v>
      </x:c>
      <x:c r="B130" s="27" t="str">
        <x:v>亥鼻公園</x:v>
      </x:c>
      <x:c r="C130" s="27" t="str">
        <x:v>千葉市・中央区</x:v>
      </x:c>
      <x:c r="D130" s="27" t="str">
        <x:v>城址・高台・Story</x:v>
      </x:c>
      <x:c r="E130" s="49" t="e">
        <x:f>HYPERLINK("https://www.google.com/maps/dir/?api=1&amp;destination=%E4%BA%A5%E9%BC%BB%E5%85%AC%E5%9C%92&amp;travelmode=driving","現在地からナビ開始")</x:f>
      </x:c>
      <x:c r="F130" s="27" t="str">
        <x:v>千葉城と歴史公園の高台景観があり、都市ドライブに物語性を加えられる。</x:v>
      </x:c>
      <x:c r="G130" s="27" t="str">
        <x:v>周辺有料駐車場利用</x:v>
      </x:c>
      <x:c r="H130" s="27" t="str">
        <x:v>公園は常時利用可、施設時間は別</x:v>
      </x:c>
      <x:c r="I130" s="27" t="n">
        <x:v>3</x:v>
      </x:c>
      <x:c r="J130" s="27" t="n">
        <x:v>4</x:v>
      </x:c>
      <x:c r="K130" s="27" t="str">
        <x:v>桜祭り時は混雑。千葉城施設の営業時間と駐車位置を確認。</x:v>
      </x:c>
      <x:c r="L130" s="28" t="n">
        <x:v>46232</x:v>
      </x:c>
      <x:c r="M130" s="27" t="str">
        <x:v>当日再確認</x:v>
      </x:c>
      <x:c r="N130" s="27" t="str">
        <x:v>https://www.city.chiba.jp/toshi/koenryokuchi/kanri/chuo-mihama/inohanap-top.html</x:v>
      </x:c>
      <x:c r="O130" s="27" t="str">
        <x:v>亥鼻公園の模擬天守は千葉市立郷土博物館で、中世に千葉氏が拠点とした亥鼻城をイメージしている。</x:v>
      </x:c>
      <x:c r="P130" s="49" t="e">
        <x:f>HYPERLINK("https://ja.wikipedia.org/wiki/Special:Search?search=%E4%BA%A5%E9%BC%BB%E5%85%AC%E5%9C%92","Wikipedia・関連項目")</x:f>
      </x:c>
      <x:c r="Q130" s="27"/>
    </x:row>
    <x:row r="131">
      <x:c r="A131" s="27" t="str">
        <x:v>D147</x:v>
      </x:c>
      <x:c r="B131" s="27" t="str">
        <x:v>北八朔公園</x:v>
      </x:c>
      <x:c r="C131" s="27" t="str">
        <x:v>横浜市・緑区</x:v>
      </x:c>
      <x:c r="D131" s="27" t="str">
        <x:v>谷戸・里山・風致公園</x:v>
      </x:c>
      <x:c r="E131" s="49" t="e">
        <x:f>HYPERLINK("https://www.google.com/maps/dir/?api=1&amp;destination=%E5%8C%97%E5%85%AB%E6%9C%94%E5%85%AC%E5%9C%92&amp;travelmode=driving","現在地からナビ開始")</x:f>
      </x:c>
      <x:c r="F131" s="27" t="str">
        <x:v>谷戸地形と樹林が残る横浜北部の静かな公園で、都市部から自然へ切り替える経由地になる。</x:v>
      </x:c>
      <x:c r="G131" s="27" t="str">
        <x:v>あり・普通車39台、有料</x:v>
      </x:c>
      <x:c r="H131" s="27" t="str">
        <x:v>駐車場は24時間運用情報あり</x:v>
      </x:c>
      <x:c r="I131" s="27" t="n">
        <x:v>3</x:v>
      </x:c>
      <x:c r="J131" s="27" t="n">
        <x:v>4</x:v>
      </x:c>
      <x:c r="K131" s="27" t="str">
        <x:v>夜間は暗い。主要園路のみ利用し、自然保護区域へ入らない。</x:v>
      </x:c>
      <x:c r="L131" s="28" t="n">
        <x:v>46232</x:v>
      </x:c>
      <x:c r="M131" s="27" t="str">
        <x:v>一次確認済</x:v>
      </x:c>
      <x:c r="N131" s="27" t="str">
        <x:v>https://www.city.yokohama.lg.jp/kurashi/machizukuri-kankyo/midori-koen/koen/koen/daihyoteki/kitahassaku_park.html</x:v>
      </x:c>
      <x:c r="O131" s="27" t="str">
        <x:v>『八朔』は旧暦8月1日を指し、地名には農村の年中行事や旧村名の記憶が残る場合がある。</x:v>
      </x:c>
      <x:c r="P131" s="49" t="e">
        <x:f>HYPERLINK("https://ja.wikipedia.org/wiki/Special:Search?search=%E5%8C%97%E5%85%AB%E6%9C%94%E5%85%AC%E5%9C%92","Wikipedia・関連項目")</x:f>
      </x:c>
      <x:c r="Q131" s="27"/>
    </x:row>
    <x:row r="132">
      <x:c r="A132" s="27" t="str">
        <x:v>D008</x:v>
      </x:c>
      <x:c r="B132" s="27" t="str">
        <x:v>夢の島公園</x:v>
      </x:c>
      <x:c r="C132" s="27" t="str">
        <x:v>江東区・夢の島</x:v>
      </x:c>
      <x:c r="D132" s="27" t="str">
        <x:v>静かな休憩・公園</x:v>
      </x:c>
      <x:c r="E132" s="49" t="e">
        <x:f>HYPERLINK("https://www.google.com/maps/dir/?api=1&amp;destination=%E5%A4%A2%E3%81%AE%E5%B3%B6%E5%85%AC%E5%9C%92&amp;travelmode=driving","現在地からナビ開始")</x:f>
      </x:c>
      <x:c r="F132" s="27" t="str">
        <x:v>派手さはないが、湾岸走行後に静かに休むEndingとして使いやすい。</x:v>
      </x:c>
      <x:c r="G132" s="27" t="str">
        <x:v>あり・有料</x:v>
      </x:c>
      <x:c r="H132" s="27" t="str">
        <x:v>最新時間は公式確認</x:v>
      </x:c>
      <x:c r="I132" s="27" t="n">
        <x:v>3</x:v>
      </x:c>
      <x:c r="J132" s="27" t="n">
        <x:v>4</x:v>
      </x:c>
      <x:c r="K132" s="27" t="str">
        <x:v>一部閉鎖やイベントを確認。夜は奥まった区域を避ける。</x:v>
      </x:c>
      <x:c r="L132" s="28" t="n">
        <x:v>46232</x:v>
      </x:c>
      <x:c r="M132" s="27" t="str">
        <x:v>当日再確認</x:v>
      </x:c>
      <x:c r="N132" s="27" t="str">
        <x:v>https://www.tokyo-park.or.jp/park/yumenoshima/index.html</x:v>
      </x:c>
      <x:c r="O132" s="27" t="str">
        <x:v>夢の島は戦前に新空港建設地として計画され、戦後は海水浴場を経てごみ埋立地となったという劇的な履歴を持つ。</x:v>
      </x:c>
      <x:c r="P132" s="49" t="e">
        <x:f>HYPERLINK("https://ja.wikipedia.org/wiki/Special:Search?search=%E5%A4%A2%E3%81%AE%E5%B3%B6%E5%85%AC%E5%9C%92","Wikipedia・関連項目")</x:f>
      </x:c>
      <x:c r="Q132" s="27"/>
    </x:row>
    <x:row r="133">
      <x:c r="A133" s="27" t="str">
        <x:v>D069</x:v>
      </x:c>
      <x:c r="B133" s="27" t="str">
        <x:v>小櫃堰公園</x:v>
      </x:c>
      <x:c r="C133" s="27" t="str">
        <x:v>木更津市・祇園</x:v>
      </x:c>
      <x:c r="D133" s="27" t="str">
        <x:v>川・桜並木・静かな公園</x:v>
      </x:c>
      <x:c r="E133" s="49" t="e">
        <x:f>HYPERLINK("https://www.google.com/maps/dir/?api=1&amp;destination=%E5%B0%8F%E6%AB%83%E5%A0%B0%E5%85%AC%E5%9C%92&amp;travelmode=driving","現在地からナビ開始")</x:f>
      </x:c>
      <x:c r="F133" s="27" t="str">
        <x:v>小櫃川沿いの緑と桜並木があり、海側ルートの最後を落ち着かせる内陸Endingになる。</x:v>
      </x:c>
      <x:c r="G133" s="27" t="str">
        <x:v>あり・69台</x:v>
      </x:c>
      <x:c r="H133" s="27" t="str">
        <x:v>公園 常時開設、駐車場は現地掲示優先</x:v>
      </x:c>
      <x:c r="I133" s="27" t="n">
        <x:v>3</x:v>
      </x:c>
      <x:c r="J133" s="27" t="n">
        <x:v>4</x:v>
      </x:c>
      <x:c r="K133" s="27" t="str">
        <x:v>夜間は景観価値が下がる。春・夕方向け。</x:v>
      </x:c>
      <x:c r="L133" s="28" t="n">
        <x:v>46232</x:v>
      </x:c>
      <x:c r="M133" s="27" t="str">
        <x:v>一次確認済</x:v>
      </x:c>
      <x:c r="N133" s="27" t="str">
        <x:v>https://www.city.kisarazu.lg.jp/soshiki/toshiseibi/shigaichiseibi/1/park/3025.html</x:v>
      </x:c>
      <x:c r="O133" s="27" t="str">
        <x:v>小櫃川は房総丘陵から東京湾へ流れる千葉県有数の河川で、流域には水田地帯が広がる。</x:v>
      </x:c>
      <x:c r="P133" s="49" t="e">
        <x:f>HYPERLINK("https://ja.wikipedia.org/wiki/Special:Search?search=%E5%B0%8F%E6%AB%83%E5%A0%B0%E5%85%AC%E5%9C%92","Wikipedia・関連項目")</x:f>
      </x:c>
      <x:c r="Q133" s="27"/>
    </x:row>
    <x:row r="134">
      <x:c r="A134" s="27" t="str">
        <x:v>D124</x:v>
      </x:c>
      <x:c r="B134" s="27" t="str">
        <x:v>岩槻城址公園</x:v>
      </x:c>
      <x:c r="C134" s="27" t="str">
        <x:v>さいたま市岩槻区</x:v>
      </x:c>
      <x:c r="D134" s="27" t="str">
        <x:v>城址・池・Story</x:v>
      </x:c>
      <x:c r="E134" s="49" t="e">
        <x:f>HYPERLINK("https://www.google.com/maps/dir/?api=1&amp;destination=%E5%B2%A9%E6%A7%BB%E5%9F%8E%E5%9D%80%E5%85%AC%E5%9C%92&amp;travelmode=driving","現在地からナビ開始")</x:f>
      </x:c>
      <x:c r="F134" s="27" t="str">
        <x:v>城跡、菖蒲池、朱塗りの八つ橋、保存車両があり、歴史と昭和のStory Layerを重ねられる。</x:v>
      </x:c>
      <x:c r="G134" s="27" t="str">
        <x:v>あり・所定駐車場</x:v>
      </x:c>
      <x:c r="H134" s="27" t="str">
        <x:v>公園は常時利用可／運動施設は時間制</x:v>
      </x:c>
      <x:c r="I134" s="27" t="n">
        <x:v>3</x:v>
      </x:c>
      <x:c r="J134" s="27" t="n">
        <x:v>4</x:v>
      </x:c>
      <x:c r="K134" s="27" t="str">
        <x:v>駐車台数・供用時間は当日確認。桜期や撮影日は混雑し、路上駐車は禁止。</x:v>
      </x:c>
      <x:c r="L134" s="28" t="n">
        <x:v>46232</x:v>
      </x:c>
      <x:c r="M134" s="27" t="str">
        <x:v>当日再確認</x:v>
      </x:c>
      <x:c r="N134" s="27" t="str">
        <x:v>https://www.city.saitama.lg.jp/004/006/003/003/p033549.html</x:v>
      </x:c>
      <x:c r="O134" s="27" t="str">
        <x:v>岩槻城は長く太田道灌築城説が有名だったが、近年は成田氏による築城説が有力とされる。</x:v>
      </x:c>
      <x:c r="P134" s="49" t="e">
        <x:f>HYPERLINK("https://ja.wikipedia.org/wiki/Special:Search?search=%E5%B2%A9%E6%A7%BB%E5%9F%8E%E5%9D%80%E5%85%AC%E5%9C%92","Wikipedia・関連項目")</x:f>
      </x:c>
      <x:c r="Q134" s="27"/>
    </x:row>
    <x:row r="135">
      <x:c r="A135" s="27" t="str">
        <x:v>D164</x:v>
      </x:c>
      <x:c r="B135" s="27" t="str">
        <x:v>本牧山頂公園</x:v>
      </x:c>
      <x:c r="C135" s="27" t="str">
        <x:v>横浜市・中区</x:v>
      </x:c>
      <x:c r="D135" s="27" t="str">
        <x:v>高台・港・草地・都市展望</x:v>
      </x:c>
      <x:c r="E135" s="49" t="e">
        <x:f>HYPERLINK("https://www.google.com/maps/dir/?api=1&amp;destination=%E6%9C%AC%E7%89%A7%E5%B1%B1%E9%A0%82%E5%85%AC%E5%9C%92&amp;travelmode=driving","現在地からナビ開始")</x:f>
      </x:c>
      <x:c r="F135" s="27" t="str">
        <x:v>本牧の尾根上を歩きながら横浜港と住宅地を見下ろせ、港湾ドライブの最後に地形の高さを加えられる。</x:v>
      </x:c>
      <x:c r="G135" s="27" t="str">
        <x:v>あり・有料</x:v>
      </x:c>
      <x:c r="H135" s="27" t="str">
        <x:v>駐車場時間は指定管理者の当日案内確認</x:v>
      </x:c>
      <x:c r="I135" s="27" t="n">
        <x:v>3</x:v>
      </x:c>
      <x:c r="J135" s="27" t="n">
        <x:v>4</x:v>
      </x:c>
      <x:c r="K135" s="27" t="str">
        <x:v>住宅地に接するため夜間の騒音厳禁。駐車場の入出庫時間を出発前に確認。</x:v>
      </x:c>
      <x:c r="L135" s="28" t="n">
        <x:v>46232</x:v>
      </x:c>
      <x:c r="M135" s="27" t="str">
        <x:v>当日再確認</x:v>
      </x:c>
      <x:c r="N135" s="27" t="str">
        <x:v>https://www.city.yokohama.lg.jp/kenko-iryo-fukushi/fukushi-kaigo/fuku-machi/barrierfree/shisetsu/shisetsu/06092.html</x:v>
      </x:c>
      <x:c r="O135" s="27" t="str">
        <x:v>本牧はかつて海沿いの景勝地だったが、戦後の接収と埋立・再開発で現在の港湾都市景観へ変化した。</x:v>
      </x:c>
      <x:c r="P135" s="49" t="e">
        <x:f>HYPERLINK("https://ja.wikipedia.org/wiki/Special:Search?search=%E6%9C%AC%E7%89%A7%E5%B1%B1%E9%A0%82%E5%85%AC%E5%9C%92","Wikipedia・関連項目")</x:f>
      </x:c>
      <x:c r="Q135" s="27"/>
    </x:row>
    <x:row r="136">
      <x:c r="A136" s="27" t="str">
        <x:v>D010</x:v>
      </x:c>
      <x:c r="B136" s="27" t="str">
        <x:v>東扇島東公園</x:v>
      </x:c>
      <x:c r="C136" s="27" t="str">
        <x:v>川崎市・東扇島</x:v>
      </x:c>
      <x:c r="D136" s="27" t="str">
        <x:v>人工海浜・港</x:v>
      </x:c>
      <x:c r="E136" s="49" t="e">
        <x:f>HYPERLINK("https://www.google.com/maps/dir/?api=1&amp;destination=%E6%9D%B1%E6%89%87%E5%B3%B6%E6%9D%B1%E5%85%AC%E5%9C%92&amp;travelmode=driving","現在地からナビ開始")</x:f>
      </x:c>
      <x:c r="F136" s="27" t="str">
        <x:v>人工海浜、航空機、港湾設備を低い目線で眺める夕方Ending。</x:v>
      </x:c>
      <x:c r="G136" s="27" t="str">
        <x:v>あり・有料</x:v>
      </x:c>
      <x:c r="H136" s="27" t="str">
        <x:v>20:30～翌5:00は入庫不可</x:v>
      </x:c>
      <x:c r="I136" s="27" t="n">
        <x:v>3</x:v>
      </x:c>
      <x:c r="J136" s="27" t="n">
        <x:v>4</x:v>
      </x:c>
      <x:c r="K136" s="27" t="str">
        <x:v>夜遅い出発には不向き。入庫制限時刻を厳守。</x:v>
      </x:c>
      <x:c r="L136" s="28" t="n">
        <x:v>46232</x:v>
      </x:c>
      <x:c r="M136" s="27" t="str">
        <x:v>一次確認済</x:v>
      </x:c>
      <x:c r="N136" s="27" t="str">
        <x:v>https://www.city.kawasaki.jp/580/page/0000001282.html</x:v>
      </x:c>
      <x:c r="O136" s="27" t="str">
        <x:v>東扇島は川崎港の人工島で、公園の人工海浜は京浜工業地帯の中に造られた珍しい砂浜である。</x:v>
      </x:c>
      <x:c r="P136" s="49" t="e">
        <x:f>HYPERLINK("https://ja.wikipedia.org/wiki/Special:Search?search=%E6%9D%B1%E6%89%87%E5%B3%B6%E6%9D%B1%E5%85%AC%E5%9C%92","Wikipedia・関連項目")</x:f>
      </x:c>
      <x:c r="Q136" s="27"/>
    </x:row>
    <x:row r="137">
      <x:c r="A137" s="27" t="str">
        <x:v>D012</x:v>
      </x:c>
      <x:c r="B137" s="27" t="str">
        <x:v>横浜港シンボルタワー</x:v>
      </x:c>
      <x:c r="C137" s="27" t="str">
        <x:v>横浜市・本牧ふ頭</x:v>
      </x:c>
      <x:c r="D137" s="27" t="str">
        <x:v>港・行き止まり・展望</x:v>
      </x:c>
      <x:c r="E137" s="49" t="e">
        <x:f>HYPERLINK("https://www.google.com/maps/dir/?api=1&amp;destination=%E6%A8%AA%E6%B5%9C%E6%B8%AF%E3%82%B7%E3%83%B3%E3%83%9C%E3%83%AB%E3%82%BF%E3%83%AF%E3%83%BC&amp;travelmode=driving","現在地からナビ開始")</x:f>
      </x:c>
      <x:c r="F137" s="27" t="str">
        <x:v>本牧ふ頭最奥へ走り、船舶と横浜港を眺める行き止まり感が強い。</x:v>
      </x:c>
      <x:c r="G137" s="27" t="str">
        <x:v>あり・約205台</x:v>
      </x:c>
      <x:c r="H137" s="27" t="str">
        <x:v>季節変動、夏季は概ね20時まで</x:v>
      </x:c>
      <x:c r="I137" s="27" t="n">
        <x:v>3</x:v>
      </x:c>
      <x:c r="J137" s="27" t="n">
        <x:v>4</x:v>
      </x:c>
      <x:c r="K137" s="27" t="str">
        <x:v>入場締切は閉場より早い。ゲート閉鎖前に退出。</x:v>
      </x:c>
      <x:c r="L137" s="28" t="n">
        <x:v>46232</x:v>
      </x:c>
      <x:c r="M137" s="27" t="str">
        <x:v>当日再確認</x:v>
      </x:c>
      <x:c r="N137" s="27" t="str">
        <x:v>https://y-stw.com/</x:v>
      </x:c>
      <x:c r="O137" s="27" t="str">
        <x:v>横浜港シンボルタワーには船舶へ航路情報を伝える信号塔の役割があり、展望施設だけではない。</x:v>
      </x:c>
      <x:c r="P137" s="49" t="e">
        <x:f>HYPERLINK("https://ja.wikipedia.org/wiki/Special:Search?search=%E6%A8%AA%E6%B5%9C%E6%B8%AF%E3%82%B7%E3%83%B3%E3%83%9C%E3%83%AB%E3%82%BF%E3%83%AF%E3%83%BC","Wikipedia・関連項目")</x:f>
      </x:c>
      <x:c r="Q137" s="27"/>
    </x:row>
    <x:row r="138">
      <x:c r="A138" s="27" t="str">
        <x:v>D214</x:v>
      </x:c>
      <x:c r="B138" s="27" t="str">
        <x:v>片倉城跡公園</x:v>
      </x:c>
      <x:c r="C138" s="27" t="str">
        <x:v>八王子市・片倉町</x:v>
      </x:c>
      <x:c r="D138" s="27" t="str">
        <x:v>城址・湧水・彫刻</x:v>
      </x:c>
      <x:c r="E138" s="49" t="e">
        <x:f>HYPERLINK("https://www.google.com/maps/dir/?api=1&amp;destination=%E7%89%87%E5%80%89%E5%9F%8E%E8%B7%A1%E5%85%AC%E5%9C%92&amp;travelmode=driving","現在地からナビ開始")</x:f>
      </x:c>
      <x:c r="F138" s="27" t="str">
        <x:v>空堀・土塁・湧水地・彫刻が近距離にまとまり、短い徒歩でも城跡の地形変化を感じられる。</x:v>
      </x:c>
      <x:c r="G138" s="27" t="str">
        <x:v>あり・小規模</x:v>
      </x:c>
      <x:c r="H138" s="27" t="str">
        <x:v>駐車場常時開放</x:v>
      </x:c>
      <x:c r="I138" s="27" t="n">
        <x:v>3</x:v>
      </x:c>
      <x:c r="J138" s="27" t="n">
        <x:v>4</x:v>
      </x:c>
      <x:c r="K138" s="27" t="str">
        <x:v>夜は暗く散策不向き。台数が少ないため満車時は通過。湿地・斜面で足元注意。</x:v>
      </x:c>
      <x:c r="L138" s="28" t="n">
        <x:v>46232</x:v>
      </x:c>
      <x:c r="M138" s="27" t="str">
        <x:v>一次確認済</x:v>
      </x:c>
      <x:c r="N138" s="27" t="str">
        <x:v>https://www.city.hachioji.tokyo.jp/shisetsu/009/p011931.html</x:v>
      </x:c>
      <x:c r="O138" s="27" t="str">
        <x:v>室町期の丘城と考えられ、現在も二の丸周辺などに空堀や土塁が残る。</x:v>
      </x:c>
      <x:c r="P138" s="49" t="e">
        <x:f>HYPERLINK("https://ja.wikipedia.org/wiki/Special:Search?search=%E7%89%87%E5%80%89%E5%9F%8E%E8%B7%A1%E5%85%AC%E5%9C%92","Wikipedia・関連項目")</x:f>
      </x:c>
      <x:c r="Q138" s="27" t="str">
        <x:v>新規追加。滝山・八王子城より短時間で城郭地形を味わえる。</x:v>
      </x:c>
    </x:row>
    <x:row r="139">
      <x:c r="A139" s="27" t="str">
        <x:v>D156</x:v>
      </x:c>
      <x:c r="B139" s="27" t="str">
        <x:v>稲田公園</x:v>
      </x:c>
      <x:c r="C139" s="27" t="str">
        <x:v>川崎市・多摩区</x:v>
      </x:c>
      <x:c r="D139" s="27" t="str">
        <x:v>多摩川・くじら遊具・近距離</x:v>
      </x:c>
      <x:c r="E139" s="49" t="e">
        <x:f>HYPERLINK("https://www.google.com/maps/dir/?api=1&amp;destination=%E7%A8%B2%E7%94%B0%E5%85%AC%E5%9C%92&amp;travelmode=driving","現在地からナビ開始")</x:f>
      </x:c>
      <x:c r="F139" s="27" t="str">
        <x:v>多摩川沿いの開放感と象徴的なくじらモニュメントがあり、近距離のStory系公園になる。</x:v>
      </x:c>
      <x:c r="G139" s="27" t="str">
        <x:v>あり・約32台、有料</x:v>
      </x:c>
      <x:c r="H139" s="27" t="str">
        <x:v>利用時間は駐車場掲示を当日確認</x:v>
      </x:c>
      <x:c r="I139" s="27" t="n">
        <x:v>3</x:v>
      </x:c>
      <x:c r="J139" s="27" t="n">
        <x:v>4</x:v>
      </x:c>
      <x:c r="K139" s="27" t="str">
        <x:v>河川増水時は避ける。夏季プール営業日は混雑。</x:v>
      </x:c>
      <x:c r="L139" s="28" t="n">
        <x:v>46232</x:v>
      </x:c>
      <x:c r="M139" s="27" t="str">
        <x:v>当日再確認</x:v>
      </x:c>
      <x:c r="N139" s="27" t="str">
        <x:v>https://www.city.kawasaki.jp/530/cmsfiles/contents/0000109/109446/syoukai.pdf</x:v>
      </x:c>
      <x:c r="O139" s="27" t="str">
        <x:v>稲田堤は多摩川の堤防と渡河の歴史を背景に発展し、現在も河川景観が地域の骨格。</x:v>
      </x:c>
      <x:c r="P139" s="49" t="e">
        <x:f>HYPERLINK("https://ja.wikipedia.org/wiki/Special:Search?search=%E7%A8%B2%E7%94%B0%E5%85%AC%E5%9C%92","Wikipedia・関連項目")</x:f>
      </x:c>
      <x:c r="Q139" s="27"/>
    </x:row>
    <x:row r="140">
      <x:c r="A140" s="27" t="str">
        <x:v>D162</x:v>
      </x:c>
      <x:c r="B140" s="27" t="str">
        <x:v>荒崎公園</x:v>
      </x:c>
      <x:c r="C140" s="27" t="str">
        <x:v>横須賀市・長井</x:v>
      </x:c>
      <x:c r="D140" s="27" t="str">
        <x:v>岩礁・夕日・富士山</x:v>
      </x:c>
      <x:c r="E140" s="49" t="e">
        <x:f>HYPERLINK("https://www.google.com/maps/dir/?api=1&amp;destination=%E8%8D%92%E5%B4%8E%E5%85%AC%E5%9C%92&amp;travelmode=driving","現在地からナビ開始")</x:f>
      </x:c>
      <x:c r="F140" s="27" t="str">
        <x:v>三浦半島西岸の荒々しい岩礁と相模湾の夕日が強く、到達した瞬間に景観が切り替わる最終目的地。</x:v>
      </x:c>
      <x:c r="G140" s="27" t="str">
        <x:v>あり・88台</x:v>
      </x:c>
      <x:c r="H140" s="27" t="str">
        <x:v>季節により8:00～17:30／18:30／19:30</x:v>
      </x:c>
      <x:c r="I140" s="27" t="n">
        <x:v>3</x:v>
      </x:c>
      <x:c r="J140" s="27" t="n">
        <x:v>4</x:v>
      </x:c>
      <x:c r="K140" s="27" t="str">
        <x:v>閉場時刻が季節で異なる。岩場は濡れると滑りやすく、強風・高波時は海岸へ降りない。</x:v>
      </x:c>
      <x:c r="L140" s="28" t="n">
        <x:v>46232</x:v>
      </x:c>
      <x:c r="M140" s="27" t="str">
        <x:v>一次確認済</x:v>
      </x:c>
      <x:c r="N140" s="27" t="str">
        <x:v>https://www.city.yokosuka.kanagawa.jp/5560/sisetu/fc00000433.html</x:v>
      </x:c>
      <x:c r="O140" s="27" t="str">
        <x:v>荒崎海岸は凝灰岩などが波食を受けた複雑な岩礁景観で、三浦半島の地層を間近に観察できる。</x:v>
      </x:c>
      <x:c r="P140" s="49" t="e">
        <x:f>HYPERLINK("https://ja.wikipedia.org/wiki/Special:Search?search=%E8%8D%92%E5%B4%8E%E5%85%AC%E5%9C%92","Wikipedia・関連項目")</x:f>
      </x:c>
      <x:c r="Q140" s="27"/>
    </x:row>
    <x:row r="141">
      <x:c r="A141" s="27" t="str">
        <x:v>D116</x:v>
      </x:c>
      <x:c r="B141" s="27" t="str">
        <x:v>大師公園</x:v>
      </x:c>
      <x:c r="C141" s="27" t="str">
        <x:v>川崎市・川崎区</x:v>
      </x:c>
      <x:c r="D141" s="27" t="str">
        <x:v>大規模公園・Story・近距離</x:v>
      </x:c>
      <x:c r="E141" s="49" t="e">
        <x:f>HYPERLINK("https://www.google.com/maps/dir/?api=1&amp;destination=%E5%A4%A7%E5%B8%AB%E5%85%AC%E5%9C%92&amp;travelmode=driving","現在地からナビ開始")</x:f>
      </x:c>
      <x:c r="F141" s="27" t="str">
        <x:v>川崎大師周辺の街並みと公園を組み合わせ、短距離のStory Layerとして使える。</x:v>
      </x:c>
      <x:c r="G141" s="27" t="str">
        <x:v>周辺駐車場利用</x:v>
      </x:c>
      <x:c r="H141" s="27" t="str">
        <x:v>公園は常時利用可</x:v>
      </x:c>
      <x:c r="I141" s="27" t="n">
        <x:v>3</x:v>
      </x:c>
      <x:c r="J141" s="27" t="n">
        <x:v>3</x:v>
      </x:c>
      <x:c r="K141" s="27" t="str">
        <x:v>祭事日は道路規制と大混雑。路上駐車禁止。</x:v>
      </x:c>
      <x:c r="L141" s="28" t="n">
        <x:v>46232</x:v>
      </x:c>
      <x:c r="M141" s="27" t="str">
        <x:v>当日再確認</x:v>
      </x:c>
      <x:c r="N141" s="27" t="str">
        <x:v>https://www.city.kawasaki.jp/170/cmsfiles/contents/0000187/187611/04.pdf</x:v>
      </x:c>
      <x:c r="O141" s="27" t="str">
        <x:v>大師公園は川崎大師平間寺に隣接し、正月の初詣文化と中国庭園『瀋秀園』を同時に楽しめる。</x:v>
      </x:c>
      <x:c r="P141" s="49" t="e">
        <x:f>HYPERLINK("https://ja.wikipedia.org/wiki/Special:Search?search=%E5%A4%A7%E5%B8%AB%E5%85%AC%E5%9C%92","Wikipedia・関連項目")</x:f>
      </x:c>
      <x:c r="Q141" s="27"/>
    </x:row>
    <x:row r="142">
      <x:c r="A142" s="27" t="str">
        <x:v>D117</x:v>
      </x:c>
      <x:c r="B142" s="27" t="str">
        <x:v>富士見公園</x:v>
      </x:c>
      <x:c r="C142" s="27" t="str">
        <x:v>川崎市・川崎区</x:v>
      </x:c>
      <x:c r="D142" s="27" t="str">
        <x:v>都市公園・スポーツ・夜間休憩</x:v>
      </x:c>
      <x:c r="E142" s="48" t="e">
        <x:f>HYPERLINK("https://www.google.com/maps/dir/?api=1&amp;destination=%E5%AF%8C%E5%A3%AB%E8%A6%8B%E5%85%AC%E5%9C%92&amp;travelmode=driving","現在地からナビ開始")</x:f>
      </x:c>
      <x:c r="F142" s="27" t="str">
        <x:v>川崎中心部で広い公園に切り替えられ、工場夜景前後の休憩地点になる。</x:v>
      </x:c>
      <x:c r="G142" s="27" t="str">
        <x:v>あり・周辺駐車場</x:v>
      </x:c>
      <x:c r="H142" s="27" t="str">
        <x:v>施設・駐車場時間は当日確認</x:v>
      </x:c>
      <x:c r="I142" s="27" t="n">
        <x:v>3</x:v>
      </x:c>
      <x:c r="J142" s="27" t="n">
        <x:v>3</x:v>
      </x:c>
      <x:c r="K142" s="27" t="str">
        <x:v>イベント・競技開催日は混雑。工事範囲確認。</x:v>
      </x:c>
      <x:c r="L142" s="28" t="n">
        <x:v>46232</x:v>
      </x:c>
      <x:c r="M142" s="27" t="str">
        <x:v>当日再確認</x:v>
      </x:c>
      <x:c r="N142" s="27" t="str">
        <x:v>https://www.city.kawasaki.jp/170/cmsfiles/contents/0000187/187611/04.pdf</x:v>
      </x:c>
      <x:c r="O142" s="27" t="str">
        <x:v>富士見公園一帯にはかつて川崎球場があり、大洋ホエールズやロッテオリオンズの本拠地として使われた。</x:v>
      </x:c>
      <x:c r="P142" s="84" t="e">
        <x:f>HYPERLINK("https://ja.wikipedia.org/wiki/Special:Search?search=%E5%AF%8C%E5%A3%AB%E8%A6%8B%E5%85%AC%E5%9C%92","Wikipedia・関連項目")</x:f>
      </x:c>
      <x:c r="Q142" s="27"/>
    </x:row>
    <x:row r="143">
      <x:c r="A143" s="27" t="str">
        <x:v>D020</x:v>
      </x:c>
      <x:c r="B143" s="27" t="str">
        <x:v>富津岬 明治百年記念展望塔</x:v>
      </x:c>
      <x:c r="C143" s="27" t="str">
        <x:v>千葉県・富津市</x:v>
      </x:c>
      <x:c r="D143" s="27" t="str">
        <x:v>岬・展望・富士山</x:v>
      </x:c>
      <x:c r="E143" s="48" t="e">
        <x:f>HYPERLINK("https://www.google.com/maps/dir/?api=1&amp;destination=%E5%AF%8C%E6%B4%A5%E5%B2%AC%20%E6%98%8E%E6%B2%BB%E7%99%BE%E5%B9%B4%E8%A8%98%E5%BF%B5%E5%B1%95%E6%9C%9B%E5%A1%94&amp;travelmode=driving","現在地からナビ開始")</x:f>
      </x:c>
      <x:c r="F143" s="27" t="str">
        <x:v>東京湾へ突き出す岬先端で、夕日・富士山・海堡を望める。</x:v>
      </x:c>
      <x:c r="G143" s="27" t="str">
        <x:v>あり・無料</x:v>
      </x:c>
      <x:c r="H143" s="27" t="str">
        <x:v>常時利用可能区域あり、現地掲示優先</x:v>
      </x:c>
      <x:c r="I143" s="27" t="n">
        <x:v>3</x:v>
      </x:c>
      <x:c r="J143" s="27" t="n">
        <x:v>3</x:v>
      </x:c>
      <x:c r="K143" s="27" t="str">
        <x:v>強風時と夜間の展望塔階段・足元に注意。</x:v>
      </x:c>
      <x:c r="L143" s="28" t="n">
        <x:v>46232</x:v>
      </x:c>
      <x:c r="M143" s="27" t="str">
        <x:v>一次確認済</x:v>
      </x:c>
      <x:c r="N143" s="27" t="str">
        <x:v>https://www.city.futtsu.lg.jp/</x:v>
      </x:c>
      <x:c r="O143" s="27" t="str">
        <x:v>明治百年記念展望塔は1971年に建設され、富津岬の最先端で東京湾防衛の歴史を感じられる。</x:v>
      </x:c>
      <x:c r="P143" s="84" t="e">
        <x:f>HYPERLINK("https://ja.wikipedia.org/wiki/Special:Search?search=%E5%AF%8C%E6%B4%A5%E5%B2%AC%20%E6%98%8E%E6%B2%BB%E7%99%BE%E5%B9%B4%E8%A8%98%E5%BF%B5%E5%B1%95%E6%9C%9B%E5%A1%94","Wikipedia・関連項目")</x:f>
      </x:c>
      <x:c r="Q143" s="27"/>
    </x:row>
    <x:row r="144">
      <x:c r="A144" s="27" t="str">
        <x:v>D029</x:v>
      </x:c>
      <x:c r="B144" s="27" t="str">
        <x:v>海の公園</x:v>
      </x:c>
      <x:c r="C144" s="27" t="str">
        <x:v>横浜市・金沢区</x:v>
      </x:c>
      <x:c r="D144" s="27" t="str">
        <x:v>人工海浜・静かな休憩</x:v>
      </x:c>
      <x:c r="E144" s="48" t="e">
        <x:f>HYPERLINK("https://www.google.com/maps/dir/?api=1&amp;destination=%E6%B5%B7%E3%81%AE%E5%85%AC%E5%9C%92&amp;travelmode=driving","現在地からナビ開始")</x:f>
      </x:c>
      <x:c r="F144" s="27" t="str">
        <x:v>横浜市内で砂浜に到達でき、夜の手前まで海辺でクールダウンできる。</x:v>
      </x:c>
      <x:c r="G144" s="27" t="str">
        <x:v>あり・大規模有料</x:v>
      </x:c>
      <x:c r="H144" s="27" t="str">
        <x:v>入庫 4:00～22:00／出庫 24時間</x:v>
      </x:c>
      <x:c r="I144" s="27" t="n">
        <x:v>3</x:v>
      </x:c>
      <x:c r="J144" s="27" t="n">
        <x:v>3</x:v>
      </x:c>
      <x:c r="K144" s="27" t="str">
        <x:v>潮干狩り・連休は大混雑。22時以降は新規入庫不可。</x:v>
      </x:c>
      <x:c r="L144" s="28" t="n">
        <x:v>46232</x:v>
      </x:c>
      <x:c r="M144" s="27" t="str">
        <x:v>一次確認済</x:v>
      </x:c>
      <x:c r="N144" s="27" t="str">
        <x:v>https://www.hama-midorinokyokai.or.jp/park/uminokouen/faq.php</x:v>
      </x:c>
      <x:c r="O144" s="27" t="str">
        <x:v>海の公園は横浜市内唯一の海水浴場で、砂浜は人工的に造成された。</x:v>
      </x:c>
      <x:c r="P144" s="84" t="e">
        <x:f>HYPERLINK("https://ja.wikipedia.org/wiki/Special:Search?search=%E6%B5%B7%E3%81%AE%E5%85%AC%E5%9C%92","Wikipedia・関連項目")</x:f>
      </x:c>
      <x:c r="Q144" s="27"/>
    </x:row>
    <x:row r="145">
      <x:c r="A145" s="27" t="str">
        <x:v>D015</x:v>
      </x:c>
      <x:c r="B145" s="27" t="str">
        <x:v>海辺つり公園</x:v>
      </x:c>
      <x:c r="C145" s="27" t="str">
        <x:v>横須賀市・平成町</x:v>
      </x:c>
      <x:c r="D145" s="27" t="str">
        <x:v>海・航路・釣り</x:v>
      </x:c>
      <x:c r="E145" s="48" t="e">
        <x:f>HYPERLINK("https://www.google.com/maps/dir/?api=1&amp;destination=%E6%B5%B7%E8%BE%BA%E3%81%A4%E3%82%8A%E5%85%AC%E5%9C%92&amp;travelmode=driving","現在地からナビ開始")</x:f>
      </x:c>
      <x:c r="F145" s="27" t="str">
        <x:v>長い海沿い空間から東京湾の船を眺める横須賀らしいEnding。</x:v>
      </x:c>
      <x:c r="G145" s="27" t="str">
        <x:v>あり・有料</x:v>
      </x:c>
      <x:c r="H145" s="27" t="str">
        <x:v>公園 5:00～22:00／駐車場 24時間</x:v>
      </x:c>
      <x:c r="I145" s="27" t="n">
        <x:v>3</x:v>
      </x:c>
      <x:c r="J145" s="27" t="n">
        <x:v>3</x:v>
      </x:c>
      <x:c r="K145" s="27" t="str">
        <x:v>釣り利用者の邪魔をしない。22時以降は公園利用不可。</x:v>
      </x:c>
      <x:c r="L145" s="28" t="n">
        <x:v>46232</x:v>
      </x:c>
      <x:c r="M145" s="27" t="str">
        <x:v>一次確認済</x:v>
      </x:c>
      <x:c r="N145" s="27" t="str">
        <x:v>https://www.nicspark.com/yokosuka/umibetsuri/</x:v>
      </x:c>
      <x:c r="O145" s="27" t="str">
        <x:v>海辺つり公園の沖は浦賀水道へ向かう大型船の航路で、東京湾の物流量を体感できる場所である。</x:v>
      </x:c>
      <x:c r="P145" s="84" t="e">
        <x:f>HYPERLINK("https://ja.wikipedia.org/wiki/Special:Search?search=%E6%B5%B7%E8%BE%BA%E3%81%A4%E3%82%8A%E5%85%AC%E5%9C%92","Wikipedia・関連項目")</x:f>
      </x:c>
      <x:c r="Q145" s="27"/>
    </x:row>
    <x:row r="146">
      <x:c r="A146" s="27" t="str">
        <x:v>D112</x:v>
      </x:c>
      <x:c r="B146" s="27" t="str">
        <x:v>県立三ツ池公園</x:v>
      </x:c>
      <x:c r="C146" s="27" t="str">
        <x:v>横浜市・鶴見区</x:v>
      </x:c>
      <x:c r="D146" s="27" t="str">
        <x:v>池・丘陵・大規模公園</x:v>
      </x:c>
      <x:c r="E146" s="48" t="e">
        <x:f>HYPERLINK("https://www.google.com/maps/dir/?api=1&amp;destination=%E7%9C%8C%E7%AB%8B%E4%B8%89%E3%83%84%E6%B1%A0%E5%85%AC%E5%9C%92&amp;travelmode=driving","現在地からナビ開始")</x:f>
      </x:c>
      <x:c r="F146" s="27" t="str">
        <x:v>三つの池と丘陵があり、大田区から近いのに都市感を切れる。</x:v>
      </x:c>
      <x:c r="G146" s="27" t="str">
        <x:v>あり・有料・計146台</x:v>
      </x:c>
      <x:c r="H146" s="27" t="str">
        <x:v>公園24時間／駐車場は営業時間あり</x:v>
      </x:c>
      <x:c r="I146" s="27" t="n">
        <x:v>3</x:v>
      </x:c>
      <x:c r="J146" s="27" t="n">
        <x:v>3</x:v>
      </x:c>
      <x:c r="K146" s="27" t="str">
        <x:v>駐車場閉鎖時刻を当日確認。桜期は大混雑。</x:v>
      </x:c>
      <x:c r="L146" s="28" t="n">
        <x:v>46232</x:v>
      </x:c>
      <x:c r="M146" s="27" t="str">
        <x:v>当日再確認</x:v>
      </x:c>
      <x:c r="N146" s="27" t="str">
        <x:v>https://iju-sumu.city.yokohama.lg.jp/tips/2255/</x:v>
      </x:c>
      <x:c r="O146" s="27" t="str">
        <x:v>三ツ池公園は上・中・下の三つの池に由来する名称で、『日本さくら名所100選』にも選ばれている。</x:v>
      </x:c>
      <x:c r="P146" s="84" t="e">
        <x:f>HYPERLINK("https://ja.wikipedia.org/wiki/Special:Search?search=%E7%9C%8C%E7%AB%8B%E4%B8%89%E3%83%84%E6%B1%A0%E5%85%AC%E5%9C%92","Wikipedia・関連項目")</x:f>
      </x:c>
      <x:c r="Q146" s="27"/>
    </x:row>
    <x:row r="147">
      <x:c r="A147" s="27" t="str">
        <x:v>D037</x:v>
      </x:c>
      <x:c r="B147" s="27" t="str">
        <x:v>県立城ヶ島公園</x:v>
      </x:c>
      <x:c r="C147" s="27" t="str">
        <x:v>三浦市・城ヶ島</x:v>
      </x:c>
      <x:c r="D147" s="27" t="str">
        <x:v>島・草原・海食崖</x:v>
      </x:c>
      <x:c r="E147" s="48" t="e">
        <x:f>HYPERLINK("https://www.google.com/maps/dir/?api=1&amp;destination=%E7%9C%8C%E7%AB%8B%E5%9F%8E%E3%83%B6%E5%B3%B6%E5%85%AC%E5%9C%92&amp;travelmode=driving","現在地からナビ開始")</x:f>
      </x:c>
      <x:c r="F147" s="27" t="str">
        <x:v>橋を渡り半島最南端の島へ入り、草原と太平洋で旅の終着感が最大化。</x:v>
      </x:c>
      <x:c r="G147" s="27" t="str">
        <x:v>あり・島内複数有料</x:v>
      </x:c>
      <x:c r="H147" s="27" t="str">
        <x:v>公園駐車場は季節別閉場</x:v>
      </x:c>
      <x:c r="I147" s="27" t="n">
        <x:v>3</x:v>
      </x:c>
      <x:c r="J147" s="27" t="n">
        <x:v>3</x:v>
      </x:c>
      <x:c r="K147" s="27" t="str">
        <x:v>強風・高波に注意。24時間駐車場との違いを確認。</x:v>
      </x:c>
      <x:c r="L147" s="28" t="n">
        <x:v>46232</x:v>
      </x:c>
      <x:c r="M147" s="27" t="str">
        <x:v>当日再確認</x:v>
      </x:c>
      <x:c r="N147" s="27" t="str">
        <x:v>https://www.pref.kanagawa.jp/docs/d2t/chiki/jyogashima1daypass.html</x:v>
      </x:c>
      <x:c r="O147" s="27" t="str">
        <x:v>城ヶ島は北原白秋作詞の『城ヶ島の雨』で広く知られ、三浦半島南端の文化的象徴でもある。</x:v>
      </x:c>
      <x:c r="P147" s="84" t="e">
        <x:f>HYPERLINK("https://ja.wikipedia.org/wiki/Special:Search?search=%E7%9C%8C%E7%AB%8B%E5%9F%8E%E3%83%B6%E5%B3%B6%E5%85%AC%E5%9C%92","Wikipedia・関連項目")</x:f>
      </x:c>
      <x:c r="Q147" s="27"/>
    </x:row>
    <x:row r="148">
      <x:c r="A148" s="27" t="str">
        <x:v>D102</x:v>
      </x:c>
      <x:c r="B148" s="27" t="str">
        <x:v>砧公園</x:v>
      </x:c>
      <x:c r="C148" s="27" t="str">
        <x:v>世田谷区・砧公園</x:v>
      </x:c>
      <x:c r="D148" s="27" t="str">
        <x:v>芝生・樹林・近距離</x:v>
      </x:c>
      <x:c r="E148" s="48" t="e">
        <x:f>HYPERLINK("https://www.google.com/maps/dir/?api=1&amp;destination=%E7%A0%A7%E5%85%AC%E5%9C%92&amp;travelmode=driving","現在地からナビ開始")</x:f>
      </x:c>
      <x:c r="F148" s="27" t="str">
        <x:v>大田区から短距離で到達でき、広い芝生と樹林で都市走行の緊張を落とせる。</x:v>
      </x:c>
      <x:c r="G148" s="27" t="str">
        <x:v>あり・有料</x:v>
      </x:c>
      <x:c r="H148" s="27" t="str">
        <x:v>駐車場時間は公式確認</x:v>
      </x:c>
      <x:c r="I148" s="27" t="n">
        <x:v>3</x:v>
      </x:c>
      <x:c r="J148" s="27" t="n">
        <x:v>3</x:v>
      </x:c>
      <x:c r="K148" s="27" t="str">
        <x:v>2026年は一部立入制限情報あり。当日公式確認。</x:v>
      </x:c>
      <x:c r="L148" s="28" t="n">
        <x:v>46232</x:v>
      </x:c>
      <x:c r="M148" s="27" t="str">
        <x:v>一次確認済</x:v>
      </x:c>
      <x:c r="N148" s="27" t="str">
        <x:v>https://www.tokyo-park.or.jp/park/kinuta/news/2026/park_info_42.html</x:v>
      </x:c>
      <x:c r="O148" s="27" t="str">
        <x:v>砧公園は紀元2600年記念事業の都市計画緑地を起源とし、戦後はゴルフ場を経て家族向け公園へ転換した。</x:v>
      </x:c>
      <x:c r="P148" s="84" t="e">
        <x:f>HYPERLINK("https://ja.wikipedia.org/wiki/Special:Search?search=%E7%A0%A7%E5%85%AC%E5%9C%92","Wikipedia・関連項目")</x:f>
      </x:c>
      <x:c r="Q148" s="27" t="str">
        <x:v>2026-07-29再点検：駐車場は利用再開済み。桜期・イベント時の満車と周辺渋滞を主注意へ維持。</x:v>
      </x:c>
    </x:row>
    <x:row r="149">
      <x:c r="A149" s="27" t="str">
        <x:v>D254</x:v>
      </x:c>
      <x:c r="B149" s="27" t="str">
        <x:v>しながわ区民公園</x:v>
      </x:c>
      <x:c r="C149" s="27" t="str">
        <x:v>品川区・勝島</x:v>
      </x:c>
      <x:c r="D149" s="27" t="str">
        <x:v>人工湖・松並木・防災公園</x:v>
      </x:c>
      <x:c r="E149" s="48" t="e">
        <x:f>HYPERLINK("https://www.google.com/maps/dir/?api=1&amp;destination=%E3%81%97%E3%81%AA%E3%81%8C%E3%82%8F%E5%8C%BA%E6%B0%91%E5%85%AC%E5%9C%92&amp;travelmode=driving","現在地からナビ開始")</x:f>
      </x:c>
      <x:c r="F149" s="27" t="str">
        <x:v>人工湖『勝島の海』、松並木、広場がまとまり、大森海岸からすぐに水と緑へ切り替えられる近距離の昼～夕方候補。</x:v>
      </x:c>
      <x:c r="G149" s="27" t="str">
        <x:v>有料駐車場50台・20分100円</x:v>
      </x:c>
      <x:c r="H149" s="27" t="str">
        <x:v>公園6:00～20:30</x:v>
      </x:c>
      <x:c r="I149" s="27" t="n">
        <x:v>3</x:v>
      </x:c>
      <x:c r="J149" s="27" t="n">
        <x:v>2</x:v>
      </x:c>
      <x:c r="K149" s="27" t="str">
        <x:v>犬の入園不可。休日・水族館営業日は混雑。20時30分閉園のため夜遅くは使わない。</x:v>
      </x:c>
      <x:c r="L149" s="28" t="n">
        <x:v>46232</x:v>
      </x:c>
      <x:c r="M149" s="27" t="str">
        <x:v>一次確認済</x:v>
      </x:c>
      <x:c r="N149" s="27" t="str">
        <x:v>https://www.city.shinagawa.tokyo.jp/PC/shisetsu/shisetsu-bunka/shisetsu-bunka-kouen/hpg000000342.html</x:v>
      </x:c>
      <x:c r="O149" s="27" t="str">
        <x:v>勝島運河を埋め立てて整備され、約6,500平方メートルの海水人工湖『勝島の海』を持つ。</x:v>
      </x:c>
      <x:c r="P149" s="84" t="e">
        <x:f>HYPERLINK("https://ja.wikipedia.org/wiki/Special:Search?search=%E3%81%97%E3%81%AA%E3%81%8C%E3%82%8F%E5%8C%BA%E6%B0%91%E5%85%AC%E5%9C%92","Wikipedia・関連項目")</x:f>
      </x:c>
      <x:c r="Q149" s="27" t="str">
        <x:v>近距離代替経由地プール追加</x:v>
      </x:c>
    </x:row>
    <x:row r="150">
      <x:c r="A150" s="27" t="str">
        <x:v>D230</x:v>
      </x:c>
      <x:c r="B150" s="27" t="str">
        <x:v>智光山公園</x:v>
      </x:c>
      <x:c r="C150" s="27" t="str">
        <x:v>埼玉県狭山市</x:v>
      </x:c>
      <x:c r="D150" s="27" t="str">
        <x:v>池・動物園・植物園</x:v>
      </x:c>
      <x:c r="E150" s="48" t="e">
        <x:f>HYPERLINK("https://www.google.com/maps/dir/?api=1&amp;destination=%E6%99%BA%E5%85%89%E5%B1%B1%E5%85%AC%E5%9C%92&amp;travelmode=driving","現在地からナビ開始")</x:f>
      </x:c>
      <x:c r="F150" s="27" t="str">
        <x:v>池、植物園、動物園、森林が一つの大規模公園に集まり、季節や滞在時間で目的を変えられる。</x:v>
      </x:c>
      <x:c r="G150" s="27" t="str">
        <x:v>あり・複数駐車場・無料</x:v>
      </x:c>
      <x:c r="H150" s="27" t="str">
        <x:v>公園常時／主要駐車場7:00～19:00または8:30～22:00</x:v>
      </x:c>
      <x:c r="I150" s="27" t="n">
        <x:v>3</x:v>
      </x:c>
      <x:c r="J150" s="27" t="n">
        <x:v>2</x:v>
      </x:c>
      <x:c r="K150" s="27" t="str">
        <x:v>目的施設により駐車場と閉場時間が異なる。動物園は16:30、最終入園16:00。</x:v>
      </x:c>
      <x:c r="L150" s="28" t="n">
        <x:v>46232</x:v>
      </x:c>
      <x:c r="M150" s="27" t="str">
        <x:v>一次確認済</x:v>
      </x:c>
      <x:c r="N150" s="27" t="str">
        <x:v>https://www.parks.or.jp/chikozan/guide/000/000817.html</x:v>
      </x:c>
      <x:c r="O150" s="27" t="str">
        <x:v>狭山市の総合公園として、都市緑化植物園・こども動物園・釣り池・スポーツ施設を段階的に整備した。</x:v>
      </x:c>
      <x:c r="P150" s="84" t="e">
        <x:f>HYPERLINK("https://ja.wikipedia.org/wiki/Special:Search?search=%E6%99%BA%E5%85%89%E5%B1%B1%E5%85%AC%E5%9C%92","Wikipedia・関連項目")</x:f>
      </x:c>
      <x:c r="Q150" s="27" t="str">
        <x:v>新規追加。22時まで使える駐車区画がある西側大型公園。</x:v>
      </x:c>
    </x:row>
    <x:row r="151">
      <x:c r="A151" s="27" t="str">
        <x:v>D165</x:v>
      </x:c>
      <x:c r="B151" s="27" t="str">
        <x:v>海の公園</x:v>
      </x:c>
      <x:c r="C151" s="27" t="str">
        <x:v>横浜市・金沢区</x:v>
      </x:c>
      <x:c r="D151" s="27" t="str">
        <x:v>人工海浜・八景島・海</x:v>
      </x:c>
      <x:c r="E151" s="48" t="e">
        <x:f>HYPERLINK("https://www.google.com/maps/dir/?api=1&amp;destination=%E6%B5%B7%E3%81%AE%E5%85%AC%E5%9C%92&amp;travelmode=driving","現在地からナビ開始")</x:f>
      </x:c>
      <x:c r="F151" s="27" t="str">
        <x:v>横浜市内唯一の海水浴場を持つ人工海浜で、砂浜越しに八景島を眺める穏やかな湾岸Ending。</x:v>
      </x:c>
      <x:c r="G151" s="27" t="str">
        <x:v>あり・柴口／磯浜／臨時駐車場、有料</x:v>
      </x:c>
      <x:c r="H151" s="27" t="str">
        <x:v>駐車場ごとの最新営業時間を公式確認</x:v>
      </x:c>
      <x:c r="I151" s="27" t="n">
        <x:v>3</x:v>
      </x:c>
      <x:c r="J151" s="27" t="n">
        <x:v>2</x:v>
      </x:c>
      <x:c r="K151" s="27" t="str">
        <x:v>潮干狩り・夏季は大混雑。閉鎖駐車場や満車時の路上待機は禁止。</x:v>
      </x:c>
      <x:c r="L151" s="28" t="n">
        <x:v>46232</x:v>
      </x:c>
      <x:c r="M151" s="27" t="str">
        <x:v>当日再確認</x:v>
      </x:c>
      <x:c r="N151" s="27" t="str">
        <x:v>https://www.city.yokohama.lg.jp/kurashi/machizukuri-kankyo/midori-koen/koen/koen/daihyoteki/umikouen.html</x:v>
      </x:c>
      <x:c r="O151" s="27" t="str">
        <x:v>海の公園の砂浜は人工的に造成されたが、アサリなどの生物が定着し都市型の海浜環境を形成している。</x:v>
      </x:c>
      <x:c r="P151" s="84" t="e">
        <x:f>HYPERLINK("https://ja.wikipedia.org/wiki/Special:Search?search=%E6%B5%B7%E3%81%AE%E5%85%AC%E5%9C%92","Wikipedia・関連項目")</x:f>
      </x:c>
      <x:c r="Q151" s="27"/>
    </x:row>
    <x:row r="152">
      <x:c r="A152" s="27" t="str">
        <x:v>D129</x:v>
      </x:c>
      <x:c r="B152" s="27" t="str">
        <x:v>相模原公園</x:v>
      </x:c>
      <x:c r="C152" s="27" t="str">
        <x:v>相模原市南区</x:v>
      </x:c>
      <x:c r="D152" s="27" t="str">
        <x:v>庭園・大規模公園・夕方</x:v>
      </x:c>
      <x:c r="E152" s="48" t="e">
        <x:f>HYPERLINK("https://www.google.com/maps/dir/?api=1&amp;destination=%E7%9B%B8%E6%A8%A1%E5%8E%9F%E5%85%AC%E5%9C%92&amp;travelmode=driving","現在地からナビ開始")</x:f>
      </x:c>
      <x:c r="F152" s="27" t="str">
        <x:v>フランス式庭園、温室、芝生があり、都市と山の中間で整った景観を楽しめる。</x:v>
      </x:c>
      <x:c r="G152" s="27" t="str">
        <x:v>あり・中央282台ほか</x:v>
      </x:c>
      <x:c r="H152" s="27" t="str">
        <x:v>中央 6:00～20:00／西 7:00～19:00</x:v>
      </x:c>
      <x:c r="I152" s="27" t="n">
        <x:v>3</x:v>
      </x:c>
      <x:c r="J152" s="27" t="n">
        <x:v>2</x:v>
      </x:c>
      <x:c r="K152" s="27" t="str">
        <x:v>中央・西で閉場時間が異なる。イベント日や大型車利用を当日確認。</x:v>
      </x:c>
      <x:c r="L152" s="28" t="n">
        <x:v>46232</x:v>
      </x:c>
      <x:c r="M152" s="27" t="str">
        <x:v>一次確認済</x:v>
      </x:c>
      <x:c r="N152" s="27" t="str">
        <x:v>https://www.kanagawa-park.or.jp/sagamihara/access.html</x:v>
      </x:c>
      <x:c r="O152" s="27" t="str">
        <x:v>相模原公園のフランス式庭園は左右対称の幾何学景観で、隣接する相模原麻溝公園と大緑地帯を形成する。</x:v>
      </x:c>
      <x:c r="P152" s="84" t="e">
        <x:f>HYPERLINK("https://ja.wikipedia.org/wiki/Special:Search?search=%E7%9B%B8%E6%A8%A1%E5%8E%9F%E5%85%AC%E5%9C%92","Wikipedia・関連項目")</x:f>
      </x:c>
      <x:c r="Q152" s="27"/>
    </x:row>
    <x:row r="153">
      <x:c r="A153" s="27" t="str">
        <x:v>D154</x:v>
      </x:c>
      <x:c r="B153" s="27" t="str">
        <x:v>神代植物公園・深大寺</x:v>
      </x:c>
      <x:c r="C153" s="27" t="str">
        <x:v>調布市・深大寺</x:v>
      </x:c>
      <x:c r="D153" s="27" t="str">
        <x:v>植物園・寺社・Story</x:v>
      </x:c>
      <x:c r="E153" s="48" t="e">
        <x:f>HYPERLINK("https://www.google.com/maps/dir/?api=1&amp;destination=%E7%A5%9E%E4%BB%A3%E6%A4%8D%E7%89%A9%E5%85%AC%E5%9C%92%E3%83%BB%E6%B7%B1%E5%A4%A7%E5%AF%BA&amp;travelmode=driving","現在地からナビ開始")</x:f>
      </x:c>
      <x:c r="F153" s="27" t="str">
        <x:v>植物園と深大寺の門前町を組み合わせられ、季節景観と歴史を一度に楽しめる。</x:v>
      </x:c>
      <x:c r="G153" s="27" t="str">
        <x:v>あり・第1/第2駐車場、有料</x:v>
      </x:c>
      <x:c r="H153" s="27" t="str">
        <x:v>駐車場 24時間／植物園は日中開園</x:v>
      </x:c>
      <x:c r="I153" s="27" t="n">
        <x:v>3</x:v>
      </x:c>
      <x:c r="J153" s="27" t="n">
        <x:v>2</x:v>
      </x:c>
      <x:c r="K153" s="27" t="str">
        <x:v>植物園閉園後は深大寺周辺散策のみ。行楽期は満車。</x:v>
      </x:c>
      <x:c r="L153" s="28" t="n">
        <x:v>46232</x:v>
      </x:c>
      <x:c r="M153" s="27" t="str">
        <x:v>一次確認済</x:v>
      </x:c>
      <x:c r="N153" s="27" t="str">
        <x:v>https://www.tokyo-park.or.jp/park/jindai/index.html</x:v>
      </x:c>
      <x:c r="O153" s="27" t="str">
        <x:v>深大寺は東京都内では浅草寺に次ぐ古刹とされ、門前の深大寺そばでも知られる。</x:v>
      </x:c>
      <x:c r="P153" s="84" t="e">
        <x:f>HYPERLINK("https://ja.wikipedia.org/wiki/Special:Search?search=%E7%A5%9E%E4%BB%A3%E6%A4%8D%E7%89%A9%E5%85%AC%E5%9C%92%E3%83%BB%E6%B7%B1%E5%A4%A7%E5%AF%BA","Wikipedia・関連項目")</x:f>
      </x:c>
      <x:c r="Q153" s="27"/>
    </x:row>
    <x:row r="154">
      <x:c r="A154" s="27" t="str">
        <x:v>D231</x:v>
      </x:c>
      <x:c r="B154" s="27" t="str">
        <x:v>野川公園</x:v>
      </x:c>
      <x:c r="C154" s="27" t="str">
        <x:v>東京都調布市・小金井市・三鷹市</x:v>
      </x:c>
      <x:c r="D154" s="27" t="str">
        <x:v>湧水・河川・草地</x:v>
      </x:c>
      <x:c r="E154" s="48" t="e">
        <x:f>HYPERLINK("https://www.google.com/maps/dir/?api=1&amp;destination=%E9%87%8E%E5%B7%9D%E5%85%AC%E5%9C%92&amp;travelmode=driving","現在地からナビ開始")</x:f>
      </x:c>
      <x:c r="F154" s="27" t="str">
        <x:v>国分寺崖線の湧水と野川、広い草地がつながり、都市西部で水と地形を感じる静かなEnding。</x:v>
      </x:c>
      <x:c r="G154" s="27" t="str">
        <x:v>あり・有料</x:v>
      </x:c>
      <x:c r="H154" s="27" t="str">
        <x:v>入庫7:00～20:00／出庫24時間</x:v>
      </x:c>
      <x:c r="I154" s="27" t="n">
        <x:v>3</x:v>
      </x:c>
      <x:c r="J154" s="27" t="n">
        <x:v>2</x:v>
      </x:c>
      <x:c r="K154" s="27" t="str">
        <x:v>20時以降入庫不可。自然観察園等の施設時間は別。休日は満車になりやすい。</x:v>
      </x:c>
      <x:c r="L154" s="28" t="n">
        <x:v>46232</x:v>
      </x:c>
      <x:c r="M154" s="27" t="str">
        <x:v>一次確認済</x:v>
      </x:c>
      <x:c r="N154" s="27" t="str">
        <x:v>https://www.tokyo-park.or.jp/park/nogawa/index.html</x:v>
      </x:c>
      <x:c r="O154" s="27" t="str">
        <x:v>国際基督教大学のゴルフ場跡を公園化し、国分寺崖線の湧水と野川の自然を保全している。</x:v>
      </x:c>
      <x:c r="P154" s="84" t="e">
        <x:f>HYPERLINK("https://ja.wikipedia.org/wiki/Special:Search?search=%E9%87%8E%E5%B7%9D%E5%85%AC%E5%9C%92","Wikipedia・関連項目")</x:f>
      </x:c>
      <x:c r="Q154" s="27" t="str">
        <x:v>新規追加。武蔵野公園とは湧水・自然観察の密度で差別化。</x:v>
      </x:c>
    </x:row>
    <x:row r="155">
      <x:c r="A155" s="27" t="str">
        <x:v>D204</x:v>
      </x:c>
      <x:c r="B155" s="27" t="str">
        <x:v>小田原城址公園</x:v>
      </x:c>
      <x:c r="C155" s="27" t="str">
        <x:v>小田原市・城内</x:v>
      </x:c>
      <x:c r="D155" s="27" t="str">
        <x:v>城址・城下町・Story</x:v>
      </x:c>
      <x:c r="E155" s="48" t="e">
        <x:f>HYPERLINK("https://www.google.com/maps/dir/?api=1&amp;destination=%E5%B0%8F%E7%94%B0%E5%8E%9F%E5%9F%8E%E5%9D%80%E5%85%AC%E5%9C%92&amp;travelmode=driving","現在地からナビ開始")</x:f>
      </x:c>
      <x:c r="F155" s="27" t="str">
        <x:v>北条氏の関東支配と豊臣秀吉の小田原攻めを現地で想像でき、城下町散策まで含めて歴史Endingになる。</x:v>
      </x:c>
      <x:c r="G155" s="27" t="str">
        <x:v>園内一般駐車場なし・周辺有料駐車場多数</x:v>
      </x:c>
      <x:c r="H155" s="27" t="str">
        <x:v>公園は終日／天守閣等は9:00～17:00中心</x:v>
      </x:c>
      <x:c r="I155" s="27" t="n">
        <x:v>3</x:v>
      </x:c>
      <x:c r="J155" s="27" t="n">
        <x:v>1</x:v>
      </x:c>
      <x:c r="K155" s="27" t="str">
        <x:v>一般車は周辺有料駐車場を利用。祭り・花見時は満車と交通規制。城址公園内への一般車進入不可。</x:v>
      </x:c>
      <x:c r="L155" s="28" t="n">
        <x:v>46232</x:v>
      </x:c>
      <x:c r="M155" s="27" t="str">
        <x:v>一次確認済</x:v>
      </x:c>
      <x:c r="N155" s="27" t="str">
        <x:v>https://www.city.odawara.kanagawa.jp/kanko/spot/jyousikouen.html</x:v>
      </x:c>
      <x:c r="O155" s="27" t="str">
        <x:v>小田原北条氏は城下全体を囲む『総構』を築き、豊臣軍を迎えた日本最大級の中世城郭へ発展させた。</x:v>
      </x:c>
      <x:c r="P155" s="84" t="e">
        <x:f>HYPERLINK("https://ja.wikipedia.org/wiki/Special:Search?search=%E5%B0%8F%E7%94%B0%E5%8E%9F%E5%9F%8E%E5%9D%80%E5%85%AC%E5%9C%92","Wikipedia・関連項目")</x:f>
      </x:c>
      <x:c r="Q155" s="27" t="str">
        <x:v>新規追加。専用駐車場はないが、市公式の周辺駐車場網を前提に採用。</x:v>
      </x:c>
    </x:row>
    <x:row r="156">
      <x:c r="A156" s="27" t="str">
        <x:v>D088</x:v>
      </x:c>
      <x:c r="B156" s="27" t="str">
        <x:v>東京ドイツ村</x:v>
      </x:c>
      <x:c r="C156" s="27" t="str">
        <x:v>袖ケ浦市・永吉</x:v>
      </x:c>
      <x:c r="D156" s="27" t="str">
        <x:v>丘陵・花・イルミネーション</x:v>
      </x:c>
      <x:c r="E156" s="48" t="e">
        <x:f>HYPERLINK("https://www.google.com/maps/dir/?api=1&amp;destination=%E6%9D%B1%E4%BA%AC%E3%83%89%E3%82%A4%E3%83%84%E6%9D%91&amp;travelmode=driving","現在地からナビ開始")</x:f>
      </x:c>
      <x:c r="F156" s="27" t="str">
        <x:v>車で園内を移動でき、季節の花やイルミネーションを明確な特別日Endingにできる。</x:v>
      </x:c>
      <x:c r="G156" s="27" t="str">
        <x:v>あり・約3,000台・有料</x:v>
      </x:c>
      <x:c r="H156" s="27" t="str">
        <x:v>2026年7月確認時 9:30～17:00、最終入園16:00／季節変動</x:v>
      </x:c>
      <x:c r="I156" s="27" t="n">
        <x:v>3</x:v>
      </x:c>
      <x:c r="J156" s="27" t="n">
        <x:v>1</x:v>
      </x:c>
      <x:c r="K156" s="27" t="str">
        <x:v>入園料・駐車料金あり。季節・天候で営業時間変更。イルミネーション期は渋滞。</x:v>
      </x:c>
      <x:c r="L156" s="28" t="n">
        <x:v>46232</x:v>
      </x:c>
      <x:c r="M156" s="27" t="str">
        <x:v>一次確認済</x:v>
      </x:c>
      <x:c r="N156" s="27" t="str">
        <x:v>https://t-doitsumura.co.jp/hour-fee/</x:v>
      </x:c>
      <x:c r="O156" s="27" t="str">
        <x:v>東京ドイツ村は実際には千葉県袖ケ浦市にあり、『東京』は首都圏向け観光施設としての名称である。</x:v>
      </x:c>
      <x:c r="P156" s="84" t="e">
        <x:f>HYPERLINK("https://ja.wikipedia.org/wiki/Special:Search?search=%E6%9D%B1%E4%BA%AC%E3%83%89%E3%82%A4%E3%83%84%E6%9D%91","Wikipedia・関連項目")</x:f>
      </x:c>
      <x:c r="Q156" s="27"/>
    </x:row>
    <x:row r="157">
      <x:c r="A157" s="27" t="str">
        <x:v>D038</x:v>
      </x:c>
      <x:c r="B157" s="27" t="str">
        <x:v>宮川公園</x:v>
      </x:c>
      <x:c r="C157" s="27" t="str">
        <x:v>三浦市・宮川</x:v>
      </x:c>
      <x:c r="D157" s="27" t="str">
        <x:v>風車・漁港・高台</x:v>
      </x:c>
      <x:c r="E157" s="48" t="e">
        <x:f>HYPERLINK("https://www.google.com/maps/dir/?api=1&amp;destination=%E5%AE%AE%E5%B7%9D%E5%85%AC%E5%9C%92&amp;travelmode=driving","現在地からナビ開始")</x:f>
      </x:c>
      <x:c r="F157" s="27" t="str">
        <x:v>風力発電機と宮川湾を見下ろし、三浦の農漁村景観を象徴する。</x:v>
      </x:c>
      <x:c r="G157" s="27" t="str">
        <x:v>あり・無料</x:v>
      </x:c>
      <x:c r="H157" s="27" t="str">
        <x:v>公式明記が乏しいため昼～夕方推奨</x:v>
      </x:c>
      <x:c r="I157" s="27" t="n">
        <x:v>2</x:v>
      </x:c>
      <x:c r="J157" s="27" t="n">
        <x:v>5</x:v>
      </x:c>
      <x:c r="K157" s="27" t="str">
        <x:v>夜は暗く風が強い。現地掲示と閉鎖状況を確認。</x:v>
      </x:c>
      <x:c r="L157" s="28" t="n">
        <x:v>46232</x:v>
      </x:c>
      <x:c r="M157" s="27" t="str">
        <x:v>当日再確認</x:v>
      </x:c>
      <x:c r="N157" s="27" t="str">
        <x:v>https://www.city.miura.kanagawa.jp/soshiki/toshikeikakuka/6/2/2256.html</x:v>
      </x:c>
      <x:c r="O157" s="27" t="str">
        <x:v>宮川公園周辺は三浦半島特有の台地農業地帯で、ダイコンやキャベツ畑と漁港が近接する。</x:v>
      </x:c>
      <x:c r="P157" s="84" t="e">
        <x:f>HYPERLINK("https://ja.wikipedia.org/wiki/Special:Search?search=%E5%AE%AE%E5%B7%9D%E5%85%AC%E5%9C%92","Wikipedia・関連項目")</x:f>
      </x:c>
      <x:c r="Q157" s="27"/>
    </x:row>
    <x:row r="158">
      <x:c r="A158" s="27" t="str">
        <x:v>D138</x:v>
      </x:c>
      <x:c r="B158" s="27" t="str">
        <x:v>宿内公園</x:v>
      </x:c>
      <x:c r="C158" s="27" t="str">
        <x:v>千葉県佐倉市</x:v>
      </x:c>
      <x:c r="D158" s="27" t="str">
        <x:v>城址・高台・印旛沼展望</x:v>
      </x:c>
      <x:c r="E158" s="48" t="e">
        <x:f>HYPERLINK("https://www.google.com/maps/dir/?api=1&amp;destination=%E5%AE%BF%E5%86%85%E5%85%AC%E5%9C%92&amp;travelmode=driving","現在地からナビ開始")</x:f>
      </x:c>
      <x:c r="F158" s="27" t="str">
        <x:v>臼井田宿内砦跡の台地から印旛沼方面を望める、7台規模の小さな歴史展望スポット。</x:v>
      </x:c>
      <x:c r="G158" s="27" t="str">
        <x:v>あり・約7台</x:v>
      </x:c>
      <x:c r="H158" s="27" t="str">
        <x:v>利用時間の明記なし、昼～夕方推奨</x:v>
      </x:c>
      <x:c r="I158" s="27" t="n">
        <x:v>2</x:v>
      </x:c>
      <x:c r="J158" s="27" t="n">
        <x:v>5</x:v>
      </x:c>
      <x:c r="K158" s="27" t="str">
        <x:v>駐車台数が極めて少ない。満車時の路上待機禁止。トイレなし。</x:v>
      </x:c>
      <x:c r="L158" s="28" t="n">
        <x:v>46232</x:v>
      </x:c>
      <x:c r="M158" s="27" t="str">
        <x:v>当日再確認</x:v>
      </x:c>
      <x:c r="N158" s="27" t="str">
        <x:v>https://www.city.sakura.lg.jp/soshiki/koenryokuchika/koen_annai/1/20324.html</x:v>
      </x:c>
      <x:c r="O158" s="27" t="str">
        <x:v>宿内公園は中世の臼井城を支えた宿内砦跡とされ、印旛沼を見張る台地上に位置する。</x:v>
      </x:c>
      <x:c r="P158" s="84" t="e">
        <x:f>HYPERLINK("https://ja.wikipedia.org/wiki/Special:Search?search=%E5%AE%BF%E5%86%85%E5%85%AC%E5%9C%92","Wikipedia・関連項目")</x:f>
      </x:c>
      <x:c r="Q158" s="27"/>
    </x:row>
    <x:row r="159">
      <x:c r="A159" s="27" t="str">
        <x:v>D120</x:v>
      </x:c>
      <x:c r="B159" s="27" t="str">
        <x:v>根岸湾臨海部・久良岐公園連携地点</x:v>
      </x:c>
      <x:c r="C159" s="27" t="str">
        <x:v>横浜市・磯子区周辺</x:v>
      </x:c>
      <x:c r="D159" s="27" t="str">
        <x:v>工業湾岸・丘陵・中継</x:v>
      </x:c>
      <x:c r="E159" s="48" t="e">
        <x:f>HYPERLINK("https://www.google.com/maps/dir/?api=1&amp;destination=%E6%A0%B9%E5%B2%B8%E6%B9%BE%E8%87%A8%E6%B5%B7%E9%83%A8%E3%83%BB%E4%B9%85%E8%89%AF%E5%B2%90%E5%85%AC%E5%9C%92%E9%80%A3%E6%90%BA%E5%9C%B0%E7%82%B9&amp;travelmode=driving","現在地からナビ開始")</x:f>
      </x:c>
      <x:c r="F159" s="27" t="str">
        <x:v>臨海工業地帯の走行後に久良岐公園へ上がる地形変化があり、経由地として成立する。</x:v>
      </x:c>
      <x:c r="G159" s="27" t="str">
        <x:v>合法な時間貸し駐車場利用</x:v>
      </x:c>
      <x:c r="H159" s="27" t="str">
        <x:v>中継利用・当日確認</x:v>
      </x:c>
      <x:c r="I159" s="27" t="n">
        <x:v>2</x:v>
      </x:c>
      <x:c r="J159" s="27" t="n">
        <x:v>5</x:v>
      </x:c>
      <x:c r="K159" s="27" t="str">
        <x:v>工場敷地・岸壁・私道へ進入しない。単独最終目的地ではなく経由地専用。</x:v>
      </x:c>
      <x:c r="L159" s="28" t="n">
        <x:v>46232</x:v>
      </x:c>
      <x:c r="M159" s="27" t="str">
        <x:v>当日再確認</x:v>
      </x:c>
      <x:c r="N159" s="27" t="str">
        <x:v>https://www.city.yokohama.lg.jp/kurashi/machizukuri-kankyo/midori-koen/koen/koen/daihyoteki/kuraki/kuraki.html</x:v>
      </x:c>
      <x:c r="O159" s="27" t="str">
        <x:v>根岸湾は戦後の大規模埋立てで石油・化学工業地帯となり、横浜港南部の景観を大きく変えた。</x:v>
      </x:c>
      <x:c r="P159" s="84" t="e">
        <x:f>HYPERLINK("https://ja.wikipedia.org/wiki/Special:Search?search=%E6%A0%B9%E5%B2%B8%E6%B9%BE%E8%87%A8%E6%B5%B7%E9%83%A8%E3%83%BB%E4%B9%85%E8%89%AF%E5%B2%90%E5%85%AC%E5%9C%92%E9%80%A3%E6%90%BA%E5%9C%B0%E7%82%B9","Wikipedia・関連項目")</x:f>
      </x:c>
      <x:c r="Q159" s="27"/>
    </x:row>
    <x:row r="160">
      <x:c r="A160" s="27" t="str">
        <x:v>D119</x:v>
      </x:c>
      <x:c r="B160" s="27" t="str">
        <x:v>殿町第2公園</x:v>
      </x:c>
      <x:c r="C160" s="27" t="str">
        <x:v>川崎市・川崎区</x:v>
      </x:c>
      <x:c r="D160" s="27" t="str">
        <x:v>飛行機・多摩川・小展望</x:v>
      </x:c>
      <x:c r="E160" s="48" t="e">
        <x:f>HYPERLINK("https://www.google.com/maps/dir/?api=1&amp;destination=%E6%AE%BF%E7%94%BA%E7%AC%AC2%E5%85%AC%E5%9C%92&amp;travelmode=driving","現在地からナビ開始")</x:f>
      </x:c>
      <x:c r="F160" s="27" t="str">
        <x:v>羽田空港、多摩川、橋を望む小規模公園で、近距離の航空機経由地として面白い。</x:v>
      </x:c>
      <x:c r="G160" s="27" t="str">
        <x:v>専用駐車場なし</x:v>
      </x:c>
      <x:c r="H160" s="27" t="str">
        <x:v>周辺合法駐車場から徒歩</x:v>
      </x:c>
      <x:c r="I160" s="27" t="n">
        <x:v>2</x:v>
      </x:c>
      <x:c r="J160" s="27" t="n">
        <x:v>5</x:v>
      </x:c>
      <x:c r="K160" s="27" t="str">
        <x:v>路上駐車前提では使用しない。経由地専用候補。</x:v>
      </x:c>
      <x:c r="L160" s="28" t="n">
        <x:v>46232</x:v>
      </x:c>
      <x:c r="M160" s="27" t="str">
        <x:v>当日再確認</x:v>
      </x:c>
      <x:c r="N160" s="27" t="str">
        <x:v>https://www.city.kawasaki.jp/170/cmsfiles/contents/0000187/187611/04.pdf</x:v>
      </x:c>
      <x:c r="O160" s="27" t="str">
        <x:v>殿町は羽田空港対岸という立地を生かし、医療・生命科学分野の研究拠点へ再編された。</x:v>
      </x:c>
      <x:c r="P160" s="84" t="e">
        <x:f>HYPERLINK("https://ja.wikipedia.org/wiki/Special:Search?search=%E6%AE%BF%E7%94%BA%E7%AC%AC2%E5%85%AC%E5%9C%92","Wikipedia・関連項目")</x:f>
      </x:c>
      <x:c r="Q160" s="27"/>
    </x:row>
    <x:row r="161">
      <x:c r="A161" s="27" t="str">
        <x:v>D030</x:v>
      </x:c>
      <x:c r="B161" s="27" t="str">
        <x:v>舞岡公園</x:v>
      </x:c>
      <x:c r="C161" s="27" t="str">
        <x:v>横浜市・戸塚区</x:v>
      </x:c>
      <x:c r="D161" s="27" t="str">
        <x:v>谷戸・田園・静かな休憩</x:v>
      </x:c>
      <x:c r="E161" s="48" t="e">
        <x:f>HYPERLINK("https://www.google.com/maps/dir/?api=1&amp;destination=%E8%88%9E%E5%B2%A1%E5%85%AC%E5%9C%92&amp;travelmode=driving","現在地からナビ開始")</x:f>
      </x:c>
      <x:c r="F161" s="27" t="str">
        <x:v>都市圏で谷戸と田園風景に入り、走行後の気分を静かに落とせる。</x:v>
      </x:c>
      <x:c r="G161" s="27" t="str">
        <x:v>あり・有料</x:v>
      </x:c>
      <x:c r="H161" s="27" t="str">
        <x:v>駐車場 6:00～21:00</x:v>
      </x:c>
      <x:c r="I161" s="27" t="n">
        <x:v>2</x:v>
      </x:c>
      <x:c r="J161" s="27" t="n">
        <x:v>5</x:v>
      </x:c>
      <x:c r="K161" s="27" t="str">
        <x:v>夜は景観価値が下がる。自然観察と夕方Session向け。</x:v>
      </x:c>
      <x:c r="L161" s="28" t="n">
        <x:v>46232</x:v>
      </x:c>
      <x:c r="M161" s="27" t="str">
        <x:v>一次確認済</x:v>
      </x:c>
      <x:c r="N161" s="27" t="str">
        <x:v>https://www.hama-midorinokyokai.or.jp/park/parking/maioka/maioka/</x:v>
      </x:c>
      <x:c r="O161" s="27" t="str">
        <x:v>舞岡公園は横浜に残る『谷戸』の田園景観を保全し、水田・雑木林・古民家を一体で残している。</x:v>
      </x:c>
      <x:c r="P161" s="84" t="e">
        <x:f>HYPERLINK("https://ja.wikipedia.org/wiki/Special:Search?search=%E8%88%9E%E5%B2%A1%E5%85%AC%E5%9C%92","Wikipedia・関連項目")</x:f>
      </x:c>
      <x:c r="Q161" s="27"/>
    </x:row>
    <x:row r="162">
      <x:c r="A162" s="27" t="str">
        <x:v>D183</x:v>
      </x:c>
      <x:c r="B162" s="27" t="str">
        <x:v>茜浜緑地・海浜公園</x:v>
      </x:c>
      <x:c r="C162" s="27" t="str">
        <x:v>習志野市・茜浜／芝園</x:v>
      </x:c>
      <x:c r="D162" s="27" t="str">
        <x:v>海・湾岸・行き止まり</x:v>
      </x:c>
      <x:c r="E162" s="48" t="e">
        <x:f>HYPERLINK("https://www.google.com/maps/dir/?api=1&amp;destination=%E8%8C%9C%E6%B5%9C%E7%B7%91%E5%9C%B0%E3%83%BB%E6%B5%B7%E6%B5%9C%E5%85%AC%E5%9C%92&amp;travelmode=driving","現在地からナビ開始")</x:f>
      </x:c>
      <x:c r="F162" s="27" t="str">
        <x:v>東京湾に面した直線的な海辺で、物流・工業地区の先に水面が開ける『湾岸の端』らしいEnding。</x:v>
      </x:c>
      <x:c r="G162" s="27" t="str">
        <x:v>あり・232台・無料</x:v>
      </x:c>
      <x:c r="H162" s="27" t="str">
        <x:v>5～6月 8:00～18:30／7～8月 6:00～19:30／9～4月 8:30～17:30</x:v>
      </x:c>
      <x:c r="I162" s="27" t="n">
        <x:v>2</x:v>
      </x:c>
      <x:c r="J162" s="27" t="n">
        <x:v>5</x:v>
      </x:c>
      <x:c r="K162" s="27" t="str">
        <x:v>夜間不可。閉門時刻厳守。強風・高波時は海際へ近づかず、工業施設敷地へ進入しない。</x:v>
      </x:c>
      <x:c r="L162" s="28" t="n">
        <x:v>46232</x:v>
      </x:c>
      <x:c r="M162" s="27" t="str">
        <x:v>一次確認済</x:v>
      </x:c>
      <x:c r="N162" s="27" t="str">
        <x:v>https://www.city.narashino.lg.jp/shisetu/koenshiseki/kaihinkouen.html</x:v>
      </x:c>
      <x:c r="O162" s="27" t="str">
        <x:v>茜浜は東京湾の埋立地で、習志野市の臨海工業・物流地区を形成する一方、海辺の緑地が緩衝帯となっている。</x:v>
      </x:c>
      <x:c r="P162" s="84" t="e">
        <x:f>HYPERLINK("https://ja.wikipedia.org/wiki/Special:Search?search=%E8%8C%9C%E6%B5%9C%E7%B7%91%E5%9C%B0%E3%83%BB%E6%B5%B7%E6%B5%9C%E5%85%AC%E5%9C%92","Wikipedia・関連項目")</x:f>
      </x:c>
      <x:c r="Q162" s="27" t="str">
        <x:v>新規追加。行き止まり感と合法駐車を両立する昼Ending。</x:v>
      </x:c>
    </x:row>
    <x:row r="163">
      <x:c r="A163" s="27" t="str">
        <x:v>D105</x:v>
      </x:c>
      <x:c r="B163" s="27" t="str">
        <x:v>鷺沼北公園</x:v>
      </x:c>
      <x:c r="C163" s="27" t="str">
        <x:v>川崎市・宮前区</x:v>
      </x:c>
      <x:c r="D163" s="27" t="str">
        <x:v>高台・都市展望</x:v>
      </x:c>
      <x:c r="E163" s="48" t="e">
        <x:f>HYPERLINK("https://www.google.com/maps/dir/?api=1&amp;destination=%E9%B7%BA%E6%B2%BC%E5%8C%97%E5%85%AC%E5%9C%92&amp;travelmode=driving","現在地からナビ開始")</x:f>
      </x:c>
      <x:c r="F163" s="27" t="str">
        <x:v>東京タワーやスカイツリー方面を望める小規模な展望公園で、近隣型穴場Endingになる。</x:v>
      </x:c>
      <x:c r="G163" s="27" t="str">
        <x:v>専用駐車場なし</x:v>
      </x:c>
      <x:c r="H163" s="27" t="str">
        <x:v>周辺の合法駐車場利用を前提</x:v>
      </x:c>
      <x:c r="I163" s="27" t="n">
        <x:v>2</x:v>
      </x:c>
      <x:c r="J163" s="27" t="n">
        <x:v>5</x:v>
      </x:c>
      <x:c r="K163" s="27" t="str">
        <x:v>路上駐車禁止。徒歩移動を伴うため最終目的地より経由地向き。</x:v>
      </x:c>
      <x:c r="L163" s="28" t="n">
        <x:v>46232</x:v>
      </x:c>
      <x:c r="M163" s="27" t="str">
        <x:v>当日再確認</x:v>
      </x:c>
      <x:c r="N163" s="27" t="str">
        <x:v>https://www.city.kawasaki.jp/530/page/0000063423.html</x:v>
      </x:c>
      <x:c r="O163" s="27" t="str">
        <x:v>鷺沼という地名は、かつてサギが集まる沼地だったという説に結び付けられている。</x:v>
      </x:c>
      <x:c r="P163" s="84" t="e">
        <x:f>HYPERLINK("https://ja.wikipedia.org/wiki/Special:Search?search=%E9%B7%BA%E6%B2%BC%E5%8C%97%E5%85%AC%E5%9C%92","Wikipedia・関連項目")</x:f>
      </x:c>
      <x:c r="Q163" s="27"/>
    </x:row>
    <x:row r="164">
      <x:c r="A164" s="27" t="str">
        <x:v>D256</x:v>
      </x:c>
      <x:c r="B164" s="27" t="str">
        <x:v>ちどり公園</x:v>
      </x:c>
      <x:c r="C164" s="27" t="str">
        <x:v>川崎市川崎区・千鳥町</x:v>
      </x:c>
      <x:c r="D164" s="27" t="str">
        <x:v>川崎港・運河・小展望台</x:v>
      </x:c>
      <x:c r="E164" s="48" t="e">
        <x:f>HYPERLINK("https://www.google.com/maps/dir/?api=1&amp;destination=%E3%81%A1%E3%81%A9%E3%82%8A%E5%85%AC%E5%9C%92&amp;travelmode=driving","現在地からナビ開始")</x:f>
      </x:c>
      <x:c r="F164" s="27" t="str">
        <x:v>高さ約7mの展望台から京浜運河、船、東扇島を眺められ、工場夜景へ入る前の昼間導入地点として機能する。</x:v>
      </x:c>
      <x:c r="G164" s="27" t="str">
        <x:v>あり・約30台・無料</x:v>
      </x:c>
      <x:c r="H164" s="27" t="str">
        <x:v>公園24時間／駐車場9:00～18:00</x:v>
      </x:c>
      <x:c r="I164" s="27" t="n">
        <x:v>2</x:v>
      </x:c>
      <x:c r="J164" s="27" t="n">
        <x:v>4</x:v>
      </x:c>
      <x:c r="K164" s="27" t="str">
        <x:v>車利用は18時まで。30台程度で満車時は待たない。釣り禁止。工場敷地・岸壁へ入らない。</x:v>
      </x:c>
      <x:c r="L164" s="28" t="n">
        <x:v>46232</x:v>
      </x:c>
      <x:c r="M164" s="27" t="str">
        <x:v>一次確認済</x:v>
      </x:c>
      <x:c r="N164" s="27" t="str">
        <x:v>https://www.city.kawasaki.jp/580/page/0000167054.html</x:v>
      </x:c>
      <x:c r="O164" s="27" t="str">
        <x:v>川崎港の運河に面する約4万平方メートルの臨海公園で、船舶と港湾施設を見渡せる展望台を持つ。</x:v>
      </x:c>
      <x:c r="P164" s="84" t="e">
        <x:f>HYPERLINK("https://ja.wikipedia.org/wiki/Special:Search?search=%E3%81%A1%E3%81%A9%E3%82%8A%E5%85%AC%E5%9C%92","Wikipedia・関連項目")</x:f>
      </x:c>
      <x:c r="Q164" s="27" t="str">
        <x:v>近距離代替経由地プール追加</x:v>
      </x:c>
    </x:row>
    <x:row r="165">
      <x:c r="A165" s="27" t="str">
        <x:v>D059</x:v>
      </x:c>
      <x:c r="B165" s="27" t="str">
        <x:v>ふなばし三番瀬海浜公園</x:v>
      </x:c>
      <x:c r="C165" s="27" t="str">
        <x:v>船橋市・潮見町</x:v>
      </x:c>
      <x:c r="D165" s="27" t="str">
        <x:v>干潟・海・行き止まり</x:v>
      </x:c>
      <x:c r="E165" s="48" t="e">
        <x:f>HYPERLINK("https://www.google.com/maps/dir/?api=1&amp;destination=%E3%81%B5%E3%81%AA%E3%81%B0%E3%81%97%E4%B8%89%E7%95%AA%E7%80%AC%E6%B5%B7%E6%B5%9C%E5%85%AC%E5%9C%92&amp;travelmode=driving","現在地からナビ開始")</x:f>
      </x:c>
      <x:c r="F165" s="27" t="str">
        <x:v>工業地帯の先に広大な干潟が現れ、道の終端と海の開放感を同時に味わえる。</x:v>
      </x:c>
      <x:c r="G165" s="27" t="str">
        <x:v>あり・有料</x:v>
      </x:c>
      <x:c r="H165" s="27" t="str">
        <x:v>通常は概ね 9:00～19:00、潮干狩り日は変動</x:v>
      </x:c>
      <x:c r="I165" s="27" t="n">
        <x:v>2</x:v>
      </x:c>
      <x:c r="J165" s="27" t="n">
        <x:v>4</x:v>
      </x:c>
      <x:c r="K165" s="27" t="str">
        <x:v>潮干狩り期は大混雑。周辺道路は駐車禁止で、時間は当日公式確認。</x:v>
      </x:c>
      <x:c r="L165" s="28" t="n">
        <x:v>46232</x:v>
      </x:c>
      <x:c r="M165" s="27" t="str">
        <x:v>当日再確認</x:v>
      </x:c>
      <x:c r="N165" s="27" t="str">
        <x:v>https://www.sambanze.jp/information/access.html</x:v>
      </x:c>
      <x:c r="O165" s="27" t="str">
        <x:v>三番瀬は東京湾奥部に残る貴重な干潟・浅海域で、渡り鳥や魚介類の重要な生息地である。</x:v>
      </x:c>
      <x:c r="P165" s="84" t="e">
        <x:f>HYPERLINK("https://ja.wikipedia.org/wiki/Special:Search?search=%E3%81%B5%E3%81%AA%E3%81%B0%E3%81%97%E4%B8%89%E7%95%AA%E7%80%AC%E6%B5%B7%E6%B5%9C%E5%85%AC%E5%9C%92","Wikipedia・関連項目")</x:f>
      </x:c>
      <x:c r="Q165" s="27"/>
    </x:row>
    <x:row r="166">
      <x:c r="A166" s="27" t="str">
        <x:v>D114</x:v>
      </x:c>
      <x:c r="B166" s="27" t="str">
        <x:v>まつぶし緑の丘公園</x:v>
      </x:c>
      <x:c r="C166" s="27" t="str">
        <x:v>松伏町・大川戸</x:v>
      </x:c>
      <x:c r="D166" s="27" t="str">
        <x:v>里山・360度展望</x:v>
      </x:c>
      <x:c r="E166" s="48" t="e">
        <x:f>HYPERLINK("https://www.google.com/maps/dir/?api=1&amp;destination=%E3%81%BE%E3%81%A4%E3%81%B6%E3%81%97%E7%B7%91%E3%81%AE%E4%B8%98%E5%85%AC%E5%9C%92&amp;travelmode=driving","現在地からナビ開始")</x:f>
      </x:c>
      <x:c r="F166" s="27" t="str">
        <x:v>人工の里山山頂から360度を望め、埼玉東部で空の広さを体験できる。</x:v>
      </x:c>
      <x:c r="G166" s="27" t="str">
        <x:v>あり</x:v>
      </x:c>
      <x:c r="H166" s="27" t="str">
        <x:v>駐車場時間は公園案内確認</x:v>
      </x:c>
      <x:c r="I166" s="27" t="n">
        <x:v>2</x:v>
      </x:c>
      <x:c r="J166" s="27" t="n">
        <x:v>4</x:v>
      </x:c>
      <x:c r="K166" s="27" t="str">
        <x:v>夜間不向き。初日の出や花イベント時は混雑。</x:v>
      </x:c>
      <x:c r="L166" s="28" t="n">
        <x:v>46232</x:v>
      </x:c>
      <x:c r="M166" s="27" t="str">
        <x:v>当日再確認</x:v>
      </x:c>
      <x:c r="N166" s="27" t="str">
        <x:v>https://www.pref.saitama.lg.jp/b0104/sityougaiyou/matubushigaiyou.html</x:v>
      </x:c>
      <x:c r="O166" s="27" t="str">
        <x:v>まつぶし緑の丘公園の大きな里山は、公共工事で生じた土を活用して造られた人工の丘である。</x:v>
      </x:c>
      <x:c r="P166" s="84" t="e">
        <x:f>HYPERLINK("https://ja.wikipedia.org/wiki/Special:Search?search=%E3%81%BE%E3%81%A4%E3%81%B6%E3%81%97%E7%B7%91%E3%81%AE%E4%B8%98%E5%85%AC%E5%9C%92","Wikipedia・関連項目")</x:f>
      </x:c>
      <x:c r="Q166" s="27"/>
    </x:row>
    <x:row r="167">
      <x:c r="A167" s="27" t="str">
        <x:v>D135</x:v>
      </x:c>
      <x:c r="B167" s="27" t="str">
        <x:v>三里塚さくらの丘</x:v>
      </x:c>
      <x:c r="C167" s="27" t="str">
        <x:v>千葉県成田市</x:v>
      </x:c>
      <x:c r="D167" s="27" t="str">
        <x:v>飛行機・A滑走路・桜</x:v>
      </x:c>
      <x:c r="E167" s="48" t="e">
        <x:f>HYPERLINK("https://www.google.com/maps/dir/?api=1&amp;destination=%E4%B8%89%E9%87%8C%E5%A1%9A%E3%81%95%E3%81%8F%E3%82%89%E3%81%AE%E4%B8%98&amp;travelmode=driving","現在地からナビ開始")</x:f>
      </x:c>
      <x:c r="F167" s="27" t="str">
        <x:v>A滑走路南側で桜と航空機を組み合わせられ、成田の航空Storyを作れる。</x:v>
      </x:c>
      <x:c r="G167" s="27" t="str">
        <x:v>あり・無料</x:v>
      </x:c>
      <x:c r="H167" s="27" t="str">
        <x:v>利用時間の公式明記が乏しいため日中～夕方推奨</x:v>
      </x:c>
      <x:c r="I167" s="27" t="n">
        <x:v>2</x:v>
      </x:c>
      <x:c r="J167" s="27" t="n">
        <x:v>4</x:v>
      </x:c>
      <x:c r="K167" s="27" t="str">
        <x:v>空港管理・工事で利用条件が変わる可能性あり。夜間は選定しない。</x:v>
      </x:c>
      <x:c r="L167" s="28" t="n">
        <x:v>46232</x:v>
      </x:c>
      <x:c r="M167" s="27" t="str">
        <x:v>当日再確認</x:v>
      </x:c>
      <x:c r="N167" s="27" t="str">
        <x:v>https://www.nrtk.jp/mypage/00212.html</x:v>
      </x:c>
      <x:c r="O167" s="27" t="str">
        <x:v>三里塚一帯には成田空港建設以前、宮内庁の御料牧場が置かれていた。</x:v>
      </x:c>
      <x:c r="P167" s="84" t="e">
        <x:f>HYPERLINK("https://ja.wikipedia.org/wiki/Special:Search?search=%E4%B8%89%E9%87%8C%E5%A1%9A%E3%81%95%E3%81%8F%E3%82%89%E3%81%AE%E4%B8%98","Wikipedia・関連項目")</x:f>
      </x:c>
      <x:c r="Q167" s="27"/>
    </x:row>
    <x:row r="168">
      <x:c r="A168" s="27" t="str">
        <x:v>D113</x:v>
      </x:c>
      <x:c r="B168" s="27" t="str">
        <x:v>久良岐公園</x:v>
      </x:c>
      <x:c r="C168" s="27" t="str">
        <x:v>横浜市・港南区</x:v>
      </x:c>
      <x:c r="D168" s="27" t="str">
        <x:v>丘陵・池・静かな公園</x:v>
      </x:c>
      <x:c r="E168" s="48" t="e">
        <x:f>HYPERLINK("https://www.google.com/maps/dir/?api=1&amp;destination=%E4%B9%85%E8%89%AF%E5%B2%90%E5%85%AC%E5%9C%92&amp;travelmode=driving","現在地からナビ開始")</x:f>
      </x:c>
      <x:c r="F168" s="27" t="str">
        <x:v>起伏と樹林、池があり、横浜南部で静けさを得る昼～夕方Ending。</x:v>
      </x:c>
      <x:c r="G168" s="27" t="str">
        <x:v>あり・88台・有料</x:v>
      </x:c>
      <x:c r="H168" s="27" t="str">
        <x:v>駐車場時間は公式案内確認</x:v>
      </x:c>
      <x:c r="I168" s="27" t="n">
        <x:v>2</x:v>
      </x:c>
      <x:c r="J168" s="27" t="n">
        <x:v>4</x:v>
      </x:c>
      <x:c r="K168" s="27" t="str">
        <x:v>夜間より昼向き。大型バス不可。</x:v>
      </x:c>
      <x:c r="L168" s="28" t="n">
        <x:v>46232</x:v>
      </x:c>
      <x:c r="M168" s="27" t="str">
        <x:v>当日再確認</x:v>
      </x:c>
      <x:c r="N168" s="27" t="str">
        <x:v>https://www.city.yokohama.lg.jp/kurashi/machizukuri-kankyo/midori-koen/koen/koen/daihyoteki/kuraki/kuraki.html</x:v>
      </x:c>
      <x:c r="O168" s="27" t="str">
        <x:v>『久良岐』は武蔵国に置かれた古代の郡名で、現在の横浜南部にその地名の記憶が残る。</x:v>
      </x:c>
      <x:c r="P168" s="84" t="e">
        <x:f>HYPERLINK("https://ja.wikipedia.org/wiki/Special:Search?search=%E4%B9%85%E8%89%AF%E5%B2%90%E5%85%AC%E5%9C%92","Wikipedia・関連項目")</x:f>
      </x:c>
      <x:c r="Q168" s="27"/>
    </x:row>
    <x:row r="169">
      <x:c r="A169" s="27" t="str">
        <x:v>D071</x:v>
      </x:c>
      <x:c r="B169" s="27" t="str">
        <x:v>亀山湖・亀山ダム周辺</x:v>
      </x:c>
      <x:c r="C169" s="27" t="str">
        <x:v>君津市・川俣</x:v>
      </x:c>
      <x:c r="D169" s="27" t="str">
        <x:v>湖・ダム・橋</x:v>
      </x:c>
      <x:c r="E169" s="48" t="e">
        <x:f>HYPERLINK("https://www.google.com/maps/dir/?api=1&amp;destination=%E4%BA%80%E5%B1%B1%E6%B9%96%E3%83%BB%E4%BA%80%E5%B1%B1%E3%83%80%E3%83%A0%E5%91%A8%E8%BE%BA&amp;travelmode=driving","現在地からナビ開始")</x:f>
      </x:c>
      <x:c r="F169" s="27" t="str">
        <x:v>湖面、橋、房総の山道が一体になり、内陸ロングドライブの終着感が強い。</x:v>
      </x:c>
      <x:c r="G169" s="27" t="str">
        <x:v>観光用駐車場あり・地点ごとに異なる</x:v>
      </x:c>
      <x:c r="H169" s="27" t="str">
        <x:v>施設・駐車場は地点ごとに異なる</x:v>
      </x:c>
      <x:c r="I169" s="27" t="n">
        <x:v>2</x:v>
      </x:c>
      <x:c r="J169" s="27" t="n">
        <x:v>4</x:v>
      </x:c>
      <x:c r="K169" s="27" t="str">
        <x:v>一括した24時間駐車場ではない。利用地点と閉鎖時刻を当日確認。</x:v>
      </x:c>
      <x:c r="L169" s="28" t="n">
        <x:v>46232</x:v>
      </x:c>
      <x:c r="M169" s="27" t="str">
        <x:v>当日再確認</x:v>
      </x:c>
      <x:c r="N169" s="27" t="str">
        <x:v>https://maruchiba.jp/spot/detail_10378.html</x:v>
      </x:c>
      <x:c r="O169" s="27" t="str">
        <x:v>亀山ダムは千葉県初の多目的ダムで、完成によって県内最大級の人造湖が生まれた。</x:v>
      </x:c>
      <x:c r="P169" s="84" t="e">
        <x:f>HYPERLINK("https://ja.wikipedia.org/wiki/Special:Search?search=%E4%BA%80%E5%B1%B1%E6%B9%96%E3%83%BB%E4%BA%80%E5%B1%B1%E3%83%80%E3%83%A0%E5%91%A8%E8%BE%BA","Wikipedia・関連項目")</x:f>
      </x:c>
      <x:c r="Q169" s="27"/>
    </x:row>
    <x:row r="170">
      <x:c r="A170" s="27" t="str">
        <x:v>D084</x:v>
      </x:c>
      <x:c r="B170" s="27" t="str">
        <x:v>佐倉ふるさと広場</x:v>
      </x:c>
      <x:c r="C170" s="27" t="str">
        <x:v>佐倉市・臼井田</x:v>
      </x:c>
      <x:c r="D170" s="27" t="str">
        <x:v>風車・印旛沼・季節景観</x:v>
      </x:c>
      <x:c r="E170" s="48" t="e">
        <x:f>HYPERLINK("https://www.google.com/maps/dir/?api=1&amp;destination=%E4%BD%90%E5%80%89%E3%81%B5%E3%82%8B%E3%81%95%E3%81%A8%E5%BA%83%E5%A0%B4&amp;travelmode=driving","現在地からナビ開始")</x:f>
      </x:c>
      <x:c r="F170" s="27" t="str">
        <x:v>オランダ風車、印旛沼、広い空が揃い、都市圏とは異なる農水辺Endingになる。</x:v>
      </x:c>
      <x:c r="G170" s="27" t="str">
        <x:v>あり・約20台</x:v>
      </x:c>
      <x:c r="H170" s="27" t="str">
        <x:v>公園利用時間は現地掲示優先</x:v>
      </x:c>
      <x:c r="I170" s="27" t="n">
        <x:v>2</x:v>
      </x:c>
      <x:c r="J170" s="27" t="n">
        <x:v>4</x:v>
      </x:c>
      <x:c r="K170" s="27" t="str">
        <x:v>拡張整備事業中。花イベントは休止・変更の可能性があり、駐車場と工事を当日確認。</x:v>
      </x:c>
      <x:c r="L170" s="28" t="n">
        <x:v>46232</x:v>
      </x:c>
      <x:c r="M170" s="27" t="str">
        <x:v>当日再確認</x:v>
      </x:c>
      <x:c r="N170" s="27" t="str">
        <x:v>https://www.city.sakura.lg.jp/tourism/2/15396.html</x:v>
      </x:c>
      <x:c r="O170" s="27" t="str">
        <x:v>広場の本格風車『リーフデ』は、佐倉とオランダの歴史的交流を象徴している。</x:v>
      </x:c>
      <x:c r="P170" s="84" t="e">
        <x:f>HYPERLINK("https://ja.wikipedia.org/wiki/Special:Search?search=%E4%BD%90%E5%80%89%E3%81%B5%E3%82%8B%E3%81%95%E3%81%A8%E5%BA%83%E5%A0%B4","Wikipedia・関連項目")</x:f>
      </x:c>
      <x:c r="Q170" s="27" t="str">
        <x:v>2026-07-29再点検：拡張整備中のため、駐車場・イベント・立入範囲は引き続き当日確認。</x:v>
      </x:c>
    </x:row>
    <x:row r="171">
      <x:c r="A171" s="27" t="str">
        <x:v>D137</x:v>
      </x:c>
      <x:c r="B171" s="27" t="str">
        <x:v>印旛沼サンセットヒルズ</x:v>
      </x:c>
      <x:c r="C171" s="27" t="str">
        <x:v>千葉県佐倉市</x:v>
      </x:c>
      <x:c r="D171" s="27" t="str">
        <x:v>印旛沼・高台・夕日</x:v>
      </x:c>
      <x:c r="E171" s="48" t="e">
        <x:f>HYPERLINK("https://www.google.com/maps/dir/?api=1&amp;destination=%E5%8D%B0%E6%97%9B%E6%B2%BC%E3%82%B5%E3%83%B3%E3%82%BB%E3%83%83%E3%83%88%E3%83%92%E3%83%AB%E3%82%BA&amp;travelmode=driving","現在地からナビ開始")</x:f>
      </x:c>
      <x:c r="F171" s="27" t="str">
        <x:v>印旛沼を見下ろす高台で、富士山・スカイツリー方面の夕景を狙える。</x:v>
      </x:c>
      <x:c r="G171" s="27" t="str">
        <x:v>あり・施設利用者用</x:v>
      </x:c>
      <x:c r="H171" s="27" t="str">
        <x:v>施設利用時間・予約状況を当日確認</x:v>
      </x:c>
      <x:c r="I171" s="27" t="n">
        <x:v>2</x:v>
      </x:c>
      <x:c r="J171" s="27" t="n">
        <x:v>4</x:v>
      </x:c>
      <x:c r="K171" s="27" t="str">
        <x:v>駐車場はキャンプ・テニス等の来場者用。長時間の景色鑑賞だけを目的に占有しない。</x:v>
      </x:c>
      <x:c r="L171" s="28" t="n">
        <x:v>46232</x:v>
      </x:c>
      <x:c r="M171" s="27" t="str">
        <x:v>当日再確認</x:v>
      </x:c>
      <x:c r="N171" s="27" t="str">
        <x:v>https://www.city.sakura.lg.jp/tourism/2/14508.html</x:v>
      </x:c>
      <x:c r="O171" s="27" t="str">
        <x:v>印旛沼はかつて一続きの大きな沼だったが、干拓・放水路整備で北印旛沼と西印旛沼に分かれた。</x:v>
      </x:c>
      <x:c r="P171" s="84" t="e">
        <x:f>HYPERLINK("https://ja.wikipedia.org/wiki/Special:Search?search=%E5%8D%B0%E6%97%9B%E6%B2%BC%E3%82%B5%E3%83%B3%E3%82%BB%E3%83%83%E3%83%88%E3%83%92%E3%83%AB%E3%82%BA","Wikipedia・関連項目")</x:f>
      </x:c>
      <x:c r="Q171" s="27"/>
    </x:row>
    <x:row r="172">
      <x:c r="A172" s="27" t="str">
        <x:v>D200</x:v>
      </x:c>
      <x:c r="B172" s="27" t="str">
        <x:v>境川遊水地公園</x:v>
      </x:c>
      <x:c r="C172" s="27" t="str">
        <x:v>横浜市泉区・藤沢市</x:v>
      </x:c>
      <x:c r="D172" s="27" t="str">
        <x:v>遊水地・河川・治水インフラ</x:v>
      </x:c>
      <x:c r="E172" s="48" t="e">
        <x:f>HYPERLINK("https://www.google.com/maps/dir/?api=1&amp;destination=%E5%A2%83%E5%B7%9D%E9%81%8A%E6%B0%B4%E5%9C%B0%E5%85%AC%E5%9C%92&amp;travelmode=driving","現在地からナビ開始")</x:f>
      </x:c>
      <x:c r="F172" s="27" t="str">
        <x:v>普段は広い公園として使われる空間が、増水時には洪水を受け止めるという二重の機能を体感できる。</x:v>
      </x:c>
      <x:c r="G172" s="27" t="str">
        <x:v>あり・各遊水地69～107台ほか</x:v>
      </x:c>
      <x:c r="H172" s="27" t="str">
        <x:v>遊水地ごとに変動、当月の開園時間を公式確認</x:v>
      </x:c>
      <x:c r="I172" s="27" t="n">
        <x:v>2</x:v>
      </x:c>
      <x:c r="J172" s="27" t="n">
        <x:v>4</x:v>
      </x:c>
      <x:c r="K172" s="27" t="str">
        <x:v>河川水位上昇・荒天時は閉鎖。情報センター駐車場は1時間以内に限定。</x:v>
      </x:c>
      <x:c r="L172" s="28" t="n">
        <x:v>46232</x:v>
      </x:c>
      <x:c r="M172" s="27" t="str">
        <x:v>当日再確認</x:v>
      </x:c>
      <x:c r="N172" s="27" t="str">
        <x:v>https://kanagawa-park.or.jp/sakaigawa/access.html</x:v>
      </x:c>
      <x:c r="O172" s="27" t="str">
        <x:v>境川遊水地は洪水時に水を一時的に貯留し、下流域の浸水被害を軽減する治水施設で、平常時は公園として開放される。</x:v>
      </x:c>
      <x:c r="P172" s="84" t="e">
        <x:f>HYPERLINK("https://ja.wikipedia.org/wiki/Special:Search?search=%E5%A2%83%E5%B7%9D%E9%81%8A%E6%B0%B4%E5%9C%B0%E5%85%AC%E5%9C%92","Wikipedia・関連項目")</x:f>
      </x:c>
      <x:c r="Q172" s="27" t="str">
        <x:v>新規追加。インフラStoryと合法駐車を両立する昼候補。</x:v>
      </x:c>
    </x:row>
    <x:row r="173">
      <x:c r="A173" s="27" t="str">
        <x:v>D250</x:v>
      </x:c>
      <x:c r="B173" s="27" t="str">
        <x:v>多摩川ガス橋緑地</x:v>
      </x:c>
      <x:c r="C173" s="27" t="str">
        <x:v>大田区・下丸子</x:v>
      </x:c>
      <x:c r="D173" s="27" t="str">
        <x:v>河川敷・橋・芝生</x:v>
      </x:c>
      <x:c r="E173" s="48" t="e">
        <x:f>HYPERLINK("https://www.google.com/maps/dir/?api=1&amp;destination=%E5%A4%9A%E6%91%A9%E5%B7%9D%E3%82%AC%E3%82%B9%E6%A9%8B%E7%B7%91%E5%9C%B0&amp;travelmode=driving","現在地からナビ開始")</x:f>
      </x:c>
      <x:c r="F173" s="27" t="str">
        <x:v>ガス橋の構造、武蔵小杉方面の空、広い河川敷を近距離で楽しめる。休日の短時間リセットに向く。</x:v>
      </x:c>
      <x:c r="G173" s="27" t="str">
        <x:v>あり・196台・土日祝のみ・1日500円</x:v>
      </x:c>
      <x:c r="H173" s="27" t="str">
        <x:v>季節により5:30～19:30／冬7:30～17:30</x:v>
      </x:c>
      <x:c r="I173" s="27" t="n">
        <x:v>2</x:v>
      </x:c>
      <x:c r="J173" s="27" t="n">
        <x:v>4</x:v>
      </x:c>
      <x:c r="K173" s="27" t="str">
        <x:v>平日は駐車場閉鎖。閉鎖時刻後は出庫不可。増水・台風・イベント時は閉鎖。</x:v>
      </x:c>
      <x:c r="L173" s="28" t="n">
        <x:v>46232</x:v>
      </x:c>
      <x:c r="M173" s="27" t="str">
        <x:v>一次確認済</x:v>
      </x:c>
      <x:c r="N173" s="27" t="str">
        <x:v>https://www.city.ota.tokyo.jp/shisetsu/kuei_park/gasbashiryokuchi_chusyajyo.html</x:v>
      </x:c>
      <x:c r="O173" s="27" t="str">
        <x:v>ガス橋は東京ガスのガス管を通す橋として架けられ、現在は道路橋として多摩川両岸を結ぶ。</x:v>
      </x:c>
      <x:c r="P173" s="84" t="e">
        <x:f>HYPERLINK("https://ja.wikipedia.org/wiki/Special:Search?search=%E5%A4%9A%E6%91%A9%E5%B7%9D%E3%82%AC%E3%82%B9%E6%A9%8B%E7%B7%91%E5%9C%B0","Wikipedia・関連項目")</x:f>
      </x:c>
      <x:c r="Q173" s="27" t="str">
        <x:v>近距離コア新規追加</x:v>
      </x:c>
    </x:row>
    <x:row r="174">
      <x:c r="A174" s="27" t="str">
        <x:v>D249</x:v>
      </x:c>
      <x:c r="B174" s="27" t="str">
        <x:v>多摩川六郷橋緑地</x:v>
      </x:c>
      <x:c r="C174" s="27" t="str">
        <x:v>大田区・東六郷</x:v>
      </x:c>
      <x:c r="D174" s="27" t="str">
        <x:v>河川敷・橋・広い空</x:v>
      </x:c>
      <x:c r="E174" s="48" t="e">
        <x:f>HYPERLINK("https://www.google.com/maps/dir/?api=1&amp;destination=%E5%A4%9A%E6%91%A9%E5%B7%9D%E5%85%AD%E9%83%B7%E6%A9%8B%E7%B7%91%E5%9C%B0&amp;travelmode=driving","現在地からナビ開始")</x:f>
      </x:c>
      <x:c r="F174" s="27" t="str">
        <x:v>蒲田から極めて近く、六郷橋と多摩川の広い空を車で気軽に取りに行ける週末型Ending。</x:v>
      </x:c>
      <x:c r="G174" s="27" t="str">
        <x:v>あり・195台・土日祝のみ・1日500円</x:v>
      </x:c>
      <x:c r="H174" s="27" t="str">
        <x:v>季節により5:30～19:30／冬7:30～17:30</x:v>
      </x:c>
      <x:c r="I174" s="27" t="n">
        <x:v>2</x:v>
      </x:c>
      <x:c r="J174" s="27" t="n">
        <x:v>4</x:v>
      </x:c>
      <x:c r="K174" s="27" t="str">
        <x:v>平日は駐車場閉鎖。閉鎖時刻後は出庫不可。台風・増水・イベント時は閉鎖。</x:v>
      </x:c>
      <x:c r="L174" s="28" t="n">
        <x:v>46232</x:v>
      </x:c>
      <x:c r="M174" s="27" t="str">
        <x:v>一次確認済</x:v>
      </x:c>
      <x:c r="N174" s="27" t="str">
        <x:v>https://www.city.ota.tokyo.jp/shisetsu/kuei_park/rokugobashiryokuchi_chusyajyo.html</x:v>
      </x:c>
      <x:c r="O174" s="27" t="str">
        <x:v>六郷は東海道の多摩川渡河点として栄え、六郷橋は東京と川崎を結ぶ歴史的な交通軸に位置する。</x:v>
      </x:c>
      <x:c r="P174" s="84" t="e">
        <x:f>HYPERLINK("https://ja.wikipedia.org/wiki/Special:Search?search=%E5%A4%9A%E6%91%A9%E5%B7%9D%E5%85%AD%E9%83%B7%E6%A9%8B%E7%B7%91%E5%9C%B0","Wikipedia・関連項目")</x:f>
      </x:c>
      <x:c r="Q174" s="27" t="str">
        <x:v>近距離コア新規追加</x:v>
      </x:c>
    </x:row>
    <x:row r="175">
      <x:c r="A175" s="27" t="str">
        <x:v>D160</x:v>
      </x:c>
      <x:c r="B175" s="27" t="str">
        <x:v>大貫中央海岸</x:v>
      </x:c>
      <x:c r="C175" s="27" t="str">
        <x:v>千葉県富津市・大貫</x:v>
      </x:c>
      <x:c r="D175" s="27" t="str">
        <x:v>海岸・夕日・静かな湾岸</x:v>
      </x:c>
      <x:c r="E175" s="48" t="e">
        <x:f>HYPERLINK("https://www.google.com/maps/dir/?api=1&amp;destination=%E5%A4%A7%E8%B2%AB%E4%B8%AD%E5%A4%AE%E6%B5%B7%E5%B2%B8&amp;travelmode=driving","現在地からナビ開始")</x:f>
      </x:c>
      <x:c r="F175" s="27" t="str">
        <x:v>穏やかな東京湾側の海岸で、富津岬より静かな夕景Endingとして使える。</x:v>
      </x:c>
      <x:c r="G175" s="27" t="str">
        <x:v>あり・普通車50台、無料</x:v>
      </x:c>
      <x:c r="H175" s="27" t="str">
        <x:v>海水浴期の遊泳 8:30～17:00／季節外は現地確認</x:v>
      </x:c>
      <x:c r="I175" s="27" t="n">
        <x:v>2</x:v>
      </x:c>
      <x:c r="J175" s="27" t="n">
        <x:v>4</x:v>
      </x:c>
      <x:c r="K175" s="27" t="str">
        <x:v>季節外の駐車場開放状況を確認。車両乗入・火気・キャンプ禁止。</x:v>
      </x:c>
      <x:c r="L175" s="28" t="n">
        <x:v>46232</x:v>
      </x:c>
      <x:c r="M175" s="27" t="str">
        <x:v>当日再確認</x:v>
      </x:c>
      <x:c r="N175" s="27" t="str">
        <x:v>https://www.city.futtsu.lg.jp/0000004528.html</x:v>
      </x:c>
      <x:c r="O175" s="27" t="str">
        <x:v>大貫は内房線沿線の海浜集落で、東京湾の穏やかな海と砂浜を利用した保養地として発展した。</x:v>
      </x:c>
      <x:c r="P175" s="84" t="e">
        <x:f>HYPERLINK("https://ja.wikipedia.org/wiki/Special:Search?search=%E5%A4%A7%E8%B2%AB%E4%B8%AD%E5%A4%AE%E6%B5%B7%E5%B2%B8","Wikipedia・関連項目")</x:f>
      </x:c>
      <x:c r="Q175" s="27"/>
    </x:row>
    <x:row r="176">
      <x:c r="A176" s="27" t="str">
        <x:v>D167</x:v>
      </x:c>
      <x:c r="B176" s="27" t="str">
        <x:v>大黒海づり施設</x:v>
      </x:c>
      <x:c r="C176" s="27" t="str">
        <x:v>横浜市・大黒ふ頭</x:v>
      </x:c>
      <x:c r="D176" s="27" t="str">
        <x:v>港・ベイブリッジ・大型船</x:v>
      </x:c>
      <x:c r="E176" s="48" t="e">
        <x:f>HYPERLINK("https://www.google.com/maps/dir/?api=1&amp;destination=%E5%A4%A7%E9%BB%92%E6%B5%B7%E3%81%A5%E3%82%8A%E6%96%BD%E8%A8%AD&amp;travelmode=driving","現在地からナビ開始")</x:f>
      </x:c>
      <x:c r="F176" s="27" t="str">
        <x:v>大黒ふ頭の突端でベイブリッジ、外航船、港湾施設を一望でき、港のスケール感が極めて強い。</x:v>
      </x:c>
      <x:c r="G176" s="27" t="str">
        <x:v>あり・約200台</x:v>
      </x:c>
      <x:c r="H176" s="27" t="str">
        <x:v>通常6:00～19:00</x:v>
      </x:c>
      <x:c r="I176" s="27" t="n">
        <x:v>2</x:v>
      </x:c>
      <x:c r="J176" s="27" t="n">
        <x:v>4</x:v>
      </x:c>
      <x:c r="K176" s="27" t="str">
        <x:v>繁忙日は予約・入場制限あり。大黒ふ頭内の私有地・物流区域へ進入しない。</x:v>
      </x:c>
      <x:c r="L176" s="28" t="n">
        <x:v>46232</x:v>
      </x:c>
      <x:c r="M176" s="27" t="str">
        <x:v>一次確認済</x:v>
      </x:c>
      <x:c r="N176" s="27" t="str">
        <x:v>https://yokohama-fishingpiers.jp/daikoku</x:v>
      </x:c>
      <x:c r="O176" s="27" t="str">
        <x:v>大黒ふ頭は横浜ベイブリッジの大黒側アンカー地点に隣接し、自動車輸送や客船対応でも重要な埠頭。</x:v>
      </x:c>
      <x:c r="P176" s="84" t="e">
        <x:f>HYPERLINK("https://ja.wikipedia.org/wiki/Special:Search?search=%E5%A4%A7%E9%BB%92%E6%B5%B7%E3%81%A5%E3%82%8A%E6%96%BD%E8%A8%AD","Wikipedia・関連項目")</x:f>
      </x:c>
      <x:c r="Q176" s="27"/>
    </x:row>
    <x:row r="177">
      <x:c r="A177" s="27" t="str">
        <x:v>D046</x:v>
      </x:c>
      <x:c r="B177" s="27" t="str">
        <x:v>彩湖・道満グリーンパーク</x:v>
      </x:c>
      <x:c r="C177" s="27" t="str">
        <x:v>戸田市・彩湖</x:v>
      </x:c>
      <x:c r="D177" s="27" t="str">
        <x:v>湖・河川敷・空の広さ</x:v>
      </x:c>
      <x:c r="E177" s="48" t="e">
        <x:f>HYPERLINK("https://www.google.com/maps/dir/?api=1&amp;destination=%E5%BD%A9%E6%B9%96%E3%83%BB%E9%81%93%E6%BA%80%E3%82%B0%E3%83%AA%E3%83%BC%E3%83%B3%E3%83%91%E3%83%BC%E3%82%AF&amp;travelmode=driving","現在地からナビ開始")</x:f>
      </x:c>
      <x:c r="F177" s="27" t="str">
        <x:v>荒川調節池の大きな水面と空の広さがあり、首都圏で非都市的な余白を味わえる。</x:v>
      </x:c>
      <x:c r="G177" s="27" t="str">
        <x:v>あり・有料</x:v>
      </x:c>
      <x:c r="H177" s="27" t="str">
        <x:v>4～10月 7:30～18:30／11～3月 7:30～17:30</x:v>
      </x:c>
      <x:c r="I177" s="27" t="n">
        <x:v>2</x:v>
      </x:c>
      <x:c r="J177" s="27" t="n">
        <x:v>4</x:v>
      </x:c>
      <x:c r="K177" s="27" t="str">
        <x:v>閉門後は出庫できない可能性がある。洪水・強風・イベント時の閉鎖に注意。</x:v>
      </x:c>
      <x:c r="L177" s="28" t="n">
        <x:v>46232</x:v>
      </x:c>
      <x:c r="M177" s="27" t="str">
        <x:v>一次確認済</x:v>
      </x:c>
      <x:c r="N177" s="27" t="str">
        <x:v>https://saikobase.com/park/</x:v>
      </x:c>
      <x:c r="O177" s="27" t="str">
        <x:v>彩湖は荒川第一調節池の中に造られた人工湖で、洪水時には首都圏を守る治水施設として働く。</x:v>
      </x:c>
      <x:c r="P177" s="84" t="e">
        <x:f>HYPERLINK("https://ja.wikipedia.org/wiki/Special:Search?search=%E5%BD%A9%E6%B9%96%E3%83%BB%E9%81%93%E6%BA%80%E3%82%B0%E3%83%AA%E3%83%BC%E3%83%B3%E3%83%91%E3%83%BC%E3%82%AF","Wikipedia・関連項目")</x:f>
      </x:c>
      <x:c r="Q177" s="27"/>
    </x:row>
    <x:row r="178">
      <x:c r="A178" s="27" t="str">
        <x:v>D118</x:v>
      </x:c>
      <x:c r="B178" s="27" t="str">
        <x:v>御幸公園</x:v>
      </x:c>
      <x:c r="C178" s="27" t="str">
        <x:v>川崎市・幸区</x:v>
      </x:c>
      <x:c r="D178" s="27" t="str">
        <x:v>多摩川・梅林・河川景観</x:v>
      </x:c>
      <x:c r="E178" s="48" t="e">
        <x:f>HYPERLINK("https://www.google.com/maps/dir/?api=1&amp;destination=%E5%BE%A1%E5%B9%B8%E5%85%AC%E5%9C%92&amp;travelmode=driving","現在地からナビ開始")</x:f>
      </x:c>
      <x:c r="F178" s="27" t="str">
        <x:v>多摩川沿いの開放感と梅林があり、川崎北側の穏やかな昼Endingになる。</x:v>
      </x:c>
      <x:c r="G178" s="27" t="str">
        <x:v>周辺駐車場利用</x:v>
      </x:c>
      <x:c r="H178" s="27" t="str">
        <x:v>公園利用時間は現地掲示優先</x:v>
      </x:c>
      <x:c r="I178" s="27" t="n">
        <x:v>2</x:v>
      </x:c>
      <x:c r="J178" s="27" t="n">
        <x:v>4</x:v>
      </x:c>
      <x:c r="K178" s="27" t="str">
        <x:v>専用駐車条件を当日確認。河川増水時は避ける。</x:v>
      </x:c>
      <x:c r="L178" s="28" t="n">
        <x:v>46232</x:v>
      </x:c>
      <x:c r="M178" s="27" t="str">
        <x:v>当日再確認</x:v>
      </x:c>
      <x:c r="N178" s="27" t="str">
        <x:v>https://www.city.kawasaki.jp/170/cmsfiles/contents/0000187/187611/04.pdf</x:v>
      </x:c>
      <x:c r="O178" s="27" t="str">
        <x:v>『御幸』の名は、明治天皇が当地の梅林へ行幸したことに由来する。</x:v>
      </x:c>
      <x:c r="P178" s="84" t="e">
        <x:f>HYPERLINK("https://ja.wikipedia.org/wiki/Special:Search?search=%E5%BE%A1%E5%B9%B8%E5%85%AC%E5%9C%92","Wikipedia・関連項目")</x:f>
      </x:c>
      <x:c r="Q178" s="27"/>
    </x:row>
    <x:row r="179">
      <x:c r="A179" s="27" t="str">
        <x:v>D073</x:v>
      </x:c>
      <x:c r="B179" s="27" t="str">
        <x:v>昭和の森</x:v>
      </x:c>
      <x:c r="C179" s="27" t="str">
        <x:v>千葉市・緑区</x:v>
      </x:c>
      <x:c r="D179" s="27" t="str">
        <x:v>高台・森林・展望</x:v>
      </x:c>
      <x:c r="E179" s="48" t="e">
        <x:f>HYPERLINK("https://www.google.com/maps/dir/?api=1&amp;destination=%E6%98%AD%E5%92%8C%E3%81%AE%E6%A3%AE&amp;travelmode=driving","現在地からナビ開始")</x:f>
      </x:c>
      <x:c r="F179" s="27" t="str">
        <x:v>広大な森と展望地点があり、千葉内陸の空の広さを感じる昼Endingになる。</x:v>
      </x:c>
      <x:c r="G179" s="27" t="str">
        <x:v>あり・有料</x:v>
      </x:c>
      <x:c r="H179" s="27" t="str">
        <x:v>駐車場は季節・区域別、当日公式確認</x:v>
      </x:c>
      <x:c r="I179" s="27" t="n">
        <x:v>2</x:v>
      </x:c>
      <x:c r="J179" s="27" t="n">
        <x:v>4</x:v>
      </x:c>
      <x:c r="K179" s="27" t="str">
        <x:v>路上駐車禁止。閉場時刻を確認し、夜間利用は避ける。</x:v>
      </x:c>
      <x:c r="L179" s="28" t="n">
        <x:v>46232</x:v>
      </x:c>
      <x:c r="M179" s="27" t="str">
        <x:v>当日再確認</x:v>
      </x:c>
      <x:c r="N179" s="27" t="str">
        <x:v>https://www.city.chiba.jp/toshi/koenryokuchi/kanri/midori/top.html</x:v>
      </x:c>
      <x:c r="O179" s="27" t="str">
        <x:v>昭和の森は下総台地の高所に位置し、千葉市内でも特に標高差の大きい展望公園である。</x:v>
      </x:c>
      <x:c r="P179" s="84" t="e">
        <x:f>HYPERLINK("https://ja.wikipedia.org/wiki/Special:Search?search=%E6%98%AD%E5%92%8C%E3%81%AE%E6%A3%AE","Wikipedia・関連項目")</x:f>
      </x:c>
      <x:c r="Q179" s="27"/>
    </x:row>
    <x:row r="180">
      <x:c r="A180" s="27" t="str">
        <x:v>D158</x:v>
      </x:c>
      <x:c r="B180" s="27" t="str">
        <x:v>東京湾観音</x:v>
      </x:c>
      <x:c r="C180" s="27" t="str">
        <x:v>千葉県富津市・小久保</x:v>
      </x:c>
      <x:c r="D180" s="27" t="str">
        <x:v>巨大仏・高台・東京湾</x:v>
      </x:c>
      <x:c r="E180" s="48" t="e">
        <x:f>HYPERLINK("https://www.google.com/maps/dir/?api=1&amp;destination=%E6%9D%B1%E4%BA%AC%E6%B9%BE%E8%A6%B3%E9%9F%B3&amp;travelmode=driving","現在地からナビ開始")</x:f>
      </x:c>
      <x:c r="F180" s="27" t="str">
        <x:v>高さ56mの観音像内部を上り、東京湾と房総丘陵を眺める独特のStory Ending。</x:v>
      </x:c>
      <x:c r="G180" s="27" t="str">
        <x:v>あり・普通車50台、無料</x:v>
      </x:c>
      <x:c r="H180" s="27" t="str">
        <x:v>8:00～17:00、受付16:00まで／木曜休</x:v>
      </x:c>
      <x:c r="I180" s="27" t="n">
        <x:v>2</x:v>
      </x:c>
      <x:c r="J180" s="27" t="n">
        <x:v>4</x:v>
      </x:c>
      <x:c r="K180" s="27" t="str">
        <x:v>階段が多い。強風・荒天・定休日を確認。</x:v>
      </x:c>
      <x:c r="L180" s="28" t="n">
        <x:v>46232</x:v>
      </x:c>
      <x:c r="M180" s="27" t="str">
        <x:v>一次確認済</x:v>
      </x:c>
      <x:c r="N180" s="27" t="str">
        <x:v>https://www.city.futtsu.lg.jp/0000000346.html</x:v>
      </x:c>
      <x:c r="O180" s="27" t="str">
        <x:v>1961年建立の巨大観音像で、戦没者慰霊と世界平和への願いを込めて建てられた。</x:v>
      </x:c>
      <x:c r="P180" s="84" t="e">
        <x:f>HYPERLINK("https://ja.wikipedia.org/wiki/Special:Search?search=%E6%9D%B1%E4%BA%AC%E6%B9%BE%E8%A6%B3%E9%9F%B3","Wikipedia・関連項目")</x:f>
      </x:c>
      <x:c r="Q180" s="27"/>
    </x:row>
    <x:row r="181">
      <x:c r="A181" s="27" t="str">
        <x:v>D184</x:v>
      </x:c>
      <x:c r="B181" s="27" t="str">
        <x:v>検見川の浜・稲毛ヨットハーバー</x:v>
      </x:c>
      <x:c r="C181" s="27" t="str">
        <x:v>千葉市・美浜区</x:v>
      </x:c>
      <x:c r="D181" s="27" t="str">
        <x:v>人工海浜・ヨット・夕景</x:v>
      </x:c>
      <x:c r="E181" s="48" t="e">
        <x:f>HYPERLINK("https://www.google.com/maps/dir/?api=1&amp;destination=%E6%A4%9C%E8%A6%8B%E5%B7%9D%E3%81%AE%E6%B5%9C%E3%83%BB%E7%A8%B2%E6%AF%9B%E3%83%A8%E3%83%83%E3%83%88%E3%83%8F%E3%83%BC%E3%83%90%E3%83%BC&amp;travelmode=driving","現在地からナビ開始")</x:f>
      </x:c>
      <x:c r="F181" s="27" t="str">
        <x:v>ヨットの帆、人工海浜、幕張新都心の遠景が重なり、千葉湾岸の夕景Endingとして成立する。</x:v>
      </x:c>
      <x:c r="G181" s="27" t="str">
        <x:v>あり・無料または周辺有料</x:v>
      </x:c>
      <x:c r="H181" s="27" t="str">
        <x:v>県港湾駐車場 9:00～17:00／周辺駐車場は個別確認</x:v>
      </x:c>
      <x:c r="I181" s="27" t="n">
        <x:v>2</x:v>
      </x:c>
      <x:c r="J181" s="27" t="n">
        <x:v>4</x:v>
      </x:c>
      <x:c r="K181" s="27" t="str">
        <x:v>無料駐車場は17時閉鎖。休日は満車になりやすく、海況不良時は護岸へ近づかない。</x:v>
      </x:c>
      <x:c r="L181" s="28" t="n">
        <x:v>46232</x:v>
      </x:c>
      <x:c r="M181" s="27" t="str">
        <x:v>一次確認済</x:v>
      </x:c>
      <x:c r="N181" s="27" t="str">
        <x:v>https://www.city.chiba.jp/toshi/koenryokuchi/ryokusei/kemigwabeachfes2026spr.html</x:v>
      </x:c>
      <x:c r="O181" s="27" t="str">
        <x:v>検見川の浜は東京湾の埋立事業により造られた人工海浜で、ウインドサーフィンやヨットの拠点として知られる。</x:v>
      </x:c>
      <x:c r="P181" s="84" t="e">
        <x:f>HYPERLINK("https://ja.wikipedia.org/wiki/Special:Search?search=%E6%A4%9C%E8%A6%8B%E5%B7%9D%E3%81%AE%E6%B5%9C%E3%83%BB%E7%A8%B2%E6%AF%9B%E3%83%A8%E3%83%83%E3%83%88%E3%83%8F%E3%83%BC%E3%83%90%E3%83%BC","Wikipedia・関連項目")</x:f>
      </x:c>
      <x:c r="Q181" s="27" t="str">
        <x:v>新規追加。車内鑑賞より散歩・夕景向け。</x:v>
      </x:c>
    </x:row>
    <x:row r="182">
      <x:c r="A182" s="27" t="str">
        <x:v>D258</x:v>
      </x:c>
      <x:c r="B182" s="27" t="str">
        <x:v>横浜市高齢者保養研修施設 ふれーゆ</x:v>
      </x:c>
      <x:c r="C182" s="27" t="str">
        <x:v>横浜市鶴見区・末広町</x:v>
      </x:c>
      <x:c r="D182" s="27" t="str">
        <x:v>大浴場・プール・横浜港展望・雨天</x:v>
      </x:c>
      <x:c r="E182" s="48" t="e">
        <x:f>HYPERLINK("https://www.google.com/maps/dir/?api=1&amp;destination=%E6%A8%AA%E6%B5%9C%E5%B8%82%E9%AB%98%E9%BD%A2%E8%80%85%E4%BF%9D%E9%A4%8A%E7%A0%94%E4%BF%AE%E6%96%BD%E8%A8%AD%20%E3%81%B5%E3%82%8C%E3%83%BC%E3%82%86&amp;travelmode=driving","現在地からナビ開始")</x:f>
      </x:c>
      <x:c r="F182" s="27" t="str">
        <x:v>大浴場やプールで天候に左右されず滞在でき、大窓からベイブリッジ、鶴見つばさ橋、横浜港を望める。</x:v>
      </x:c>
      <x:c r="G182" s="27" t="str">
        <x:v>専用駐車場245台・有料</x:v>
      </x:c>
      <x:c r="H182" s="27" t="str">
        <x:v>4～9月 平日9:00～19:00・火曜18:00・土日祝20:00／10～3月 平日18:00・土日祝19:00</x:v>
      </x:c>
      <x:c r="I182" s="27" t="n">
        <x:v>2</x:v>
      </x:c>
      <x:c r="J182" s="27" t="n">
        <x:v>4</x:v>
      </x:c>
      <x:c r="K182" s="27" t="str">
        <x:v>毎月第2火曜休館（7・8月を除く）。駐車場の最終入庫は閉館1時間前。施設点検による長期休館を確認。</x:v>
      </x:c>
      <x:c r="L182" s="28" t="n">
        <x:v>46232</x:v>
      </x:c>
      <x:c r="M182" s="27" t="str">
        <x:v>一次確認済</x:v>
      </x:c>
      <x:c r="N182" s="27" t="str">
        <x:v>https://fure-yu.jp/access/</x:v>
      </x:c>
      <x:c r="O182" s="27" t="str">
        <x:v>横浜市の保養研修施設として整備され、港湾最奥部の大窓から横浜港と二つの大型橋を見渡せる。</x:v>
      </x:c>
      <x:c r="P182" s="84" t="e">
        <x:f>HYPERLINK("https://ja.wikipedia.org/wiki/Special:Search?search=%E6%A8%AA%E6%B5%9C%E5%B8%82%E9%AB%98%E9%BD%A2%E8%80%85%E4%BF%9D%E9%A4%8A%E7%A0%94%E4%BF%AE%E6%96%BD%E8%A8%AD%20%E3%81%B5%E3%82%8C%E3%83%BC%E3%82%86","Wikipedia・関連項目")</x:f>
      </x:c>
      <x:c r="Q182" s="27" t="str">
        <x:v>近距離代替経由地プール追加</x:v>
      </x:c>
    </x:row>
    <x:row r="183">
      <x:c r="A183" s="27" t="str">
        <x:v>D054</x:v>
      </x:c>
      <x:c r="B183" s="27" t="str">
        <x:v>津久井湖城山公園 水の苑地</x:v>
      </x:c>
      <x:c r="C183" s="27" t="str">
        <x:v>相模原市・緑区</x:v>
      </x:c>
      <x:c r="D183" s="27" t="str">
        <x:v>湖・ダム・高台</x:v>
      </x:c>
      <x:c r="E183" s="48" t="e">
        <x:f>HYPERLINK("https://www.google.com/maps/dir/?api=1&amp;destination=%E6%B4%A5%E4%B9%85%E4%BA%95%E6%B9%96%E5%9F%8E%E5%B1%B1%E5%85%AC%E5%9C%92%20%E6%B0%B4%E3%81%AE%E8%8B%91%E5%9C%B0&amp;travelmode=driving","現在地からナビ開始")</x:f>
      </x:c>
      <x:c r="F183" s="27" t="str">
        <x:v>湖面と山並み、ダム湖沿いの道が一体になり、西側の水辺Endingとして完成度が高い。</x:v>
      </x:c>
      <x:c r="G183" s="27" t="str">
        <x:v>あり・無料</x:v>
      </x:c>
      <x:c r="H183" s="27" t="str">
        <x:v>駐車場 8:00～19:00</x:v>
      </x:c>
      <x:c r="I183" s="27" t="n">
        <x:v>2</x:v>
      </x:c>
      <x:c r="J183" s="27" t="n">
        <x:v>4</x:v>
      </x:c>
      <x:c r="K183" s="27" t="str">
        <x:v>19時閉門。夕方到着では滞在時間を短く見積もる。</x:v>
      </x:c>
      <x:c r="L183" s="28" t="n">
        <x:v>46232</x:v>
      </x:c>
      <x:c r="M183" s="27" t="str">
        <x:v>一次確認済</x:v>
      </x:c>
      <x:c r="N183" s="27" t="str">
        <x:v>https://www.kanagawa-park.or.jp/tsukuikoshiroyama/access.html</x:v>
      </x:c>
      <x:c r="O183" s="27" t="str">
        <x:v>津久井湖は城山ダムの建設で生まれた人造湖で、1965年の完成後、横浜・川崎方面の水源も担ってきた。</x:v>
      </x:c>
      <x:c r="P183" s="84" t="e">
        <x:f>HYPERLINK("https://ja.wikipedia.org/wiki/Special:Search?search=%E6%B4%A5%E4%B9%85%E4%BA%95%E6%B9%96%E5%9F%8E%E5%B1%B1%E5%85%AC%E5%9C%92%20%E6%B0%B4%E3%81%AE%E8%8B%91%E5%9C%B0","Wikipedia・関連項目")</x:f>
      </x:c>
      <x:c r="Q183" s="27"/>
    </x:row>
    <x:row r="184">
      <x:c r="A184" s="27" t="str">
        <x:v>D130</x:v>
      </x:c>
      <x:c r="B184" s="27" t="str">
        <x:v>湘南国際村西公園</x:v>
      </x:c>
      <x:c r="C184" s="27" t="str">
        <x:v>横須賀市湘南国際村</x:v>
      </x:c>
      <x:c r="D184" s="27" t="str">
        <x:v>高台・相模湾・富士山</x:v>
      </x:c>
      <x:c r="E184" s="48" t="e">
        <x:f>HYPERLINK("https://www.google.com/maps/dir/?api=1&amp;destination=%E6%B9%98%E5%8D%97%E5%9B%BD%E9%9A%9B%E6%9D%91%E8%A5%BF%E5%85%AC%E5%9C%92&amp;travelmode=driving","現在地からナビ開始")</x:f>
      </x:c>
      <x:c r="F184" s="27" t="str">
        <x:v>相模湾と富士山方面の眺望があり、湘南西岸Sessionの高台Endingとして穴場性が高い。</x:v>
      </x:c>
      <x:c r="G184" s="27" t="str">
        <x:v>あり・33台、有料</x:v>
      </x:c>
      <x:c r="H184" s="27" t="str">
        <x:v>4～9月 8:00～19:30／10～3月 8:00～17:30</x:v>
      </x:c>
      <x:c r="I184" s="27" t="n">
        <x:v>2</x:v>
      </x:c>
      <x:c r="J184" s="27" t="n">
        <x:v>4</x:v>
      </x:c>
      <x:c r="K184" s="27" t="str">
        <x:v>台数が少なく土日祝は混雑。公園以外の研究施設・私有地へ進入しない。</x:v>
      </x:c>
      <x:c r="L184" s="28" t="n">
        <x:v>46232</x:v>
      </x:c>
      <x:c r="M184" s="27" t="str">
        <x:v>一次確認済</x:v>
      </x:c>
      <x:c r="N184" s="27" t="str">
        <x:v>https://www.city.yokosuka.kanagawa.jp/5560/sisetu/fc00000049.html</x:v>
      </x:c>
      <x:c r="O184" s="27" t="str">
        <x:v>湘南国際村は研究・研修・国際交流を目的に造成された高台の複合地区である。</x:v>
      </x:c>
      <x:c r="P184" s="84" t="e">
        <x:f>HYPERLINK("https://ja.wikipedia.org/wiki/Special:Search?search=%E6%B9%98%E5%8D%97%E5%9B%BD%E9%9A%9B%E6%9D%91%E8%A5%BF%E5%85%AC%E5%9C%92","Wikipedia・関連項目")</x:f>
      </x:c>
      <x:c r="Q184" s="27"/>
    </x:row>
    <x:row r="185">
      <x:c r="A185" s="27" t="str">
        <x:v>D142</x:v>
      </x:c>
      <x:c r="B185" s="27" t="str">
        <x:v>湘南汐見台公園</x:v>
      </x:c>
      <x:c r="C185" s="27" t="str">
        <x:v>茅ヶ崎市・汐見台</x:v>
      </x:c>
      <x:c r="D185" s="27" t="str">
        <x:v>海辺・運動公園・夕方</x:v>
      </x:c>
      <x:c r="E185" s="48" t="e">
        <x:f>HYPERLINK("https://www.google.com/maps/dir/?api=1&amp;destination=%E6%B9%98%E5%8D%97%E6%B1%90%E8%A6%8B%E5%8F%B0%E5%85%AC%E5%9C%92&amp;travelmode=driving","現在地からナビ開始")</x:f>
      </x:c>
      <x:c r="F185" s="27" t="str">
        <x:v>海岸近くの小規模公園で、湘南ドライブの途中に短時間休憩と海風を入れられる。</x:v>
      </x:c>
      <x:c r="G185" s="27" t="str">
        <x:v>あり・公園駐車場</x:v>
      </x:c>
      <x:c r="H185" s="27" t="str">
        <x:v>利用時間は管理事務所情報を当日確認</x:v>
      </x:c>
      <x:c r="I185" s="27" t="n">
        <x:v>2</x:v>
      </x:c>
      <x:c r="J185" s="27" t="n">
        <x:v>4</x:v>
      </x:c>
      <x:c r="K185" s="27" t="str">
        <x:v>海水浴期・イベント日は混雑。夜より昼～夕方向き。</x:v>
      </x:c>
      <x:c r="L185" s="28" t="n">
        <x:v>46232</x:v>
      </x:c>
      <x:c r="M185" s="27" t="str">
        <x:v>当日再確認</x:v>
      </x:c>
      <x:c r="N185" s="27" t="str">
        <x:v>https://www.pref.kanagawa.jp/documents/8260/2-19.pdf</x:v>
      </x:c>
      <x:c r="O185" s="27" t="str">
        <x:v>汐見台の地名は海や潮の眺望を意識した戦後の住宅地名に多い命名パターンの一つ。</x:v>
      </x:c>
      <x:c r="P185" s="84" t="e">
        <x:f>HYPERLINK("https://ja.wikipedia.org/wiki/Special:Search?search=%E6%B9%98%E5%8D%97%E6%B1%90%E8%A6%8B%E5%8F%B0%E5%85%AC%E5%9C%92","Wikipedia・関連項目")</x:f>
      </x:c>
      <x:c r="Q185" s="27"/>
    </x:row>
    <x:row r="186">
      <x:c r="A186" s="27" t="str">
        <x:v>D153</x:v>
      </x:c>
      <x:c r="B186" s="27" t="str">
        <x:v>王禅寺ふるさと公園</x:v>
      </x:c>
      <x:c r="C186" s="27" t="str">
        <x:v>川崎市・麻生区</x:v>
      </x:c>
      <x:c r="D186" s="27" t="str">
        <x:v>里山・展望広場・水景</x:v>
      </x:c>
      <x:c r="E186" s="48" t="e">
        <x:f>HYPERLINK("https://www.google.com/maps/dir/?api=1&amp;destination=%E7%8E%8B%E7%A6%85%E5%AF%BA%E3%81%B5%E3%82%8B%E3%81%95%E3%81%A8%E5%85%AC%E5%9C%92&amp;travelmode=driving","現在地からナビ開始")</x:f>
      </x:c>
      <x:c r="F186" s="27" t="str">
        <x:v>里山、池、展望広場がまとまり、川崎北部で静かな昼～夕方Endingになる。</x:v>
      </x:c>
      <x:c r="G186" s="27" t="str">
        <x:v>あり・63台、有料</x:v>
      </x:c>
      <x:c r="H186" s="27" t="str">
        <x:v>4～10月 入庫8:30～17:00、出庫20:00／冬季短縮</x:v>
      </x:c>
      <x:c r="I186" s="27" t="n">
        <x:v>2</x:v>
      </x:c>
      <x:c r="J186" s="27" t="n">
        <x:v>4</x:v>
      </x:c>
      <x:c r="K186" s="27" t="str">
        <x:v>季節で出庫時刻が違う。キャンプ・固定式テント禁止。</x:v>
      </x:c>
      <x:c r="L186" s="28" t="n">
        <x:v>46232</x:v>
      </x:c>
      <x:c r="M186" s="27" t="str">
        <x:v>一次確認済</x:v>
      </x:c>
      <x:c r="N186" s="27" t="str">
        <x:v>https://www.city.kawasaki.jp/530/page/0000018566.html</x:v>
      </x:c>
      <x:c r="O186" s="27" t="str">
        <x:v>王禅寺の地名は地域の古刹・王禅寺に由来し、周辺には多摩丘陵の里山地形が残る。</x:v>
      </x:c>
      <x:c r="P186" s="84" t="e">
        <x:f>HYPERLINK("https://ja.wikipedia.org/wiki/Special:Search?search=%E7%8E%8B%E7%A6%85%E5%AF%BA%E3%81%B5%E3%82%8B%E3%81%95%E3%81%A8%E5%85%AC%E5%9C%92","Wikipedia・関連項目")</x:f>
      </x:c>
      <x:c r="Q186" s="27"/>
    </x:row>
    <x:row r="187">
      <x:c r="A187" s="27" t="str">
        <x:v>D075</x:v>
      </x:c>
      <x:c r="B187" s="27" t="str">
        <x:v>県立四季の森公園</x:v>
      </x:c>
      <x:c r="C187" s="27" t="str">
        <x:v>横浜市・緑区</x:v>
      </x:c>
      <x:c r="D187" s="27" t="str">
        <x:v>谷戸・池・森林</x:v>
      </x:c>
      <x:c r="E187" s="48" t="e">
        <x:f>HYPERLINK("https://www.google.com/maps/dir/?api=1&amp;destination=%E7%9C%8C%E7%AB%8B%E5%9B%9B%E5%AD%A3%E3%81%AE%E6%A3%AE%E5%85%AC%E5%9C%92&amp;travelmode=driving","現在地からナビ開始")</x:f>
      </x:c>
      <x:c r="F187" s="27" t="str">
        <x:v>横浜市内ながら谷戸と水田、森が残り、昼の回復系Endingに向く。</x:v>
      </x:c>
      <x:c r="G187" s="27" t="str">
        <x:v>あり・有料</x:v>
      </x:c>
      <x:c r="H187" s="27" t="str">
        <x:v>駐車場時間は季節・公式案内を確認</x:v>
      </x:c>
      <x:c r="I187" s="27" t="n">
        <x:v>2</x:v>
      </x:c>
      <x:c r="J187" s="27" t="n">
        <x:v>4</x:v>
      </x:c>
      <x:c r="K187" s="27" t="str">
        <x:v>イベント・工事情報と閉場時刻を確認。夜は暗い。</x:v>
      </x:c>
      <x:c r="L187" s="28" t="n">
        <x:v>46232</x:v>
      </x:c>
      <x:c r="M187" s="27" t="str">
        <x:v>当日再確認</x:v>
      </x:c>
      <x:c r="N187" s="27" t="str">
        <x:v>https://www.kanagawa-park.or.jp/shikinomori/</x:v>
      </x:c>
      <x:c r="O187" s="27" t="str">
        <x:v>四季の森公園は横浜に残る谷戸の地形と雑木林を保全し、水田や炭焼きの里山文化を伝える。</x:v>
      </x:c>
      <x:c r="P187" s="84" t="e">
        <x:f>HYPERLINK("https://ja.wikipedia.org/wiki/Special:Search?search=%E7%9C%8C%E7%AB%8B%E5%9B%9B%E5%AD%A3%E3%81%AE%E6%A3%AE%E5%85%AC%E5%9C%92","Wikipedia・関連項目")</x:f>
      </x:c>
      <x:c r="Q187" s="27"/>
    </x:row>
    <x:row r="188">
      <x:c r="A188" s="27" t="str">
        <x:v>D208</x:v>
      </x:c>
      <x:c r="B188" s="27" t="str">
        <x:v>県立東高根森林公園</x:v>
      </x:c>
      <x:c r="C188" s="27" t="str">
        <x:v>川崎市・宮前区</x:v>
      </x:c>
      <x:c r="D188" s="27" t="str">
        <x:v>森林・遺跡・シラカシ林</x:v>
      </x:c>
      <x:c r="E188" s="48" t="e">
        <x:f>HYPERLINK("https://www.google.com/maps/dir/?api=1&amp;destination=%E7%9C%8C%E7%AB%8B%E6%9D%B1%E9%AB%98%E6%A0%B9%E6%A3%AE%E6%9E%97%E5%85%AC%E5%9C%92&amp;travelmode=driving","現在地からナビ開始")</x:f>
      </x:c>
      <x:c r="F188" s="27" t="str">
        <x:v>古代遺跡の上に広がるシラカシ林と湿生植物園を歩き、住宅地の中で急に深い森へ入れる。</x:v>
      </x:c>
      <x:c r="G188" s="27" t="str">
        <x:v>あり・112台</x:v>
      </x:c>
      <x:c r="H188" s="27" t="str">
        <x:v>8:30～19:00</x:v>
      </x:c>
      <x:c r="I188" s="27" t="n">
        <x:v>2</x:v>
      </x:c>
      <x:c r="J188" s="27" t="n">
        <x:v>4</x:v>
      </x:c>
      <x:c r="K188" s="27" t="str">
        <x:v>19時を過ぎると翌朝まで出庫不可。土日祝の有料期間は季節で変わるため当日確認。</x:v>
      </x:c>
      <x:c r="L188" s="28" t="n">
        <x:v>46232</x:v>
      </x:c>
      <x:c r="M188" s="27" t="str">
        <x:v>一次確認済</x:v>
      </x:c>
      <x:c r="N188" s="27" t="str">
        <x:v>https://higashitakane.com/about</x:v>
      </x:c>
      <x:c r="O188" s="27" t="str">
        <x:v>園内には県指定史跡の東高根遺跡と、県指定天然記念物のシラカシ林が共存している。</x:v>
      </x:c>
      <x:c r="P188" s="84" t="e">
        <x:f>HYPERLINK("https://ja.wikipedia.org/wiki/Special:Search?search=%E7%9C%8C%E7%AB%8B%E6%9D%B1%E9%AB%98%E6%A0%B9%E6%A3%AE%E6%9E%97%E5%85%AC%E5%9C%92","Wikipedia・関連項目")</x:f>
      </x:c>
      <x:c r="Q188" s="27" t="str">
        <x:v>新規追加。歴史・植生・防災避難地の三層Storyを持つ。</x:v>
      </x:c>
    </x:row>
    <x:row r="189">
      <x:c r="A189" s="27" t="str">
        <x:v>D168</x:v>
      </x:c>
      <x:c r="B189" s="27" t="str">
        <x:v>磯子海づり施設</x:v>
      </x:c>
      <x:c r="C189" s="27" t="str">
        <x:v>横浜市・磯子区</x:v>
      </x:c>
      <x:c r="D189" s="27" t="str">
        <x:v>工業湾岸・釣り・火力発電所</x:v>
      </x:c>
      <x:c r="E189" s="48" t="e">
        <x:f>HYPERLINK("https://www.google.com/maps/dir/?api=1&amp;destination=%E7%A3%AF%E5%AD%90%E6%B5%B7%E3%81%A5%E3%82%8A%E6%96%BD%E8%A8%AD&amp;travelmode=driving","現在地からナビ開始")</x:f>
      </x:c>
      <x:c r="F189" s="27" t="str">
        <x:v>根岸湾の工業景観を安全な公共施設から眺められ、工場夜景系ルートの昼～夕方Endingに向く。</x:v>
      </x:c>
      <x:c r="G189" s="27" t="str">
        <x:v>あり・85台</x:v>
      </x:c>
      <x:c r="H189" s="27" t="str">
        <x:v>通常8:00～19:00</x:v>
      </x:c>
      <x:c r="I189" s="27" t="n">
        <x:v>2</x:v>
      </x:c>
      <x:c r="J189" s="27" t="n">
        <x:v>4</x:v>
      </x:c>
      <x:c r="K189" s="27" t="str">
        <x:v>駐車場が先に満車になりやすい。周辺工場・岸壁への無断進入は禁止。</x:v>
      </x:c>
      <x:c r="L189" s="28" t="n">
        <x:v>46232</x:v>
      </x:c>
      <x:c r="M189" s="27" t="str">
        <x:v>一次確認済</x:v>
      </x:c>
      <x:c r="N189" s="27" t="str">
        <x:v>https://yokohama-fishingpiers.jp/isogo</x:v>
      </x:c>
      <x:c r="O189" s="27" t="str">
        <x:v>根岸湾沿岸は高度経済成長期に埋立てられ、製油所・発電所など京浜工業地帯の中核施設が集積した。</x:v>
      </x:c>
      <x:c r="P189" s="84" t="e">
        <x:f>HYPERLINK("https://ja.wikipedia.org/wiki/Special:Search?search=%E7%A3%AF%E5%AD%90%E6%B5%B7%E3%81%A5%E3%82%8A%E6%96%BD%E8%A8%AD","Wikipedia・関連項目")</x:f>
      </x:c>
      <x:c r="Q189" s="27"/>
    </x:row>
    <x:row r="190">
      <x:c r="A190" s="27" t="str">
        <x:v>D047</x:v>
      </x:c>
      <x:c r="B190" s="27" t="str">
        <x:v>秋ヶ瀬公園</x:v>
      </x:c>
      <x:c r="C190" s="27" t="str">
        <x:v>さいたま市・桜区</x:v>
      </x:c>
      <x:c r="D190" s="27" t="str">
        <x:v>河川敷・森林・広大公園</x:v>
      </x:c>
      <x:c r="E190" s="48" t="e">
        <x:f>HYPERLINK("https://www.google.com/maps/dir/?api=1&amp;destination=%E7%A7%8B%E3%83%B6%E7%80%AC%E5%85%AC%E5%9C%92&amp;travelmode=driving","現在地からナビ開始")</x:f>
      </x:c>
      <x:c r="F190" s="27" t="str">
        <x:v>荒川河川敷の広大な平地と林があり、昼のロングドライブを静かに終えられる。</x:v>
      </x:c>
      <x:c r="G190" s="27" t="str">
        <x:v>あり・977台・無料</x:v>
      </x:c>
      <x:c r="H190" s="27" t="str">
        <x:v>開園 5:00～19:00</x:v>
      </x:c>
      <x:c r="I190" s="27" t="n">
        <x:v>2</x:v>
      </x:c>
      <x:c r="J190" s="27" t="n">
        <x:v>4</x:v>
      </x:c>
      <x:c r="K190" s="27" t="str">
        <x:v>洪水・積雪等で閉鎖あり。19時閉門。車の撮影・整備目的での占有は不可。</x:v>
      </x:c>
      <x:c r="L190" s="28" t="n">
        <x:v>46232</x:v>
      </x:c>
      <x:c r="M190" s="27" t="str">
        <x:v>一次確認済</x:v>
      </x:c>
      <x:c r="N190" s="27" t="str">
        <x:v>https://www.parks.or.jp/akigase/guide/002/002868.html</x:v>
      </x:c>
      <x:c r="O190" s="27" t="str">
        <x:v>秋ヶ瀬公園は荒川の広大な河川敷に造られ、普段は公園、増水時は洪水を受け止める空間になる。</x:v>
      </x:c>
      <x:c r="P190" s="84" t="e">
        <x:f>HYPERLINK("https://ja.wikipedia.org/wiki/Special:Search?search=%E7%A7%8B%E3%83%B6%E7%80%AC%E5%85%AC%E5%9C%92","Wikipedia・関連項目")</x:f>
      </x:c>
      <x:c r="Q190" s="27"/>
    </x:row>
    <x:row r="191">
      <x:c r="A191" s="27" t="str">
        <x:v>D077</x:v>
      </x:c>
      <x:c r="B191" s="27" t="str">
        <x:v>茅ケ崎里山公園</x:v>
      </x:c>
      <x:c r="C191" s="27" t="str">
        <x:v>茅ヶ崎市・芹沢</x:v>
      </x:c>
      <x:c r="D191" s="27" t="str">
        <x:v>里山・高台・田園</x:v>
      </x:c>
      <x:c r="E191" s="48" t="e">
        <x:f>HYPERLINK("https://www.google.com/maps/dir/?api=1&amp;destination=%E8%8C%85%E3%82%B1%E5%B4%8E%E9%87%8C%E5%B1%B1%E5%85%AC%E5%9C%92&amp;travelmode=driving","現在地からナビ開始")</x:f>
      </x:c>
      <x:c r="F191" s="27" t="str">
        <x:v>湘南海岸とは逆方向の里山景観で、静かな昼Endingを作れる。</x:v>
      </x:c>
      <x:c r="G191" s="27" t="str">
        <x:v>あり・北駐車場無料、他有料</x:v>
      </x:c>
      <x:c r="H191" s="27" t="str">
        <x:v>駐車場時間は公式案内を確認</x:v>
      </x:c>
      <x:c r="I191" s="27" t="n">
        <x:v>2</x:v>
      </x:c>
      <x:c r="J191" s="27" t="n">
        <x:v>4</x:v>
      </x:c>
      <x:c r="K191" s="27" t="str">
        <x:v>夜間向きではない。農地・生活道路へ入り込まない。</x:v>
      </x:c>
      <x:c r="L191" s="28" t="n">
        <x:v>46232</x:v>
      </x:c>
      <x:c r="M191" s="27" t="str">
        <x:v>当日再確認</x:v>
      </x:c>
      <x:c r="N191" s="27" t="str">
        <x:v>https://kanagawa-park.or.jp/satoyama/</x:v>
      </x:c>
      <x:c r="O191" s="27" t="str">
        <x:v>茅ケ崎里山公園は湘南の海側イメージとは対照的に、谷戸田・雑木林・農村景観を再現している。</x:v>
      </x:c>
      <x:c r="P191" s="84" t="e">
        <x:f>HYPERLINK("https://ja.wikipedia.org/wiki/Special:Search?search=%E8%8C%85%E3%82%B1%E5%B4%8E%E9%87%8C%E5%B1%B1%E5%85%AC%E5%9C%92","Wikipedia・関連項目")</x:f>
      </x:c>
      <x:c r="Q191" s="27"/>
    </x:row>
    <x:row r="192">
      <x:c r="A192" s="27" t="str">
        <x:v>D106</x:v>
      </x:c>
      <x:c r="B192" s="27" t="str">
        <x:v>菅生緑地</x:v>
      </x:c>
      <x:c r="C192" s="27" t="str">
        <x:v>川崎市・宮前区</x:v>
      </x:c>
      <x:c r="D192" s="27" t="str">
        <x:v>高台・展望・里山</x:v>
      </x:c>
      <x:c r="E192" s="48" t="e">
        <x:f>HYPERLINK("https://www.google.com/maps/dir/?api=1&amp;destination=%E8%8F%85%E7%94%9F%E7%B7%91%E5%9C%B0&amp;travelmode=driving","現在地からナビ開始")</x:f>
      </x:c>
      <x:c r="F192" s="27" t="str">
        <x:v>高台の展望デッキと里山的な緑があり、川崎北部で静かな昼Endingになる。</x:v>
      </x:c>
      <x:c r="G192" s="27" t="str">
        <x:v>駐車場は区域ごとに要確認</x:v>
      </x:c>
      <x:c r="H192" s="27" t="str">
        <x:v>昼間利用推奨</x:v>
      </x:c>
      <x:c r="I192" s="27" t="n">
        <x:v>2</x:v>
      </x:c>
      <x:c r="J192" s="27" t="n">
        <x:v>4</x:v>
      </x:c>
      <x:c r="K192" s="27" t="str">
        <x:v>夜間不向き。駐車場所と閉鎖時刻を当日確認。</x:v>
      </x:c>
      <x:c r="L192" s="28" t="n">
        <x:v>46232</x:v>
      </x:c>
      <x:c r="M192" s="27" t="str">
        <x:v>当日再確認</x:v>
      </x:c>
      <x:c r="N192" s="27" t="str">
        <x:v>https://www.city.kawasaki.jp/530/page/0000063423.html</x:v>
      </x:c>
      <x:c r="O192" s="27" t="str">
        <x:v>菅生は多摩丘陵の谷戸と雑木林が残る地域で、都市化した川崎北部の中に里山景観を保つ。</x:v>
      </x:c>
      <x:c r="P192" s="84" t="e">
        <x:f>HYPERLINK("https://ja.wikipedia.org/wiki/Special:Search?search=%E8%8F%85%E7%94%9F%E7%B7%91%E5%9C%B0","Wikipedia・関連項目")</x:f>
      </x:c>
      <x:c r="Q192" s="27"/>
    </x:row>
    <x:row r="193">
      <x:c r="A193" s="27" t="str">
        <x:v>D115</x:v>
      </x:c>
      <x:c r="B193" s="27" t="str">
        <x:v>見沼自然公園</x:v>
      </x:c>
      <x:c r="C193" s="27" t="str">
        <x:v>さいたま市・緑区</x:v>
      </x:c>
      <x:c r="D193" s="27" t="str">
        <x:v>池・湿地・自然公園</x:v>
      </x:c>
      <x:c r="E193" s="48" t="e">
        <x:f>HYPERLINK("https://www.google.com/maps/dir/?api=1&amp;destination=%E8%A6%8B%E6%B2%BC%E8%87%AA%E7%84%B6%E5%85%AC%E5%9C%92&amp;travelmode=driving","現在地からナビ開始")</x:f>
      </x:c>
      <x:c r="F193" s="27" t="str">
        <x:v>見沼田圃の水辺と自然を感じられ、都市北側の昼間リカバリー地点になる。</x:v>
      </x:c>
      <x:c r="G193" s="27" t="str">
        <x:v>あり</x:v>
      </x:c>
      <x:c r="H193" s="27" t="str">
        <x:v>利用時間は現地掲示優先</x:v>
      </x:c>
      <x:c r="I193" s="27" t="n">
        <x:v>2</x:v>
      </x:c>
      <x:c r="J193" s="27" t="n">
        <x:v>4</x:v>
      </x:c>
      <x:c r="K193" s="27" t="str">
        <x:v>夜間不向き。雨後の園路と虫に注意。</x:v>
      </x:c>
      <x:c r="L193" s="28" t="n">
        <x:v>46232</x:v>
      </x:c>
      <x:c r="M193" s="27" t="str">
        <x:v>当日再確認</x:v>
      </x:c>
      <x:c r="N193" s="27" t="str">
        <x:v>https://saitama-riversupporters.pref.saitama.lg.jp/magazine/feature-suiren-hasu/</x:v>
      </x:c>
      <x:c r="O193" s="27" t="str">
        <x:v>見沼田圃は江戸時代に干拓された旧見沼の跡で、現在も首都圏有数の大規模緑地空間を形成する。</x:v>
      </x:c>
      <x:c r="P193" s="84" t="e">
        <x:f>HYPERLINK("https://ja.wikipedia.org/wiki/Special:Search?search=%E8%A6%8B%E6%B2%BC%E8%87%AA%E7%84%B6%E5%85%AC%E5%9C%92","Wikipedia・関連項目")</x:f>
      </x:c>
      <x:c r="Q193" s="27"/>
    </x:row>
    <x:row r="194">
      <x:c r="A194" s="27" t="str">
        <x:v>D004</x:v>
      </x:c>
      <x:c r="B194" s="27" t="str">
        <x:v>多摩川浅間神社</x:v>
      </x:c>
      <x:c r="C194" s="27" t="str">
        <x:v>大田区・田園調布</x:v>
      </x:c>
      <x:c r="D194" s="27" t="str">
        <x:v>高台・Story</x:v>
      </x:c>
      <x:c r="E194" s="48" t="e">
        <x:f>HYPERLINK("https://www.google.com/maps/dir/?api=1&amp;destination=%E5%A4%9A%E6%91%A9%E5%B7%9D%E6%B5%85%E9%96%93%E7%A5%9E%E7%A4%BE&amp;travelmode=driving","現在地からナビ開始")</x:f>
      </x:c>
      <x:c r="F194" s="27" t="str">
        <x:v>多摩川と武蔵小杉方面を見下ろし、『シン・ゴジラ』の物語性も重ねられる。</x:v>
      </x:c>
      <x:c r="G194" s="27" t="str">
        <x:v>あり・約20台</x:v>
      </x:c>
      <x:c r="H194" s="27" t="str">
        <x:v>授与所 10:00～16:00、参拝は現地掲示優先</x:v>
      </x:c>
      <x:c r="I194" s="27" t="n">
        <x:v>2</x:v>
      </x:c>
      <x:c r="J194" s="27" t="n">
        <x:v>3</x:v>
      </x:c>
      <x:c r="K194" s="27" t="str">
        <x:v>住宅地と神社のため静粛必須。夜遅くより夕暮れ向け。</x:v>
      </x:c>
      <x:c r="L194" s="28" t="n">
        <x:v>46232</x:v>
      </x:c>
      <x:c r="M194" s="27" t="str">
        <x:v>一次確認済</x:v>
      </x:c>
      <x:c r="N194" s="27" t="str">
        <x:v>https://sengenjinja.info/</x:v>
      </x:c>
      <x:c r="O194" s="27" t="str">
        <x:v>社伝では源頼朝の時代に北条政子が富士浅間大神を勧請したとされ、『シン・ゴジラ』のロケ地としても知られる。</x:v>
      </x:c>
      <x:c r="P194" s="84" t="e">
        <x:f>HYPERLINK("https://ja.wikipedia.org/wiki/Special:Search?search=%E5%A4%9A%E6%91%A9%E5%B7%9D%E6%B5%85%E9%96%93%E7%A5%9E%E7%A4%BE","Wikipedia・関連項目")</x:f>
      </x:c>
      <x:c r="Q194" s="27"/>
    </x:row>
    <x:row r="195">
      <x:c r="A195" s="27" t="str">
        <x:v>D227</x:v>
      </x:c>
      <x:c r="B195" s="27" t="str">
        <x:v>弘法山公園</x:v>
      </x:c>
      <x:c r="C195" s="27" t="str">
        <x:v>神奈川県秦野市</x:v>
      </x:c>
      <x:c r="D195" s="27" t="str">
        <x:v>展望・山稜・富士山</x:v>
      </x:c>
      <x:c r="E195" s="48" t="e">
        <x:f>HYPERLINK("https://www.google.com/maps/dir/?api=1&amp;destination=%E5%BC%98%E6%B3%95%E5%B1%B1%E5%85%AC%E5%9C%92&amp;travelmode=driving","現在地からナビ開始")</x:f>
      </x:c>
      <x:c r="F195" s="27" t="str">
        <x:v>秦野盆地を眼下に、富士山、丹沢、相模湾まで見渡せる360度展望で、短い山歩きのEndingになる。</x:v>
      </x:c>
      <x:c r="G195" s="27" t="str">
        <x:v>あり・約25台・無料</x:v>
      </x:c>
      <x:c r="H195" s="27" t="str">
        <x:v>公園常時／駐車場・山道状況は当日確認</x:v>
      </x:c>
      <x:c r="I195" s="27" t="n">
        <x:v>2</x:v>
      </x:c>
      <x:c r="J195" s="27" t="n">
        <x:v>3</x:v>
      </x:c>
      <x:c r="K195" s="27" t="str">
        <x:v>桜期は混雑。駐車場から展望台まで徒歩・坂道あり。夜間は照明が乏しく不向き。</x:v>
      </x:c>
      <x:c r="L195" s="28" t="n">
        <x:v>46232</x:v>
      </x:c>
      <x:c r="M195" s="27" t="str">
        <x:v>一次確認済</x:v>
      </x:c>
      <x:c r="N195" s="27" t="str">
        <x:v>https://www.city.hadano.kanagawa.jp/kanko/tozan-hiking/2452.html</x:v>
      </x:c>
      <x:c r="O195" s="27" t="str">
        <x:v>権現山山頂は『千畳敷』とも呼ばれ、昭和期から神奈川の代表的展望地として整備されてきた。</x:v>
      </x:c>
      <x:c r="P195" s="84" t="e">
        <x:f>HYPERLINK("https://ja.wikipedia.org/wiki/Special:Search?search=%E5%BC%98%E6%B3%95%E5%B1%B1%E5%85%AC%E5%9C%92","Wikipedia・関連項目")</x:f>
      </x:c>
      <x:c r="Q195" s="27" t="str">
        <x:v>新規追加。秦野盆地を読む地形型Ending。</x:v>
      </x:c>
    </x:row>
    <x:row r="196">
      <x:c r="A196" s="27" t="str">
        <x:v>D228</x:v>
      </x:c>
      <x:c r="B196" s="27" t="str">
        <x:v>彩の森入間公園</x:v>
      </x:c>
      <x:c r="C196" s="27" t="str">
        <x:v>埼玉県入間市</x:v>
      </x:c>
      <x:c r="D196" s="27" t="str">
        <x:v>池・防災・旧軍用地</x:v>
      </x:c>
      <x:c r="E196" s="48" t="e">
        <x:f>HYPERLINK("https://www.google.com/maps/dir/?api=1&amp;destination=%E5%BD%A9%E3%81%AE%E6%A3%AE%E5%85%A5%E9%96%93%E5%85%AC%E5%9C%92&amp;travelmode=driving","現在地からナビ開始")</x:f>
      </x:c>
      <x:c r="F196" s="27" t="str">
        <x:v>二つの池と噴水、芝生、防災設備がまとまり、入間市街で空を広く感じる回復系Ending。</x:v>
      </x:c>
      <x:c r="G196" s="27" t="str">
        <x:v>あり・無料</x:v>
      </x:c>
      <x:c r="H196" s="27" t="str">
        <x:v>駐車場6:00～19:00</x:v>
      </x:c>
      <x:c r="I196" s="27" t="n">
        <x:v>2</x:v>
      </x:c>
      <x:c r="J196" s="27" t="n">
        <x:v>3</x:v>
      </x:c>
      <x:c r="K196" s="27" t="str">
        <x:v>19時閉場。入間基地航空祭などの開催日は交通規制・駐車条件変更。犬連れルールに注意。</x:v>
      </x:c>
      <x:c r="L196" s="28" t="n">
        <x:v>46232</x:v>
      </x:c>
      <x:c r="M196" s="27" t="str">
        <x:v>一次確認済</x:v>
      </x:c>
      <x:c r="N196" s="27" t="str">
        <x:v>https://www.seibu-green.co.jp/sainomori/facility.html</x:v>
      </x:c>
      <x:c r="O196" s="27" t="str">
        <x:v>米軍ジョンソン基地返還地周辺の都市整備と、防災活動拠点の役割を併せ持つ県営公園。</x:v>
      </x:c>
      <x:c r="P196" s="84" t="e">
        <x:f>HYPERLINK("https://ja.wikipedia.org/wiki/Special:Search?search=%E5%BD%A9%E3%81%AE%E6%A3%AE%E5%85%A5%E9%96%93%E5%85%AC%E5%9C%92","Wikipedia・関連項目")</x:f>
      </x:c>
      <x:c r="Q196" s="27" t="str">
        <x:v>新規追加。公園景観と基地返還史、防災Storyを統合。</x:v>
      </x:c>
    </x:row>
    <x:row r="197">
      <x:c r="A197" s="27" t="str">
        <x:v>D166</x:v>
      </x:c>
      <x:c r="B197" s="27" t="str">
        <x:v>本牧海づり施設</x:v>
      </x:c>
      <x:c r="C197" s="27" t="str">
        <x:v>横浜市・本牧ふ頭</x:v>
      </x:c>
      <x:c r="D197" s="27" t="str">
        <x:v>港・釣り・大型船・行き止まり</x:v>
      </x:c>
      <x:c r="E197" s="48" t="e">
        <x:f>HYPERLINK("https://www.google.com/maps/dir/?api=1&amp;destination=%E6%9C%AC%E7%89%A7%E6%B5%B7%E3%81%A5%E3%82%8A%E6%96%BD%E8%A8%AD&amp;travelmode=driving","現在地からナビ開始")</x:f>
      </x:c>
      <x:c r="F197" s="27" t="str">
        <x:v>本牧ふ頭の先端近くまで走り、大型船とコンテナ港を間近に感じられる港湾最終目的地。</x:v>
      </x:c>
      <x:c r="G197" s="27" t="str">
        <x:v>あり・約230台</x:v>
      </x:c>
      <x:c r="H197" s="27" t="str">
        <x:v>通常6:00～19:00、季節延長あり</x:v>
      </x:c>
      <x:c r="I197" s="27" t="n">
        <x:v>2</x:v>
      </x:c>
      <x:c r="J197" s="27" t="n">
        <x:v>3</x:v>
      </x:c>
      <x:c r="K197" s="27" t="str">
        <x:v>営業日・入場制限・混雑を当日確認。釣りをしない場合も施設ルールと入場料に従う。</x:v>
      </x:c>
      <x:c r="L197" s="28" t="n">
        <x:v>46232</x:v>
      </x:c>
      <x:c r="M197" s="27" t="str">
        <x:v>一次確認済</x:v>
      </x:c>
      <x:c r="N197" s="27" t="str">
        <x:v>https://yokohama-fishingpiers.jp/honmoku</x:v>
      </x:c>
      <x:c r="O197" s="27" t="str">
        <x:v>本牧ふ頭は横浜港のコンテナ物流を支える埠頭群の一つで、戦後の港湾拡張を象徴する場所。</x:v>
      </x:c>
      <x:c r="P197" s="84" t="e">
        <x:f>HYPERLINK("https://ja.wikipedia.org/wiki/Special:Search?search=%E6%9C%AC%E7%89%A7%E6%B5%B7%E3%81%A5%E3%82%8A%E6%96%BD%E8%A8%AD","Wikipedia・関連項目")</x:f>
      </x:c>
      <x:c r="Q197" s="27"/>
    </x:row>
    <x:row r="198">
      <x:c r="A198" s="27" t="str">
        <x:v>D078</x:v>
      </x:c>
      <x:c r="B198" s="27" t="str">
        <x:v>狭山公園</x:v>
      </x:c>
      <x:c r="C198" s="27" t="str">
        <x:v>東村山市・多摩湖町</x:v>
      </x:c>
      <x:c r="D198" s="27" t="str">
        <x:v>湖・堤防・夕景</x:v>
      </x:c>
      <x:c r="E198" s="48" t="e">
        <x:f>HYPERLINK("https://www.google.com/maps/dir/?api=1&amp;destination=%E7%8B%AD%E5%B1%B1%E5%85%AC%E5%9C%92&amp;travelmode=driving","現在地からナビ開始")</x:f>
      </x:c>
      <x:c r="F198" s="27" t="str">
        <x:v>多摩湖の堤防と広い空があり、西東京方面の水辺Endingとして使える。</x:v>
      </x:c>
      <x:c r="G198" s="27" t="str">
        <x:v>あり・無料</x:v>
      </x:c>
      <x:c r="H198" s="27" t="str">
        <x:v>駐車場 9:00～17:00目安、季節確認</x:v>
      </x:c>
      <x:c r="I198" s="27" t="n">
        <x:v>2</x:v>
      </x:c>
      <x:c r="J198" s="27" t="n">
        <x:v>3</x:v>
      </x:c>
      <x:c r="K198" s="27" t="str">
        <x:v>閉場が早い。湖周辺道路の通行規制と自転車に注意。</x:v>
      </x:c>
      <x:c r="L198" s="28" t="n">
        <x:v>46232</x:v>
      </x:c>
      <x:c r="M198" s="27" t="str">
        <x:v>当日再確認</x:v>
      </x:c>
      <x:c r="N198" s="27" t="str">
        <x:v>https://www.sayamaparks.com/sayama/</x:v>
      </x:c>
      <x:c r="O198" s="27" t="str">
        <x:v>多摩湖を囲む狭山丘陵は『トトロの森』の活動で知られ、武蔵野の雑木林景観を残している。</x:v>
      </x:c>
      <x:c r="P198" s="84" t="e">
        <x:f>HYPERLINK("https://ja.wikipedia.org/wiki/Special:Search?search=%E7%8B%AD%E5%B1%B1%E5%85%AC%E5%9C%92","Wikipedia・関連項目")</x:f>
      </x:c>
      <x:c r="Q198" s="27"/>
    </x:row>
    <x:row r="199">
      <x:c r="A199" s="27" t="str">
        <x:v>D229</x:v>
      </x:c>
      <x:c r="B199" s="27" t="str">
        <x:v>狭山稲荷山公園</x:v>
      </x:c>
      <x:c r="C199" s="27" t="str">
        <x:v>埼玉県狭山市</x:v>
      </x:c>
      <x:c r="D199" s="27" t="str">
        <x:v>芝生・桜・飛行場跡</x:v>
      </x:c>
      <x:c r="E199" s="48" t="e">
        <x:f>HYPERLINK("https://www.google.com/maps/dir/?api=1&amp;destination=%E7%8B%AD%E5%B1%B1%E7%A8%B2%E8%8D%B7%E5%B1%B1%E5%85%AC%E5%9C%92&amp;travelmode=driving","現在地からナビ開始")</x:f>
      </x:c>
      <x:c r="F199" s="27" t="str">
        <x:v>広大な芝生と桜並木があり、入間基地に近い空の広さと旧飛行場の歴史を感じられる。</x:v>
      </x:c>
      <x:c r="G199" s="27" t="str">
        <x:v>あり・101台・無料</x:v>
      </x:c>
      <x:c r="H199" s="27" t="str">
        <x:v>駐車場8:30～19:30</x:v>
      </x:c>
      <x:c r="I199" s="27" t="n">
        <x:v>2</x:v>
      </x:c>
      <x:c r="J199" s="27" t="n">
        <x:v>3</x:v>
      </x:c>
      <x:c r="K199" s="27" t="str">
        <x:v>季節により冬季閉場が早まる可能性があるため現地掲示優先。航空祭日は周辺大混雑。</x:v>
      </x:c>
      <x:c r="L199" s="28" t="n">
        <x:v>46232</x:v>
      </x:c>
      <x:c r="M199" s="27" t="str">
        <x:v>一次確認済</x:v>
      </x:c>
      <x:c r="N199" s="27" t="str">
        <x:v>https://www.seibu-green.co.jp/inariyama/facility.html</x:v>
      </x:c>
      <x:c r="O199" s="27" t="str">
        <x:v>米軍ジョンソン飛行場内にあった公園が返還され、県営公園として整備された。</x:v>
      </x:c>
      <x:c r="P199" s="84" t="e">
        <x:f>HYPERLINK("https://ja.wikipedia.org/wiki/Special:Search?search=%E7%8B%AD%E5%B1%B1%E7%A8%B2%E8%8D%B7%E5%B1%B1%E5%85%AC%E5%9C%92","Wikipedia・関連項目")</x:f>
      </x:c>
      <x:c r="Q199" s="27" t="str">
        <x:v>新規追加。彩の森と組み合わせると基地返還地の異なる再利用を比較できる。</x:v>
      </x:c>
    </x:row>
    <x:row r="200">
      <x:c r="A200" s="27" t="str">
        <x:v>D141</x:v>
      </x:c>
      <x:c r="B200" s="27" t="str">
        <x:v>県立相模三川公園</x:v>
      </x:c>
      <x:c r="C200" s="27" t="str">
        <x:v>海老名市・上郷</x:v>
      </x:c>
      <x:c r="D200" s="27" t="str">
        <x:v>河川・合流点・大規模公園</x:v>
      </x:c>
      <x:c r="E200" s="48" t="e">
        <x:f>HYPERLINK("https://www.google.com/maps/dir/?api=1&amp;destination=%E7%9C%8C%E7%AB%8B%E7%9B%B8%E6%A8%A1%E4%B8%89%E5%B7%9D%E5%85%AC%E5%9C%92&amp;travelmode=driving","現在地からナビ開始")</x:f>
      </x:c>
      <x:c r="F200" s="27" t="str">
        <x:v>相模川・中津川・小鮎川が集まる広い河川景観を体験でき、厚木方面の経由地と昼Endingに向く。</x:v>
      </x:c>
      <x:c r="G200" s="27" t="str">
        <x:v>あり・一般駐車場、スポーツ広場駐車場</x:v>
      </x:c>
      <x:c r="H200" s="27" t="str">
        <x:v>駐車場は季節・曜日で変動、当日公式確認</x:v>
      </x:c>
      <x:c r="I200" s="27" t="n">
        <x:v>2</x:v>
      </x:c>
      <x:c r="J200" s="27" t="n">
        <x:v>3</x:v>
      </x:c>
      <x:c r="K200" s="27" t="str">
        <x:v>増水・強風時は河川側へ近づかない。スポーツ大会日は混雑。</x:v>
      </x:c>
      <x:c r="L200" s="28" t="n">
        <x:v>46232</x:v>
      </x:c>
      <x:c r="M200" s="27" t="str">
        <x:v>一次確認済</x:v>
      </x:c>
      <x:c r="N200" s="27" t="str">
        <x:v>https://www.pref.kanagawa.jp/docs/u5r/cnt/f550/tabi-087.html</x:v>
      </x:c>
      <x:c r="O200" s="27" t="str">
        <x:v>海老名周辺は相模川の沖積低地に発達し、複数河川の合流が交通・農業・治水の歴史を形作った。</x:v>
      </x:c>
      <x:c r="P200" s="84" t="e">
        <x:f>HYPERLINK("https://ja.wikipedia.org/wiki/Special:Search?search=%E7%9C%8C%E7%AB%8B%E7%9B%B8%E6%A8%A1%E4%B8%89%E5%B7%9D%E5%85%AC%E5%9C%92","Wikipedia・関連項目")</x:f>
      </x:c>
      <x:c r="Q200" s="27"/>
    </x:row>
    <x:row r="201">
      <x:c r="A201" s="27" t="str">
        <x:v>D076</x:v>
      </x:c>
      <x:c r="B201" s="27" t="str">
        <x:v>県立秦野戸川公園</x:v>
      </x:c>
      <x:c r="C201" s="27" t="str">
        <x:v>秦野市・堀山下</x:v>
      </x:c>
      <x:c r="D201" s="27" t="str">
        <x:v>吊り橋・丹沢・河川</x:v>
      </x:c>
      <x:c r="E201" s="48" t="e">
        <x:f>HYPERLINK("https://www.google.com/maps/dir/?api=1&amp;destination=%E7%9C%8C%E7%AB%8B%E7%A7%A6%E9%87%8E%E6%88%B8%E5%B7%9D%E5%85%AC%E5%9C%92&amp;travelmode=driving","現在地からナビ開始")</x:f>
      </x:c>
      <x:c r="F201" s="27" t="str">
        <x:v>丹沢の山並みと大きな吊り橋、河川敷が揃い、西側ロングドライブの強い終点になる。</x:v>
      </x:c>
      <x:c r="G201" s="27" t="str">
        <x:v>あり・複数有料</x:v>
      </x:c>
      <x:c r="H201" s="27" t="str">
        <x:v>駐車場は季節・区域別、当日公式確認</x:v>
      </x:c>
      <x:c r="I201" s="27" t="n">
        <x:v>2</x:v>
      </x:c>
      <x:c r="J201" s="27" t="n">
        <x:v>3</x:v>
      </x:c>
      <x:c r="K201" s="27" t="str">
        <x:v>休日は混雑。夕方の閉場と山間部の天候変化に注意。</x:v>
      </x:c>
      <x:c r="L201" s="28" t="n">
        <x:v>46232</x:v>
      </x:c>
      <x:c r="M201" s="27" t="str">
        <x:v>当日再確認</x:v>
      </x:c>
      <x:c r="N201" s="27" t="str">
        <x:v>https://www.kanagawa-park.or.jp/hadanotokawa/</x:v>
      </x:c>
      <x:c r="O201" s="27" t="str">
        <x:v>秦野戸川公園の『風の吊り橋』は全長267mで、丹沢の山並みを背景にした公園の象徴である。</x:v>
      </x:c>
      <x:c r="P201" s="84" t="e">
        <x:f>HYPERLINK("https://ja.wikipedia.org/wiki/Special:Search?search=%E7%9C%8C%E7%AB%8B%E7%A7%A6%E9%87%8E%E6%88%B8%E5%B7%9D%E5%85%AC%E5%9C%92","Wikipedia・関連項目")</x:f>
      </x:c>
      <x:c r="Q201" s="27"/>
    </x:row>
    <x:row r="202">
      <x:c r="A202" s="27" t="str">
        <x:v>D188</x:v>
      </x:c>
      <x:c r="B202" s="27" t="str">
        <x:v>神奈川県立近代美術館 葉山館</x:v>
      </x:c>
      <x:c r="C202" s="27" t="str">
        <x:v>葉山町・一色</x:v>
      </x:c>
      <x:c r="D202" s="27" t="str">
        <x:v>美術・建築・一色海岸</x:v>
      </x:c>
      <x:c r="E202" s="48" t="e">
        <x:f>HYPERLINK("https://www.google.com/maps/dir/?api=1&amp;destination=%E7%A5%9E%E5%A5%88%E5%B7%9D%E7%9C%8C%E7%AB%8B%E8%BF%91%E4%BB%A3%E7%BE%8E%E8%A1%93%E9%A4%A8%20%E8%91%89%E5%B1%B1%E9%A4%A8&amp;travelmode=driving","現在地からナビ開始")</x:f>
      </x:c>
      <x:c r="F202" s="27" t="str">
        <x:v>美術館、彫刻庭園、一色海岸の夕景を一度に組み合わせられ、文化系ドライブの完成度が高い。</x:v>
      </x:c>
      <x:c r="G202" s="27" t="str">
        <x:v>あり・普通車48台ほか・有料</x:v>
      </x:c>
      <x:c r="H202" s="27" t="str">
        <x:v>開館 9:30～17:00／駐車場 8:30～18:00、入庫16:30まで</x:v>
      </x:c>
      <x:c r="I202" s="27" t="n">
        <x:v>2</x:v>
      </x:c>
      <x:c r="J202" s="27" t="n">
        <x:v>3</x:v>
      </x:c>
      <x:c r="K202" s="27" t="str">
        <x:v>月曜・展示替期間は休館。夏季は料金上昇。入庫締切が早いため夕景のみ目的なら時間に注意。</x:v>
      </x:c>
      <x:c r="L202" s="28" t="n">
        <x:v>46232</x:v>
      </x:c>
      <x:c r="M202" s="27" t="str">
        <x:v>一次確認済</x:v>
      </x:c>
      <x:c r="N202" s="27" t="str">
        <x:v>https://www.moma.pref.kanagawa.jp/hayama/visit/access/</x:v>
      </x:c>
      <x:c r="O202" s="27" t="str">
        <x:v>葉山館は2003年開館。庭園・図書室・レストランなど、展示室外にも海辺の美術館としての体験が広がる。</x:v>
      </x:c>
      <x:c r="P202" s="84" t="e">
        <x:f>HYPERLINK("https://ja.wikipedia.org/wiki/Special:Search?search=%E7%A5%9E%E5%A5%88%E5%B7%9D%E7%9C%8C%E7%AB%8B%E8%BF%91%E4%BB%A3%E7%BE%8E%E8%A1%93%E9%A4%A8%20%E8%91%89%E5%B1%B1%E9%A4%A8","Wikipedia・関連項目")</x:f>
      </x:c>
      <x:c r="Q202" s="27" t="str">
        <x:v>新規追加。美術＋庭園＋海岸を一体評価。</x:v>
      </x:c>
    </x:row>
    <x:row r="203">
      <x:c r="A203" s="27" t="str">
        <x:v>D170</x:v>
      </x:c>
      <x:c r="B203" s="27" t="str">
        <x:v>秋ヶ瀬公園</x:v>
      </x:c>
      <x:c r="C203" s="27" t="str">
        <x:v>さいたま市・桜区</x:v>
      </x:c>
      <x:c r="D203" s="27" t="str">
        <x:v>荒川河川敷・広大草地・森林</x:v>
      </x:c>
      <x:c r="E203" s="48" t="e">
        <x:f>HYPERLINK("https://www.google.com/maps/dir/?api=1&amp;destination=%E7%A7%8B%E3%83%B6%E7%80%AC%E5%85%AC%E5%9C%92&amp;travelmode=driving","現在地からナビ開始")</x:f>
      </x:c>
      <x:c r="F203" s="27" t="str">
        <x:v>荒川河川敷に約3km続く広大な公園で、都市圏とは思えない空の広さを体験できる。</x:v>
      </x:c>
      <x:c r="G203" s="27" t="str">
        <x:v>あり・多数、臨時駐車場あり</x:v>
      </x:c>
      <x:c r="H203" s="27" t="str">
        <x:v>駐車場・園路の開放時間は公式当日確認</x:v>
      </x:c>
      <x:c r="I203" s="27" t="n">
        <x:v>2</x:v>
      </x:c>
      <x:c r="J203" s="27" t="n">
        <x:v>3</x:v>
      </x:c>
      <x:c r="K203" s="27" t="str">
        <x:v>増水・台風後は閉鎖あり。園内道路でも交通法規を守り、路肩駐車や放置車両は禁止。</x:v>
      </x:c>
      <x:c r="L203" s="28" t="n">
        <x:v>46232</x:v>
      </x:c>
      <x:c r="M203" s="27" t="str">
        <x:v>当日再確認</x:v>
      </x:c>
      <x:c r="N203" s="27" t="str">
        <x:v>https://www.pref.saitama.lg.jp/shisetsu/koen/004.html</x:v>
      </x:c>
      <x:c r="O203" s="27" t="str">
        <x:v>秋ヶ瀬公園は荒川の治水空間を都市公園として活用した代表例で、河川敷特有の広大な平坦地を持つ。</x:v>
      </x:c>
      <x:c r="P203" s="84" t="e">
        <x:f>HYPERLINK("https://ja.wikipedia.org/wiki/Special:Search?search=%E7%A7%8B%E3%83%B6%E7%80%AC%E5%85%AC%E5%9C%92","Wikipedia・関連項目")</x:f>
      </x:c>
      <x:c r="Q203" s="27"/>
    </x:row>
    <x:row r="204">
      <x:c r="A204" s="27" t="str">
        <x:v>D016</x:v>
      </x:c>
      <x:c r="B204" s="27" t="str">
        <x:v>観音崎公園</x:v>
      </x:c>
      <x:c r="C204" s="27" t="str">
        <x:v>横須賀市・観音崎</x:v>
      </x:c>
      <x:c r="D204" s="27" t="str">
        <x:v>灯台・砲台跡・浦賀水道</x:v>
      </x:c>
      <x:c r="E204" s="48" t="e">
        <x:f>HYPERLINK("https://www.google.com/maps/dir/?api=1&amp;destination=%E8%A6%B3%E9%9F%B3%E5%B4%8E%E5%85%AC%E5%9C%92&amp;travelmode=driving","現在地からナビ開始")</x:f>
      </x:c>
      <x:c r="F204" s="27" t="str">
        <x:v>東京湾入口で大型船の往来、灯台、明治期砲台跡を一体で体験でき、歴史と海のスケールが強いEnding。</x:v>
      </x:c>
      <x:c r="G204" s="27" t="str">
        <x:v>あり・全277台・有料日あり</x:v>
      </x:c>
      <x:c r="H204" s="27" t="str">
        <x:v>主駐車場 5:00～19:00</x:v>
      </x:c>
      <x:c r="I204" s="27" t="n">
        <x:v>2</x:v>
      </x:c>
      <x:c r="J204" s="27" t="n">
        <x:v>3</x:v>
      </x:c>
      <x:c r="K204" s="27" t="str">
        <x:v>夜間不向き。灯台参観は季節により16:00または16:30まで。強風時は海際と灯台を避ける。</x:v>
      </x:c>
      <x:c r="L204" s="28" t="n">
        <x:v>46232</x:v>
      </x:c>
      <x:c r="M204" s="27" t="str">
        <x:v>一次確認済</x:v>
      </x:c>
      <x:c r="N204" s="27" t="str">
        <x:v>https://www.kanagawa-park.or.jp/kannonzaki/access.html</x:v>
      </x:c>
      <x:c r="O204" s="27" t="str">
        <x:v>観音埼灯台は1868年起工の日本初の洋式灯台で、現在の塔は1925年完成の3代目。公園には東京湾要塞の砲台跡も残る。</x:v>
      </x:c>
      <x:c r="P204" s="84" t="e">
        <x:f>HYPERLINK("https://ja.wikipedia.org/wiki/Special:Search?search=%E8%A6%B3%E9%9F%B3%E5%B4%8E%E5%85%AC%E5%9C%92","Wikipedia・関連項目")</x:f>
      </x:c>
      <x:c r="Q204" s="27" t="str">
        <x:v>2026-07-29更新：駐車場277台・5:00～19:00、灯台と公園の利用時間を分離。</x:v>
      </x:c>
    </x:row>
    <x:row r="205">
      <x:c r="A205" s="27" t="str">
        <x:v>D133</x:v>
      </x:c>
      <x:c r="B205" s="27" t="str">
        <x:v>長者ヶ崎駐車場</x:v>
      </x:c>
      <x:c r="C205" s="27" t="str">
        <x:v>葉山町下山口</x:v>
      </x:c>
      <x:c r="D205" s="27" t="str">
        <x:v>海岸・岬・富士山</x:v>
      </x:c>
      <x:c r="E205" s="48" t="e">
        <x:f>HYPERLINK("https://www.google.com/maps/dir/?api=1&amp;destination=%E9%95%B7%E8%80%85%E3%83%B6%E5%B4%8E%E9%A7%90%E8%BB%8A%E5%A0%B4&amp;travelmode=driving","現在地からナビ開始")</x:f>
      </x:c>
      <x:c r="F205" s="27" t="str">
        <x:v>江の島、伊豆半島、富士山を一望でき、葉山・横須賀西岸ドライブの夕日Endingになる。</x:v>
      </x:c>
      <x:c r="G205" s="27" t="str">
        <x:v>あり・130台、有料または季節無料</x:v>
      </x:c>
      <x:c r="H205" s="27" t="str">
        <x:v>7～8月 7:00～19:00／季節外 9:00～17:00または18:00</x:v>
      </x:c>
      <x:c r="I205" s="27" t="n">
        <x:v>2</x:v>
      </x:c>
      <x:c r="J205" s="27" t="n">
        <x:v>3</x:v>
      </x:c>
      <x:c r="K205" s="27" t="str">
        <x:v>閉場後は翌朝まで出庫不可で追加料金あり。夏季・休日は混雑。</x:v>
      </x:c>
      <x:c r="L205" s="28" t="n">
        <x:v>46232</x:v>
      </x:c>
      <x:c r="M205" s="27" t="str">
        <x:v>一次確認済</x:v>
      </x:c>
      <x:c r="N205" s="27" t="str">
        <x:v>https://www.town.hayama.lg.jp/soshiki/sangyou/1/7935.html</x:v>
      </x:c>
      <x:c r="O205" s="27" t="str">
        <x:v>長者ヶ崎は葉山町と横須賀市の境界付近に突き出す岬で、三浦半島西岸の地形的な節目である。</x:v>
      </x:c>
      <x:c r="P205" s="84" t="e">
        <x:f>HYPERLINK("https://ja.wikipedia.org/wiki/Special:Search?search=%E9%95%B7%E8%80%85%E3%83%B6%E5%B4%8E%E9%A7%90%E8%BB%8A%E5%A0%B4","Wikipedia・関連項目")</x:f>
      </x:c>
      <x:c r="Q205" s="27"/>
    </x:row>
    <x:row r="206">
      <x:c r="A206" s="27" t="str">
        <x:v>D057</x:v>
      </x:c>
      <x:c r="B206" s="27" t="str">
        <x:v>鳥居原園地</x:v>
      </x:c>
      <x:c r="C206" s="27" t="str">
        <x:v>相模原市・鳥屋</x:v>
      </x:c>
      <x:c r="D206" s="27" t="str">
        <x:v>湖・高台・ワインディング</x:v>
      </x:c>
      <x:c r="E206" s="48" t="e">
        <x:f>HYPERLINK("https://www.google.com/maps/dir/?api=1&amp;destination=%E9%B3%A5%E5%B1%85%E5%8E%9F%E5%9C%92%E5%9C%B0&amp;travelmode=driving","現在地からナビ開始")</x:f>
      </x:c>
      <x:c r="F206" s="27" t="str">
        <x:v>宮ヶ瀬湖と虹の大橋を高台から望み、山道ドライブの最終地点として強い。</x:v>
      </x:c>
      <x:c r="G206" s="27" t="str">
        <x:v>あり・無料</x:v>
      </x:c>
      <x:c r="H206" s="27" t="str">
        <x:v>駐車場 9:00～17:00</x:v>
      </x:c>
      <x:c r="I206" s="27" t="n">
        <x:v>2</x:v>
      </x:c>
      <x:c r="J206" s="27" t="n">
        <x:v>3</x:v>
      </x:c>
      <x:c r="K206" s="27" t="str">
        <x:v>17時閉鎖。二輪・車の集まりで混雑することがあり、騒音に注意。</x:v>
      </x:c>
      <x:c r="L206" s="28" t="n">
        <x:v>46232</x:v>
      </x:c>
      <x:c r="M206" s="27" t="str">
        <x:v>一次確認済</x:v>
      </x:c>
      <x:c r="N206" s="27" t="str">
        <x:v>https://www.kanagawa-kankou.or.jp/kanagawayokohamadc/spot/6337</x:v>
      </x:c>
      <x:c r="O206" s="27" t="str">
        <x:v>鳥居原園地から見える虹の大橋は宮ヶ瀬湖の代表的景観で、湖誕生後に新たに造られた道路橋である。</x:v>
      </x:c>
      <x:c r="P206" s="84" t="e">
        <x:f>HYPERLINK("https://ja.wikipedia.org/wiki/Special:Search?search=%E9%B3%A5%E5%B1%85%E5%8E%9F%E5%9C%92%E5%9C%B0","Wikipedia・関連項目")</x:f>
      </x:c>
      <x:c r="Q206" s="27"/>
    </x:row>
    <x:row r="207">
      <x:c r="A207" s="27" t="str">
        <x:v>D224</x:v>
      </x:c>
      <x:c r="B207" s="27" t="str">
        <x:v>こども自然公園</x:v>
      </x:c>
      <x:c r="C207" s="27" t="str">
        <x:v>横浜市旭区</x:v>
      </x:c>
      <x:c r="D207" s="27" t="str">
        <x:v>大池・雑木林・動物園</x:v>
      </x:c>
      <x:c r="E207" s="48" t="e">
        <x:f>HYPERLINK("https://www.google.com/maps/dir/?api=1&amp;destination=%E3%81%93%E3%81%A9%E3%82%82%E8%87%AA%E7%84%B6%E5%85%AC%E5%9C%92&amp;travelmode=driving","現在地からナビ開始")</x:f>
      </x:c>
      <x:c r="F207" s="27" t="str">
        <x:v>大池を中心に谷戸・雑木林・ちびっこ動物園が広がり、横浜西部で自然密度の高い昼Endingになる。</x:v>
      </x:c>
      <x:c r="G207" s="27" t="str">
        <x:v>あり・第一／第二駐車場・有料</x:v>
      </x:c>
      <x:c r="H207" s="27" t="str">
        <x:v>公園常時／駐車場は各運営ページの当日時間確認</x:v>
      </x:c>
      <x:c r="I207" s="27" t="n">
        <x:v>2</x:v>
      </x:c>
      <x:c r="J207" s="27" t="n">
        <x:v>2</x:v>
      </x:c>
      <x:c r="K207" s="27" t="str">
        <x:v>桜期・休日は満車。駐車場閉場時間を現地掲示で確認し、公園周辺で路上待機しない。</x:v>
      </x:c>
      <x:c r="L207" s="28" t="n">
        <x:v>46232</x:v>
      </x:c>
      <x:c r="M207" s="27" t="str">
        <x:v>当日再確認</x:v>
      </x:c>
      <x:c r="N207" s="27" t="str">
        <x:v>https://www.city.yokohama.lg.jp/kurashi/machizukuri-kankyo/midori-koen/koen/koen/daihyoteki/ko-sizen.html</x:v>
      </x:c>
      <x:c r="O207" s="27" t="str">
        <x:v>通称『大池公園』。横浜の谷戸地形を残す大規模公園で、池・丘陵・動物園が一体になっている。</x:v>
      </x:c>
      <x:c r="P207" s="84" t="e">
        <x:f>HYPERLINK("https://ja.wikipedia.org/wiki/Special:Search?search=%E3%81%93%E3%81%A9%E3%82%82%E8%87%AA%E7%84%B6%E5%85%AC%E5%9C%92","Wikipedia・関連項目")</x:f>
      </x:c>
      <x:c r="Q207" s="27" t="str">
        <x:v>新規追加。横浜郊外の谷戸Storyとして採用。</x:v>
      </x:c>
    </x:row>
    <x:row r="208">
      <x:c r="A208" s="27" t="str">
        <x:v>D150</x:v>
      </x:c>
      <x:c r="B208" s="27" t="str">
        <x:v>古代蓮の里・行田タワー</x:v>
      </x:c>
      <x:c r="C208" s="27" t="str">
        <x:v>埼玉県行田市</x:v>
      </x:c>
      <x:c r="D208" s="27" t="str">
        <x:v>古代蓮・展望塔・田園</x:v>
      </x:c>
      <x:c r="E208" s="48" t="e">
        <x:f>HYPERLINK("https://www.google.com/maps/dir/?api=1&amp;destination=%E5%8F%A4%E4%BB%A3%E8%93%AE%E3%81%AE%E9%87%8C%E3%83%BB%E8%A1%8C%E7%94%B0%E3%82%BF%E3%83%AF%E3%83%BC&amp;travelmode=driving","現在地からナビ開始")</x:f>
      </x:c>
      <x:c r="F208" s="27" t="str">
        <x:v>田園地帯に現れる展望塔と古代蓮が特徴で、季節限定ながら強い到達感がある。</x:v>
      </x:c>
      <x:c r="G208" s="27" t="str">
        <x:v>あり・大型駐車場、蓮期有料</x:v>
      </x:c>
      <x:c r="H208" s="27" t="str">
        <x:v>開館・駐車有料期間は年度ごとに公式確認</x:v>
      </x:c>
      <x:c r="I208" s="27" t="n">
        <x:v>2</x:v>
      </x:c>
      <x:c r="J208" s="27" t="n">
        <x:v>2</x:v>
      </x:c>
      <x:c r="K208" s="27" t="str">
        <x:v>蓮期の土日祝は大混雑。早朝利用時は周辺住宅へ配慮。</x:v>
      </x:c>
      <x:c r="L208" s="28" t="n">
        <x:v>46232</x:v>
      </x:c>
      <x:c r="M208" s="27" t="str">
        <x:v>当日再確認</x:v>
      </x:c>
      <x:c r="N208" s="27" t="str">
        <x:v>https://www.city.gyoda.lg.jp/soshiki/toshiseibibu/toshi_keikaku/oshirase/11308.html</x:v>
      </x:c>
      <x:c r="O208" s="27" t="str">
        <x:v>行田の古代蓮は公共工事で掘り出された地層の種子が発芽したことから『古代蓮』と呼ばれる。</x:v>
      </x:c>
      <x:c r="P208" s="84" t="e">
        <x:f>HYPERLINK("https://ja.wikipedia.org/wiki/Special:Search?search=%E5%8F%A4%E4%BB%A3%E8%93%AE%E3%81%AE%E9%87%8C%E3%83%BB%E8%A1%8C%E7%94%B0%E3%82%BF%E3%83%AF%E3%83%BC","Wikipedia・関連項目")</x:f>
      </x:c>
      <x:c r="Q208" s="27"/>
    </x:row>
    <x:row r="209">
      <x:c r="A209" s="27" t="str">
        <x:v>D056</x:v>
      </x:c>
      <x:c r="B209" s="27" t="str">
        <x:v>宮ヶ瀬湖畔園地</x:v>
      </x:c>
      <x:c r="C209" s="27" t="str">
        <x:v>清川村・宮ヶ瀬</x:v>
      </x:c>
      <x:c r="D209" s="27" t="str">
        <x:v>湖・吊り橋・山</x:v>
      </x:c>
      <x:c r="E209" s="48" t="e">
        <x:f>HYPERLINK("https://www.google.com/maps/dir/?api=1&amp;destination=%E5%AE%AE%E3%83%B6%E7%80%AC%E6%B9%96%E7%95%94%E5%9C%92%E5%9C%B0&amp;travelmode=driving","現在地からナビ開始")</x:f>
      </x:c>
      <x:c r="F209" s="27" t="str">
        <x:v>湖、山、吊り橋が揃い、近郊ながら明確な旅行感を得られる。</x:v>
      </x:c>
      <x:c r="G209" s="27" t="str">
        <x:v>あり・普通車334台</x:v>
      </x:c>
      <x:c r="H209" s="27" t="str">
        <x:v>施設・駐車場は概ね 9:00～17:00</x:v>
      </x:c>
      <x:c r="I209" s="27" t="n">
        <x:v>2</x:v>
      </x:c>
      <x:c r="J209" s="27" t="n">
        <x:v>2</x:v>
      </x:c>
      <x:c r="K209" s="27" t="str">
        <x:v>休日・繁忙期は有料。17時前に余裕を持って退出。</x:v>
      </x:c>
      <x:c r="L209" s="28" t="n">
        <x:v>46232</x:v>
      </x:c>
      <x:c r="M209" s="27" t="str">
        <x:v>一次確認済</x:v>
      </x:c>
      <x:c r="N209" s="27" t="str">
        <x:v>https://www.kanagawa-kankou.or.jp/kanagawayokohamadc/spot/7387</x:v>
      </x:c>
      <x:c r="O209" s="27" t="str">
        <x:v>宮ヶ瀬湖は宮ヶ瀬ダムの建設で誕生した人造湖で、首都圏の水道・洪水調節・発電を担う。</x:v>
      </x:c>
      <x:c r="P209" s="84" t="e">
        <x:f>HYPERLINK("https://ja.wikipedia.org/wiki/Special:Search?search=%E5%AE%AE%E3%83%B6%E7%80%AC%E6%B9%96%E7%95%94%E5%9C%92%E5%9C%B0","Wikipedia・関連項目")</x:f>
      </x:c>
      <x:c r="Q209" s="27"/>
    </x:row>
    <x:row r="210">
      <x:c r="A210" s="27" t="str">
        <x:v>D215</x:v>
      </x:c>
      <x:c r="B210" s="27" t="str">
        <x:v>寒川神社</x:v>
      </x:c>
      <x:c r="C210" s="27" t="str">
        <x:v>神奈川県寒川町</x:v>
      </x:c>
      <x:c r="D210" s="27" t="str">
        <x:v>神社・相模国一宮・八方除</x:v>
      </x:c>
      <x:c r="E210" s="48" t="e">
        <x:f>HYPERLINK("https://www.google.com/maps/dir/?api=1&amp;destination=%E5%AF%92%E5%B7%9D%E7%A5%9E%E7%A4%BE&amp;travelmode=driving","現在地からナビ開始")</x:f>
      </x:c>
      <x:c r="F210" s="27" t="str">
        <x:v>旅の方向や安全を整える『八方除』の物語が、目的地決めサービスのProject Cruiseと相性が良い。</x:v>
      </x:c>
      <x:c r="G210" s="27" t="str">
        <x:v>あり・参拝者駐車場</x:v>
      </x:c>
      <x:c r="H210" s="27" t="str">
        <x:v>神門6:00～日没／時間外は神門前で参拝可</x:v>
      </x:c>
      <x:c r="I210" s="27" t="n">
        <x:v>2</x:v>
      </x:c>
      <x:c r="J210" s="27" t="n">
        <x:v>2</x:v>
      </x:c>
      <x:c r="K210" s="27" t="str">
        <x:v>正月・祭事は大規模規制と渋滞。深夜の境内滞在は避け、静粛に参拝。</x:v>
      </x:c>
      <x:c r="L210" s="28" t="n">
        <x:v>46232</x:v>
      </x:c>
      <x:c r="M210" s="27" t="str">
        <x:v>一次確認済</x:v>
      </x:c>
      <x:c r="N210" s="27" t="str">
        <x:v>https://samukawajinjya.jp/faq/</x:v>
      </x:c>
      <x:c r="O210" s="27" t="str">
        <x:v>相模国一宮とされ、全国でも珍しい『八方除』の守護神として方位・地相・家相の災い除けで知られる。</x:v>
      </x:c>
      <x:c r="P210" s="84" t="e">
        <x:f>HYPERLINK("https://ja.wikipedia.org/wiki/Special:Search?search=%E5%AF%92%E5%B7%9D%E7%A5%9E%E7%A4%BE","Wikipedia・関連項目")</x:f>
      </x:c>
      <x:c r="Q210" s="27" t="str">
        <x:v>新規追加。ドライブの出発・帰着に意味を持たせるStory Ending。</x:v>
      </x:c>
    </x:row>
    <x:row r="211">
      <x:c r="A211" s="27" t="str">
        <x:v>D178</x:v>
      </x:c>
      <x:c r="B211" s="27" t="str">
        <x:v>彩湖・道満グリーンパーク</x:v>
      </x:c>
      <x:c r="C211" s="27" t="str">
        <x:v>埼玉県戸田市</x:v>
      </x:c>
      <x:c r="D211" s="27" t="str">
        <x:v>湖・荒川・広大公園・夕方</x:v>
      </x:c>
      <x:c r="E211" s="48" t="e">
        <x:f>HYPERLINK("https://www.google.com/maps/dir/?api=1&amp;destination=%E5%BD%A9%E6%B9%96%E3%83%BB%E9%81%93%E6%BA%80%E3%82%B0%E3%83%AA%E3%83%BC%E3%83%B3%E3%83%91%E3%83%BC%E3%82%AF&amp;travelmode=driving","現在地からナビ開始")</x:f>
      </x:c>
      <x:c r="F211" s="27" t="str">
        <x:v>彩湖の水面と荒川河川敷の広い空があり、埼玉南部で水辺の到達感を作れる。</x:v>
      </x:c>
      <x:c r="G211" s="27" t="str">
        <x:v>あり・有料</x:v>
      </x:c>
      <x:c r="H211" s="27" t="str">
        <x:v>開園・駐車場時間は季節別公式案内確認</x:v>
      </x:c>
      <x:c r="I211" s="27" t="n">
        <x:v>2</x:v>
      </x:c>
      <x:c r="J211" s="27" t="n">
        <x:v>2</x:v>
      </x:c>
      <x:c r="K211" s="27" t="str">
        <x:v>行楽期は60～120分待ちの渋滞実績あり。満車時の路上駐車禁止、増水時閉鎖あり。</x:v>
      </x:c>
      <x:c r="L211" s="28" t="n">
        <x:v>46232</x:v>
      </x:c>
      <x:c r="M211" s="27" t="str">
        <x:v>一次確認済</x:v>
      </x:c>
      <x:c r="N211" s="27" t="str">
        <x:v>https://www.toda-kousha.com/park/saikodoman/</x:v>
      </x:c>
      <x:c r="O211" s="27" t="str">
        <x:v>彩湖は荒川第一調節池内に造られた貯水池で、洪水調節と都市用水確保の役割を持つ。</x:v>
      </x:c>
      <x:c r="P211" s="84" t="e">
        <x:f>HYPERLINK("https://ja.wikipedia.org/wiki/Special:Search?search=%E5%BD%A9%E6%B9%96%E3%83%BB%E9%81%93%E6%BA%80%E3%82%B0%E3%83%AA%E3%83%BC%E3%83%B3%E3%83%91%E3%83%BC%E3%82%AF","Wikipedia・関連項目")</x:f>
      </x:c>
      <x:c r="Q211" s="27"/>
    </x:row>
    <x:row r="212">
      <x:c r="A212" s="27" t="str">
        <x:v>D179</x:v>
      </x:c>
      <x:c r="B212" s="27" t="str">
        <x:v>権現堂公園</x:v>
      </x:c>
      <x:c r="C212" s="27" t="str">
        <x:v>埼玉県幸手市</x:v>
      </x:c>
      <x:c r="D212" s="27" t="str">
        <x:v>堤・花・河川・季節景観</x:v>
      </x:c>
      <x:c r="E212" s="48" t="e">
        <x:f>HYPERLINK("https://www.google.com/maps/dir/?api=1&amp;destination=%E6%A8%A9%E7%8F%BE%E5%A0%82%E5%85%AC%E5%9C%92&amp;travelmode=driving","現在地からナビ開始")</x:f>
      </x:c>
      <x:c r="F212" s="27" t="str">
        <x:v>長い堤と桜・菜の花などの季節景観があり、埼玉東部の平坦な風景を目的地化できる。</x:v>
      </x:c>
      <x:c r="G212" s="27" t="str">
        <x:v>あり・無料／季節有料の場合あり</x:v>
      </x:c>
      <x:c r="H212" s="27" t="str">
        <x:v>駐車場時間・イベント規制は公式確認</x:v>
      </x:c>
      <x:c r="I212" s="27" t="n">
        <x:v>2</x:v>
      </x:c>
      <x:c r="J212" s="27" t="n">
        <x:v>2</x:v>
      </x:c>
      <x:c r="K212" s="27" t="str">
        <x:v>桜・曼珠沙華期は大渋滞。夜間より昼～夕方向け、路上駐車禁止。</x:v>
      </x:c>
      <x:c r="L212" s="28" t="n">
        <x:v>46232</x:v>
      </x:c>
      <x:c r="M212" s="27" t="str">
        <x:v>当日再確認</x:v>
      </x:c>
      <x:c r="N212" s="27" t="str">
        <x:v>https://www.pref.saitama.lg.jp/shisetsu/koen/010.html</x:v>
      </x:c>
      <x:c r="O212" s="27" t="str">
        <x:v>権現堂堤は利根川水系の治水と地域交通の歴史を持ち、現在は四季の花の名所として再生された。</x:v>
      </x:c>
      <x:c r="P212" s="84" t="e">
        <x:f>HYPERLINK("https://ja.wikipedia.org/wiki/Special:Search?search=%E6%A8%A9%E7%8F%BE%E5%A0%82%E5%85%AC%E5%9C%92","Wikipedia・関連項目")</x:f>
      </x:c>
      <x:c r="Q212" s="27"/>
    </x:row>
    <x:row r="213">
      <x:c r="A213" s="27" t="str">
        <x:v>D202</x:v>
      </x:c>
      <x:c r="B213" s="27" t="str">
        <x:v>漁港の駅 TOTOCO小田原</x:v>
      </x:c>
      <x:c r="C213" s="27" t="str">
        <x:v>小田原市・早川</x:v>
      </x:c>
      <x:c r="D213" s="27" t="str">
        <x:v>漁港・食・相模湾</x:v>
      </x:c>
      <x:c r="E213" s="48" t="e">
        <x:f>HYPERLINK("https://www.google.com/maps/dir/?api=1&amp;destination=%E6%BC%81%E6%B8%AF%E3%81%AE%E9%A7%85%20TOTOCO%E5%B0%8F%E7%94%B0%E5%8E%9F&amp;travelmode=driving","現在地からナビ開始")</x:f>
      </x:c>
      <x:c r="F213" s="27" t="str">
        <x:v>小田原漁港の地魚、干物、海鮮料理、相模湾の眺めを一度に回収でき、食を目的にした最終目的地として強い。</x:v>
      </x:c>
      <x:c r="G213" s="27" t="str">
        <x:v>あり・166台</x:v>
      </x:c>
      <x:c r="H213" s="27" t="str">
        <x:v>店舗により9:00または10:00～17:00／当日公式確認</x:v>
      </x:c>
      <x:c r="I213" s="27" t="n">
        <x:v>2</x:v>
      </x:c>
      <x:c r="J213" s="27" t="n">
        <x:v>2</x:v>
      </x:c>
      <x:c r="K213" s="27" t="str">
        <x:v>休日昼は混雑。カーナビの電話番号検索では誤位置になる場合があるため、施設名または住所で検索。</x:v>
      </x:c>
      <x:c r="L213" s="28" t="n">
        <x:v>46232</x:v>
      </x:c>
      <x:c r="M213" s="27" t="str">
        <x:v>一次確認済</x:v>
      </x:c>
      <x:c r="N213" s="27" t="str">
        <x:v>https://www.totoco-odawara.com/</x:v>
      </x:c>
      <x:c r="O213" s="27" t="str">
        <x:v>2019年開業の日本初の『漁港の駅』を掲げ、小田原漁港と相模湾の水産物を地域資源として発信している。</x:v>
      </x:c>
      <x:c r="P213" s="84" t="e">
        <x:f>HYPERLINK("https://ja.wikipedia.org/wiki/Special:Search?search=%E6%BC%81%E6%B8%AF%E3%81%AE%E9%A7%85%20TOTOCO%E5%B0%8F%E7%94%B0%E5%8E%9F","Wikipedia・関連項目")</x:f>
      </x:c>
      <x:c r="Q213" s="27" t="str">
        <x:v>新規追加。小田原漁港の作業区域へ入らず、合法駐車と食事を両立できる地点。</x:v>
      </x:c>
    </x:row>
    <x:row r="214">
      <x:c r="A214" s="27" t="str">
        <x:v>D186</x:v>
      </x:c>
      <x:c r="B214" s="27" t="str">
        <x:v>観音埼灯台</x:v>
      </x:c>
      <x:c r="C214" s="27" t="str">
        <x:v>横須賀市・観音崎</x:v>
      </x:c>
      <x:c r="D214" s="27" t="str">
        <x:v>灯台・近代化・浦賀水道</x:v>
      </x:c>
      <x:c r="E214" s="48" t="e">
        <x:f>HYPERLINK("https://www.google.com/maps/dir/?api=1&amp;destination=%E8%A6%B3%E9%9F%B3%E5%9F%BC%E7%81%AF%E5%8F%B0&amp;travelmode=driving","現在地からナビ開始")</x:f>
      </x:c>
      <x:c r="F214" s="27" t="str">
        <x:v>日本最初の洋式灯台の系譜を持ち、灯台上から大型船が往来する浦賀水道を見下ろせる強い到達型Ending。</x:v>
      </x:c>
      <x:c r="G214" s="27" t="str">
        <x:v>あり・観音崎公園277台・有料日あり</x:v>
      </x:c>
      <x:c r="H214" s="27" t="str">
        <x:v>灯台 5～9月 9:00～16:30／10～4月 9:00～16:00、駐車場 5:00～19:00</x:v>
      </x:c>
      <x:c r="I214" s="27" t="n">
        <x:v>2</x:v>
      </x:c>
      <x:c r="J214" s="27" t="n">
        <x:v>2</x:v>
      </x:c>
      <x:c r="K214" s="27" t="str">
        <x:v>強風・悪天候時は灯台参観中止。駐車場から坂道・階段を歩く。閉場時刻を逆算する。</x:v>
      </x:c>
      <x:c r="L214" s="28" t="n">
        <x:v>46232</x:v>
      </x:c>
      <x:c r="M214" s="27" t="str">
        <x:v>一次確認済</x:v>
      </x:c>
      <x:c r="N214" s="27" t="str">
        <x:v>https://www.mlit.go.jp/sogoseisaku/region/infratourism/infralist/kanagawa/index02.html</x:v>
      </x:c>
      <x:c r="O214" s="27" t="str">
        <x:v>1868年に起工された日本初の洋式灯台で、フランス人技師ヴェルニーが設計し、現在の塔は1925年完成の3代目である。</x:v>
      </x:c>
      <x:c r="P214" s="84" t="e">
        <x:f>HYPERLINK("https://ja.wikipedia.org/wiki/Special:Search?search=%E8%A6%B3%E9%9F%B3%E5%9F%BC%E7%81%AF%E5%8F%B0","Wikipedia・関連項目")</x:f>
      </x:c>
      <x:c r="Q214" s="27" t="str">
        <x:v>新規追加。既存の観音崎公園とは『灯台登塔体験』を理由に別採用。</x:v>
      </x:c>
    </x:row>
    <x:row r="215">
      <x:c r="A215" s="27" t="str">
        <x:v>D122</x:v>
      </x:c>
      <x:c r="B215" s="27" t="str">
        <x:v>国営昭和記念公園</x:v>
      </x:c>
      <x:c r="C215" s="27" t="str">
        <x:v>東京都立川市</x:v>
      </x:c>
      <x:c r="D215" s="27" t="str">
        <x:v>大規模公園・花・季節景観</x:v>
      </x:c>
      <x:c r="E215" s="48" t="e">
        <x:f>HYPERLINK("https://www.google.com/maps/dir/?api=1&amp;destination=%E5%9B%BD%E5%96%B6%E6%98%AD%E5%92%8C%E8%A8%98%E5%BF%B5%E5%85%AC%E5%9C%92&amp;travelmode=driving","現在地からナビ開始")</x:f>
      </x:c>
      <x:c r="F215" s="27" t="str">
        <x:v>広大な園内と季節の花、並木、原っぱがあり、休日の長距離公園Sessionを一本で完結できる。</x:v>
      </x:c>
      <x:c r="G215" s="27" t="str">
        <x:v>あり・立川口、西立川口、砂川口</x:v>
      </x:c>
      <x:c r="H215" s="27" t="str">
        <x:v>有料区域 9:30～17:00中心／土日祝は季節延長あり</x:v>
      </x:c>
      <x:c r="I215" s="27" t="n">
        <x:v>2</x:v>
      </x:c>
      <x:c r="J215" s="27" t="n">
        <x:v>1</x:v>
      </x:c>
      <x:c r="K215" s="27" t="str">
        <x:v>駐車場入口は閉園30分前に閉門。行楽期は満車。2026年は一部施設工事あり。</x:v>
      </x:c>
      <x:c r="L215" s="28" t="n">
        <x:v>46232</x:v>
      </x:c>
      <x:c r="M215" s="27" t="str">
        <x:v>一次確認済</x:v>
      </x:c>
      <x:c r="N215" s="27" t="str">
        <x:v>https://www.showakinen-koen.jp/access/</x:v>
      </x:c>
      <x:c r="O215" s="27" t="str">
        <x:v>昭和記念公園は旧立川飛行場・米軍立川基地の跡地に、昭和天皇在位50年記念事業として整備された。</x:v>
      </x:c>
      <x:c r="P215" s="84" t="e">
        <x:f>HYPERLINK("https://ja.wikipedia.org/wiki/Special:Search?search=%E5%9B%BD%E5%96%B6%E6%98%AD%E5%92%8C%E8%A8%98%E5%BF%B5%E5%85%AC%E5%9C%92","Wikipedia・関連項目")</x:f>
      </x:c>
      <x:c r="Q215" s="27"/>
    </x:row>
    <x:row r="216">
      <x:c r="A216" s="27" t="str">
        <x:v>D011</x:v>
      </x:c>
      <x:c r="B216" s="27" t="str">
        <x:v>ちどり公園</x:v>
      </x:c>
      <x:c r="C216" s="27" t="str">
        <x:v>川崎市・千鳥町</x:v>
      </x:c>
      <x:c r="D216" s="27" t="str">
        <x:v>運河・港・穴場</x:v>
      </x:c>
      <x:c r="E216" s="48" t="e">
        <x:f>HYPERLINK("https://www.google.com/maps/dir/?api=1&amp;destination=%E3%81%A1%E3%81%A9%E3%82%8A%E5%85%AC%E5%9C%92&amp;travelmode=driving","現在地からナビ開始")</x:f>
      </x:c>
      <x:c r="F216" s="27" t="str">
        <x:v>京浜運河と大型船を低い展望台から眺める、港湾感の濃い穴場。</x:v>
      </x:c>
      <x:c r="G216" s="27" t="str">
        <x:v>あり・約30台</x:v>
      </x:c>
      <x:c r="H216" s="27" t="str">
        <x:v>駐車場 9:00～18:00</x:v>
      </x:c>
      <x:c r="I216" s="27" t="n">
        <x:v>1</x:v>
      </x:c>
      <x:c r="J216" s="27" t="n">
        <x:v>5</x:v>
      </x:c>
      <x:c r="K216" s="27" t="str">
        <x:v>公園利用時間と駐車時間を混同しない。夕方限定。</x:v>
      </x:c>
      <x:c r="L216" s="28" t="n">
        <x:v>46232</x:v>
      </x:c>
      <x:c r="M216" s="27" t="str">
        <x:v>一次確認済</x:v>
      </x:c>
      <x:c r="N216" s="27" t="str">
        <x:v>https://www.city.kawasaki.jp/</x:v>
      </x:c>
      <x:c r="O216" s="27" t="str">
        <x:v>千鳥町一帯は京浜工業地帯の埋立地で、運河越しに製油・化学・物流施設が連続する。</x:v>
      </x:c>
      <x:c r="P216" s="84" t="e">
        <x:f>HYPERLINK("https://ja.wikipedia.org/wiki/Special:Search?search=%E3%81%A1%E3%81%A9%E3%82%8A%E5%85%AC%E5%9C%92","Wikipedia・関連項目")</x:f>
      </x:c>
      <x:c r="Q216" s="27"/>
    </x:row>
    <x:row r="217">
      <x:c r="A217" s="27" t="str">
        <x:v>D149</x:v>
      </x:c>
      <x:c r="B217" s="27" t="str">
        <x:v>久里浜1丁目第2公園</x:v>
      </x:c>
      <x:c r="C217" s="27" t="str">
        <x:v>横須賀市・久里浜</x:v>
      </x:c>
      <x:c r="D217" s="27" t="str">
        <x:v>鉄道・展望デッキ・Story</x:v>
      </x:c>
      <x:c r="E217" s="48" t="e">
        <x:f>HYPERLINK("https://www.google.com/maps/dir/?api=1&amp;destination=%E4%B9%85%E9%87%8C%E6%B5%9C1%E4%B8%81%E7%9B%AE%E7%AC%AC2%E5%85%AC%E5%9C%92&amp;travelmode=driving","現在地からナビ開始")</x:f>
      </x:c>
      <x:c r="F217" s="27" t="str">
        <x:v>公園の展望デッキから走行車両を間近に見られ、鉄道好き向けの短時間経由地になる。</x:v>
      </x:c>
      <x:c r="G217" s="27" t="str">
        <x:v>あり・15台、無料</x:v>
      </x:c>
      <x:c r="H217" s="27" t="str">
        <x:v>駐車場 9:00～16:00</x:v>
      </x:c>
      <x:c r="I217" s="27" t="n">
        <x:v>1</x:v>
      </x:c>
      <x:c r="J217" s="27" t="n">
        <x:v>5</x:v>
      </x:c>
      <x:c r="K217" s="27" t="str">
        <x:v>16時閉鎖。小規模駐車場のため満車時は通過。線路・道路へ近づかない。</x:v>
      </x:c>
      <x:c r="L217" s="28" t="n">
        <x:v>46232</x:v>
      </x:c>
      <x:c r="M217" s="27" t="str">
        <x:v>一次確認済</x:v>
      </x:c>
      <x:c r="N217" s="27" t="str">
        <x:v>https://www.city.yokosuka.kanagawa.jp/5560/kouen/kurihama1dai2.html</x:v>
      </x:c>
      <x:c r="O217" s="27" t="str">
        <x:v>久里浜はペリー艦隊上陸の地として知られ、近代日本開国のStory Layerが強い地域。</x:v>
      </x:c>
      <x:c r="P217" s="84" t="e">
        <x:f>HYPERLINK("https://ja.wikipedia.org/wiki/Special:Search?search=%E4%B9%85%E9%87%8C%E6%B5%9C1%E4%B8%81%E7%9B%AE%E7%AC%AC2%E5%85%AC%E5%9C%92","Wikipedia・関連項目")</x:f>
      </x:c>
      <x:c r="Q217" s="27"/>
    </x:row>
    <x:row r="218">
      <x:c r="A218" s="27" t="str">
        <x:v>D025</x:v>
      </x:c>
      <x:c r="B218" s="27" t="str">
        <x:v>海の森公園</x:v>
      </x:c>
      <x:c r="C218" s="27" t="str">
        <x:v>江東区・海の森</x:v>
      </x:c>
      <x:c r="D218" s="27" t="str">
        <x:v>高台・東京港・新景観</x:v>
      </x:c>
      <x:c r="E218" s="48" t="e">
        <x:f>HYPERLINK("https://www.google.com/maps/dir/?api=1&amp;destination=%E6%B5%B7%E3%81%AE%E6%A3%AE%E5%85%AC%E5%9C%92&amp;travelmode=driving","現在地からナビ開始")</x:f>
      </x:c>
      <x:c r="F218" s="27" t="str">
        <x:v>東京港の埋立地を高い視点から眺め、空の広さを体験できる。</x:v>
      </x:c>
      <x:c r="G218" s="27" t="str">
        <x:v>あり・普通車268台・有料</x:v>
      </x:c>
      <x:c r="H218" s="27" t="str">
        <x:v>閉園17:00／開園開始時刻は公式ページ間で7:00・9:00表記があるため当日確認</x:v>
      </x:c>
      <x:c r="I218" s="27" t="n">
        <x:v>1</x:v>
      </x:c>
      <x:c r="J218" s="27" t="n">
        <x:v>5</x:v>
      </x:c>
      <x:c r="K218" s="27" t="str">
        <x:v>時間外は出庫不可。イベント・団体利用・公式ページの当日案内を確認。</x:v>
      </x:c>
      <x:c r="L218" s="28" t="n">
        <x:v>46232</x:v>
      </x:c>
      <x:c r="M218" s="27" t="str">
        <x:v>一次確認済</x:v>
      </x:c>
      <x:c r="N218" s="27" t="str">
        <x:v>https://uminomoripark.com/faq/</x:v>
      </x:c>
      <x:c r="O218" s="27" t="str">
        <x:v>海の森は中央防波堤内側埋立地を森へ変える事業で、市民が育てた苗木も植えられている。</x:v>
      </x:c>
      <x:c r="P218" s="84" t="e">
        <x:f>HYPERLINK("https://ja.wikipedia.org/wiki/Special:Search?search=%E6%B5%B7%E3%81%AE%E6%A3%AE%E5%85%AC%E5%9C%92","Wikipedia・関連項目")</x:f>
      </x:c>
      <x:c r="Q218" s="27" t="str">
        <x:v>2026-07-29公式再確認：普通車268台、閉園17:00を反映。開始時刻は公式表記差があるため当日確認へ。</x:v>
      </x:c>
    </x:row>
    <x:row r="219">
      <x:c r="A219" s="27" t="str">
        <x:v>D033</x:v>
      </x:c>
      <x:c r="B219" s="27" t="str">
        <x:v>荒崎公園</x:v>
      </x:c>
      <x:c r="C219" s="27" t="str">
        <x:v>横須賀市・長井</x:v>
      </x:c>
      <x:c r="D219" s="27" t="str">
        <x:v>岩礁・海岸・行き止まり</x:v>
      </x:c>
      <x:c r="E219" s="48" t="e">
        <x:f>HYPERLINK("https://www.google.com/maps/dir/?api=1&amp;destination=%E8%8D%92%E5%B4%8E%E5%85%AC%E5%9C%92&amp;travelmode=driving","現在地からナビ開始")</x:f>
      </x:c>
      <x:c r="F219" s="27" t="str">
        <x:v>三浦半島西岸の岩礁と水平線に到達し、道の終わり感が強い。</x:v>
      </x:c>
      <x:c r="G219" s="27" t="str">
        <x:v>あり・季節により有料</x:v>
      </x:c>
      <x:c r="H219" s="27" t="str">
        <x:v>季節により夕方閉鎖</x:v>
      </x:c>
      <x:c r="I219" s="27" t="n">
        <x:v>1</x:v>
      </x:c>
      <x:c r="J219" s="27" t="n">
        <x:v>5</x:v>
      </x:c>
      <x:c r="K219" s="27" t="str">
        <x:v>夜間不可。岩場は滑りやすく、強風・高波時は避ける。</x:v>
      </x:c>
      <x:c r="L219" s="28" t="n">
        <x:v>46232</x:v>
      </x:c>
      <x:c r="M219" s="27" t="str">
        <x:v>当日再確認</x:v>
      </x:c>
      <x:c r="N219" s="27" t="str">
        <x:v>https://www.city.yokosuka.kanagawa.jp/5560/sisetu/fc00000433.html</x:v>
      </x:c>
      <x:c r="O219" s="27" t="str">
        <x:v>荒崎の複雑な岩礁は三浦半島の堆積岩が波に削られて生まれた海食地形である。</x:v>
      </x:c>
      <x:c r="P219" s="84" t="e">
        <x:f>HYPERLINK("https://ja.wikipedia.org/wiki/Special:Search?search=%E8%8D%92%E5%B4%8E%E5%85%AC%E5%9C%92","Wikipedia・関連項目")</x:f>
      </x:c>
      <x:c r="Q219" s="27"/>
    </x:row>
    <x:row r="220">
      <x:c r="A220" s="27" t="str">
        <x:v>D036</x:v>
      </x:c>
      <x:c r="B220" s="27" t="str">
        <x:v>衣笠山公園</x:v>
      </x:c>
      <x:c r="C220" s="27" t="str">
        <x:v>横須賀市・小矢部</x:v>
      </x:c>
      <x:c r="D220" s="27" t="str">
        <x:v>高台・桜・森</x:v>
      </x:c>
      <x:c r="E220" s="48" t="e">
        <x:f>HYPERLINK("https://www.google.com/maps/dir/?api=1&amp;destination=%E8%A1%A3%E7%AC%A0%E5%B1%B1%E5%85%AC%E5%9C%92&amp;travelmode=driving","現在地からナビ開始")</x:f>
      </x:c>
      <x:c r="F220" s="27" t="str">
        <x:v>横須賀市街を見下ろす森の高台で、短い山道の到達感がある。</x:v>
      </x:c>
      <x:c r="G220" s="27" t="str">
        <x:v>あり・小規模無料</x:v>
      </x:c>
      <x:c r="H220" s="27" t="str">
        <x:v>駐車場 8:30～17:00</x:v>
      </x:c>
      <x:c r="I220" s="27" t="n">
        <x:v>1</x:v>
      </x:c>
      <x:c r="J220" s="27" t="n">
        <x:v>5</x:v>
      </x:c>
      <x:c r="K220" s="27" t="str">
        <x:v>17時以降は翌日まで出庫不可。桜祭り期間は利用不可。</x:v>
      </x:c>
      <x:c r="L220" s="28" t="n">
        <x:v>46232</x:v>
      </x:c>
      <x:c r="M220" s="27" t="str">
        <x:v>一次確認済</x:v>
      </x:c>
      <x:c r="N220" s="27" t="str">
        <x:v>https://www.city.yokosuka.kanagawa.jp/5560/sisetu/fc00000432.html</x:v>
      </x:c>
      <x:c r="O220" s="27" t="str">
        <x:v>衣笠山公園は明治末期から桜の名所として整備され、『日本さくら名所100選』にも選ばれている。</x:v>
      </x:c>
      <x:c r="P220" s="84" t="e">
        <x:f>HYPERLINK("https://ja.wikipedia.org/wiki/Special:Search?search=%E8%A1%A3%E7%AC%A0%E5%B1%B1%E5%85%AC%E5%9C%92","Wikipedia・関連項目")</x:f>
      </x:c>
      <x:c r="Q220" s="27"/>
    </x:row>
    <x:row r="221">
      <x:c r="A221" s="27" t="str">
        <x:v>D079</x:v>
      </x:c>
      <x:c r="B221" s="27" t="str">
        <x:v>野山北・六道山公園</x:v>
      </x:c>
      <x:c r="C221" s="27" t="str">
        <x:v>武蔵村山市・瑞穂町</x:v>
      </x:c>
      <x:c r="D221" s="27" t="str">
        <x:v>丘陵・展望・里山</x:v>
      </x:c>
      <x:c r="E221" s="48" t="e">
        <x:f>HYPERLINK("https://www.google.com/maps/dir/?api=1&amp;destination=%E9%87%8E%E5%B1%B1%E5%8C%97%E3%83%BB%E5%85%AD%E9%81%93%E5%B1%B1%E5%85%AC%E5%9C%92&amp;travelmode=driving","現在地からナビ開始")</x:f>
      </x:c>
      <x:c r="F221" s="27" t="str">
        <x:v>狭山丘陵の尾根と里山景観があり、都市部から森へ抜ける到達感がある。</x:v>
      </x:c>
      <x:c r="G221" s="27" t="str">
        <x:v>あり・複数無料</x:v>
      </x:c>
      <x:c r="H221" s="27" t="str">
        <x:v>駐車場は区域別・夕方閉鎖</x:v>
      </x:c>
      <x:c r="I221" s="27" t="n">
        <x:v>1</x:v>
      </x:c>
      <x:c r="J221" s="27" t="n">
        <x:v>5</x:v>
      </x:c>
      <x:c r="K221" s="27" t="str">
        <x:v>夜間不可。駐車場ごとの閉鎖時刻と歩行距離を確認。</x:v>
      </x:c>
      <x:c r="L221" s="28" t="n">
        <x:v>46232</x:v>
      </x:c>
      <x:c r="M221" s="27" t="str">
        <x:v>当日再確認</x:v>
      </x:c>
      <x:c r="N221" s="27" t="str">
        <x:v>https://www.sayamaparks.com/noyama/</x:v>
      </x:c>
      <x:c r="O221" s="27" t="str">
        <x:v>野山北・六道山公園は狭山丘陵の里山を広く保全し、東京都立公園でも最大級の面積を持つ。</x:v>
      </x:c>
      <x:c r="P221" s="84" t="e">
        <x:f>HYPERLINK("https://ja.wikipedia.org/wiki/Special:Search?search=%E9%87%8E%E5%B1%B1%E5%8C%97%E3%83%BB%E5%85%AD%E9%81%93%E5%B1%B1%E5%85%AC%E5%9C%92","Wikipedia・関連項目")</x:f>
      </x:c>
      <x:c r="Q221" s="27"/>
    </x:row>
    <x:row r="222">
      <x:c r="A222" s="22" t="str">
        <x:v>D236</x:v>
      </x:c>
      <x:c r="B222" s="22" t="str">
        <x:v>ラディアン花の丘公園</x:v>
      </x:c>
      <x:c r="C222" s="22" t="str">
        <x:v>神奈川県二宮町</x:v>
      </x:c>
      <x:c r="D222" s="22" t="str">
        <x:v>花・果樹・小高台</x:v>
      </x:c>
      <x:c r="E222" s="22" t="e">
        <x:f>HYPERLINK("https://www.google.com/maps/dir/?api=1&amp;destination=%E3%83%A9%E3%83%87%E3%82%A3%E3%82%A2%E3%83%B3%E8%8A%B1%E3%81%AE%E4%B8%98%E5%85%AC%E5%9C%92&amp;travelmode=driving","現在地からナビ開始")</x:f>
      </x:c>
      <x:c r="F222" s="22" t="str">
        <x:v>果樹公園に隣接する小さな丘で、吾妻山ほど歩かず花と相模湾側の空気を楽しめる。</x:v>
      </x:c>
      <x:c r="G222" s="22" t="str">
        <x:v>あり・28台・無料</x:v>
      </x:c>
      <x:c r="H222" s="22" t="str">
        <x:v>8:30～17:00</x:v>
      </x:c>
      <x:c r="I222" s="22" t="n">
        <x:v>1</x:v>
      </x:c>
      <x:c r="J222" s="22" t="n">
        <x:v>4</x:v>
      </x:c>
      <x:c r="K222" s="22" t="str">
        <x:v>果樹公園の薬剤散布日は休園。公園利用以外の駐車禁止。台数が少なく満車時は通過。</x:v>
      </x:c>
      <x:c r="L222" s="23" t="n">
        <x:v>46232</x:v>
      </x:c>
      <x:c r="M222" s="22" t="str">
        <x:v>一次確認済</x:v>
      </x:c>
      <x:c r="N222" s="22" t="str">
        <x:v>https://www.town.ninomiya.kanagawa.jp/0000001268.html</x:v>
      </x:c>
      <x:c r="O222" s="22" t="str">
        <x:v>二宮町の生涯学習施設ラディアンと果樹公園に隣接し、地域の日常に近い花の丘として整備された。</x:v>
      </x:c>
      <x:c r="P222" s="22" t="e">
        <x:f>HYPERLINK("https://ja.wikipedia.org/wiki/Special:Search?search=%E3%83%A9%E3%83%87%E3%82%A3%E3%82%A2%E3%83%B3%E8%8A%B1%E3%81%AE%E4%B8%98%E5%85%AC%E5%9C%92","Wikipedia・関連項目")</x:f>
      </x:c>
      <x:c r="Q222" s="22" t="str">
        <x:v>新規追加。吾妻山混雑時の小規模代替候補。</x:v>
      </x:c>
    </x:row>
    <x:row r="223">
      <x:c r="A223" s="22" t="str">
        <x:v>D055</x:v>
      </x:c>
      <x:c r="B223" s="22" t="str">
        <x:v>七沢森林公園</x:v>
      </x:c>
      <x:c r="C223" s="22" t="str">
        <x:v>厚木市・七沢</x:v>
      </x:c>
      <x:c r="D223" s="22" t="str">
        <x:v>森林・丘陵・橋</x:v>
      </x:c>
      <x:c r="E223" s="22" t="e">
        <x:f>HYPERLINK("https://www.google.com/maps/dir/?api=1&amp;destination=%E4%B8%83%E6%B2%A2%E6%A3%AE%E6%9E%97%E5%85%AC%E5%9C%92&amp;travelmode=driving","現在地からナビ開始")</x:f>
      </x:c>
      <x:c r="F223" s="22" t="str">
        <x:v>都市圏から近いのに深い森と起伏があり、昼のリカバリー系Endingに向く。</x:v>
      </x:c>
      <x:c r="G223" s="22" t="str">
        <x:v>あり・複数</x:v>
      </x:c>
      <x:c r="H223" s="22" t="str">
        <x:v>3～11月 8:30～18:00／12～2月 8:30～17:00</x:v>
      </x:c>
      <x:c r="I223" s="22" t="n">
        <x:v>1</x:v>
      </x:c>
      <x:c r="J223" s="22" t="n">
        <x:v>4</x:v>
      </x:c>
      <x:c r="K223" s="22" t="str">
        <x:v>季節により有料。閉場後は出庫不可。夜間向けではない。</x:v>
      </x:c>
      <x:c r="L223" s="23" t="n">
        <x:v>46232</x:v>
      </x:c>
      <x:c r="M223" s="22" t="str">
        <x:v>一次確認済</x:v>
      </x:c>
      <x:c r="N223" s="22" t="str">
        <x:v>https://www.kanagawa-park.or.jp/nanasawa/access.html</x:v>
      </x:c>
      <x:c r="O223" s="22" t="str">
        <x:v>七沢森林公園の『森のかけはし』は谷を跨ぐ長大なアーチ橋で、公園の象徴になっている。</x:v>
      </x:c>
      <x:c r="P223" s="22" t="e">
        <x:f>HYPERLINK("https://ja.wikipedia.org/wiki/Special:Search?search=%E4%B8%83%E6%B2%A2%E6%A3%AE%E6%9E%97%E5%85%AC%E5%9C%92","Wikipedia・関連項目")</x:f>
      </x:c>
      <x:c r="Q223" s="22"/>
    </x:row>
    <x:row r="224">
      <x:c r="A224" s="22" t="str">
        <x:v>D216</x:v>
      </x:c>
      <x:c r="B224" s="22" t="str">
        <x:v>俣野別邸庭園</x:v>
      </x:c>
      <x:c r="C224" s="22" t="str">
        <x:v>横浜市・戸塚区</x:v>
      </x:c>
      <x:c r="D224" s="22" t="str">
        <x:v>洋館・庭園・昭和建築</x:v>
      </x:c>
      <x:c r="E224" s="22" t="e">
        <x:f>HYPERLINK("https://www.google.com/maps/dir/?api=1&amp;destination=%E4%BF%A3%E9%87%8E%E5%88%A5%E9%82%B8%E5%BA%AD%E5%9C%92&amp;travelmode=driving","現在地からナビ開始")</x:f>
      </x:c>
      <x:c r="F224" s="22" t="str">
        <x:v>昭和初期の和洋折衷住宅と芝庭を巡り、湘南・戸塚方面の走行を静かな建築体験で締められる。</x:v>
      </x:c>
      <x:c r="G224" s="22" t="str">
        <x:v>あり・有料・小規模</x:v>
      </x:c>
      <x:c r="H224" s="22" t="str">
        <x:v>通常9:00～17:00／7～8月は延長日程あり</x:v>
      </x:c>
      <x:c r="I224" s="22" t="n">
        <x:v>1</x:v>
      </x:c>
      <x:c r="J224" s="22" t="n">
        <x:v>4</x:v>
      </x:c>
      <x:c r="K224" s="22" t="str">
        <x:v>第3木曜・年末年始休園を基本に当日確認。駐車場も閉園時刻で終了。</x:v>
      </x:c>
      <x:c r="L224" s="23" t="n">
        <x:v>46232</x:v>
      </x:c>
      <x:c r="M224" s="22" t="str">
        <x:v>一次確認済</x:v>
      </x:c>
      <x:c r="N224" s="22" t="str">
        <x:v>https://www.hama-midorinokyokai.or.jp/park/matanobettei/</x:v>
      </x:c>
      <x:c r="O224" s="22" t="str">
        <x:v>1939年築の和洋折衷住宅を復元した横浜市認定歴史的建造物で、昭和の郊外別邸文化を伝える。</x:v>
      </x:c>
      <x:c r="P224" s="22" t="e">
        <x:f>HYPERLINK("https://ja.wikipedia.org/wiki/Special:Search?search=%E4%BF%A3%E9%87%8E%E5%88%A5%E9%82%B8%E5%BA%AD%E5%9C%92","Wikipedia・関連項目")</x:f>
      </x:c>
      <x:c r="Q224" s="22" t="str">
        <x:v>新規追加。庭園と建築を同時に味わう昼Ending。</x:v>
      </x:c>
    </x:row>
    <x:row r="225">
      <x:c r="A225" s="22" t="str">
        <x:v>D093</x:v>
      </x:c>
      <x:c r="B225" s="22" t="str">
        <x:v>八王子城跡</x:v>
      </x:c>
      <x:c r="C225" s="22" t="str">
        <x:v>八王子市・元八王子町</x:v>
      </x:c>
      <x:c r="D225" s="22" t="str">
        <x:v>城跡・山・歴史</x:v>
      </x:c>
      <x:c r="E225" s="22" t="e">
        <x:f>HYPERLINK("https://www.google.com/maps/dir/?api=1&amp;destination=%E5%85%AB%E7%8E%8B%E5%AD%90%E5%9F%8E%E8%B7%A1&amp;travelmode=driving","現在地からナビ開始")</x:f>
      </x:c>
      <x:c r="F225" s="22" t="str">
        <x:v>山城の地形と深い森があり、歴史を伴う昼の到達型Endingとして成立する。</x:v>
      </x:c>
      <x:c r="G225" s="22" t="str">
        <x:v>あり・無料</x:v>
      </x:c>
      <x:c r="H225" s="22" t="str">
        <x:v>駐車場 9:00～17:00</x:v>
      </x:c>
      <x:c r="I225" s="22" t="n">
        <x:v>1</x:v>
      </x:c>
      <x:c r="J225" s="22" t="n">
        <x:v>4</x:v>
      </x:c>
      <x:c r="K225" s="22" t="str">
        <x:v>夜間不可。山道・遺構で足元注意。年末年始の施設閉鎖を確認。</x:v>
      </x:c>
      <x:c r="L225" s="23" t="n">
        <x:v>46232</x:v>
      </x:c>
      <x:c r="M225" s="22" t="str">
        <x:v>一次確認済</x:v>
      </x:c>
      <x:c r="N225" s="22" t="str">
        <x:v>https://www.city.hachioji.tokyo.jp/kurashi/kyoiku/005/bunkazaikanrenshisetsu/p005201.html</x:v>
      </x:c>
      <x:c r="O225" s="22" t="str">
        <x:v>八王子城は北条氏照が築いた山城で、1590年の豊臣秀吉による小田原攻めの中で落城した。</x:v>
      </x:c>
      <x:c r="P225" s="22" t="e">
        <x:f>HYPERLINK("https://ja.wikipedia.org/wiki/Special:Search?search=%E5%85%AB%E7%8E%8B%E5%AD%90%E5%9F%8E%E8%B7%A1","Wikipedia・関連項目")</x:f>
      </x:c>
      <x:c r="Q225" s="22"/>
    </x:row>
    <x:row r="226">
      <x:c r="A226" s="22" t="str">
        <x:v>D180</x:v>
      </x:c>
      <x:c r="B226" s="22" t="str">
        <x:v>吉見百穴</x:v>
      </x:c>
      <x:c r="C226" s="22" t="str">
        <x:v>埼玉県吉見町</x:v>
      </x:c>
      <x:c r="D226" s="22" t="str">
        <x:v>古墳・岩窟・戦争遺構・Story</x:v>
      </x:c>
      <x:c r="E226" s="22" t="e">
        <x:f>HYPERLINK("https://www.google.com/maps/dir/?api=1&amp;destination=%E5%90%89%E8%A6%8B%E7%99%BE%E7%A9%B4&amp;travelmode=driving","現在地からナビ開始")</x:f>
      </x:c>
      <x:c r="F226" s="22" t="str">
        <x:v>岩壁に無数の横穴が並ぶ異様な景観と地下軍需工場跡があり、強烈な物語性を持つ昼Ending。</x:v>
      </x:c>
      <x:c r="G226" s="22" t="str">
        <x:v>あり・無料</x:v>
      </x:c>
      <x:c r="H226" s="22" t="str">
        <x:v>8:30～17:00中心、最終入場は公式確認</x:v>
      </x:c>
      <x:c r="I226" s="22" t="n">
        <x:v>1</x:v>
      </x:c>
      <x:c r="J226" s="22" t="n">
        <x:v>4</x:v>
      </x:c>
      <x:c r="K226" s="22" t="str">
        <x:v>夜間不可。坑道・横穴の立入範囲を守り、休館日・工事情報を当日確認。</x:v>
      </x:c>
      <x:c r="L226" s="23" t="n">
        <x:v>46232</x:v>
      </x:c>
      <x:c r="M226" s="22" t="str">
        <x:v>当日再確認</x:v>
      </x:c>
      <x:c r="N226" s="22" t="str">
        <x:v>https://www.town.yoshimi.saitama.jp/soshiki/shogaigakusyuka/2/909.html</x:v>
      </x:c>
      <x:c r="O226" s="22" t="str">
        <x:v>吉見百穴は古墳時代後期の横穴墓群で、戦時中には地下軍需工場として掘削された区域もある。</x:v>
      </x:c>
      <x:c r="P226" s="22" t="e">
        <x:f>HYPERLINK("https://ja.wikipedia.org/wiki/Special:Search?search=%E5%90%89%E8%A6%8B%E7%99%BE%E7%A9%B4","Wikipedia・関連項目")</x:f>
      </x:c>
      <x:c r="Q226" s="22"/>
    </x:row>
    <x:row r="227">
      <x:c r="A227" s="22" t="str">
        <x:v>D128</x:v>
      </x:c>
      <x:c r="B227" s="22" t="str">
        <x:v>城山湖散策路</x:v>
      </x:c>
      <x:c r="C227" s="22" t="str">
        <x:v>相模原市緑区</x:v>
      </x:c>
      <x:c r="D227" s="22" t="str">
        <x:v>湖・堤防・高台</x:v>
      </x:c>
      <x:c r="E227" s="22" t="e">
        <x:f>HYPERLINK("https://www.google.com/maps/dir/?api=1&amp;destination=%E5%9F%8E%E5%B1%B1%E6%B9%96%E6%95%A3%E7%AD%96%E8%B7%AF&amp;travelmode=driving","現在地からナビ開始")</x:f>
      </x:c>
      <x:c r="F227" s="22" t="str">
        <x:v>湖面、堤防、約200度の眺望があり、相模原西部の山道を走った末の明確なEndingになる。</x:v>
      </x:c>
      <x:c r="G227" s="22" t="str">
        <x:v>あり・約50台</x:v>
      </x:c>
      <x:c r="H227" s="22" t="str">
        <x:v>9:00～16:30</x:v>
      </x:c>
      <x:c r="I227" s="22" t="n">
        <x:v>1</x:v>
      </x:c>
      <x:c r="J227" s="22" t="n">
        <x:v>4</x:v>
      </x:c>
      <x:c r="K227" s="22" t="str">
        <x:v>ゲート閉鎖時刻厳守。夜間不可。散策路の再閉鎖・工事情報を当日確認。</x:v>
      </x:c>
      <x:c r="L227" s="23" t="n">
        <x:v>46232</x:v>
      </x:c>
      <x:c r="M227" s="22" t="str">
        <x:v>一次確認済</x:v>
      </x:c>
      <x:c r="N227" s="22" t="str">
        <x:v>https://www.city.sagamihara.kanagawa.jp/kurashi/shisetsu/kouen_kankou/kouen_ryokuchi/1003108.html</x:v>
      </x:c>
      <x:c r="O227" s="22" t="str">
        <x:v>城山湖は揚水式発電所の上池で、津久井湖を下池として夜間電力を蓄える巨大な蓄電池の役割を持つ。</x:v>
      </x:c>
      <x:c r="P227" s="22" t="e">
        <x:f>HYPERLINK("https://ja.wikipedia.org/wiki/Special:Search?search=%E5%9F%8E%E5%B1%B1%E6%B9%96%E6%95%A3%E7%AD%96%E8%B7%AF","Wikipedia・関連項目")</x:f>
      </x:c>
      <x:c r="Q227" s="22"/>
    </x:row>
    <x:row r="228">
      <x:c r="A228" s="22" t="str">
        <x:v>D239</x:v>
      </x:c>
      <x:c r="B228" s="22" t="str">
        <x:v>小山内裏公園</x:v>
      </x:c>
      <x:c r="C228" s="22" t="str">
        <x:v>東京都町田市</x:v>
      </x:c>
      <x:c r="D228" s="22" t="str">
        <x:v>多摩丘陵・戦車道路・尾根</x:v>
      </x:c>
      <x:c r="E228" s="22" t="e">
        <x:f>HYPERLINK("https://www.google.com/maps/dir/?api=1&amp;destination=%E5%B0%8F%E5%B1%B1%E5%86%85%E8%A3%8F%E5%85%AC%E5%9C%92&amp;travelmode=driving","現在地からナビ開始")</x:f>
      </x:c>
      <x:c r="F228" s="22" t="str">
        <x:v>尾根緑道と深い谷戸を歩き、旧軍用道路の直線と多摩丘陵の自然を同時に味わえる。</x:v>
      </x:c>
      <x:c r="G228" s="22" t="str">
        <x:v>あり・23台・無料</x:v>
      </x:c>
      <x:c r="H228" s="22" t="str">
        <x:v>9:00～17:00</x:v>
      </x:c>
      <x:c r="I228" s="22" t="n">
        <x:v>1</x:v>
      </x:c>
      <x:c r="J228" s="22" t="n">
        <x:v>4</x:v>
      </x:c>
      <x:c r="K228" s="22" t="str">
        <x:v>17時夜間閉鎖。台数が少なく路上待機禁止。工事・イベントによる一時閉鎖を当日確認。</x:v>
      </x:c>
      <x:c r="L228" s="23" t="n">
        <x:v>46232</x:v>
      </x:c>
      <x:c r="M228" s="22" t="str">
        <x:v>一次確認済</x:v>
      </x:c>
      <x:c r="N228" s="22" t="str">
        <x:v>https://www.tokyo-park.or.jp/park/oyamadairi/index.html</x:v>
      </x:c>
      <x:c r="O228" s="22" t="str">
        <x:v>園内を通る尾根緑道は、戦時中に戦車の走行試験道路として使われ『戦車道路』と呼ばれた。</x:v>
      </x:c>
      <x:c r="P228" s="22" t="e">
        <x:f>HYPERLINK("https://ja.wikipedia.org/wiki/Special:Search?search=%E5%B0%8F%E5%B1%B1%E5%86%85%E8%A3%8F%E5%85%AC%E5%9C%92","Wikipedia・関連項目")</x:f>
      </x:c>
      <x:c r="Q228" s="22" t="str">
        <x:v>新規追加。軍事インフラが緑道へ転換したStory Layer。</x:v>
      </x:c>
    </x:row>
    <x:row r="229">
      <x:c r="A229" s="22" t="str">
        <x:v>D140</x:v>
      </x:c>
      <x:c r="B229" s="22" t="str">
        <x:v>山北つぶらの公園</x:v>
      </x:c>
      <x:c r="C229" s="22" t="str">
        <x:v>神奈川県山北町</x:v>
      </x:c>
      <x:c r="D229" s="22" t="str">
        <x:v>高台・富士山・丹沢</x:v>
      </x:c>
      <x:c r="E229" s="22" t="e">
        <x:f>HYPERLINK("https://www.google.com/maps/dir/?api=1&amp;destination=%E5%B1%B1%E5%8C%97%E3%81%A4%E3%81%B6%E3%82%89%E3%81%AE%E5%85%AC%E5%9C%92&amp;travelmode=driving","現在地からナビ開始")</x:f>
      </x:c>
      <x:c r="F229" s="22" t="str">
        <x:v>丹沢・富士山・足柄平野を望む高台で、70km圏西端の特別な昼Endingになる。</x:v>
      </x:c>
      <x:c r="G229" s="22" t="str">
        <x:v>あり・乗用車65台ほか</x:v>
      </x:c>
      <x:c r="H229" s="22" t="str">
        <x:v>8:30～17:00／夏休み期間の土日は18:00まで</x:v>
      </x:c>
      <x:c r="I229" s="22" t="n">
        <x:v>1</x:v>
      </x:c>
      <x:c r="J229" s="22" t="n">
        <x:v>4</x:v>
      </x:c>
      <x:c r="K229" s="22" t="str">
        <x:v>アクセス路の鋭角交差点と山道に注意。夜間不可、閉場前に余裕を持って退出。</x:v>
      </x:c>
      <x:c r="L229" s="23" t="n">
        <x:v>46232</x:v>
      </x:c>
      <x:c r="M229" s="22" t="str">
        <x:v>一次確認済</x:v>
      </x:c>
      <x:c r="N229" s="22" t="str">
        <x:v>https://www.kanagawa-park.or.jp/tsuburano/access.html</x:v>
      </x:c>
      <x:c r="O229" s="22" t="str">
        <x:v>山北町は東海道本線の旧線・現在の御殿場線の鉄道拠点として発展し、丹沢・富士山への玄関口となった。</x:v>
      </x:c>
      <x:c r="P229" s="22" t="e">
        <x:f>HYPERLINK("https://ja.wikipedia.org/wiki/Special:Search?search=%E5%B1%B1%E5%8C%97%E3%81%A4%E3%81%B6%E3%82%89%E3%81%AE%E5%85%AC%E5%9C%92","Wikipedia・関連項目")</x:f>
      </x:c>
      <x:c r="Q229" s="22"/>
    </x:row>
    <x:row r="230">
      <x:c r="A230" s="22" t="str">
        <x:v>D095</x:v>
      </x:c>
      <x:c r="B230" s="22" t="str">
        <x:v>払沢の滝</x:v>
      </x:c>
      <x:c r="C230" s="22" t="str">
        <x:v>檜原村・本宿</x:v>
      </x:c>
      <x:c r="D230" s="22" t="str">
        <x:v>滝・森林・行き止まり</x:v>
      </x:c>
      <x:c r="E230" s="22" t="e">
        <x:f>HYPERLINK("https://www.google.com/maps/dir/?api=1&amp;destination=%E6%89%95%E6%B2%A2%E3%81%AE%E6%BB%9D&amp;travelmode=driving","現在地からナビ開始")</x:f>
      </x:c>
      <x:c r="F230" s="22" t="str">
        <x:v>駐車場から森を歩き、東京唯一の日本の滝百選へ到達する明確な終着体験がある。</x:v>
      </x:c>
      <x:c r="G230" s="22" t="str">
        <x:v>あり・約28台・無料</x:v>
      </x:c>
      <x:c r="H230" s="22" t="str">
        <x:v>駐車場時間の明記なし／昼間利用推奨</x:v>
      </x:c>
      <x:c r="I230" s="22" t="n">
        <x:v>1</x:v>
      </x:c>
      <x:c r="J230" s="22" t="n">
        <x:v>4</x:v>
      </x:c>
      <x:c r="K230" s="22" t="str">
        <x:v>徒歩約15分。夜間・凍結・大雨時は不向き。繁忙期は早朝から満車。</x:v>
      </x:c>
      <x:c r="L230" s="23" t="n">
        <x:v>46232</x:v>
      </x:c>
      <x:c r="M230" s="22" t="str">
        <x:v>当日再確認</x:v>
      </x:c>
      <x:c r="N230" s="22" t="str">
        <x:v>https://www.vill.hinohara.tokyo.jp/0000000023.html</x:v>
      </x:c>
      <x:c r="O230" s="22" t="str">
        <x:v>払沢の滝は東京都で唯一『日本の滝百選』に選ばれた滝で、冬には氷瀑となることがある。</x:v>
      </x:c>
      <x:c r="P230" s="22" t="e">
        <x:f>HYPERLINK("https://ja.wikipedia.org/wiki/Special:Search?search=%E6%89%95%E6%B2%A2%E3%81%AE%E6%BB%9D","Wikipedia・関連項目")</x:f>
      </x:c>
      <x:c r="Q230" s="22"/>
    </x:row>
    <x:row r="231">
      <x:c r="A231" s="22" t="str">
        <x:v>D024</x:v>
      </x:c>
      <x:c r="B231" s="22" t="str">
        <x:v>東京港野鳥公園</x:v>
      </x:c>
      <x:c r="C231" s="22" t="str">
        <x:v>大田区・東海</x:v>
      </x:c>
      <x:c r="D231" s="22" t="str">
        <x:v>自然・水辺</x:v>
      </x:c>
      <x:c r="E231" s="22" t="e">
        <x:f>HYPERLINK("https://www.google.com/maps/dir/?api=1&amp;destination=%E6%9D%B1%E4%BA%AC%E6%B8%AF%E9%87%8E%E9%B3%A5%E5%85%AC%E5%9C%92&amp;travelmode=driving","現在地からナビ開始")</x:f>
      </x:c>
      <x:c r="F231" s="22" t="str">
        <x:v>物流・空港エリアの中に湿地が残り、昼の静かな終点になる。</x:v>
      </x:c>
      <x:c r="G231" s="22" t="str">
        <x:v>あり・無料</x:v>
      </x:c>
      <x:c r="H231" s="22" t="str">
        <x:v>開園 9:00～17:00前後</x:v>
      </x:c>
      <x:c r="I231" s="22" t="n">
        <x:v>1</x:v>
      </x:c>
      <x:c r="J231" s="22" t="n">
        <x:v>4</x:v>
      </x:c>
      <x:c r="K231" s="22" t="str">
        <x:v>休園日を確認。夕方以降は使用不可。</x:v>
      </x:c>
      <x:c r="L231" s="23" t="n">
        <x:v>46232</x:v>
      </x:c>
      <x:c r="M231" s="22" t="str">
        <x:v>当日再確認</x:v>
      </x:c>
      <x:c r="N231" s="22" t="str">
        <x:v>https://www.tptc.co.jp/park/03_08</x:v>
      </x:c>
      <x:c r="O231" s="22" t="str">
        <x:v>東京港野鳥公園は埋立地に自然発生した池や湿地へ鳥が集まったことから、その環境を保全して公園化された。</x:v>
      </x:c>
      <x:c r="P231" s="22" t="e">
        <x:f>HYPERLINK("https://ja.wikipedia.org/wiki/Special:Search?search=%E6%9D%B1%E4%BA%AC%E6%B8%AF%E9%87%8E%E9%B3%A5%E5%85%AC%E5%9C%92","Wikipedia・関連項目")</x:f>
      </x:c>
      <x:c r="Q231" s="22"/>
    </x:row>
    <x:row r="232">
      <x:c r="A232" s="22" t="str">
        <x:v>D248</x:v>
      </x:c>
      <x:c r="B232" s="22" t="str">
        <x:v>池上梅園</x:v>
      </x:c>
      <x:c r="C232" s="22" t="str">
        <x:v>大田区・池上</x:v>
      </x:c>
      <x:c r="D232" s="22" t="str">
        <x:v>日本庭園・梅・茶室Story</x:v>
      </x:c>
      <x:c r="E232" s="22" t="e">
        <x:f>HYPERLINK("https://www.google.com/maps/dir/?api=1&amp;destination=%E6%B1%A0%E4%B8%8A%E6%A2%85%E5%9C%92&amp;travelmode=driving","現在地からナビ開始")</x:f>
      </x:c>
      <x:c r="F232" s="22" t="str">
        <x:v>丘陵斜面を使った小さな庭園で、短時間でも季節と静けさを得られる。近距離の昼Endingとして密度が高い。</x:v>
      </x:c>
      <x:c r="G232" s="22" t="str">
        <x:v>あり・一般6台＋身障者1台・30分100円</x:v>
      </x:c>
      <x:c r="H232" s="22" t="str">
        <x:v>9:00～16:30／入園16:00まで</x:v>
      </x:c>
      <x:c r="I232" s="22" t="n">
        <x:v>1</x:v>
      </x:c>
      <x:c r="J232" s="22" t="n">
        <x:v>4</x:v>
      </x:c>
      <x:c r="K232" s="22" t="str">
        <x:v>梅見頃の2月・3月上旬の土日祝は駐車場利用不可。月曜休園期あり。</x:v>
      </x:c>
      <x:c r="L232" s="23" t="n">
        <x:v>46232</x:v>
      </x:c>
      <x:c r="M232" s="22" t="str">
        <x:v>一次確認済</x:v>
      </x:c>
      <x:c r="N232" s="22" t="str">
        <x:v>https://www.city.ota.tokyo.jp/shisetsu/park/ikegamibaien.html</x:v>
      </x:c>
      <x:c r="O232" s="22" t="str">
        <x:v>園内の聴雨庵は、戦時中に東条内閣打倒の密議が行われたとされる茶室を移築したもの。</x:v>
      </x:c>
      <x:c r="P232" s="22" t="e">
        <x:f>HYPERLINK("https://ja.wikipedia.org/wiki/Special:Search?search=%E6%B1%A0%E4%B8%8A%E6%A2%85%E5%9C%92","Wikipedia・関連項目")</x:f>
      </x:c>
      <x:c r="Q232" s="22" t="str">
        <x:v>近距離コア新規追加</x:v>
      </x:c>
    </x:row>
    <x:row r="233">
      <x:c r="A233" s="22" t="str">
        <x:v>D074</x:v>
      </x:c>
      <x:c r="B233" s="22" t="str">
        <x:v>泉自然公園</x:v>
      </x:c>
      <x:c r="C233" s="22" t="str">
        <x:v>千葉市・若葉区</x:v>
      </x:c>
      <x:c r="D233" s="22" t="str">
        <x:v>森林・池・谷津</x:v>
      </x:c>
      <x:c r="E233" s="22" t="e">
        <x:f>HYPERLINK("https://www.google.com/maps/dir/?api=1&amp;destination=%E6%B3%89%E8%87%AA%E7%84%B6%E5%85%AC%E5%9C%92&amp;travelmode=driving","現在地からナビ開始")</x:f>
      </x:c>
      <x:c r="F233" s="22" t="str">
        <x:v>池と谷津地形、深い森があり、都市圏から自然へ切り替わる終点になる。</x:v>
      </x:c>
      <x:c r="G233" s="22" t="str">
        <x:v>あり・有料</x:v>
      </x:c>
      <x:c r="H233" s="22" t="str">
        <x:v>駐車場利用時間は公式案内で当日確認</x:v>
      </x:c>
      <x:c r="I233" s="22" t="n">
        <x:v>1</x:v>
      </x:c>
      <x:c r="J233" s="22" t="n">
        <x:v>4</x:v>
      </x:c>
      <x:c r="K233" s="22" t="str">
        <x:v>夜間不可。季節によって虫・落枝・ぬかるみに注意。</x:v>
      </x:c>
      <x:c r="L233" s="23" t="n">
        <x:v>46232</x:v>
      </x:c>
      <x:c r="M233" s="22" t="str">
        <x:v>当日再確認</x:v>
      </x:c>
      <x:c r="N233" s="22" t="str">
        <x:v>https://izumi-park.city.chiba.jp/</x:v>
      </x:c>
      <x:c r="O233" s="22" t="str">
        <x:v>泉自然公園には湧水で刻まれた『谷津』地形が残り、台地と湿地が近接する房総らしい環境を見られる。</x:v>
      </x:c>
      <x:c r="P233" s="22" t="e">
        <x:f>HYPERLINK("https://ja.wikipedia.org/wiki/Special:Search?search=%E6%B3%89%E8%87%AA%E7%84%B6%E5%85%AC%E5%9C%92","Wikipedia・関連項目")</x:f>
      </x:c>
      <x:c r="Q233" s="22"/>
    </x:row>
    <x:row r="234">
      <x:c r="A234" s="22" t="str">
        <x:v>D176</x:v>
      </x:c>
      <x:c r="B234" s="22" t="str">
        <x:v>泉自然公園</x:v>
      </x:c>
      <x:c r="C234" s="22" t="str">
        <x:v>千葉市・若葉区</x:v>
      </x:c>
      <x:c r="D234" s="22" t="str">
        <x:v>森林・池・吊橋・谷津</x:v>
      </x:c>
      <x:c r="E234" s="22" t="e">
        <x:f>HYPERLINK("https://www.google.com/maps/dir/?api=1&amp;destination=%E6%B3%89%E8%87%AA%E7%84%B6%E5%85%AC%E5%9C%92&amp;travelmode=driving","現在地からナビ開始")</x:f>
      </x:c>
      <x:c r="F234" s="22" t="str">
        <x:v>深い森と池、吊橋がまとまり、千葉東部で完全に都市の景色を切れる昼のEnding。</x:v>
      </x:c>
      <x:c r="G234" s="22" t="str">
        <x:v>あり・普通車400円</x:v>
      </x:c>
      <x:c r="H234" s="22" t="str">
        <x:v>4～9月8:30～17:00／10～3月8:30～16:30</x:v>
      </x:c>
      <x:c r="I234" s="22" t="n">
        <x:v>1</x:v>
      </x:c>
      <x:c r="J234" s="22" t="n">
        <x:v>4</x:v>
      </x:c>
      <x:c r="K234" s="22" t="str">
        <x:v>入場は閉園30分前まで。桜・紅葉期は満車、路上駐車禁止。</x:v>
      </x:c>
      <x:c r="L234" s="23" t="n">
        <x:v>46232</x:v>
      </x:c>
      <x:c r="M234" s="22" t="str">
        <x:v>一次確認済</x:v>
      </x:c>
      <x:c r="N234" s="22" t="str">
        <x:v>https://izumi-park.city.chiba.jp/access.php</x:v>
      </x:c>
      <x:c r="O234" s="22" t="str">
        <x:v>泉自然公園は下総台地の谷津地形を保全し、草原・湿地・樹林が近距離で切り替わる。</x:v>
      </x:c>
      <x:c r="P234" s="22" t="e">
        <x:f>HYPERLINK("https://ja.wikipedia.org/wiki/Special:Search?search=%E6%B3%89%E8%87%AA%E7%84%B6%E5%85%AC%E5%9C%92","Wikipedia・関連項目")</x:f>
      </x:c>
      <x:c r="Q234" s="22"/>
    </x:row>
    <x:row r="235">
      <x:c r="A235" s="22" t="str">
        <x:v>D213</x:v>
      </x:c>
      <x:c r="B235" s="22" t="str">
        <x:v>滝山城跡</x:v>
      </x:c>
      <x:c r="C235" s="22" t="str">
        <x:v>八王子市・丹木町</x:v>
      </x:c>
      <x:c r="D235" s="22" t="str">
        <x:v>山城・堀・城址</x:v>
      </x:c>
      <x:c r="E235" s="22" t="e">
        <x:f>HYPERLINK("https://www.google.com/maps/dir/?api=1&amp;destination=%E6%BB%9D%E5%B1%B1%E5%9F%8E%E8%B7%A1&amp;travelmode=driving","現在地からナビ開始")</x:f>
      </x:c>
      <x:c r="F235" s="22" t="str">
        <x:v>深い空堀と土塁を歩き、北条氏照の山城防御を地形で理解できる到達型Ending。</x:v>
      </x:c>
      <x:c r="G235" s="22" t="str">
        <x:v>あり・29台・無料</x:v>
      </x:c>
      <x:c r="H235" s="22" t="str">
        <x:v>駐車場8:00～18:00／11～2月は16:00閉場</x:v>
      </x:c>
      <x:c r="I235" s="22" t="n">
        <x:v>1</x:v>
      </x:c>
      <x:c r="J235" s="22" t="n">
        <x:v>4</x:v>
      </x:c>
      <x:c r="K235" s="22" t="str">
        <x:v>閉場後は出庫不可。桜期は満車。城跡まで徒歩と高低差あり。</x:v>
      </x:c>
      <x:c r="L235" s="23" t="n">
        <x:v>46232</x:v>
      </x:c>
      <x:c r="M235" s="22" t="str">
        <x:v>一次確認済</x:v>
      </x:c>
      <x:c r="N235" s="22" t="str">
        <x:v>https://www.city.hachioji.tokyo.jp/shisetsu/011/p011767.html</x:v>
      </x:c>
      <x:c r="O235" s="22" t="str">
        <x:v>北条氏照の居城で、武田信玄の攻撃を受けた後に八王子城へ本拠が移されたとされる山城。</x:v>
      </x:c>
      <x:c r="P235" s="22" t="e">
        <x:f>HYPERLINK("https://ja.wikipedia.org/wiki/Special:Search?search=%E6%BB%9D%E5%B1%B1%E5%9F%8E%E8%B7%A1","Wikipedia・関連項目")</x:f>
      </x:c>
      <x:c r="Q235" s="22" t="str">
        <x:v>新規追加。八王子城とは異なる『土の城』の見え方を評価。</x:v>
      </x:c>
    </x:row>
    <x:row r="236">
      <x:c r="A236" s="22" t="str">
        <x:v>D127</x:v>
      </x:c>
      <x:c r="B236" s="22" t="str">
        <x:v>県立座間谷戸山公園</x:v>
      </x:c>
      <x:c r="C236" s="22" t="str">
        <x:v>神奈川県座間市</x:v>
      </x:c>
      <x:c r="D236" s="22" t="str">
        <x:v>里山・谷戸・池</x:v>
      </x:c>
      <x:c r="E236" s="22" t="e">
        <x:f>HYPERLINK("https://www.google.com/maps/dir/?api=1&amp;destination=%E7%9C%8C%E7%AB%8B%E5%BA%A7%E9%96%93%E8%B0%B7%E6%88%B8%E5%B1%B1%E5%85%AC%E5%9C%92&amp;travelmode=driving","現在地からナビ開始")</x:f>
      </x:c>
      <x:c r="F236" s="22" t="str">
        <x:v>山・谷戸・里の3ゾーンが残り、厚木基地周辺の航空機系Sessionと自然系Endingを両立できる。</x:v>
      </x:c>
      <x:c r="G236" s="22" t="str">
        <x:v>あり・146台</x:v>
      </x:c>
      <x:c r="H236" s="22" t="str">
        <x:v>4～10月 7:00～18:00／11～3月 7:00～17:00</x:v>
      </x:c>
      <x:c r="I236" s="22" t="n">
        <x:v>1</x:v>
      </x:c>
      <x:c r="J236" s="22" t="n">
        <x:v>4</x:v>
      </x:c>
      <x:c r="K236" s="22" t="str">
        <x:v>夜間不向き。園路は自然度が高く、雨後の泥・虫・閉門時間に注意。</x:v>
      </x:c>
      <x:c r="L236" s="23" t="n">
        <x:v>46232</x:v>
      </x:c>
      <x:c r="M236" s="22" t="str">
        <x:v>一次確認済</x:v>
      </x:c>
      <x:c r="N236" s="22" t="str">
        <x:v>https://www.city.zama.kanagawa.jp/bunkasports/kouen/kouen/1003344.html</x:v>
      </x:c>
      <x:c r="O236" s="22" t="str">
        <x:v>座間谷戸山公園は谷戸・雑木林・湿地を丸ごと残す『自然生態観察公園』として整備された。</x:v>
      </x:c>
      <x:c r="P236" s="22" t="e">
        <x:f>HYPERLINK("https://ja.wikipedia.org/wiki/Special:Search?search=%E7%9C%8C%E7%AB%8B%E5%BA%A7%E9%96%93%E8%B0%B7%E6%88%B8%E5%B1%B1%E5%85%AC%E5%9C%92","Wikipedia・関連項目")</x:f>
      </x:c>
      <x:c r="Q236" s="22"/>
    </x:row>
    <x:row r="237">
      <x:c r="A237" s="22" t="str">
        <x:v>D218</x:v>
      </x:c>
      <x:c r="B237" s="22" t="str">
        <x:v>県立相模三川公園</x:v>
      </x:c>
      <x:c r="C237" s="22" t="str">
        <x:v>海老名市・上郷</x:v>
      </x:c>
      <x:c r="D237" s="22" t="str">
        <x:v>河川敷・三河川・桜</x:v>
      </x:c>
      <x:c r="E237" s="22" t="e">
        <x:f>HYPERLINK("https://www.google.com/maps/dir/?api=1&amp;destination=%E7%9C%8C%E7%AB%8B%E7%9B%B8%E6%A8%A1%E4%B8%89%E5%B7%9D%E5%85%AC%E5%9C%92&amp;travelmode=driving","現在地からナビ開始")</x:f>
      </x:c>
      <x:c r="F237" s="22" t="str">
        <x:v>相模川、中津川、小鮎川の水系が集まる広い河川景観で、空の広さと丹沢方面の山並みを味わえる。</x:v>
      </x:c>
      <x:c r="G237" s="22" t="str">
        <x:v>あり・公園駐車場</x:v>
      </x:c>
      <x:c r="H237" s="22" t="str">
        <x:v>8:30～17:00</x:v>
      </x:c>
      <x:c r="I237" s="22" t="n">
        <x:v>1</x:v>
      </x:c>
      <x:c r="J237" s="22" t="n">
        <x:v>4</x:v>
      </x:c>
      <x:c r="K237" s="22" t="str">
        <x:v>河川増水・荒天時は閉鎖あり。大型車不可。臨時駐車場は混雑時のみ。</x:v>
      </x:c>
      <x:c r="L237" s="23" t="n">
        <x:v>46232</x:v>
      </x:c>
      <x:c r="M237" s="22" t="str">
        <x:v>一次確認済</x:v>
      </x:c>
      <x:c r="N237" s="22" t="str">
        <x:v>https://www.kanagawa-park.or.jp/sagamisansen/access.html</x:v>
      </x:c>
      <x:c r="O237" s="22" t="str">
        <x:v>県立都市公園として初めて河川区域内に整備された公園で、『三川』は相模川・中津川・小鮎川を指す。</x:v>
      </x:c>
      <x:c r="P237" s="22" t="e">
        <x:f>HYPERLINK("https://ja.wikipedia.org/wiki/Special:Search?search=%E7%9C%8C%E7%AB%8B%E7%9B%B8%E6%A8%A1%E4%B8%89%E5%B7%9D%E5%85%AC%E5%9C%92","Wikipedia・関連項目")</x:f>
      </x:c>
      <x:c r="Q237" s="22" t="str">
        <x:v>新規追加。河川地形と公園制度のStoryを評価。</x:v>
      </x:c>
    </x:row>
    <x:row r="238">
      <x:c r="A238" s="22" t="str">
        <x:v>D100</x:v>
      </x:c>
      <x:c r="B238" s="22" t="str">
        <x:v>石垣山一夜城歴史公園</x:v>
      </x:c>
      <x:c r="C238" s="22" t="str">
        <x:v>小田原市・早川</x:v>
      </x:c>
      <x:c r="D238" s="22" t="str">
        <x:v>城跡・高台・相模湾</x:v>
      </x:c>
      <x:c r="E238" s="22" t="e">
        <x:f>HYPERLINK("https://www.google.com/maps/dir/?api=1&amp;destination=%E7%9F%B3%E5%9E%A3%E5%B1%B1%E4%B8%80%E5%A4%9C%E5%9F%8E%E6%AD%B4%E5%8F%B2%E5%85%AC%E5%9C%92&amp;travelmode=driving","現在地からナビ開始")</x:f>
      </x:c>
      <x:c r="F238" s="22" t="str">
        <x:v>相模湾と小田原市街を見下ろす歴史的高台で、遠出した日の強い昼Endingになる。</x:v>
      </x:c>
      <x:c r="G238" s="22" t="str">
        <x:v>あり・無料</x:v>
      </x:c>
      <x:c r="H238" s="22" t="str">
        <x:v>駐車場・公園利用時間は当日現地掲示を確認</x:v>
      </x:c>
      <x:c r="I238" s="22" t="n">
        <x:v>1</x:v>
      </x:c>
      <x:c r="J238" s="22" t="n">
        <x:v>4</x:v>
      </x:c>
      <x:c r="K238" s="22" t="str">
        <x:v>農道が狭い区間あり。冬季凍結、イベント時の混雑、営業時間外の進入に注意。</x:v>
      </x:c>
      <x:c r="L238" s="23" t="n">
        <x:v>46232</x:v>
      </x:c>
      <x:c r="M238" s="22" t="str">
        <x:v>当日再確認</x:v>
      </x:c>
      <x:c r="N238" s="22" t="str">
        <x:v>https://www.city.odawara.kanagawa.jp/kanko/spot/ishigakiyama.html</x:v>
      </x:c>
      <x:c r="O238" s="22" t="str">
        <x:v>石垣山城は豊臣秀吉が小田原攻めの際に築き、周囲の木を一斉に伐って突然城が現れたように見せたため『一夜城』と呼ばれる。</x:v>
      </x:c>
      <x:c r="P238" s="22" t="e">
        <x:f>HYPERLINK("https://ja.wikipedia.org/wiki/Special:Search?search=%E7%9F%B3%E5%9E%A3%E5%B1%B1%E4%B8%80%E5%A4%9C%E5%9F%8E%E6%AD%B4%E5%8F%B2%E5%85%AC%E5%9C%92","Wikipedia・関連項目")</x:f>
      </x:c>
      <x:c r="Q238" s="22"/>
    </x:row>
    <x:row r="239">
      <x:c r="A239" s="22" t="str">
        <x:v>D189</x:v>
      </x:c>
      <x:c r="B239" s="22" t="str">
        <x:v>葉山しおさい公園</x:v>
      </x:c>
      <x:c r="C239" s="22" t="str">
        <x:v>葉山町・一色</x:v>
      </x:c>
      <x:c r="D239" s="22" t="str">
        <x:v>日本庭園・御用邸史・博物館</x:v>
      </x:c>
      <x:c r="E239" s="22" t="e">
        <x:f>HYPERLINK("https://www.google.com/maps/dir/?api=1&amp;destination=%E8%91%89%E5%B1%B1%E3%81%97%E3%81%8A%E3%81%95%E3%81%84%E5%85%AC%E5%9C%92&amp;travelmode=driving","現在地からナビ開始")</x:f>
      </x:c>
      <x:c r="F239" s="22" t="str">
        <x:v>日本庭園、茶室、海の生物を扱う博物館があり、葉山の海辺文化を静かに掘り下げる昼Ending。</x:v>
      </x:c>
      <x:c r="G239" s="22" t="str">
        <x:v>あり・20台・見学者専用</x:v>
      </x:c>
      <x:c r="H239" s="22" t="str">
        <x:v>8:30～17:00、入園16:30まで</x:v>
      </x:c>
      <x:c r="I239" s="22" t="n">
        <x:v>1</x:v>
      </x:c>
      <x:c r="J239" s="22" t="n">
        <x:v>4</x:v>
      </x:c>
      <x:c r="K239" s="22" t="str">
        <x:v>月曜・祝日の翌日・年末年始休園。駐車台数が少なく、園内見学中のみ利用可能。</x:v>
      </x:c>
      <x:c r="L239" s="23" t="n">
        <x:v>46232</x:v>
      </x:c>
      <x:c r="M239" s="22" t="str">
        <x:v>一次確認済</x:v>
      </x:c>
      <x:c r="N239" s="22" t="str">
        <x:v>https://www.town.hayama.lg.jp/soshiki/shougaigakushuu/shakaikyouikushisetsu/10344.html</x:v>
      </x:c>
      <x:c r="O239" s="22" t="str">
        <x:v>公園は旧葉山御用邸付属邸跡を整備したもので、博物館入口には旧付属邸の御車寄せが移築されている。</x:v>
      </x:c>
      <x:c r="P239" s="22" t="e">
        <x:f>HYPERLINK("https://ja.wikipedia.org/wiki/Special:Search?search=%E8%91%89%E5%B1%B1%E3%81%97%E3%81%8A%E3%81%95%E3%81%84%E5%85%AC%E5%9C%92","Wikipedia・関連項目")</x:f>
      </x:c>
      <x:c r="Q239" s="22" t="str">
        <x:v>新規追加。駐車場を目的外利用しない条件付き採用。</x:v>
      </x:c>
    </x:row>
    <x:row r="240">
      <x:c r="A240" s="22" t="str">
        <x:v>D017</x:v>
      </x:c>
      <x:c r="B240" s="22" t="str">
        <x:v>走水水源地公園</x:v>
      </x:c>
      <x:c r="C240" s="22" t="str">
        <x:v>横須賀市・走水</x:v>
      </x:c>
      <x:c r="D240" s="22" t="str">
        <x:v>海・船・静かな休憩</x:v>
      </x:c>
      <x:c r="E240" s="22" t="e">
        <x:f>HYPERLINK("https://www.google.com/maps/dir/?api=1&amp;destination=%E8%B5%B0%E6%B0%B4%E6%B0%B4%E6%BA%90%E5%9C%B0%E5%85%AC%E5%9C%92&amp;travelmode=driving","現在地からナビ開始")</x:f>
      </x:c>
      <x:c r="F240" s="22" t="str">
        <x:v>対岸と大型船を横方向に眺める、落ち着いた海辺の夕方Ending。</x:v>
      </x:c>
      <x:c r="G240" s="22" t="str">
        <x:v>あり</x:v>
      </x:c>
      <x:c r="H240" s="22" t="str">
        <x:v>入庫 7:00～20:00／出庫 5:00～21:00</x:v>
      </x:c>
      <x:c r="I240" s="22" t="n">
        <x:v>1</x:v>
      </x:c>
      <x:c r="J240" s="22" t="n">
        <x:v>4</x:v>
      </x:c>
      <x:c r="K240" s="22" t="str">
        <x:v>夜間利用不可。生活道路への進入を避ける。</x:v>
      </x:c>
      <x:c r="L240" s="23" t="n">
        <x:v>46232</x:v>
      </x:c>
      <x:c r="M240" s="22" t="str">
        <x:v>一次確認済</x:v>
      </x:c>
      <x:c r="N240" s="22" t="str">
        <x:v>https://www.city.yokosuka.kanagawa.jp/5560/sisetu/hashirimizusuigenchi.html</x:v>
      </x:c>
      <x:c r="O240" s="22" t="str">
        <x:v>走水の湧水は明治期に横須賀軍港へ水を送る水道の水源となり、軍港都市の発展を支えた。</x:v>
      </x:c>
      <x:c r="P240" s="22" t="e">
        <x:f>HYPERLINK("https://ja.wikipedia.org/wiki/Special:Search?search=%E8%B5%B0%E6%B0%B4%E6%B0%B4%E6%BA%90%E5%9C%B0%E5%85%AC%E5%9C%92","Wikipedia・関連項目")</x:f>
      </x:c>
      <x:c r="Q240" s="22"/>
    </x:row>
    <x:row r="241">
      <x:c r="A241" s="22" t="str">
        <x:v>D182</x:v>
      </x:c>
      <x:c r="B241" s="22" t="str">
        <x:v>香澄公園</x:v>
      </x:c>
      <x:c r="C241" s="22" t="str">
        <x:v>習志野市・香澄</x:v>
      </x:c>
      <x:c r="D241" s="22" t="str">
        <x:v>緑道・菖蒲池・緩衝緑地</x:v>
      </x:c>
      <x:c r="E241" s="22" t="e">
        <x:f>HYPERLINK("https://www.google.com/maps/dir/?api=1&amp;destination=%E9%A6%99%E6%BE%84%E5%85%AC%E5%9C%92&amp;travelmode=driving","現在地からナビ開始")</x:f>
      </x:c>
      <x:c r="F241" s="22" t="str">
        <x:v>細長い緑地に池、樹林、起伏が連続し、湾岸道路の人工景観から緑へ切り替える経由地・昼Endingになる。</x:v>
      </x:c>
      <x:c r="G241" s="22" t="str">
        <x:v>あり・75台・無料</x:v>
      </x:c>
      <x:c r="H241" s="22" t="str">
        <x:v>3～7/18・9月 9:00～17:30／夏 19:30／冬 17:00</x:v>
      </x:c>
      <x:c r="I241" s="22" t="n">
        <x:v>1</x:v>
      </x:c>
      <x:c r="J241" s="22" t="n">
        <x:v>4</x:v>
      </x:c>
      <x:c r="K241" s="22" t="str">
        <x:v>閉場後は出庫不可。花見期は混雑し、満車時は茜浜緑地駐車場へ差し替える。</x:v>
      </x:c>
      <x:c r="L241" s="23" t="n">
        <x:v>46232</x:v>
      </x:c>
      <x:c r="M241" s="22" t="str">
        <x:v>一次確認済</x:v>
      </x:c>
      <x:c r="N241" s="22" t="str">
        <x:v>https://www.city.narashino.lg.jp/shisetu/koenshiseki/kasumikoen.html</x:v>
      </x:c>
      <x:c r="O241" s="22" t="str">
        <x:v>香澄公園は湾岸の住宅地と工業・交通施設を分ける緩衝緑地として機能し、明治神宮から株分けされた花菖蒲もある。</x:v>
      </x:c>
      <x:c r="P241" s="22" t="e">
        <x:f>HYPERLINK("https://ja.wikipedia.org/wiki/Special:Search?search=%E9%A6%99%E6%BE%84%E5%85%AC%E5%9C%92","Wikipedia・関連項目")</x:f>
      </x:c>
      <x:c r="Q241" s="22" t="str">
        <x:v>新規追加。夜間不向きだが、湾岸ルートの景観転換点として高評価。</x:v>
      </x:c>
    </x:row>
    <x:row r="242">
      <x:c r="A242" s="22" t="str">
        <x:v>D123</x:v>
      </x:c>
      <x:c r="B242" s="22" t="str">
        <x:v>トーベ・ヤンソンあけぼの子どもの森公園</x:v>
      </x:c>
      <x:c r="C242" s="22" t="str">
        <x:v>埼玉県飯能市</x:v>
      </x:c>
      <x:c r="D242" s="22" t="str">
        <x:v>Story・建築・森林</x:v>
      </x:c>
      <x:c r="E242" s="22" t="e">
        <x:f>HYPERLINK("https://www.google.com/maps/dir/?api=1&amp;destination=%E3%83%88%E3%83%BC%E3%83%99%E3%83%BB%E3%83%A4%E3%83%B3%E3%82%BD%E3%83%B3%E3%81%82%E3%81%91%E3%81%BC%E3%81%AE%E5%AD%90%E3%81%A9%E3%82%82%E3%81%AE%E6%A3%AE%E5%85%AC%E5%9C%92&amp;travelmode=driving","現在地からナビ開始")</x:f>
      </x:c>
      <x:c r="F242" s="22" t="str">
        <x:v>北欧童話のような建築と森が一体になり、映画・アニメ聖地とは別系統の物語体験Endingになる。</x:v>
      </x:c>
      <x:c r="G242" s="22" t="str">
        <x:v>あり・無料</x:v>
      </x:c>
      <x:c r="H242" s="22" t="str">
        <x:v>9:00～17:00／季節で開園曜日が変動</x:v>
      </x:c>
      <x:c r="I242" s="22" t="n">
        <x:v>1</x:v>
      </x:c>
      <x:c r="J242" s="22" t="n">
        <x:v>3</x:v>
      </x:c>
      <x:c r="K242" s="22" t="str">
        <x:v>2026年度は季節別休園日を導入しライトアップ休止。開園カレンダーを当日確認。</x:v>
      </x:c>
      <x:c r="L242" s="23" t="n">
        <x:v>46232</x:v>
      </x:c>
      <x:c r="M242" s="22" t="str">
        <x:v>一次確認済</x:v>
      </x:c>
      <x:c r="N242" s="22" t="str">
        <x:v>https://www.city.hanno.lg.jp/akebono/annai/2113.html</x:v>
      </x:c>
      <x:c r="O242" s="22" t="str">
        <x:v>公園名のトーベ・ヤンソンは『ムーミン』作者で、北欧の自然観と建築世界を公園空間に取り入れている。</x:v>
      </x:c>
      <x:c r="P242" s="22" t="e">
        <x:f>HYPERLINK("https://ja.wikipedia.org/wiki/Special:Search?search=%E3%83%88%E3%83%BC%E3%83%99%E3%83%BB%E3%83%A4%E3%83%B3%E3%82%BD%E3%83%B3%E3%81%82%E3%81%91%E3%81%BC%E3%81%AE%E5%AD%90%E3%81%A9%E3%82%82%E3%81%AE%E6%A3%AE%E5%85%AC%E5%9C%92","Wikipedia・関連項目")</x:f>
      </x:c>
      <x:c r="Q242" s="22" t="str">
        <x:v>2026-07-29再点検：2026年度は季節別休園日を導入し、ライトアップ休止。昼のStory目的地として維持。</x:v>
      </x:c>
    </x:row>
    <x:row r="243">
      <x:c r="A243" s="22" t="str">
        <x:v>D225</x:v>
      </x:c>
      <x:c r="B243" s="22" t="str">
        <x:v>吾妻山公園</x:v>
      </x:c>
      <x:c r="C243" s="22" t="str">
        <x:v>神奈川県二宮町</x:v>
      </x:c>
      <x:c r="D243" s="22" t="str">
        <x:v>高台・富士山・相模湾</x:v>
      </x:c>
      <x:c r="E243" s="22" t="e">
        <x:f>HYPERLINK("https://www.google.com/maps/dir/?api=1&amp;destination=%E5%90%BE%E5%A6%BB%E5%B1%B1%E5%85%AC%E5%9C%92&amp;travelmode=driving","現在地からナビ開始")</x:f>
      </x:c>
      <x:c r="F243" s="22" t="str">
        <x:v>標高136mの山頂から富士山、相模湾、箱根を一望でき、徒歩登頂を含めて明確な到達感がある。</x:v>
      </x:c>
      <x:c r="G243" s="22" t="str">
        <x:v>専用なし／町営・周辺駐車場利用</x:v>
      </x:c>
      <x:c r="H243" s="22" t="str">
        <x:v>8:30～17:00</x:v>
      </x:c>
      <x:c r="I243" s="22" t="n">
        <x:v>1</x:v>
      </x:c>
      <x:c r="J243" s="22" t="n">
        <x:v>3</x:v>
      </x:c>
      <x:c r="K243" s="22" t="str">
        <x:v>山頂まで階段・山道を約20分。花期は臨時駐車場も混雑。公園内への車両進入禁止。</x:v>
      </x:c>
      <x:c r="L243" s="23" t="n">
        <x:v>46232</x:v>
      </x:c>
      <x:c r="M243" s="22" t="str">
        <x:v>一次確認済</x:v>
      </x:c>
      <x:c r="N243" s="22" t="str">
        <x:v>https://www.town.ninomiya.kanagawa.jp/0000001277.html</x:v>
      </x:c>
      <x:c r="O243" s="22" t="str">
        <x:v>『関東の富士見百景』に選ばれ、菜の花と富士山を同時に望む冬の景観で知られる。</x:v>
      </x:c>
      <x:c r="P243" s="22" t="e">
        <x:f>HYPERLINK("https://ja.wikipedia.org/wiki/Special:Search?search=%E5%90%BE%E5%A6%BB%E5%B1%B1%E5%85%AC%E5%9C%92","Wikipedia・関連項目")</x:f>
      </x:c>
      <x:c r="Q243" s="22" t="str">
        <x:v>新規追加。駐車後の徒歩を含む高台型最終目的地。</x:v>
      </x:c>
    </x:row>
    <x:row r="244">
      <x:c r="A244" s="22" t="str">
        <x:v>D163</x:v>
      </x:c>
      <x:c r="B244" s="22" t="str">
        <x:v>大磯城山公園</x:v>
      </x:c>
      <x:c r="C244" s="22" t="str">
        <x:v>神奈川県大磯町</x:v>
      </x:c>
      <x:c r="D244" s="22" t="str">
        <x:v>高台・旧別邸・富士山・歴史</x:v>
      </x:c>
      <x:c r="E244" s="22" t="e">
        <x:f>HYPERLINK("https://www.google.com/maps/dir/?api=1&amp;destination=%E5%A4%A7%E7%A3%AF%E5%9F%8E%E5%B1%B1%E5%85%AC%E5%9C%92&amp;travelmode=driving","現在地からナビ開始")</x:f>
      </x:c>
      <x:c r="F244" s="22" t="str">
        <x:v>旧三井別邸と旧吉田茂邸を結ぶ高台公園で、相模湾・富士山と近現代史を一度に楽しめる。</x:v>
      </x:c>
      <x:c r="G244" s="22" t="str">
        <x:v>あり・複数駐車場</x:v>
      </x:c>
      <x:c r="H244" s="22" t="str">
        <x:v>旧三井地区8:30～17:00／旧吉田茂邸9:00～17:00</x:v>
      </x:c>
      <x:c r="I244" s="22" t="n">
        <x:v>1</x:v>
      </x:c>
      <x:c r="J244" s="22" t="n">
        <x:v>3</x:v>
      </x:c>
      <x:c r="K244" s="22" t="str">
        <x:v>夜間利用不可。入車は16:45まで。土日祝は一部有料、年末年始の閉場差に注意。</x:v>
      </x:c>
      <x:c r="L244" s="23" t="n">
        <x:v>46232</x:v>
      </x:c>
      <x:c r="M244" s="22" t="str">
        <x:v>一次確認済</x:v>
      </x:c>
      <x:c r="N244" s="22" t="str">
        <x:v>https://www.kanagawa-park.or.jp/ooisojoyama/access.html</x:v>
      </x:c>
      <x:c r="O244" s="22" t="str">
        <x:v>戦後の首相・吉田茂が暮らした大磯は、政財界人の別荘地として発展した湘南の歴史を象徴する。</x:v>
      </x:c>
      <x:c r="P244" s="22" t="e">
        <x:f>HYPERLINK("https://ja.wikipedia.org/wiki/Special:Search?search=%E5%A4%A7%E7%A3%AF%E5%9F%8E%E5%B1%B1%E5%85%AC%E5%9C%92","Wikipedia・関連項目")</x:f>
      </x:c>
      <x:c r="Q244" s="22"/>
    </x:row>
    <x:row r="245">
      <x:c r="A245" s="22" t="str">
        <x:v>D191</x:v>
      </x:c>
      <x:c r="B245" s="22" t="str">
        <x:v>宮ヶ瀬ダム 水とエネルギー館</x:v>
      </x:c>
      <x:c r="C245" s="22" t="str">
        <x:v>愛川町・半原</x:v>
      </x:c>
      <x:c r="D245" s="22" t="str">
        <x:v>ダム・インフラ・展望</x:v>
      </x:c>
      <x:c r="E245" s="22" t="e">
        <x:f>HYPERLINK("https://www.google.com/maps/dir/?api=1&amp;destination=%E5%AE%AE%E3%83%B6%E7%80%AC%E3%83%80%E3%83%A0%20%E6%B0%B4%E3%81%A8%E3%82%A8%E3%83%8D%E3%83%AB%E3%82%AE%E3%83%BC%E9%A4%A8&amp;travelmode=driving","現在地からナビ開始")</x:f>
      </x:c>
      <x:c r="F245" s="22" t="str">
        <x:v>重力式コンクリートダムの天端と展示施設から、水資源・発電・治水を理解できるインフラ型最終目的地。</x:v>
      </x:c>
      <x:c r="G245" s="22" t="str">
        <x:v>あり・周辺公営駐車場</x:v>
      </x:c>
      <x:c r="H245" s="22" t="str">
        <x:v>開館・ダム立入時間は当日公式確認</x:v>
      </x:c>
      <x:c r="I245" s="22" t="n">
        <x:v>1</x:v>
      </x:c>
      <x:c r="J245" s="22" t="n">
        <x:v>3</x:v>
      </x:c>
      <x:c r="K245" s="22" t="str">
        <x:v>年末年始や渇水・台風時は立入・観光放流に変更あり。あいかわ公園側との移動手段を確認。</x:v>
      </x:c>
      <x:c r="L245" s="23" t="n">
        <x:v>46232</x:v>
      </x:c>
      <x:c r="M245" s="22" t="str">
        <x:v>当日再確認</x:v>
      </x:c>
      <x:c r="N245" s="22" t="str">
        <x:v>https://www.ktr.mlit.go.jp/sagami/sagami_index020.html</x:v>
      </x:c>
      <x:c r="O245" s="22" t="str">
        <x:v>宮ヶ瀬ダムは2000年完成の重力式コンクリートダムで、首都圏最大級のダム湖を形成し、発電所を本ダムと副ダムに持つ。</x:v>
      </x:c>
      <x:c r="P245" s="22" t="e">
        <x:f>HYPERLINK("https://ja.wikipedia.org/wiki/Special:Search?search=%E5%AE%AE%E3%83%B6%E7%80%AC%E3%83%80%E3%83%A0%20%E6%B0%B4%E3%81%A8%E3%82%A8%E3%83%8D%E3%83%AB%E3%82%AE%E3%83%BC%E9%A4%A8","Wikipedia・関連項目")</x:f>
      </x:c>
      <x:c r="Q245" s="22" t="str">
        <x:v>新規追加。あいかわ公園とは『上から理解するインフラ体験』で別採用。</x:v>
      </x:c>
    </x:row>
    <x:row r="246">
      <x:c r="A246" s="22" t="str">
        <x:v>D203</x:v>
      </x:c>
      <x:c r="B246" s="22" t="str">
        <x:v>小田原フラワーガーデン</x:v>
      </x:c>
      <x:c r="C246" s="22" t="str">
        <x:v>小田原市・久野</x:v>
      </x:c>
      <x:c r="D246" s="22" t="str">
        <x:v>植物園・梅・温室</x:v>
      </x:c>
      <x:c r="E246" s="22" t="e">
        <x:f>HYPERLINK("https://www.google.com/maps/dir/?api=1&amp;destination=%E5%B0%8F%E7%94%B0%E5%8E%9F%E3%83%95%E3%83%A9%E3%83%AF%E3%83%BC%E3%82%AC%E3%83%BC%E3%83%87%E3%83%B3&amp;travelmode=driving","現在地からナビ開始")</x:f>
      </x:c>
      <x:c r="F246" s="22" t="str">
        <x:v>渓流の梅林、熱帯温室、池を歩き、海・城中心になりがちな小田原ルートを植物の静けさで締められる。</x:v>
      </x:c>
      <x:c r="G246" s="22" t="str">
        <x:v>あり・無料・約140台</x:v>
      </x:c>
      <x:c r="H246" s="22" t="str">
        <x:v>9:00～17:00／温室入館16:30まで</x:v>
      </x:c>
      <x:c r="I246" s="22" t="n">
        <x:v>1</x:v>
      </x:c>
      <x:c r="J246" s="22" t="n">
        <x:v>3</x:v>
      </x:c>
      <x:c r="K246" s="22" t="str">
        <x:v>月曜休園を基本とし、祝日・臨時休園を当日確認。梅の見頃は駐車場混雑。</x:v>
      </x:c>
      <x:c r="L246" s="23" t="n">
        <x:v>46232</x:v>
      </x:c>
      <x:c r="M246" s="22" t="str">
        <x:v>一次確認済</x:v>
      </x:c>
      <x:c r="N246" s="22" t="str">
        <x:v>https://www.city.odawara.kanagawa.jp/public-i/park/garden/</x:v>
      </x:c>
      <x:c r="O246" s="22" t="str">
        <x:v>小田原は曽我梅林など梅文化が深く、園内の渓流の梅林では多品種の梅を比較して楽しめる。</x:v>
      </x:c>
      <x:c r="P246" s="22" t="e">
        <x:f>HYPERLINK("https://ja.wikipedia.org/wiki/Special:Search?search=%E5%B0%8F%E7%94%B0%E5%8E%9F%E3%83%95%E3%83%A9%E3%83%AF%E3%83%BC%E3%82%AC%E3%83%BC%E3%83%87%E3%83%B3","Wikipedia・関連項目")</x:f>
      </x:c>
      <x:c r="Q246" s="22" t="str">
        <x:v>新規追加。花期以外も温室と池で成立する全天候寄りの昼Ending。</x:v>
      </x:c>
    </x:row>
    <x:row r="247">
      <x:c r="A247" s="22" t="str">
        <x:v>D126</x:v>
      </x:c>
      <x:c r="B247" s="22" t="str">
        <x:v>巾着田曼珠沙華公園</x:v>
      </x:c>
      <x:c r="C247" s="22" t="str">
        <x:v>埼玉県日高市</x:v>
      </x:c>
      <x:c r="D247" s="22" t="str">
        <x:v>河川敷・季節景観・高麗川</x:v>
      </x:c>
      <x:c r="E247" s="22" t="e">
        <x:f>HYPERLINK("https://www.google.com/maps/dir/?api=1&amp;destination=%E5%B7%BE%E7%9D%80%E7%94%B0%E6%9B%BC%E7%8F%A0%E6%B2%99%E8%8F%AF%E5%85%AC%E5%9C%92&amp;travelmode=driving","現在地からナビ開始")</x:f>
      </x:c>
      <x:c r="F247" s="22" t="str">
        <x:v>高麗川が巾着状に囲む地形と季節の花があり、都市圏から河川・農地へ抜ける到達感がある。</x:v>
      </x:c>
      <x:c r="G247" s="22" t="str">
        <x:v>あり・有料</x:v>
      </x:c>
      <x:c r="H247" s="22" t="str">
        <x:v>駐車場 7:00～17:00</x:v>
      </x:c>
      <x:c r="I247" s="22" t="n">
        <x:v>1</x:v>
      </x:c>
      <x:c r="J247" s="22" t="n">
        <x:v>3</x:v>
      </x:c>
      <x:c r="K247" s="22" t="str">
        <x:v>年末年始休場。曼珠沙華期は大渋滞。宿泊キャンプ禁止、増水・倒木時は避ける。</x:v>
      </x:c>
      <x:c r="L247" s="23" t="n">
        <x:v>46232</x:v>
      </x:c>
      <x:c r="M247" s="22" t="str">
        <x:v>一次確認済</x:v>
      </x:c>
      <x:c r="N247" s="22" t="str">
        <x:v>https://www.city.hidaka.lg.jp/soshiki/shiminseikatsu/sangyoshinko/shokokanko/kanko/kankou/5810.html</x:v>
      </x:c>
      <x:c r="O247" s="22" t="str">
        <x:v>巾着田の名は、高麗川が蛇行して土地を巾着袋の形に囲むことに由来する。</x:v>
      </x:c>
      <x:c r="P247" s="22" t="e">
        <x:f>HYPERLINK("https://ja.wikipedia.org/wiki/Special:Search?search=%E5%B7%BE%E7%9D%80%E7%94%B0%E6%9B%BC%E7%8F%A0%E6%B2%99%E8%8F%AF%E5%85%AC%E5%9C%92","Wikipedia・関連項目")</x:f>
      </x:c>
      <x:c r="Q247" s="22"/>
    </x:row>
    <x:row r="248">
      <x:c r="A248" s="22" t="str">
        <x:v>D031</x:v>
      </x:c>
      <x:c r="B248" s="22" t="str">
        <x:v>披露山公園</x:v>
      </x:c>
      <x:c r="C248" s="22" t="str">
        <x:v>逗子市・新宿</x:v>
      </x:c>
      <x:c r="D248" s="22" t="str">
        <x:v>高台・海・富士山</x:v>
      </x:c>
      <x:c r="E248" s="22" t="e">
        <x:f>HYPERLINK("https://www.google.com/maps/dir/?api=1&amp;destination=%E6%8A%AB%E9%9C%B2%E5%B1%B1%E5%85%AC%E5%9C%92&amp;travelmode=driving","現在地からナビ開始")</x:f>
      </x:c>
      <x:c r="F248" s="22" t="str">
        <x:v>逗子湾、江の島、富士山を高台から眺める昼の展望Ending。</x:v>
      </x:c>
      <x:c r="G248" s="22" t="str">
        <x:v>あり・無料</x:v>
      </x:c>
      <x:c r="H248" s="22" t="str">
        <x:v>駐車場 8:30～16:30</x:v>
      </x:c>
      <x:c r="I248" s="22" t="n">
        <x:v>1</x:v>
      </x:c>
      <x:c r="J248" s="22" t="n">
        <x:v>3</x:v>
      </x:c>
      <x:c r="K248" s="22" t="str">
        <x:v>時間外は閉鎖。夕暮れ前に必ず退出。</x:v>
      </x:c>
      <x:c r="L248" s="23" t="n">
        <x:v>46232</x:v>
      </x:c>
      <x:c r="M248" s="22" t="str">
        <x:v>一次確認済</x:v>
      </x:c>
      <x:c r="N248" s="22" t="str">
        <x:v>https://www.city.zushi.kanagawa.jp/kurashi/sumai/1002174/1002178/1002179/1002181.html</x:v>
      </x:c>
      <x:c r="O248" s="22" t="str">
        <x:v>披露山は明治以降に別荘地として発展した逗子の高台文化を象徴し、湾と富士山を同時に望める。</x:v>
      </x:c>
      <x:c r="P248" s="22" t="e">
        <x:f>HYPERLINK("https://ja.wikipedia.org/wiki/Special:Search?search=%E6%8A%AB%E9%9C%B2%E5%B1%B1%E5%85%AC%E5%9C%92","Wikipedia・関連項目")</x:f>
      </x:c>
      <x:c r="Q248" s="22"/>
    </x:row>
    <x:row r="249">
      <x:c r="A249" s="22" t="str">
        <x:v>D169</x:v>
      </x:c>
      <x:c r="B249" s="22" t="str">
        <x:v>昭和の森</x:v>
      </x:c>
      <x:c r="C249" s="22" t="str">
        <x:v>千葉市・緑区</x:v>
      </x:c>
      <x:c r="D249" s="22" t="str">
        <x:v>大規模公園・高台・展望・森林</x:v>
      </x:c>
      <x:c r="E249" s="22" t="e">
        <x:f>HYPERLINK("https://www.google.com/maps/dir/?api=1&amp;destination=%E6%98%AD%E5%92%8C%E3%81%AE%E6%A3%AE&amp;travelmode=driving","現在地からナビ開始")</x:f>
      </x:c>
      <x:c r="F249" s="22" t="str">
        <x:v>千葉市最大級の森林公園で、展望台から九十九里方面まで開ける昼のロングドライブEnding。</x:v>
      </x:c>
      <x:c r="G249" s="22" t="str">
        <x:v>あり・第1～第3、普通車計800台超</x:v>
      </x:c>
      <x:c r="H249" s="22" t="str">
        <x:v>駐車場8:30～17:30</x:v>
      </x:c>
      <x:c r="I249" s="22" t="n">
        <x:v>1</x:v>
      </x:c>
      <x:c r="J249" s="22" t="n">
        <x:v>3</x:v>
      </x:c>
      <x:c r="K249" s="22" t="str">
        <x:v>夜間不可。年末年始休場。行楽期・イベント時は満車となるため早い時間に到着。</x:v>
      </x:c>
      <x:c r="L249" s="23" t="n">
        <x:v>46232</x:v>
      </x:c>
      <x:c r="M249" s="22" t="str">
        <x:v>一次確認済</x:v>
      </x:c>
      <x:c r="N249" s="22" t="str">
        <x:v>https://www.city.chiba.jp/toshi/koenryokuchi/kanri/midori/top.html</x:v>
      </x:c>
      <x:c r="O249" s="22" t="str">
        <x:v>昭和の森は下総台地の地形を生かした大規模公園で、谷津・斜面林・草原が連続する。</x:v>
      </x:c>
      <x:c r="P249" s="22" t="e">
        <x:f>HYPERLINK("https://ja.wikipedia.org/wiki/Special:Search?search=%E6%98%AD%E5%92%8C%E3%81%AE%E6%A3%AE","Wikipedia・関連項目")</x:f>
      </x:c>
      <x:c r="Q249" s="22"/>
    </x:row>
    <x:row r="250">
      <x:c r="A250" s="22" t="str">
        <x:v>D072</x:v>
      </x:c>
      <x:c r="B250" s="22" t="str">
        <x:v>濃溝の滝・亀岩の洞窟</x:v>
      </x:c>
      <x:c r="C250" s="22" t="str">
        <x:v>君津市・笹</x:v>
      </x:c>
      <x:c r="D250" s="22" t="str">
        <x:v>渓谷・洞窟・森林</x:v>
      </x:c>
      <x:c r="E250" s="22" t="e">
        <x:f>HYPERLINK("https://www.google.com/maps/dir/?api=1&amp;destination=%E6%BF%83%E6%BA%9D%E3%81%AE%E6%BB%9D%E3%83%BB%E4%BA%80%E5%B2%A9%E3%81%AE%E6%B4%9E%E7%AA%9F&amp;travelmode=driving","現在地からナビ開始")</x:f>
      </x:c>
      <x:c r="F250" s="22" t="str">
        <x:v>短い散策で洞窟と渓流へ到達し、房総内陸の非日常Endingになる。</x:v>
      </x:c>
      <x:c r="G250" s="22" t="str">
        <x:v>あり・無料駐車場</x:v>
      </x:c>
      <x:c r="H250" s="22" t="str">
        <x:v>遊歩道は日中利用推奨</x:v>
      </x:c>
      <x:c r="I250" s="22" t="n">
        <x:v>1</x:v>
      </x:c>
      <x:c r="J250" s="22" t="n">
        <x:v>3</x:v>
      </x:c>
      <x:c r="K250" s="22" t="str">
        <x:v>夜間不可。雨後の滑りやすい遊歩道と混雑に注意。</x:v>
      </x:c>
      <x:c r="L250" s="23" t="n">
        <x:v>46232</x:v>
      </x:c>
      <x:c r="M250" s="22" t="str">
        <x:v>一次確認済</x:v>
      </x:c>
      <x:c r="N250" s="22" t="str">
        <x:v>https://maruchiba.jp/spot/detail_10394.html</x:v>
      </x:c>
      <x:c r="O250" s="22" t="str">
        <x:v>亀岩の洞窟は自然洞窟ではなく、江戸時代に川の流れを変えるため掘られた人工の川廻しトンネルである。</x:v>
      </x:c>
      <x:c r="P250" s="22" t="e">
        <x:f>HYPERLINK("https://ja.wikipedia.org/wiki/Special:Search?search=%E6%BF%83%E6%BA%9D%E3%81%AE%E6%BB%9D%E3%83%BB%E4%BA%80%E5%B2%A9%E3%81%AE%E6%B4%9E%E7%AA%9F","Wikipedia・関連項目")</x:f>
      </x:c>
      <x:c r="Q250" s="22"/>
    </x:row>
    <x:row r="251">
      <x:c r="A251" s="22" t="str">
        <x:v>D049</x:v>
      </x:c>
      <x:c r="B251" s="22" t="str">
        <x:v>県営権現堂公園・権現堂桜堤</x:v>
      </x:c>
      <x:c r="C251" s="22" t="str">
        <x:v>幸手市・内国府間</x:v>
      </x:c>
      <x:c r="D251" s="22" t="str">
        <x:v>堤・花・河川景観</x:v>
      </x:c>
      <x:c r="E251" s="22" t="e">
        <x:f>HYPERLINK("https://www.google.com/maps/dir/?api=1&amp;destination=%E7%9C%8C%E5%96%B6%E6%A8%A9%E7%8F%BE%E5%A0%82%E5%85%AC%E5%9C%92%E3%83%BB%E6%A8%A9%E7%8F%BE%E5%A0%82%E6%A1%9C%E5%A0%A4&amp;travelmode=driving","現在地からナビ開始")</x:f>
      </x:c>
      <x:c r="F251" s="22" t="str">
        <x:v>長い堤と季節の花が作る明確な到達景観があり、春以外も河川沿いの終点になる。</x:v>
      </x:c>
      <x:c r="G251" s="22" t="str">
        <x:v>あり・通常無料</x:v>
      </x:c>
      <x:c r="H251" s="22" t="str">
        <x:v>4～8月 8:30～19:00／3・9月 ～18:00／10～2月 ～17:00</x:v>
      </x:c>
      <x:c r="I251" s="22" t="n">
        <x:v>1</x:v>
      </x:c>
      <x:c r="J251" s="22" t="n">
        <x:v>3</x:v>
      </x:c>
      <x:c r="K251" s="22" t="str">
        <x:v>桜まつり時は有料・大混雑。季節別閉鎖時刻を厳守。</x:v>
      </x:c>
      <x:c r="L251" s="23" t="n">
        <x:v>46232</x:v>
      </x:c>
      <x:c r="M251" s="22" t="str">
        <x:v>一次確認済</x:v>
      </x:c>
      <x:c r="N251" s="22" t="str">
        <x:v>https://gongendo.jp/access/</x:v>
      </x:c>
      <x:c r="O251" s="22" t="str">
        <x:v>権現堂堤は利根川水系の治水史と結び付く堤防で、現在は桜と菜の花の名所として知られる。</x:v>
      </x:c>
      <x:c r="P251" s="22" t="e">
        <x:f>HYPERLINK("https://ja.wikipedia.org/wiki/Special:Search?search=%E7%9C%8C%E5%96%B6%E6%A8%A9%E7%8F%BE%E5%A0%82%E5%85%AC%E5%9C%92%E3%83%BB%E6%A8%A9%E7%8F%BE%E5%A0%82%E6%A1%9C%E5%A0%A4","Wikipedia・関連項目")</x:f>
      </x:c>
      <x:c r="Q251" s="22"/>
    </x:row>
    <x:row r="252">
      <x:c r="A252" s="22" t="str">
        <x:v>D190</x:v>
      </x:c>
      <x:c r="B252" s="22" t="str">
        <x:v>県立あいかわ公園</x:v>
      </x:c>
      <x:c r="C252" s="22" t="str">
        <x:v>愛川町・半原</x:v>
      </x:c>
      <x:c r="D252" s="22" t="str">
        <x:v>ダム直下・丘・伝統工芸</x:v>
      </x:c>
      <x:c r="E252" s="22" t="e">
        <x:f>HYPERLINK("https://www.google.com/maps/dir/?api=1&amp;destination=%E7%9C%8C%E7%AB%8B%E3%81%82%E3%81%84%E3%81%8B%E3%82%8F%E5%85%AC%E5%9C%92&amp;travelmode=driving","現在地からナビ開始")</x:f>
      </x:c>
      <x:c r="F252" s="22" t="str">
        <x:v>宮ヶ瀬ダム直下から巨大構造物を見上げ、丘・ツツジ・工芸体験へ移るため、スケール変化の大きいEndingになる。</x:v>
      </x:c>
      <x:c r="G252" s="22" t="str">
        <x:v>あり・公園駐車場</x:v>
      </x:c>
      <x:c r="H252" s="22" t="str">
        <x:v>利用時間・料金は当日公式確認</x:v>
      </x:c>
      <x:c r="I252" s="22" t="n">
        <x:v>1</x:v>
      </x:c>
      <x:c r="J252" s="22" t="n">
        <x:v>3</x:v>
      </x:c>
      <x:c r="K252" s="22" t="str">
        <x:v>駐車場閉場が早い。観光放流・ロードトレインの運行日、ダム立入情報を当日確認。</x:v>
      </x:c>
      <x:c r="L252" s="23" t="n">
        <x:v>46232</x:v>
      </x:c>
      <x:c r="M252" s="22" t="str">
        <x:v>当日再確認</x:v>
      </x:c>
      <x:c r="N252" s="22" t="str">
        <x:v>https://www.pref.kanagawa.jp/docs/u5r/cnt/f550/tabi-036.html</x:v>
      </x:c>
      <x:c r="O252" s="22" t="str">
        <x:v>公園は中津川の河岸段丘と南山の裾野を利用し、宮ヶ瀬ダムと一体の広域レクリエーション拠点として整備された。</x:v>
      </x:c>
      <x:c r="P252" s="22" t="e">
        <x:f>HYPERLINK("https://ja.wikipedia.org/wiki/Special:Search?search=%E7%9C%8C%E7%AB%8B%E3%81%82%E3%81%84%E3%81%8B%E3%82%8F%E5%85%AC%E5%9C%92","Wikipedia・関連項目")</x:f>
      </x:c>
      <x:c r="Q252" s="22" t="str">
        <x:v>新規追加。ダムを下から体感する地点として採用。</x:v>
      </x:c>
    </x:row>
    <x:row r="253">
      <x:c r="A253" s="22" t="str">
        <x:v>D226</x:v>
      </x:c>
      <x:c r="B253" s="22" t="str">
        <x:v>西平畑公園</x:v>
      </x:c>
      <x:c r="C253" s="22" t="str">
        <x:v>神奈川県松田町</x:v>
      </x:c>
      <x:c r="D253" s="22" t="str">
        <x:v>高台・富士山・鉄道Story</x:v>
      </x:c>
      <x:c r="E253" s="22" t="e">
        <x:f>HYPERLINK("https://www.google.com/maps/dir/?api=1&amp;destination=%E8%A5%BF%E5%B9%B3%E7%95%91%E5%85%AC%E5%9C%92&amp;travelmode=driving","現在地からナビ開始")</x:f>
      </x:c>
      <x:c r="F253" s="22" t="str">
        <x:v>松田山から足柄平野、富士山、相模湾方向を望み、ミニ鉄道とハーブ園で物語性を足せる。</x:v>
      </x:c>
      <x:c r="G253" s="22" t="str">
        <x:v>あり・70台・有料</x:v>
      </x:c>
      <x:c r="H253" s="22" t="str">
        <x:v>水～日・祝 9:00～17:00／冬季一部施設16:00</x:v>
      </x:c>
      <x:c r="I253" s="22" t="n">
        <x:v>1</x:v>
      </x:c>
      <x:c r="J253" s="22" t="n">
        <x:v>3</x:v>
      </x:c>
      <x:c r="K253" s="22" t="str">
        <x:v>月・火休園を基本。桜まつり等は料金・交通規制変更。急坂路と閉場時刻に注意。</x:v>
      </x:c>
      <x:c r="L253" s="23" t="n">
        <x:v>46232</x:v>
      </x:c>
      <x:c r="M253" s="22" t="str">
        <x:v>一次確認済</x:v>
      </x:c>
      <x:c r="N253" s="22" t="str">
        <x:v>https://town.matsuda.kanagawa.jp/site/kankou-sub/nishihira-park.html</x:v>
      </x:c>
      <x:c r="O253" s="22" t="str">
        <x:v>旧松田山ハーブガーデンを中心に、ふるさと鉄道や河津桜を組み合わせた山腹公園。</x:v>
      </x:c>
      <x:c r="P253" s="22" t="e">
        <x:f>HYPERLINK("https://ja.wikipedia.org/wiki/Special:Search?search=%E8%A5%BF%E5%B9%B3%E7%95%91%E5%85%AC%E5%9C%92","Wikipedia・関連項目")</x:f>
      </x:c>
      <x:c r="Q253" s="22" t="str">
        <x:v>新規追加。吾妻山とは違う『車で上がる足柄高台』。</x:v>
      </x:c>
    </x:row>
    <x:row r="254">
      <x:c r="A254" s="22" t="str">
        <x:v>D206</x:v>
      </x:c>
      <x:c r="B254" s="22" t="str">
        <x:v>金沢自然公園</x:v>
      </x:c>
      <x:c r="C254" s="22" t="str">
        <x:v>横浜市・金沢区</x:v>
      </x:c>
      <x:c r="D254" s="22" t="str">
        <x:v>丘陵・動物園・円海山</x:v>
      </x:c>
      <x:c r="E254" s="22" t="e">
        <x:f>HYPERLINK("https://www.google.com/maps/dir/?api=1&amp;destination=%E9%87%91%E6%B2%A2%E8%87%AA%E7%84%B6%E5%85%AC%E5%9C%92&amp;travelmode=driving","現在地からナビ開始")</x:f>
      </x:c>
      <x:c r="F254" s="22" t="str">
        <x:v>横浜南部の丘陵から海側と市街地側へ視界が開き、動物園・自然観察・坂道走行を一体化できる。</x:v>
      </x:c>
      <x:c r="G254" s="22" t="str">
        <x:v>あり・正面口／高速側・有料</x:v>
      </x:c>
      <x:c r="H254" s="22" t="str">
        <x:v>正面口 9:00～17:00、最終入庫16:30</x:v>
      </x:c>
      <x:c r="I254" s="22" t="n">
        <x:v>1</x:v>
      </x:c>
      <x:c r="J254" s="22" t="n">
        <x:v>3</x:v>
      </x:c>
      <x:c r="K254" s="22" t="str">
        <x:v>正面口は動物園休園日に休業。ナビは利用する駐車場名を指定。閉門後は出庫不可。</x:v>
      </x:c>
      <x:c r="L254" s="23" t="n">
        <x:v>46232</x:v>
      </x:c>
      <x:c r="M254" s="22" t="str">
        <x:v>一次確認済</x:v>
      </x:c>
      <x:c r="N254" s="22" t="str">
        <x:v>https://www.hama-midorinokyokai.or.jp/zoo/kanazawa/access.php</x:v>
      </x:c>
      <x:c r="O254" s="22" t="str">
        <x:v>円海山周辺の丘陵緑地に位置し、横浜市南部の大規模な緑の回廊の一角を担う。</x:v>
      </x:c>
      <x:c r="P254" s="22" t="e">
        <x:f>HYPERLINK("https://ja.wikipedia.org/wiki/Special:Search?search=%E9%87%91%E6%B2%A2%E8%87%AA%E7%84%B6%E5%85%AC%E5%9C%92","Wikipedia・関連項目")</x:f>
      </x:c>
      <x:c r="Q254" s="22" t="str">
        <x:v>新規追加。既存の小柴自然公園と組み合わせると、丘陵から海へ地形が変化する。</x:v>
      </x:c>
    </x:row>
    <x:row r="255">
      <x:c r="A255" s="22" t="str">
        <x:v>D240</x:v>
      </x:c>
      <x:c r="B255" s="22" t="str">
        <x:v>長池公園</x:v>
      </x:c>
      <x:c r="C255" s="22" t="str">
        <x:v>東京都八王子市</x:v>
      </x:c>
      <x:c r="D255" s="22" t="str">
        <x:v>里山・溜池・見附橋</x:v>
      </x:c>
      <x:c r="E255" s="22" t="e">
        <x:f>HYPERLINK("https://www.google.com/maps/dir/?api=1&amp;destination=%E9%95%B7%E6%B1%A0%E5%85%AC%E5%9C%92&amp;travelmode=driving","現在地からナビ開始")</x:f>
      </x:c>
      <x:c r="F255" s="22" t="str">
        <x:v>溜池、田んぼ、雑木林、移築橋がまとまり、多摩ニュータウンの中に残された里山を体感できる。</x:v>
      </x:c>
      <x:c r="G255" s="22" t="str">
        <x:v>あり・自然館70台／南17台・無料</x:v>
      </x:c>
      <x:c r="H255" s="22" t="str">
        <x:v>3～9月8:30～18:30等／冬季17:00～17:30閉場</x:v>
      </x:c>
      <x:c r="I255" s="22" t="n">
        <x:v>1</x:v>
      </x:c>
      <x:c r="J255" s="22" t="n">
        <x:v>3</x:v>
      </x:c>
      <x:c r="K255" s="22" t="str">
        <x:v>駐車場ごとに閉場時刻が異なる。雨後の木道・斜面注意。夜間不可。</x:v>
      </x:c>
      <x:c r="L255" s="23" t="n">
        <x:v>46232</x:v>
      </x:c>
      <x:c r="M255" s="22" t="str">
        <x:v>一次確認済</x:v>
      </x:c>
      <x:c r="N255" s="22" t="str">
        <x:v>https://www.city.hachioji.tokyo.jp/shisetsu/009/p023779.html</x:v>
      </x:c>
      <x:c r="O255" s="22" t="str">
        <x:v>長池見附橋は旧四谷見附橋を移築したもので、近代東京の橋梁が多摩ニュータウンの公園景観へ再利用された。</x:v>
      </x:c>
      <x:c r="P255" s="22" t="e">
        <x:f>HYPERLINK("https://ja.wikipedia.org/wiki/Special:Search?search=%E9%95%B7%E6%B1%A0%E5%85%AC%E5%9C%92","Wikipedia・関連項目")</x:f>
      </x:c>
      <x:c r="Q255" s="22" t="str">
        <x:v>新規追加。里山保全と近代橋梁の再利用を重ねる。</x:v>
      </x:c>
    </x:row>
    <x:row r="256">
      <x:c r="A256" s="22" t="str">
        <x:v>D205</x:v>
      </x:c>
      <x:c r="B256" s="22" t="str">
        <x:v>三溪園</x:v>
      </x:c>
      <x:c r="C256" s="22" t="str">
        <x:v>横浜市・中区本牧</x:v>
      </x:c>
      <x:c r="D256" s="22" t="str">
        <x:v>日本庭園・古建築・Story</x:v>
      </x:c>
      <x:c r="E256" s="22" t="e">
        <x:f>HYPERLINK("https://www.google.com/maps/dir/?api=1&amp;destination=%E4%B8%89%E6%BA%AA%E5%9C%92&amp;travelmode=driving","現在地からナビ開始")</x:f>
      </x:c>
      <x:c r="F256" s="22" t="str">
        <x:v>池、谷戸、三重塔、移築古建築を巡り、横浜港の近代都市景観とは別の時間軸へ入れる文化系Ending。</x:v>
      </x:c>
      <x:c r="G256" s="22" t="str">
        <x:v>あり・通常最大約60台・有料</x:v>
      </x:c>
      <x:c r="H256" s="22" t="str">
        <x:v>9:00～17:00／最終入園・入庫16:30</x:v>
      </x:c>
      <x:c r="I256" s="22" t="n">
        <x:v>1</x:v>
      </x:c>
      <x:c r="J256" s="22" t="n">
        <x:v>2</x:v>
      </x:c>
      <x:c r="K256" s="22" t="str">
        <x:v>12月26～31日休園。桜・紅葉・夜間開園は満車。2026年は一部古建築の公開休止・修繕情報あり。</x:v>
      </x:c>
      <x:c r="L256" s="23" t="n">
        <x:v>46232</x:v>
      </x:c>
      <x:c r="M256" s="22" t="str">
        <x:v>一次確認済</x:v>
      </x:c>
      <x:c r="N256" s="22" t="str">
        <x:v>https://www.sankeien.or.jp/price-service/</x:v>
      </x:c>
      <x:c r="O256" s="22" t="str">
        <x:v>実業家・原三溪が京都や鎌倉などから歴史的建造物を移築して公開した庭園で、近代日本の美術家支援の舞台にもなった。</x:v>
      </x:c>
      <x:c r="P256" s="22" t="e">
        <x:f>HYPERLINK("https://ja.wikipedia.org/wiki/Special:Search?search=%E4%B8%89%E6%BA%AA%E5%9C%92","Wikipedia・関連項目")</x:f>
      </x:c>
      <x:c r="Q256" s="22" t="str">
        <x:v>新規追加。建築・庭園・実業史が一地点で重なる高密度Story。</x:v>
      </x:c>
    </x:row>
    <x:row r="257">
      <x:c r="A257" s="22" t="str">
        <x:v>D223</x:v>
      </x:c>
      <x:c r="B257" s="22" t="str">
        <x:v>こどもの国</x:v>
      </x:c>
      <x:c r="C257" s="22" t="str">
        <x:v>横浜市青葉区</x:v>
      </x:c>
      <x:c r="D257" s="22" t="str">
        <x:v>丘陵・牧場・遊具</x:v>
      </x:c>
      <x:c r="E257" s="22" t="e">
        <x:f>HYPERLINK("https://www.google.com/maps/dir/?api=1&amp;destination=%E3%81%93%E3%81%A9%E3%82%82%E3%81%AE%E5%9B%BD&amp;travelmode=driving","現在地からナビ開始")</x:f>
      </x:c>
      <x:c r="F257" s="22" t="str">
        <x:v>多摩丘陵の起伏、牧場、湖、森林鉄道跡を一日かけて巡れ、家族向けでも地形と歴史のStoryがある。</x:v>
      </x:c>
      <x:c r="G257" s="22" t="str">
        <x:v>あり・正面820台・有料</x:v>
      </x:c>
      <x:c r="H257" s="22" t="str">
        <x:v>9:30～16:30／正面駐車場8:30～、最終入場15:20（夏15:50）</x:v>
      </x:c>
      <x:c r="I257" s="22" t="n">
        <x:v>1</x:v>
      </x:c>
      <x:c r="J257" s="22" t="n">
        <x:v>1</x:v>
      </x:c>
      <x:c r="K257" s="22" t="str">
        <x:v>休日は周辺道路が大混雑。入場締切が早い。牧場口駐車場の開場日は当日確認。</x:v>
      </x:c>
      <x:c r="L257" s="23" t="n">
        <x:v>46232</x:v>
      </x:c>
      <x:c r="M257" s="22" t="str">
        <x:v>一次確認済</x:v>
      </x:c>
      <x:c r="N257" s="22" t="str">
        <x:v>https://www.kodomonokuni.org/access/</x:v>
      </x:c>
      <x:c r="O257" s="22" t="str">
        <x:v>戦前の旧陸軍弾薬庫跡地を、戦後に子どものための自然公園として整備した経緯を持つ。</x:v>
      </x:c>
      <x:c r="P257" s="22" t="e">
        <x:f>HYPERLINK("https://ja.wikipedia.org/wiki/Special:Search?search=%E3%81%93%E3%81%A9%E3%82%82%E3%81%AE%E5%9B%BD","Wikipedia・関連項目")</x:f>
      </x:c>
      <x:c r="Q257" s="22" t="str">
        <x:v>新規追加。遊具だけでなく戦争遺構から平和利用への転換をStory化。</x:v>
      </x:c>
    </x:row>
    <x:row r="258">
      <x:c r="A258" s="22" t="str">
        <x:v>D234</x:v>
      </x:c>
      <x:c r="B258" s="22" t="str">
        <x:v>千葉市動物公園</x:v>
      </x:c>
      <x:c r="C258" s="22" t="str">
        <x:v>千葉市若葉区</x:v>
      </x:c>
      <x:c r="D258" s="22" t="str">
        <x:v>動物・モノレール・Story</x:v>
      </x:c>
      <x:c r="E258" s="22" t="e">
        <x:f>HYPERLINK("https://www.google.com/maps/dir/?api=1&amp;destination=%E5%8D%83%E8%91%89%E5%B8%82%E5%8B%95%E7%89%A9%E5%85%AC%E5%9C%92&amp;travelmode=driving","現在地からナビ開始")</x:f>
      </x:c>
      <x:c r="F258" s="22" t="str">
        <x:v>動物展示、レッサーパンダ、サバンナ、モノレール景観を一日目的として楽しめる。</x:v>
      </x:c>
      <x:c r="G258" s="22" t="str">
        <x:v>あり・有料800円</x:v>
      </x:c>
      <x:c r="H258" s="22" t="str">
        <x:v>開園9:30～16:30／駐車場9:00～17:00</x:v>
      </x:c>
      <x:c r="I258" s="22" t="n">
        <x:v>1</x:v>
      </x:c>
      <x:c r="J258" s="22" t="n">
        <x:v>1</x:v>
      </x:c>
      <x:c r="K258" s="22" t="str">
        <x:v>水曜休園を基本に当日確認。夏季の夜間延長日は日時・入庫締切が別。アイドリング禁止。</x:v>
      </x:c>
      <x:c r="L258" s="23" t="n">
        <x:v>46232</x:v>
      </x:c>
      <x:c r="M258" s="22" t="str">
        <x:v>一次確認済</x:v>
      </x:c>
      <x:c r="N258" s="22" t="str">
        <x:v>https://www.city.chiba.jp/zoo/guide/index.html</x:v>
      </x:c>
      <x:c r="O258" s="22" t="str">
        <x:v>かつて立つ姿で人気となったレッサーパンダ『風太』で全国的に知られた動物園。</x:v>
      </x:c>
      <x:c r="P258" s="22" t="e">
        <x:f>HYPERLINK("https://ja.wikipedia.org/wiki/Special:Search?search=%E5%8D%83%E8%91%89%E5%B8%82%E5%8B%95%E7%89%A9%E5%85%AC%E5%9C%92","Wikipedia・関連項目")</x:f>
      </x:c>
      <x:c r="Q258" s="22" t="str">
        <x:v>新規追加。Story性の高い一日型目的地。</x:v>
      </x:c>
    </x:row>
    <x:row r="259">
      <x:c r="A259" s="22" t="str">
        <x:v>D212</x:v>
      </x:c>
      <x:c r="B259" s="22" t="str">
        <x:v>鉄道博物館</x:v>
      </x:c>
      <x:c r="C259" s="22" t="str">
        <x:v>さいたま市・大宮区</x:v>
      </x:c>
      <x:c r="D259" s="22" t="str">
        <x:v>鉄道・産業史・Story</x:v>
      </x:c>
      <x:c r="E259" s="22" t="e">
        <x:f>HYPERLINK("https://www.google.com/maps/dir/?api=1&amp;destination=%E9%89%84%E9%81%93%E5%8D%9A%E7%89%A9%E9%A4%A8&amp;travelmode=driving","現在地からナビ開始")</x:f>
      </x:c>
      <x:c r="F259" s="22" t="str">
        <x:v>実車、転車台、鉄道技術、食堂車文化を体験し、車で訪れて別の交通史へ切り替わる目的地。</x:v>
      </x:c>
      <x:c r="G259" s="22" t="str">
        <x:v>あり・一般車1日1,000円</x:v>
      </x:c>
      <x:c r="H259" s="22" t="str">
        <x:v>10:00～17:00／最終入館16:30</x:v>
      </x:c>
      <x:c r="I259" s="22" t="n">
        <x:v>1</x:v>
      </x:c>
      <x:c r="J259" s="22" t="n">
        <x:v>1</x:v>
      </x:c>
      <x:c r="K259" s="22" t="str">
        <x:v>火曜・年末年始休館。休日は駐車場満車。入館券・体験予約を当日公式確認。</x:v>
      </x:c>
      <x:c r="L259" s="23" t="n">
        <x:v>46232</x:v>
      </x:c>
      <x:c r="M259" s="22" t="str">
        <x:v>一次確認済</x:v>
      </x:c>
      <x:c r="N259" s="22" t="str">
        <x:v>https://www.railway-museum.jp/information/</x:v>
      </x:c>
      <x:c r="O259" s="22" t="str">
        <x:v>2007年に開館し、東京・神田の交通博物館から鉄道展示の役割を引き継いだJR東日本系の博物館。</x:v>
      </x:c>
      <x:c r="P259" s="22" t="e">
        <x:f>HYPERLINK("https://ja.wikipedia.org/wiki/Special:Search?search=%E9%89%84%E9%81%93%E5%8D%9A%E7%89%A9%E9%A4%A8","Wikipedia・関連項目")</x:f>
      </x:c>
      <x:c r="Q259" s="22" t="str">
        <x:v>新規追加。鉄道史そのものを最終目的にするStory型。</x:v>
      </x:c>
    </x:row>
  </x:sheetData>
  <x:conditionalFormatting sqref="I2:I101">
    <x:cfRule type="colorScale" priority="1">
      <x:colorScale>
        <x:cfvo type="min"/>
        <x:cfvo type="percentile" val="50"/>
        <x:cfvo type="max"/>
        <x:color rgb="FFFEE2E2"/>
        <x:color rgb="FFFEF3C7"/>
        <x:color rgb="FFDCFCE7"/>
      </x:colorScale>
    </x:cfRule>
  </x:conditionalFormatting>
  <x:conditionalFormatting sqref="I2:I121">
    <x:cfRule type="colorScale" priority="2">
      <x:colorScale>
        <x:cfvo type="min"/>
        <x:cfvo type="percentile" val="50"/>
        <x:cfvo type="max"/>
        <x:color rgb="FFFEE2E2"/>
        <x:color rgb="FFFEF3C7"/>
        <x:color rgb="FFDCFCE7"/>
      </x:colorScale>
    </x:cfRule>
  </x:conditionalFormatting>
  <x:conditionalFormatting sqref="I2:I141">
    <x:cfRule type="colorScale" priority="3">
      <x:colorScale>
        <x:cfvo type="min"/>
        <x:cfvo type="percentile" val="50"/>
        <x:cfvo type="max"/>
        <x:color rgb="FFFEE2E2"/>
        <x:color rgb="FFFEF3C7"/>
        <x:color rgb="FFDCFCE7"/>
      </x:colorScale>
    </x:cfRule>
  </x:conditionalFormatting>
  <x:conditionalFormatting sqref="I2:I161">
    <x:cfRule type="colorScale" priority="4">
      <x:colorScale>
        <x:cfvo type="min"/>
        <x:cfvo type="percentile" val="50"/>
        <x:cfvo type="max"/>
        <x:color rgb="FFFEE2E2"/>
        <x:color rgb="FFFEF3C7"/>
        <x:color rgb="FFDCFCE7"/>
      </x:colorScale>
    </x:cfRule>
  </x:conditionalFormatting>
  <x:conditionalFormatting sqref="I2:I181">
    <x:cfRule type="colorScale" priority="5">
      <x:colorScale>
        <x:cfvo type="min"/>
        <x:cfvo type="percentile" val="50"/>
        <x:cfvo type="max"/>
        <x:color rgb="FFFEE2E2"/>
        <x:color rgb="FFFEF3C7"/>
        <x:color rgb="FFDCFCE7"/>
      </x:colorScale>
    </x:cfRule>
  </x:conditionalFormatting>
  <x:conditionalFormatting sqref="I2:I201">
    <x:cfRule type="colorScale" priority="6">
      <x:colorScale>
        <x:cfvo type="min"/>
        <x:cfvo type="percentile" val="50"/>
        <x:cfvo type="max"/>
        <x:color rgb="FFFEE2E2"/>
        <x:color rgb="FFFEF3C7"/>
        <x:color rgb="FFDCFCE7"/>
      </x:colorScale>
    </x:cfRule>
  </x:conditionalFormatting>
  <x:conditionalFormatting sqref="I2:I221">
    <x:cfRule type="colorScale" priority="7">
      <x:colorScale>
        <x:cfvo type="min"/>
        <x:cfvo type="percentile" val="50"/>
        <x:cfvo type="max"/>
        <x:color rgb="FFFEE2E2"/>
        <x:color rgb="FFFEF3C7"/>
        <x:color rgb="FFDCFCE7"/>
      </x:colorScale>
    </x:cfRule>
  </x:conditionalFormatting>
  <x:conditionalFormatting sqref="I2:I241">
    <x:cfRule type="colorScale" priority="8">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0d80dd1fb74b4643"/>
  </x:tableParts>
</x:worksheet>
</file>

<file path=xl/worksheets/sheet5.xml><?xml version="1.0" encoding="utf-8"?>
<x:worksheet xmlns:x="http://schemas.openxmlformats.org/spreadsheetml/2006/main">
  <x:sheetFormatPr defaultRowHeight="15"/>
  <x:cols>
    <x:col min="1" max="1" width="13" hidden="0" customWidth="1"/>
    <x:col min="2" max="2" width="10" hidden="0" customWidth="1"/>
    <x:col min="3" max="3" width="28" hidden="0" customWidth="1"/>
    <x:col min="4" max="4" width="48" hidden="0" customWidth="1"/>
    <x:col min="5" max="5" width="44" hidden="0" customWidth="1"/>
    <x:col min="6" max="6" width="48" hidden="0" customWidth="1"/>
  </x:cols>
  <x:sheetData>
    <x:row r="1">
      <x:c r="A1" s="102" t="str">
        <x:v>更新日</x:v>
      </x:c>
      <x:c r="B1" s="102" t="str">
        <x:v>バージョン</x:v>
      </x:c>
      <x:c r="C1" s="102" t="str">
        <x:v>対象</x:v>
      </x:c>
      <x:c r="D1" s="102" t="str">
        <x:v>更新内容</x:v>
      </x:c>
      <x:c r="E1" s="102" t="str">
        <x:v>品質改善の狙い</x:v>
      </x:c>
      <x:c r="F1" s="102" t="str">
        <x:v>根拠URL</x:v>
      </x:c>
    </x:row>
    <x:row r="2">
      <x:c r="A2" s="28" t="n">
        <x:v>46232</x:v>
      </x:c>
      <x:c r="B2" s="27" t="str">
        <x:v>v10</x:v>
      </x:c>
      <x:c r="C2" s="27" t="str">
        <x:v>全200地点</x:v>
      </x:c>
      <x:c r="D2" s="27" t="str">
        <x:v>現在地→目的地Googleマップリンクを全件再生成</x:v>
      </x:c>
      <x:c r="E2" s="27" t="str">
        <x:v>追加・並べ替え後もリンク切れを防ぐ</x:v>
      </x:c>
      <x:c r="F2" s="27" t="str">
        <x:v>https://www.google.com/maps</x:v>
      </x:c>
    </x:row>
    <x:row r="3">
      <x:c r="A3" s="28" t="n">
        <x:v>46232</x:v>
      </x:c>
      <x:c r="B3" s="27" t="str">
        <x:v>v10</x:v>
      </x:c>
      <x:c r="C3" s="27" t="str">
        <x:v>全200地点</x:v>
      </x:c>
      <x:c r="D3" s="27" t="str">
        <x:v>Wikipedia・関連項目リンクを全件補完</x:v>
      </x:c>
      <x:c r="E3" s="27" t="str">
        <x:v>Story Layerを後から検証・深化しやすくする</x:v>
      </x:c>
      <x:c r="F3" s="27" t="str">
        <x:v>https://ja.wikipedia.org/</x:v>
      </x:c>
    </x:row>
    <x:row r="4">
      <x:c r="A4" s="28" t="n">
        <x:v>46232</x:v>
      </x:c>
      <x:c r="B4" s="27" t="str">
        <x:v>v10</x:v>
      </x:c>
      <x:c r="C4" s="27" t="str">
        <x:v>D016 観音崎公園</x:v>
      </x:c>
      <x:c r="D4" s="27" t="str">
        <x:v>駐車場277台、5:00～19:00、灯台参観時間を分離</x:v>
      </x:c>
      <x:c r="E4" s="27" t="str">
        <x:v>公園と灯台で異なるHard Gateを明確化</x:v>
      </x:c>
      <x:c r="F4" s="27" t="str">
        <x:v>https://www.kanagawa-park.or.jp/kannonzaki/access.html</x:v>
      </x:c>
    </x:row>
    <x:row r="5">
      <x:c r="A5" s="28" t="n">
        <x:v>46232</x:v>
      </x:c>
      <x:c r="B5" s="27" t="str">
        <x:v>v10</x:v>
      </x:c>
      <x:c r="C5" s="27" t="str">
        <x:v>D087 中の島公園・中の島大橋</x:v>
      </x:c>
      <x:c r="D5" s="27" t="str">
        <x:v>2026年の通行再開と次期工事予定を反映</x:v>
      </x:c>
      <x:c r="E5" s="27" t="str">
        <x:v>現地到着後に橋を渡れない失敗を防ぐ</x:v>
      </x:c>
      <x:c r="F5" s="27" t="str">
        <x:v>https://www.city.kisarazu.lg.jp/kurashi/shisetsuannai/koen/6616.html</x:v>
      </x:c>
    </x:row>
    <x:row r="6">
      <x:c r="A6" s="28" t="n">
        <x:v>46232</x:v>
      </x:c>
      <x:c r="B6" s="27" t="str">
        <x:v>v10</x:v>
      </x:c>
      <x:c r="C6" s="27" t="str">
        <x:v>D121 所沢航空記念公園</x:v>
      </x:c>
      <x:c r="D6" s="27" t="str">
        <x:v>記念館改修と24時間駐車場の状態を再確認</x:v>
      </x:c>
      <x:c r="E6" s="27" t="str">
        <x:v>展示目的と夜間公園目的を分離</x:v>
      </x:c>
      <x:c r="F6" s="27" t="str">
        <x:v>https://www.parks.or.jp/tokorozawa-kokuu/guide/001/001581.html</x:v>
      </x:c>
    </x:row>
    <x:row r="7">
      <x:c r="A7" s="28" t="n">
        <x:v>46232</x:v>
      </x:c>
      <x:c r="B7" s="27" t="str">
        <x:v>v10</x:v>
      </x:c>
      <x:c r="C7" s="27" t="str">
        <x:v>D181～D200</x:v>
      </x:c>
      <x:c r="D7" s="27" t="str">
        <x:v>新規20地点を公式情報・Story Layer付きで追加</x:v>
      </x:c>
      <x:c r="E7" s="27" t="str">
        <x:v>PA偏重を避け、海・建築・灯台・ダム・治水を補強</x:v>
      </x:c>
      <x:c r="F7" s="27" t="str"/>
    </x:row>
    <x:row r="8">
      <x:c r="A8" s="28" t="n">
        <x:v>46232</x:v>
      </x:c>
      <x:c r="B8" s="27" t="str">
        <x:v>v10</x:v>
      </x:c>
      <x:c r="C8" s="27" t="str">
        <x:v>R097～R108</x:v>
      </x:c>
      <x:c r="D8" s="27" t="str">
        <x:v>新規12ルートを追加</x:v>
      </x:c>
      <x:c r="E8" s="27" t="str">
        <x:v>景観変化・時間帯・物語性・駐車確実性を組み合わせる</x:v>
      </x:c>
      <x:c r="F8" s="27" t="str"/>
    </x:row>
    <x:row r="9">
      <x:c r="A9" s="23" t="n">
        <x:v>46232</x:v>
      </x:c>
      <x:c r="B9" s="22" t="str">
        <x:v>v11</x:v>
      </x:c>
      <x:c r="C9" s="22" t="str">
        <x:v>D102 砧公園</x:v>
      </x:c>
      <x:c r="D9" s="22" t="str">
        <x:v>2026-03-19の駐車場利用再開を反映</x:v>
      </x:c>
      <x:c r="E9" s="22" t="str">
        <x:v>閉鎖済み情報を残さず現在の利用可否へ更新</x:v>
      </x:c>
      <x:c r="F9" s="22" t="str">
        <x:v>https://www.tokyo-park.or.jp/park/kinuta/news/2026/park_info_42.html</x:v>
      </x:c>
    </x:row>
    <x:row r="10">
      <x:c r="A10" s="23" t="n">
        <x:v>46232</x:v>
      </x:c>
      <x:c r="B10" s="22" t="str">
        <x:v>v11</x:v>
      </x:c>
      <x:c r="C10" s="22" t="str">
        <x:v>D084 佐倉ふるさと広場</x:v>
      </x:c>
      <x:c r="D10" s="22" t="str">
        <x:v>拡張整備中の条件を再点検</x:v>
      </x:c>
      <x:c r="E10" s="22" t="str">
        <x:v>工事中地点の当日確認を維持</x:v>
      </x:c>
      <x:c r="F10" s="22" t="str">
        <x:v>https://www.city.sakura.lg.jp/tourism/2/15396.html</x:v>
      </x:c>
    </x:row>
    <x:row r="11">
      <x:c r="A11" s="23" t="n">
        <x:v>46232</x:v>
      </x:c>
      <x:c r="B11" s="22" t="str">
        <x:v>v11</x:v>
      </x:c>
      <x:c r="C11" s="22" t="str">
        <x:v>D121 所沢航空記念公園</x:v>
      </x:c>
      <x:c r="D11" s="22" t="str">
        <x:v>記念館改修と24時間駐車場を再点検</x:v>
      </x:c>
      <x:c r="E11" s="22" t="str">
        <x:v>展示目的と夜間公園目的を分離</x:v>
      </x:c>
      <x:c r="F11" s="22" t="str">
        <x:v>https://www.parks.or.jp/tokorozawa-kokuu/guide/001/001581.html</x:v>
      </x:c>
    </x:row>
    <x:row r="12">
      <x:c r="A12" s="23" t="n">
        <x:v>46232</x:v>
      </x:c>
      <x:c r="B12" s="22" t="str">
        <x:v>v11</x:v>
      </x:c>
      <x:c r="C12" s="22" t="str">
        <x:v>D123 トーベ・ヤンソン公園</x:v>
      </x:c>
      <x:c r="D12" s="22" t="str">
        <x:v>2026年度の季節別休園・ライトアップ休止を再確認</x:v>
      </x:c>
      <x:c r="E12" s="22" t="str">
        <x:v>古い夜間評価を防ぐ</x:v>
      </x:c>
      <x:c r="F12" s="22" t="str">
        <x:v>https://www.city.hanno.lg.jp/akebono/annai/2113.html</x:v>
      </x:c>
    </x:row>
    <x:row r="13">
      <x:c r="A13" s="23" t="n">
        <x:v>46232</x:v>
      </x:c>
      <x:c r="B13" s="22" t="str">
        <x:v>v11</x:v>
      </x:c>
      <x:c r="C13" s="22" t="str">
        <x:v>D185 横須賀美術館 海の広場</x:v>
      </x:c>
      <x:c r="D13" s="22" t="str">
        <x:v>本館休館中の広場・駐車場利用条件を再確認</x:v>
      </x:c>
      <x:c r="E13" s="22" t="str">
        <x:v>展示休館と屋外目的地を分離</x:v>
      </x:c>
      <x:c r="F13" s="22" t="str">
        <x:v>https://www.yokosuka-moa.jp/archive/news/2026/data-20260701-226.html</x:v>
      </x:c>
    </x:row>
    <x:row r="14">
      <x:c r="A14" s="23" t="n">
        <x:v>46232</x:v>
      </x:c>
      <x:c r="B14" s="22" t="str">
        <x:v>v11</x:v>
      </x:c>
      <x:c r="C14" s="22" t="str">
        <x:v>D199 湾岸幕張PA（下り）</x:v>
      </x:c>
      <x:c r="D14" s="22" t="str">
        <x:v>進行方向・24時間PAの役割を再点検</x:v>
      </x:c>
      <x:c r="E14" s="22" t="str">
        <x:v>ルート成立性の明確化</x:v>
      </x:c>
      <x:c r="F14" s="22" t="str">
        <x:v>https://www.driveplaza.com/sapa/1120/1120016/2/</x:v>
      </x:c>
    </x:row>
    <x:row r="15">
      <x:c r="A15" s="23" t="n">
        <x:v>46232</x:v>
      </x:c>
      <x:c r="B15" s="22" t="str">
        <x:v>v11</x:v>
      </x:c>
      <x:c r="C15" s="22" t="str">
        <x:v>D201～D220</x:v>
      </x:c>
      <x:c r="D15" s="22" t="str">
        <x:v>新規20地点を追加</x:v>
      </x:c>
      <x:c r="E15" s="22" t="str">
        <x:v>飛行機・漁港・庭園・城址・防災・24時間公園を補強</x:v>
      </x:c>
      <x:c r="F15" s="22" t="str"/>
    </x:row>
    <x:row r="16">
      <x:c r="A16" s="23" t="n">
        <x:v>46232</x:v>
      </x:c>
      <x:c r="B16" s="22" t="str">
        <x:v>v11</x:v>
      </x:c>
      <x:c r="C16" s="22" t="str">
        <x:v>R109～R120</x:v>
      </x:c>
      <x:c r="D16" s="22" t="str">
        <x:v>新規12ルートを追加</x:v>
      </x:c>
      <x:c r="E16" s="22" t="str">
        <x:v>時間帯・地形変化・Story・駐車確実性を組み合わせる</x:v>
      </x:c>
      <x:c r="F16" s="22" t="str"/>
    </x:row>
    <x:row r="17">
      <x:c r="A17" s="23" t="n">
        <x:v>46232</x:v>
      </x:c>
      <x:c r="B17" s="22" t="str">
        <x:v>v12</x:v>
      </x:c>
      <x:c r="C17" s="22" t="str">
        <x:v>既存5地点</x:v>
      </x:c>
      <x:c r="D17" s="22" t="str">
        <x:v>営業時間・休館・進行方向・当日確認条件を再点検</x:v>
      </x:c>
      <x:c r="E17" s="22" t="str">
        <x:v>古い条件の再混入を防ぐ</x:v>
      </x:c>
      <x:c r="F17" s="22" t="str"/>
    </x:row>
    <x:row r="18">
      <x:c r="A18" s="23" t="n">
        <x:v>46232</x:v>
      </x:c>
      <x:c r="B18" s="22" t="str">
        <x:v>v12</x:v>
      </x:c>
      <x:c r="C18" s="22" t="str">
        <x:v>D221～D240</x:v>
      </x:c>
      <x:c r="D18" s="22" t="str">
        <x:v>新規20地点を追加</x:v>
      </x:c>
      <x:c r="E18" s="22" t="str">
        <x:v>干潟・運河・基地跡・高台・道の駅・里山を補強</x:v>
      </x:c>
      <x:c r="F18" s="22" t="str"/>
    </x:row>
    <x:row r="19">
      <x:c r="A19" s="23" t="n">
        <x:v>46232</x:v>
      </x:c>
      <x:c r="B19" s="22" t="str">
        <x:v>v12</x:v>
      </x:c>
      <x:c r="C19" s="22" t="str">
        <x:v>R121～R132</x:v>
      </x:c>
      <x:c r="D19" s="22" t="str">
        <x:v>新規12ルートを追加</x:v>
      </x:c>
      <x:c r="E19" s="22" t="str">
        <x:v>閉場時刻と24時間地点を組み合わせ、終了不能リスクを低減</x:v>
      </x:c>
      <x:c r="F19" s="22" t="str"/>
    </x:row>
    <x:row r="20">
      <x:c r="A20" s="23" t="n">
        <x:v>46232</x:v>
      </x:c>
      <x:c r="B20" s="22" t="str">
        <x:v>v12</x:v>
      </x:c>
      <x:c r="C20" s="22" t="str">
        <x:v>全240地点</x:v>
      </x:c>
      <x:c r="D20" s="22" t="str">
        <x:v>Googleマップ・Wikipediaリンクを全件再生成</x:v>
      </x:c>
      <x:c r="E20" s="22" t="str">
        <x:v>並べ替え後もリンク整合性を維持</x:v>
      </x:c>
      <x:c r="F20" s="22" t="str">
        <x:v>https://www.google.com/maps</x:v>
      </x:c>
    </x:row>
    <x:row r="21">
      <x:c r="A21" s="23" t="n">
        <x:v>46232</x:v>
      </x:c>
      <x:c r="B21" s="22" t="str">
        <x:v>v13</x:v>
      </x:c>
      <x:c r="C21" s="22" t="str">
        <x:v>全252地点</x:v>
      </x:c>
      <x:c r="D21" s="22" t="str">
        <x:v>蒲田基準で5段階の距離帯を概算分類</x:v>
      </x:c>
      <x:c r="E21" s="22" t="str">
        <x:v>近距離検索から遠方ノイズを除外</x:v>
      </x:c>
      <x:c r="F21" s="22" t="str"/>
    </x:row>
    <x:row r="22">
      <x:c r="A22" s="23" t="n">
        <x:v>46232</x:v>
      </x:c>
      <x:c r="B22" s="22" t="str">
        <x:v>v13</x:v>
      </x:c>
      <x:c r="C22" s="22" t="str">
        <x:v>全252地点</x:v>
      </x:c>
      <x:c r="D22" s="22" t="str">
        <x:v>所要時間・滞在・雨天・車内適性・代替地点を追加</x:v>
      </x:c>
      <x:c r="E22" s="22" t="str">
        <x:v>実際の出発判断に使える情報密度へ変更</x:v>
      </x:c>
      <x:c r="F22" s="22" t="str"/>
    </x:row>
    <x:row r="23">
      <x:c r="A23" s="23" t="n">
        <x:v>46232</x:v>
      </x:c>
      <x:c r="B23" s="22" t="str">
        <x:v>v13</x:v>
      </x:c>
      <x:c r="C23" s="22" t="str">
        <x:v>D241～D252</x:v>
      </x:c>
      <x:c r="D23" s="22" t="str">
        <x:v>大田区・羽田・多摩川・お台場・豊洲の12地点を追加</x:v>
      </x:c>
      <x:c r="E23" s="22" t="str">
        <x:v>近距離コア密度を補強</x:v>
      </x:c>
      <x:c r="F23" s="22" t="str"/>
    </x:row>
    <x:row r="24">
      <x:c r="A24" s="23" t="n">
        <x:v>46232</x:v>
      </x:c>
      <x:c r="B24" s="22" t="str">
        <x:v>v13</x:v>
      </x:c>
      <x:c r="C24" s="22" t="str">
        <x:v>R133～R144</x:v>
      </x:c>
      <x:c r="D24" s="22" t="str">
        <x:v>平日夜・深夜・雨天・飛行機・海辺の12ルートを追加</x:v>
      </x:c>
      <x:c r="E24" s="22" t="str">
        <x:v>総走行2時間前後で使えるルートへ転換</x:v>
      </x:c>
      <x:c r="F24" s="22" t="str"/>
    </x:row>
    <x:row r="25">
      <x:c r="A25" s="23" t="n">
        <x:v>46232</x:v>
      </x:c>
      <x:c r="B25" s="22" t="str">
        <x:v>v13</x:v>
      </x:c>
      <x:c r="C25" s="22" t="str">
        <x:v>既存240地点</x:v>
      </x:c>
      <x:c r="D25" s="22" t="str">
        <x:v>35km超を遠距離アーカイブへ分離</x:v>
      </x:c>
      <x:c r="E25" s="22" t="str">
        <x:v>広域観光DB化を止め、Project Cruise本来の用途へ戻す</x:v>
      </x:c>
      <x:c r="F25" s="22" t="str"/>
    </x:row>
    <x:row r="26">
      <x:c r="A26" s="23" t="n">
        <x:v>46232</x:v>
      </x:c>
      <x:c r="B26" s="22" t="str">
        <x:v>v13</x:v>
      </x:c>
      <x:c r="C26" s="22" t="str">
        <x:v>重複地点</x:v>
      </x:c>
      <x:c r="D26" s="22" t="str">
        <x:v>完全同名の重複候補を16件抽出</x:v>
      </x:c>
      <x:c r="E26" s="22" t="str">
        <x:v>次回以降の統合・役割分離対象を可視化</x:v>
      </x:c>
      <x:c r="F26" s="22" t="str"/>
    </x:row>
    <x:row r="27">
      <x:c r="A27" s="23" t="n">
        <x:v>46232</x:v>
      </x:c>
      <x:c r="B27" s="22" t="str">
        <x:v>v14</x:v>
      </x:c>
      <x:c r="C27" s="22" t="str">
        <x:v>近距離コア70地点</x:v>
      </x:c>
      <x:c r="D27" s="22" t="str">
        <x:v>8用途の目的地スコアを新規作成</x:v>
      </x:c>
      <x:c r="E27" s="22" t="str">
        <x:v>条件別に候補を即比較できるようにする</x:v>
      </x:c>
      <x:c r="F27" s="22" t="str"/>
    </x:row>
    <x:row r="28">
      <x:c r="A28" s="23" t="n">
        <x:v>46232</x:v>
      </x:c>
      <x:c r="B28" s="22" t="str">
        <x:v>v14</x:v>
      </x:c>
      <x:c r="C28" s="22" t="str">
        <x:v>近距離ルート35本</x:v>
      </x:c>
      <x:c r="D28" s="22" t="str">
        <x:v>8用途のルートスコアを新規作成</x:v>
      </x:c>
      <x:c r="E28" s="22" t="str">
        <x:v>平日夜・深夜・雨天などに合わないルートを分離</x:v>
      </x:c>
      <x:c r="F28" s="22" t="str"/>
    </x:row>
    <x:row r="29">
      <x:c r="A29" s="23" t="n">
        <x:v>46232</x:v>
      </x:c>
      <x:c r="B29" s="22" t="str">
        <x:v>v14</x:v>
      </x:c>
      <x:c r="C29" s="22" t="str">
        <x:v>今すぐ出発</x:v>
      </x:c>
      <x:c r="D29" s="22" t="str">
        <x:v>用途別トップ3地点＋推奨ルートを1画面化</x:v>
      </x:c>
      <x:c r="E29" s="22" t="str">
        <x:v>出発前の迷いを減らす</x:v>
      </x:c>
      <x:c r="F29" s="22" t="str"/>
    </x:row>
    <x:row r="30">
      <x:c r="A30" s="23" t="n">
        <x:v>46232</x:v>
      </x:c>
      <x:c r="B30" s="22" t="str">
        <x:v>v14</x:v>
      </x:c>
      <x:c r="C30" s="22" t="str">
        <x:v>コア採点DB</x:v>
      </x:c>
      <x:c r="D30" s="22" t="str">
        <x:v>駐車確実性と閉場余裕を独立評価</x:v>
      </x:c>
      <x:c r="E30" s="22" t="str">
        <x:v>夜間適性だけでは見えない実用差を可視化</x:v>
      </x:c>
      <x:c r="F30" s="22" t="str"/>
    </x:row>
    <x:row r="31">
      <x:c r="A31" s="23" t="n">
        <x:v>46232</x:v>
      </x:c>
      <x:c r="B31" s="22" t="str">
        <x:v>v14</x:v>
      </x:c>
      <x:c r="C31" s="22" t="str">
        <x:v>採点ロジック</x:v>
      </x:c>
      <x:c r="D31" s="22" t="str">
        <x:v>重みと基礎点の定義を明文化</x:v>
      </x:c>
      <x:c r="E31" s="22" t="str">
        <x:v>今後の公式情報更新時に再採点可能にする</x:v>
      </x:c>
      <x:c r="F31" s="22" t="str"/>
    </x:row>
    <x:row r="32">
      <x:c r="A32" s="23" t="n">
        <x:v>46232</x:v>
      </x:c>
      <x:c r="B32" s="22" t="str">
        <x:v>v15</x:v>
      </x:c>
      <x:c r="C32" s="22" t="str">
        <x:v>近距離コア70地点</x:v>
      </x:c>
      <x:c r="D32" s="22" t="str">
        <x:v>7条件によるカスタム採点を追加</x:v>
      </x:c>
      <x:c r="E32" s="22" t="str">
        <x:v>ユーザーの現在条件から候補を動的生成</x:v>
      </x:c>
      <x:c r="F32" s="22" t="str"/>
    </x:row>
    <x:row r="33">
      <x:c r="A33" s="23" t="n">
        <x:v>46232</x:v>
      </x:c>
      <x:c r="B33" s="22" t="str">
        <x:v>v15</x:v>
      </x:c>
      <x:c r="C33" s="22" t="str">
        <x:v>近距離ルート35本</x:v>
      </x:c>
      <x:c r="D33" s="22" t="str">
        <x:v>総時間・天候・気分・高速選好による動的採点を追加</x:v>
      </x:c>
      <x:c r="E33" s="22" t="str">
        <x:v>ルート選定を固定ランキングから条件連動へ進化</x:v>
      </x:c>
      <x:c r="F33" s="22" t="str"/>
    </x:row>
    <x:row r="34">
      <x:c r="A34" s="23" t="n">
        <x:v>46232</x:v>
      </x:c>
      <x:c r="B34" s="22" t="str">
        <x:v>v15</x:v>
      </x:c>
      <x:c r="C34" s="22" t="str">
        <x:v>条件入力ナビ</x:v>
      </x:c>
      <x:c r="D34" s="22" t="str">
        <x:v>上位5地点・上位3ルートを自動表示</x:v>
      </x:c>
      <x:c r="E34" s="22" t="str">
        <x:v>今すぐ出発できる画面を作る</x:v>
      </x:c>
      <x:c r="F34" s="22" t="str"/>
    </x:row>
    <x:row r="35">
      <x:c r="A35" s="23" t="n">
        <x:v>46232</x:v>
      </x:c>
      <x:c r="B35" s="22" t="str">
        <x:v>v15</x:v>
      </x:c>
      <x:c r="C35" s="22" t="str">
        <x:v>ベストプラン12</x:v>
      </x:c>
      <x:c r="D35" s="22" t="str">
        <x:v>実用場面のプリセットを追加</x:v>
      </x:c>
      <x:c r="E35" s="22" t="str">
        <x:v>ユーザーが入力条件を考える負担を軽減</x:v>
      </x:c>
      <x:c r="F35" s="22" t="str"/>
    </x:row>
    <x:row r="36">
      <x:c r="A36" s="23" t="n">
        <x:v>46232</x:v>
      </x:c>
      <x:c r="B36" s="22" t="str">
        <x:v>v15</x:v>
      </x:c>
      <x:c r="C36" s="22" t="str">
        <x:v>主力地点カード</x:v>
      </x:c>
      <x:c r="D36" s="22" t="str">
        <x:v>上位20地点を失敗条件・代替付きで再編集</x:v>
      </x:c>
      <x:c r="E36" s="22" t="str">
        <x:v>満車・閉場時の切替を速くする</x:v>
      </x:c>
      <x:c r="F36" s="22" t="str"/>
    </x:row>
    <x:row r="37">
      <x:c r="A37" s="23" t="n">
        <x:v>46232</x:v>
      </x:c>
      <x:c r="B37" s="22" t="str">
        <x:v>v16</x:v>
      </x:c>
      <x:c r="C37" s="22" t="str">
        <x:v>近距離35ルート</x:v>
      </x:c>
      <x:c r="D37" s="22" t="str">
        <x:v>Hard Gate・最低駐車確実性・強風リスクを監査</x:v>
      </x:c>
      <x:c r="E37" s="22" t="str">
        <x:v>良さではなく失敗しにくさを可視化</x:v>
      </x:c>
      <x:c r="F37" s="22" t="str"/>
    </x:row>
    <x:row r="38">
      <x:c r="A38" s="23" t="n">
        <x:v>46232</x:v>
      </x:c>
      <x:c r="B38" s="22" t="str">
        <x:v>v16</x:v>
      </x:c>
      <x:c r="C38" s="22" t="str">
        <x:v>実走プラン</x:v>
      </x:c>
      <x:c r="D38" s="22" t="str">
        <x:v>出発時刻と渋滞余裕からタイムラインを自動作成</x:v>
      </x:c>
      <x:c r="E38" s="22" t="str">
        <x:v>選択後の行動まで一枚で完結</x:v>
      </x:c>
      <x:c r="F38" s="22" t="str"/>
    </x:row>
    <x:row r="39">
      <x:c r="A39" s="23" t="n">
        <x:v>46232</x:v>
      </x:c>
      <x:c r="B39" s="22" t="str">
        <x:v>v16</x:v>
      </x:c>
      <x:c r="C39" s="22" t="str">
        <x:v>出発前ゲート</x:v>
      </x:c>
      <x:c r="D39" s="22" t="str">
        <x:v>時間・閉場・天候・駐車のGO判定を追加</x:v>
      </x:c>
      <x:c r="E39" s="22" t="str">
        <x:v>無理な出発を事前に止める</x:v>
      </x:c>
      <x:c r="F39" s="22" t="str"/>
    </x:row>
    <x:row r="40">
      <x:c r="A40" s="23" t="n">
        <x:v>46232</x:v>
      </x:c>
      <x:c r="B40" s="22" t="str">
        <x:v>v16</x:v>
      </x:c>
      <x:c r="C40" s="22" t="str">
        <x:v>Plan B</x:v>
      </x:c>
      <x:c r="D40" s="22" t="str">
        <x:v>次順位ルートと満車時代替地点を自動表示</x:v>
      </x:c>
      <x:c r="E40" s="22" t="str">
        <x:v>満車・閉場時の立て直しを高速化</x:v>
      </x:c>
      <x:c r="F40" s="22" t="str"/>
    </x:row>
    <x:row r="41">
      <x:c r="A41" s="23" t="n">
        <x:v>46232</x:v>
      </x:c>
      <x:c r="B41" s="22" t="str">
        <x:v>v16</x:v>
      </x:c>
      <x:c r="C41" s="22" t="str">
        <x:v>ルート実現性監査</x:v>
      </x:c>
      <x:c r="D41" s="22" t="str">
        <x:v>35ルートの弱点・代替・実現性スコアを一覧化</x:v>
      </x:c>
      <x:c r="E41" s="22" t="str">
        <x:v>今後のルート削除・統合判断に使う</x:v>
      </x:c>
      <x:c r="F41" s="22" t="str"/>
    </x:row>
    <x:row r="42">
      <x:c r="A42" s="23" t="n">
        <x:v>46232</x:v>
      </x:c>
      <x:c r="B42" s="22" t="str">
        <x:v>v17</x:v>
      </x:c>
      <x:c r="C42" s="22" t="str">
        <x:v>近距離8ルート</x:v>
      </x:c>
      <x:c r="D42" s="22" t="str">
        <x:v>弱い経由地を差替え</x:v>
      </x:c>
      <x:c r="E42" s="22" t="str">
        <x:v>駐車・閉場・進行方向・Ending品質を同時改善</x:v>
      </x:c>
      <x:c r="F42" s="22" t="str"/>
    </x:row>
    <x:row r="43">
      <x:c r="A43" s="23" t="n">
        <x:v>46232</x:v>
      </x:c>
      <x:c r="B43" s="22" t="str">
        <x:v>v17</x:v>
      </x:c>
      <x:c r="C43" s="22" t="str">
        <x:v>近距離9ルート</x:v>
      </x:c>
      <x:c r="D43" s="22" t="str">
        <x:v>共有駐車・昼専用・休日専用の役割を明記</x:v>
      </x:c>
      <x:c r="E43" s="22" t="str">
        <x:v>機械判定で誤って弱いと扱わない設計へ</x:v>
      </x:c>
      <x:c r="F43" s="22" t="str"/>
    </x:row>
    <x:row r="44">
      <x:c r="A44" s="23" t="n">
        <x:v>46232</x:v>
      </x:c>
      <x:c r="B44" s="22" t="str">
        <x:v>v17</x:v>
      </x:c>
      <x:c r="C44" s="22" t="str">
        <x:v>全近距離経由地</x:v>
      </x:c>
      <x:c r="D44" s="22" t="str">
        <x:v>6軸品質監査を追加</x:v>
      </x:c>
      <x:c r="E44" s="22" t="str">
        <x:v>立寄る価値とルート内の役割を可視化</x:v>
      </x:c>
      <x:c r="F44" s="22" t="str"/>
    </x:row>
    <x:row r="45">
      <x:c r="A45" s="23" t="n">
        <x:v>46232</x:v>
      </x:c>
      <x:c r="B45" s="22" t="str">
        <x:v>v17</x:v>
      </x:c>
      <x:c r="C45" s="22" t="str">
        <x:v>森ケ崎ほか6地点</x:v>
      </x:c>
      <x:c r="D45" s="22" t="str">
        <x:v>公式Operational Truthを再確認</x:v>
      </x:c>
      <x:c r="E45" s="22" t="str">
        <x:v>駐車場・利用時間・車両制限を更新</x:v>
      </x:c>
      <x:c r="F45" s="22" t="str"/>
    </x:row>
    <x:row r="46">
      <x:c r="A46" s="23" t="n">
        <x:v>46232</x:v>
      </x:c>
      <x:c r="B46" s="22" t="str">
        <x:v>v17</x:v>
      </x:c>
      <x:c r="C46" s="22" t="str">
        <x:v>条件入力・実走プラン</x:v>
      </x:c>
      <x:c r="D46" s="22" t="str">
        <x:v>経由地品質を動的スコアへ反映</x:v>
      </x:c>
      <x:c r="E46" s="22" t="str">
        <x:v>選定段階から低品質経由地を下げる</x:v>
      </x:c>
      <x:c r="F46" s="22" t="str"/>
    </x:row>
    <x:row r="47">
      <x:c r="A47" s="23" t="n">
        <x:v>46232</x:v>
      </x:c>
      <x:c r="B47" s="22" t="str">
        <x:v>v18</x:v>
      </x:c>
      <x:c r="C47" s="22" t="str">
        <x:v>全近距離ルート</x:v>
      </x:c>
      <x:c r="D47" s="22" t="str">
        <x:v>経由地ごとの役割・滞在・駐車・省略条件を設計</x:v>
      </x:c>
      <x:c r="E47" s="22" t="str">
        <x:v>立寄り時に何をするかを明確化</x:v>
      </x:c>
      <x:c r="F47" s="22" t="str"/>
    </x:row>
    <x:row r="48">
      <x:c r="A48" s="23" t="n">
        <x:v>46232</x:v>
      </x:c>
      <x:c r="B48" s="22" t="str">
        <x:v>v18</x:v>
      </x:c>
      <x:c r="C48" s="22" t="str">
        <x:v>全近距離経由地</x:v>
      </x:c>
      <x:c r="D48" s="22" t="str">
        <x:v>使用頻度と使い回し度を集計</x:v>
      </x:c>
      <x:c r="E48" s="22" t="str">
        <x:v>同じ地点ばかりの推薦を抑制</x:v>
      </x:c>
      <x:c r="F48" s="22" t="str"/>
    </x:row>
    <x:row r="49">
      <x:c r="A49" s="23" t="n">
        <x:v>46232</x:v>
      </x:c>
      <x:c r="B49" s="22" t="str">
        <x:v>v18</x:v>
      </x:c>
      <x:c r="C49" s="22" t="str">
        <x:v>R001/R004</x:v>
      </x:c>
      <x:c r="D49" s="22" t="str">
        <x:v>名称不統一と停車不能経由地を修正</x:v>
      </x:c>
      <x:c r="E49" s="22" t="str">
        <x:v>近距離判定・Google Mapsルートの品質改善</x:v>
      </x:c>
      <x:c r="F49" s="22" t="str"/>
    </x:row>
    <x:row r="50">
      <x:c r="A50" s="23" t="n">
        <x:v>46232</x:v>
      </x:c>
      <x:c r="B50" s="22" t="str">
        <x:v>v18</x:v>
      </x:c>
      <x:c r="C50" s="22" t="str">
        <x:v>R005/R080</x:v>
      </x:c>
      <x:c r="D50" s="22" t="str">
        <x:v>進行方向と時間帯を再設計</x:v>
      </x:c>
      <x:c r="E50" s="22" t="str">
        <x:v>逆走・営業時間不一致を解消</x:v>
      </x:c>
      <x:c r="F50" s="22" t="str"/>
    </x:row>
    <x:row r="51">
      <x:c r="A51" s="23" t="n">
        <x:v>46232</x:v>
      </x:c>
      <x:c r="B51" s="22" t="str">
        <x:v>v18</x:v>
      </x:c>
      <x:c r="C51" s="22" t="str">
        <x:v>条件入力ナビ</x:v>
      </x:c>
      <x:c r="D51" s="22" t="str">
        <x:v>経由地多様性15%と使用過多罰を採点へ追加</x:v>
      </x:c>
      <x:c r="E51" s="22" t="str">
        <x:v>TOP3の体験重複を減らす</x:v>
      </x:c>
      <x:c r="F51" s="22" t="str"/>
    </x:row>
    <x:row r="52">
      <x:c r="A52" s="23" t="n">
        <x:v>46232</x:v>
      </x:c>
      <x:c r="B52" s="22" t="str">
        <x:v>v18</x:v>
      </x:c>
      <x:c r="C52" s="22" t="str">
        <x:v>若洲ほか4地点</x:v>
      </x:c>
      <x:c r="D52" s="22" t="str">
        <x:v>公式情報を再確認</x:v>
      </x:c>
      <x:c r="E52" s="22" t="str">
        <x:v>駐車場・工事・閉場条件を更新</x:v>
      </x:c>
      <x:c r="F52" s="22" t="str"/>
    </x:row>
    <x:row r="53">
      <x:c r="A53" s="23" t="n">
        <x:v>46232</x:v>
      </x:c>
      <x:c r="B53" s="22" t="str">
        <x:v>v19</x:v>
      </x:c>
      <x:c r="C53" s="22" t="str">
        <x:v>R144</x:v>
      </x:c>
      <x:c r="D53" s="22" t="str">
        <x:v>HIC経由を大森浜辺・森ケ崎へ差替え</x:v>
      </x:c>
      <x:c r="E53" s="22" t="str">
        <x:v>夕方用の大田区Storyルートに役割分離</x:v>
      </x:c>
      <x:c r="F53" s="22" t="str"/>
    </x:row>
    <x:row r="54">
      <x:c r="A54" s="23" t="n">
        <x:v>46232</x:v>
      </x:c>
      <x:c r="B54" s="22" t="str">
        <x:v>v19</x:v>
      </x:c>
      <x:c r="C54" s="22" t="str">
        <x:v>R142</x:v>
      </x:c>
      <x:c r="D54" s="22" t="str">
        <x:v>HIC・城南島をT3・東扇島西へ差替え</x:v>
      </x:c>
      <x:c r="E54" s="22" t="str">
        <x:v>24時間地点だけで深夜Hard Gateを排除</x:v>
      </x:c>
      <x:c r="F54" s="22" t="str"/>
    </x:row>
    <x:row r="55">
      <x:c r="A55" s="23" t="n">
        <x:v>46232</x:v>
      </x:c>
      <x:c r="B55" s="22" t="str">
        <x:v>v19</x:v>
      </x:c>
      <x:c r="C55" s="22" t="str">
        <x:v>優先15ルート</x:v>
      </x:c>
      <x:c r="D55" s="22" t="str">
        <x:v>経由地運用カードを追加</x:v>
      </x:c>
      <x:c r="E55" s="22" t="str">
        <x:v>到着後5分・滞在上限・省略条件を固定</x:v>
      </x:c>
      <x:c r="F55" s="22" t="str"/>
    </x:row>
    <x:row r="56">
      <x:c r="A56" s="23" t="n">
        <x:v>46232</x:v>
      </x:c>
      <x:c r="B56" s="22" t="str">
        <x:v>v19</x:v>
      </x:c>
      <x:c r="C56" s="22" t="str">
        <x:v>近距離全ルート</x:v>
      </x:c>
      <x:c r="D56" s="22" t="str">
        <x:v>方向・時間帯監査を追加</x:v>
      </x:c>
      <x:c r="E56" s="22" t="str">
        <x:v>PA方向と閉場時刻による失敗を事前に可視化</x:v>
      </x:c>
      <x:c r="F56" s="22" t="str"/>
    </x:row>
    <x:row r="57">
      <x:c r="A57" s="23" t="n">
        <x:v>46232</x:v>
      </x:c>
      <x:c r="B57" s="22" t="str">
        <x:v>v19</x:v>
      </x:c>
      <x:c r="C57" s="22" t="str">
        <x:v>T3・東扇島西</x:v>
      </x:c>
      <x:c r="D57" s="22" t="str">
        <x:v>公式Operational Truthを再確認</x:v>
      </x:c>
      <x:c r="E57" s="22" t="str">
        <x:v>24時間深夜ルートの根拠を更新</x:v>
      </x:c>
      <x:c r="F57" s="22" t="str"/>
    </x:row>
    <x:row r="58">
      <x:c r="A58" s="23" t="n">
        <x:v>46232</x:v>
      </x:c>
      <x:c r="B58" s="22" t="str">
        <x:v>v20</x:v>
      </x:c>
      <x:c r="C58" s="22" t="str">
        <x:v>D253～D258</x:v>
      </x:c>
      <x:c r="D58" s="22" t="str">
        <x:v>近距離6地点を追加</x:v>
      </x:c>
      <x:c r="E58" s="22" t="str">
        <x:v>既存ルートの代替経由地機能を補強</x:v>
      </x:c>
      <x:c r="F58" s="22" t="str"/>
    </x:row>
    <x:row r="59">
      <x:c r="A59" s="23" t="n">
        <x:v>46232</x:v>
      </x:c>
      <x:c r="B59" s="22" t="str">
        <x:v>v20</x:v>
      </x:c>
      <x:c r="C59" s="22" t="str">
        <x:v>R056</x:v>
      </x:c>
      <x:c r="D59" s="22" t="str">
        <x:v>ふれーゆ・大さん橋・シンボルタワーへ再設計</x:v>
      </x:c>
      <x:c r="E59" s="22" t="str">
        <x:v>雨天耐性と港湾Storyを強化</x:v>
      </x:c>
      <x:c r="F59" s="22" t="str"/>
    </x:row>
    <x:row r="60">
      <x:c r="A60" s="23" t="n">
        <x:v>46232</x:v>
      </x:c>
      <x:c r="B60" s="22" t="str">
        <x:v>v20</x:v>
      </x:c>
      <x:c r="C60" s="22" t="str">
        <x:v>R059</x:v>
      </x:c>
      <x:c r="D60" s="22" t="str">
        <x:v>ちどり・東扇島中・川崎マリエンへ再設計</x:v>
      </x:c>
      <x:c r="E60" s="22" t="str">
        <x:v>運河から高所への景観変化を作る</x:v>
      </x:c>
      <x:c r="F60" s="22" t="str"/>
    </x:row>
    <x:row r="61">
      <x:c r="A61" s="23" t="n">
        <x:v>46232</x:v>
      </x:c>
      <x:c r="B61" s="22" t="str">
        <x:v>v20</x:v>
      </x:c>
      <x:c r="C61" s="22" t="str">
        <x:v>R138/R139</x:v>
      </x:c>
      <x:c r="D61" s="22" t="str">
        <x:v>平和島・勝島・大井ふ頭を組み込み</x:v>
      </x:c>
      <x:c r="E61" s="22" t="str">
        <x:v>大田・品川の近距離密度を向上</x:v>
      </x:c>
      <x:c r="F61" s="22" t="str"/>
    </x:row>
    <x:row r="62">
      <x:c r="A62" s="23" t="n">
        <x:v>46232</x:v>
      </x:c>
      <x:c r="B62" s="22" t="str">
        <x:v>v20</x:v>
      </x:c>
      <x:c r="C62" s="22" t="str">
        <x:v>全コア地点</x:v>
      </x:c>
      <x:c r="D62" s="22" t="str">
        <x:v>近距離DB・採点・条件入力を再構築</x:v>
      </x:c>
      <x:c r="E62" s="22" t="str">
        <x:v>新規6地点を即時選定対象へ反映</x:v>
      </x:c>
      <x:c r="F62" s="22" t="str"/>
    </x:row>
    <x:row r="63">
      <x:c r="A63" s="23" t="n">
        <x:v>46232</x:v>
      </x:c>
      <x:c r="B63" s="22" t="str">
        <x:v>v20</x:v>
      </x:c>
      <x:c r="C63" s="22" t="str">
        <x:v>公式情報</x:v>
      </x:c>
      <x:c r="D63" s="22" t="str">
        <x:v>駐車台数・閉場・工事・最終入庫を確認</x:v>
      </x:c>
      <x:c r="E63" s="22" t="str">
        <x:v>Operational Truthを更新</x:v>
      </x:c>
      <x:c r="F63" s="22" t="str"/>
    </x:row>
    <x:row r="64">
      <x:c r="A64" s="23" t="n">
        <x:v>46232</x:v>
      </x:c>
      <x:c r="B64" s="22" t="str">
        <x:v>v21</x:v>
      </x:c>
      <x:c r="C64" s="22" t="str">
        <x:v>D259～D275</x:v>
      </x:c>
      <x:c r="D64" s="22" t="str">
        <x:v>4区17地点を追加</x:v>
      </x:c>
      <x:c r="E64" s="22" t="str">
        <x:v>大田・品川・港・新宿の近距離密度を補強</x:v>
      </x:c>
      <x:c r="F64" s="22" t="str"/>
    </x:row>
    <x:row r="65">
      <x:c r="A65" s="23" t="n">
        <x:v>46232</x:v>
      </x:c>
      <x:c r="B65" s="22" t="str">
        <x:v>v21</x:v>
      </x:c>
      <x:c r="C65" s="22" t="str">
        <x:v>R145～R152</x:v>
      </x:c>
      <x:c r="D65" s="22" t="str">
        <x:v>4区8ルートを追加</x:v>
      </x:c>
      <x:c r="E65" s="22" t="str">
        <x:v>昼・夜・雨天・Story・建築を用途分離</x:v>
      </x:c>
      <x:c r="F65" s="22" t="str"/>
    </x:row>
    <x:row r="66">
      <x:c r="A66" s="23" t="n">
        <x:v>46232</x:v>
      </x:c>
      <x:c r="B66" s="22" t="str">
        <x:v>v21</x:v>
      </x:c>
      <x:c r="C66" s="22" t="str">
        <x:v>六本木ヒルズ 東京シティビュー</x:v>
      </x:c>
      <x:c r="D66" s="22" t="str">
        <x:v>7月31日まで休館、8月1日再開予定を反映</x:v>
      </x:c>
      <x:c r="E66" s="22" t="str">
        <x:v>現在利用不能な候補の誤推薦を防ぐ</x:v>
      </x:c>
      <x:c r="F66" s="22" t="str"/>
    </x:row>
    <x:row r="67">
      <x:c r="A67" s="23" t="n">
        <x:v>46232</x:v>
      </x:c>
      <x:c r="B67" s="22" t="str">
        <x:v>v21</x:v>
      </x:c>
      <x:c r="C67" s="22" t="str">
        <x:v>東京タワー</x:v>
      </x:c>
      <x:c r="D67" s="22" t="str">
        <x:v>地下駐車場休止と地上駐車料金を更新</x:v>
      </x:c>
      <x:c r="E67" s="22" t="str">
        <x:v>満車時の代替判断を明確化</x:v>
      </x:c>
      <x:c r="F67" s="22" t="str"/>
    </x:row>
    <x:row r="68">
      <x:c r="A68" s="23" t="n">
        <x:v>46232</x:v>
      </x:c>
      <x:c r="B68" s="22" t="str">
        <x:v>v21</x:v>
      </x:c>
      <x:c r="C68" s="22" t="str">
        <x:v>東京都庁展望室・新宿御苑</x:v>
      </x:c>
      <x:c r="D68" s="22" t="str">
        <x:v>駐車時間・出庫制限・季節営業時間を更新</x:v>
      </x:c>
      <x:c r="E68" s="22" t="str">
        <x:v>新宿区ルートのHard Gateを明確化</x:v>
      </x:c>
      <x:c r="F68" s="22" t="str"/>
    </x:row>
    <x:row r="69">
      <x:c r="A69" s="23" t="n">
        <x:v>46232</x:v>
      </x:c>
      <x:c r="B69" s="22" t="str">
        <x:v>v21</x:v>
      </x:c>
      <x:c r="C69" s="22" t="str">
        <x:v>全近距離DB</x:v>
      </x:c>
      <x:c r="D69" s="22" t="str">
        <x:v>採点・条件入力・ルート計算を再構築</x:v>
      </x:c>
      <x:c r="E69" s="22" t="str">
        <x:v>17地点と8ルートを即時利用可能にする</x:v>
      </x:c>
      <x:c r="F69" s="22" t="str"/>
    </x:row>
    <x:row r="70">
      <x:c r="A70" s="20" t="n">
        <x:v>46232</x:v>
      </x:c>
      <x:c r="B70" t="str">
        <x:v>v21.1</x:v>
      </x:c>
      <x:c r="C70" t="str">
        <x:v>明治神宮外苑 聖徳記念絵画館</x:v>
      </x:c>
      <x:c r="D70" t="str">
        <x:v>駐車料金・工事中収容台数を修正</x:v>
      </x:c>
      <x:c r="E70" t="str">
        <x:v>最新公式案内で普通車2,000円、通常396台から約100台減少を確認</x:v>
      </x:c>
      <x:c r="F70" t="str">
        <x:v>https://www.meijijingugaien.jp/parking/</x:v>
      </x:c>
    </x:row>
    <x:row r="71">
      <x:c r="A71" s="23" t="n">
        <x:v>46232</x:v>
      </x:c>
      <x:c r="B71" s="22" t="str">
        <x:v>v22</x:v>
      </x:c>
      <x:c r="C71" s="22" t="str">
        <x:v>萩中公園</x:v>
      </x:c>
      <x:c r="D71" s="22" t="str">
        <x:v>公園・駐車・施設別時間を分離</x:v>
      </x:c>
      <x:c r="E71" s="22" t="str">
        <x:v>夜間適性を過大評価せず、交通Storyは昼～夕方向けに修正</x:v>
      </x:c>
      <x:c r="F71" s="22" t="str">
        <x:v>https://www.city.ota.tokyo.jp/shisetsu/park/haginaka.html</x:v>
      </x:c>
    </x:row>
    <x:row r="72">
      <x:c r="A72" s="23" t="n">
        <x:v>46232</x:v>
      </x:c>
      <x:c r="B72" s="22" t="str">
        <x:v>v22</x:v>
      </x:c>
      <x:c r="C72" s="22" t="str">
        <x:v>東糀谷防災公園</x:v>
      </x:c>
      <x:c r="D72" s="22" t="str">
        <x:v>駐車台数内訳を修正</x:v>
      </x:c>
      <x:c r="E72" s="22" t="str">
        <x:v>一般9台＋身障者1台として満車リスクを明確化</x:v>
      </x:c>
      <x:c r="F72" s="22" t="str">
        <x:v>https://www.city.ota.tokyo.jp/shisetsu/park/higasikoujiyabousai.html</x:v>
      </x:c>
    </x:row>
    <x:row r="73">
      <x:c r="A73" s="23" t="n">
        <x:v>46232</x:v>
      </x:c>
      <x:c r="B73" s="22" t="str">
        <x:v>v22</x:v>
      </x:c>
      <x:c r="C73" s="22" t="str">
        <x:v>東京タワー</x:v>
      </x:c>
      <x:c r="D73" s="22" t="str">
        <x:v>地下駐車場休止を独立管理</x:v>
      </x:c>
      <x:c r="E73" s="22" t="str">
        <x:v>R149の駐車前提と代替行動を修正</x:v>
      </x:c>
      <x:c r="F73" s="22" t="str">
        <x:v>https://www.tokyotower.co.jp/information/20260601000623/</x:v>
      </x:c>
    </x:row>
    <x:row r="74">
      <x:c r="A74" s="23" t="n">
        <x:v>46232</x:v>
      </x:c>
      <x:c r="B74" s="22" t="str">
        <x:v>v22</x:v>
      </x:c>
      <x:c r="C74" s="22" t="str">
        <x:v>東京都庁展望室</x:v>
      </x:c>
      <x:c r="D74" s="22" t="str">
        <x:v>入庫・出庫Hard Gateを更新</x:v>
      </x:c>
      <x:c r="E74" s="22" t="str">
        <x:v>入庫21:30、出庫22:00をルート運用へ反映</x:v>
      </x:c>
      <x:c r="F74" s="22" t="str">
        <x:v>https://www.zaimu.metro.tokyo.lg.jp/tochousha/goannai/shisetsu</x:v>
      </x:c>
    </x:row>
    <x:row r="75">
      <x:c r="A75" s="23" t="n">
        <x:v>46232</x:v>
      </x:c>
      <x:c r="B75" s="22" t="str">
        <x:v>v22</x:v>
      </x:c>
      <x:c r="C75" s="22" t="str">
        <x:v>天王洲公園・八潮北公園</x:v>
      </x:c>
      <x:c r="D75" s="22" t="str">
        <x:v>公式駐車条件の確証不足を明記</x:v>
      </x:c>
      <x:c r="E75" s="22" t="str">
        <x:v>大会・満車時の省略ルールを維持し、過大評価を防止</x:v>
      </x:c>
      <x:c r="F75" s="22" t="str">
        <x:v>https://www.city.shinagawa.tokyo.jp/ct/pdf/index_1110.pdf</x:v>
      </x:c>
    </x:row>
    <x:row r="76">
      <x:c r="A76" s="23" t="n">
        <x:v>46232</x:v>
      </x:c>
      <x:c r="B76" s="22" t="str">
        <x:v>v23</x:v>
      </x:c>
      <x:c r="C76" s="22" t="str">
        <x:v>駐車採用基準</x:v>
      </x:c>
      <x:c r="D76" s="22" t="str">
        <x:v>合法な時間制限駐車区間を採用対象へ追加</x:v>
      </x:c>
      <x:c r="E76" s="22" t="str">
        <x:v>専用駐車場偏重を修正し、短時間アクセス可能性を別軸で評価</x:v>
      </x:c>
      <x:c r="F76" s="22" t="str">
        <x:v>https://www.keishicho.metro.tokyo.lg.jp/kotsu/hairyo/tadashi_pking/jikanseigenchusha.html</x:v>
      </x:c>
    </x:row>
    <x:row r="77">
      <x:c r="A77" s="23" t="n">
        <x:v>46232</x:v>
      </x:c>
      <x:c r="B77" s="22" t="str">
        <x:v>v23</x:v>
      </x:c>
      <x:c r="C77" s="22" t="str">
        <x:v>合法路上駐車アクセス</x:v>
      </x:c>
      <x:c r="D77" s="22" t="str">
        <x:v>10区間をA/B分類</x:v>
      </x:c>
      <x:c r="E77" s="22" t="str">
        <x:v>枠・時間・料金・休日条件・夜間可否を分離</x:v>
      </x:c>
      <x:c r="F77" s="22" t="str">
        <x:v>https://www.keishicho.metro.tokyo.lg.jp/kotsu/hairyo/tadashi_pking/chizu.html</x:v>
      </x:c>
    </x:row>
    <x:row r="78">
      <x:c r="A78" s="23" t="n">
        <x:v>46232</x:v>
      </x:c>
      <x:c r="B78" s="22" t="str">
        <x:v>v23</x:v>
      </x:c>
      <x:c r="C78" s="22" t="str">
        <x:v>条件入力ナビ</x:v>
      </x:c>
      <x:c r="D78" s="22" t="str">
        <x:v>路上短時間駐車の許容設定を追加</x:v>
      </x:c>
      <x:c r="E78" s="22" t="str">
        <x:v>専用駐車優先・許容・除外を選べるようにした</x:v>
      </x:c>
      <x:c r="F78" s="22" t="str">
        <x:v>https://www.keishicho.metro.tokyo.lg.jp/kotsu/hairyo/tadashi_pking/shiyohoho.html</x:v>
      </x:c>
    </x:row>
    <x:row r="79">
      <x:c r="A79" s="23" t="n">
        <x:v>46232</x:v>
      </x:c>
      <x:c r="B79" s="22" t="str">
        <x:v>v23</x:v>
      </x:c>
      <x:c r="C79" s="22" t="str">
        <x:v>既存6地点</x:v>
      </x:c>
      <x:c r="D79" s="22" t="str">
        <x:v>合法路上アクセス列を追加</x:v>
      </x:c>
      <x:c r="E79" s="22" t="str">
        <x:v>駐車確実性と短時間アクセス可能性を混同しない設計へ変更</x:v>
      </x:c>
      <x:c r="F79" s="22" t="str"/>
    </x:row>
    <x:row r="80">
      <x:c r="A80" s="23" t="n">
        <x:v>46232</x:v>
      </x:c>
      <x:c r="B80" s="22" t="str">
        <x:v>v23</x:v>
      </x:c>
      <x:c r="C80" s="22" t="str">
        <x:v>R148/R149/R151/R152</x:v>
      </x:c>
      <x:c r="D80" s="22" t="str">
        <x:v>路上駐車の適用範囲を明記</x:v>
      </x:c>
      <x:c r="E80" s="22" t="str">
        <x:v>長時間・夜間ルートで誤って路上枠を前提にしない</x:v>
      </x:c>
      <x:c r="F80" s="22" t="str"/>
    </x:row>
  </x:sheetData>
  <x:pageMargins left="0.7" right="0.7" top="0.75" bottom="0.75" header="0.3" footer="0.3"/>
  <x:tableParts count="1">
    <x:tablePart xmlns:r="http://schemas.openxmlformats.org/officeDocument/2006/relationships" r:id="R0f7d96973f784002"/>
  </x:tableParts>
</x:worksheet>
</file>

<file path=xl/worksheets/sheet6.xml><?xml version="1.0" encoding="utf-8"?>
<x:worksheet xmlns:x="http://schemas.openxmlformats.org/spreadsheetml/2006/main">
  <x:sheetFormatPr defaultRowHeight="15"/>
  <x:cols>
    <x:col min="1" max="1" width="9" hidden="0" customWidth="1"/>
    <x:col min="2" max="2" width="32" hidden="0" customWidth="1"/>
    <x:col min="3" max="3" width="22" hidden="0" customWidth="1"/>
    <x:col min="4" max="4" width="31" hidden="0" customWidth="1"/>
    <x:col min="5" max="5" width="21" hidden="0" customWidth="1"/>
    <x:col min="6" max="6" width="48" hidden="0" customWidth="1"/>
    <x:col min="7" max="7" width="44" hidden="0" customWidth="1"/>
    <x:col min="8" max="8" width="41" hidden="0" customWidth="1"/>
    <x:col min="9" max="9" width="10" hidden="0" customWidth="1"/>
    <x:col min="10" max="10" width="10" hidden="0" customWidth="1"/>
    <x:col min="11" max="11" width="52" hidden="0" customWidth="1"/>
    <x:col min="12" max="12" width="13" hidden="0" customWidth="1"/>
    <x:col min="13" max="13" width="14" hidden="0" customWidth="1"/>
    <x:col min="14" max="14" width="50" hidden="0" customWidth="1"/>
    <x:col min="15" max="15" width="50" hidden="0" customWidth="1"/>
    <x:col min="16" max="16" width="22" hidden="0" customWidth="1"/>
    <x:col min="17" max="17" width="46" hidden="0" customWidth="1"/>
    <x:col min="18" max="18" width="12" hidden="0" customWidth="1"/>
    <x:col min="19" max="19" width="19" hidden="0" customWidth="1"/>
    <x:col min="20" max="20" width="20" hidden="0" customWidth="1"/>
    <x:col min="21" max="21" width="24" hidden="0" customWidth="1"/>
    <x:col min="22" max="22" width="15" hidden="0" customWidth="1"/>
    <x:col min="23" max="23" width="10" hidden="0" customWidth="1"/>
    <x:col min="24" max="24" width="12" hidden="0" customWidth="1"/>
    <x:col min="25" max="25" width="30" hidden="0" customWidth="1"/>
    <x:col min="26" max="26" width="36" hidden="0" customWidth="1"/>
    <x:col min="27" max="27" width="30" hidden="0" customWidth="1"/>
    <x:col min="28" max="28" width="14" hidden="0" customWidth="1"/>
    <x:col min="29" max="29" width="45" hidden="0" customWidth="1"/>
    <x:col min="30" max="30" width="50" hidden="0" customWidth="1"/>
    <x:col min="31" max="31" width="48" hidden="0" customWidth="1"/>
  </x:cols>
  <x:sheetData>
    <x:row r="1">
      <x:c r="A1" s="406" t="str">
        <x:v>ID</x:v>
      </x:c>
      <x:c r="B1" s="406" t="str">
        <x:v>名称</x:v>
      </x:c>
      <x:c r="C1" s="406" t="str">
        <x:v>エリア</x:v>
      </x:c>
      <x:c r="D1" s="406" t="str">
        <x:v>カテゴリ</x:v>
      </x:c>
      <x:c r="E1" s="406" t="str">
        <x:v>現在地→目的地（クリック）</x:v>
      </x:c>
      <x:c r="F1" s="406" t="str">
        <x:v>経由地・最終目的地として成立する理由</x:v>
      </x:c>
      <x:c r="G1" s="406" t="str">
        <x:v>駐車場</x:v>
      </x:c>
      <x:c r="H1" s="406" t="str">
        <x:v>利用可能時間</x:v>
      </x:c>
      <x:c r="I1" s="406" t="str">
        <x:v>夜間適性（並べ替え可）</x:v>
      </x:c>
      <x:c r="J1" s="406" t="str">
        <x:v>穴場度(1-5)</x:v>
      </x:c>
      <x:c r="K1" s="406" t="str">
        <x:v>注意事項</x:v>
      </x:c>
      <x:c r="L1" s="406" t="str">
        <x:v>確認日</x:v>
      </x:c>
      <x:c r="M1" s="406" t="str">
        <x:v>確認状態</x:v>
      </x:c>
      <x:c r="N1" s="406" t="str">
        <x:v>情報源URL</x:v>
      </x:c>
      <x:c r="O1" s="406" t="str">
        <x:v>Wikipedia由来の豆知識</x:v>
      </x:c>
      <x:c r="P1" s="406" t="str">
        <x:v>Wikipedia・関連項目（クリック）</x:v>
      </x:c>
      <x:c r="Q1" s="406" t="str">
        <x:v>品質補足・ブラッシュアップ履歴</x:v>
      </x:c>
      <x:c r="R1" s="406" t="str">
        <x:v>距離帯</x:v>
      </x:c>
      <x:c r="S1" s="406" t="str">
        <x:v>蒲田からの概算距離</x:v>
      </x:c>
      <x:c r="T1" s="406" t="str">
        <x:v>通常時の概算所要時間</x:v>
      </x:c>
      <x:c r="U1" s="406" t="str">
        <x:v>主な使いどころ</x:v>
      </x:c>
      <x:c r="V1" s="406" t="str">
        <x:v>滞在目安</x:v>
      </x:c>
      <x:c r="W1" s="406" t="str">
        <x:v>雨天適性</x:v>
      </x:c>
      <x:c r="X1" s="406" t="str">
        <x:v>車内鑑賞適性</x:v>
      </x:c>
      <x:c r="Y1" s="406" t="str">
        <x:v>代替地点</x:v>
      </x:c>
      <x:c r="Z1" s="406" t="str">
        <x:v>組み合わせやすい経由地</x:v>
      </x:c>
      <x:c r="AA1" s="447" t="str">
        <x:v>路上短時間アクセス</x:v>
      </x:c>
      <x:c r="AB1" s="447" t="str">
        <x:v>路上合法性確度</x:v>
      </x:c>
      <x:c r="AC1" s="447" t="str">
        <x:v>路上利用条件</x:v>
      </x:c>
      <x:c r="AD1" s="447" t="str">
        <x:v>路上利用の適用範囲</x:v>
      </x:c>
      <x:c r="AE1" s="447" t="str">
        <x:v>現地確認必須</x:v>
      </x:c>
    </x:row>
    <x:row r="2">
      <x:c r="A2" s="27" t="str">
        <x:v>D001</x:v>
      </x:c>
      <x:c r="B2" s="27" t="str">
        <x:v>城南島海浜公園</x:v>
      </x:c>
      <x:c r="C2" s="27" t="str">
        <x:v>大田区・城南島</x:v>
      </x:c>
      <x:c r="D2" s="27" t="str">
        <x:v>飛行機・海・港</x:v>
      </x:c>
      <x:c r="E2" s="48" t="e">
        <x:f>HYPERLINK("https://www.google.com/maps/dir/?api=1&amp;destination=%E5%9F%8E%E5%8D%97%E5%B3%B6%E6%B5%B7%E6%B5%9C%E5%85%AC%E5%9C%92&amp;travelmode=driving","現在地からナビ開始")</x:f>
      </x:c>
      <x:c r="F2" s="27" t="str">
        <x:v>羽田の航空機、東京湾、コンテナ港を同時に味わえる大田区起点の基準Ending。</x:v>
      </x:c>
      <x:c r="G2" s="27" t="str">
        <x:v>あり・有料</x:v>
      </x:c>
      <x:c r="H2" s="27" t="str">
        <x:v>駐車場 7:30～21:00</x:v>
      </x:c>
      <x:c r="I2" s="27" t="n">
        <x:v>4</x:v>
      </x:c>
      <x:c r="J2" s="27" t="n">
        <x:v>4</x:v>
      </x:c>
      <x:c r="K2" s="27" t="str">
        <x:v>21時以降は入出庫不可。臨時閉鎖と高さ制限を当日確認。</x:v>
      </x:c>
      <x:c r="L2" s="28" t="n">
        <x:v>46232</x:v>
      </x:c>
      <x:c r="M2" s="27" t="str">
        <x:v>一次確認済</x:v>
      </x:c>
      <x:c r="N2" s="27" t="str">
        <x:v>https://tokyo-south-seaside-parks.com/jonanjima/</x:v>
      </x:c>
      <x:c r="O2" s="27" t="str">
        <x:v>城南島は東京湾を埋め立てて造られた人工島で、大井ふ頭の物流機能を補う工業・港湾地区として整備された。</x:v>
      </x:c>
      <x:c r="P2" s="84" t="e">
        <x:f>HYPERLINK("https://ja.wikipedia.org/wiki/Special:Search?search=%E5%9F%8E%E5%8D%97%E5%B3%B6%E6%B5%B7%E6%B5%9C%E5%85%AC%E5%9C%92","Wikipedia・関連項目")</x:f>
      </x:c>
      <x:c r="Q2" s="27"/>
      <x:c r="R2" s="27" t="str">
        <x:v>0〜10km</x:v>
      </x:c>
      <x:c r="S2" s="27" t="str">
        <x:v>概ね0〜10km</x:v>
      </x:c>
      <x:c r="T2" s="27" t="str">
        <x:v>通常10〜30分</x:v>
      </x:c>
      <x:c r="U2" s="27" t="str">
        <x:v>飛行機</x:v>
      </x:c>
      <x:c r="V2" s="27" t="str">
        <x:v>30〜60分</x:v>
      </x:c>
      <x:c r="W2" s="27" t="n">
        <x:v>1</x:v>
      </x:c>
      <x:c r="X2" s="27" t="n">
        <x:v>4</x:v>
      </x:c>
      <x:c r="Y2" s="27" t="str">
        <x:v>城南島海浜公園</x:v>
      </x:c>
      <x:c r="Z2" s="27" t="str">
        <x:v>京浜島つばさ公園／羽田空港 第3ターミナル展望デッキ</x:v>
      </x:c>
      <x:c r="AA2" s="22" t="str">
        <x:v>なし</x:v>
      </x:c>
      <x:c r="AB2" s="22" t="str">
        <x:v>-</x:v>
      </x:c>
      <x:c r="AC2" s="22" t="str"/>
      <x:c r="AD2" s="22" t="str">
        <x:v>専用・路外駐車を基本</x:v>
      </x:c>
      <x:c r="AE2" s="22" t="str"/>
    </x:row>
    <x:row r="3">
      <x:c r="A3" s="27" t="str">
        <x:v>D002</x:v>
      </x:c>
      <x:c r="B3" s="27" t="str">
        <x:v>京浜島つばさ公園</x:v>
      </x:c>
      <x:c r="C3" s="27" t="str">
        <x:v>大田区・京浜島</x:v>
      </x:c>
      <x:c r="D3" s="27" t="str">
        <x:v>飛行機・工業島</x:v>
      </x:c>
      <x:c r="E3" s="48" t="e">
        <x:f>HYPERLINK("https://www.google.com/maps/dir/?api=1&amp;destination=%E4%BA%AC%E6%B5%9C%E5%B3%B6%E3%81%A4%E3%81%B0%E3%81%95%E5%85%AC%E5%9C%92&amp;travelmode=driving","現在地からナビ開始")</x:f>
      </x:c>
      <x:c r="F3" s="27" t="str">
        <x:v>滑走路を横から眺め、工業島の行き止まり感と航空機の迫力を味わえる。</x:v>
      </x:c>
      <x:c r="G3" s="27" t="str">
        <x:v>あり・小規模有料</x:v>
      </x:c>
      <x:c r="H3" s="27" t="str">
        <x:v>時間貸し駐車場は24時間運用の情報あり</x:v>
      </x:c>
      <x:c r="I3" s="27" t="n">
        <x:v>5</x:v>
      </x:c>
      <x:c r="J3" s="27" t="n">
        <x:v>4</x:v>
      </x:c>
      <x:c r="K3" s="27" t="str">
        <x:v>台数が少ない。満車時の路上待機・路上駐車は禁止。</x:v>
      </x:c>
      <x:c r="L3" s="28" t="n">
        <x:v>46232</x:v>
      </x:c>
      <x:c r="M3" s="27" t="str">
        <x:v>一次確認済</x:v>
      </x:c>
      <x:c r="N3" s="27" t="str">
        <x:v>https://tokyo-south-seaside-parks.com/keihinjima/</x:v>
      </x:c>
      <x:c r="O3" s="27" t="str">
        <x:v>京浜島も東京湾の人工島で、工場・倉庫地区と羽田空港が至近距離で隣り合う、東京らしい埋立地景観を持つ。</x:v>
      </x:c>
      <x:c r="P3" s="84" t="e">
        <x:f>HYPERLINK("https://ja.wikipedia.org/wiki/Special:Search?search=%E4%BA%AC%E6%B5%9C%E5%B3%B6%E3%81%A4%E3%81%B0%E3%81%95%E5%85%AC%E5%9C%92","Wikipedia・関連項目")</x:f>
      </x:c>
      <x:c r="Q3" s="27"/>
      <x:c r="R3" s="27" t="str">
        <x:v>0〜10km</x:v>
      </x:c>
      <x:c r="S3" s="27" t="str">
        <x:v>概ね0〜10km</x:v>
      </x:c>
      <x:c r="T3" s="27" t="str">
        <x:v>通常10〜30分</x:v>
      </x:c>
      <x:c r="U3" s="27" t="str">
        <x:v>飛行機</x:v>
      </x:c>
      <x:c r="V3" s="27" t="str">
        <x:v>30〜60分</x:v>
      </x:c>
      <x:c r="W3" s="27" t="n">
        <x:v>2</x:v>
      </x:c>
      <x:c r="X3" s="27" t="n">
        <x:v>4</x:v>
      </x:c>
      <x:c r="Y3" s="27" t="str">
        <x:v>城南島海浜公園</x:v>
      </x:c>
      <x:c r="Z3" s="27" t="str">
        <x:v>京浜島つばさ公園／羽田空港 第3ターミナル展望デッキ</x:v>
      </x:c>
      <x:c r="AA3" s="22" t="str">
        <x:v>なし</x:v>
      </x:c>
      <x:c r="AB3" s="22" t="str">
        <x:v>-</x:v>
      </x:c>
      <x:c r="AC3" s="22" t="str"/>
      <x:c r="AD3" s="22" t="str">
        <x:v>専用・路外駐車を基本</x:v>
      </x:c>
      <x:c r="AE3" s="22" t="str"/>
    </x:row>
    <x:row r="4">
      <x:c r="A4" s="27" t="str">
        <x:v>D003</x:v>
      </x:c>
      <x:c r="B4" s="27" t="str">
        <x:v>羽田空港 第3ターミナル展望デッキ</x:v>
      </x:c>
      <x:c r="C4" s="27" t="str">
        <x:v>大田区・羽田</x:v>
      </x:c>
      <x:c r="D4" s="27" t="str">
        <x:v>飛行機・展望</x:v>
      </x:c>
      <x:c r="E4" s="48" t="e">
        <x:f>HYPERLINK("https://www.google.com/maps/dir/?api=1&amp;destination=%E7%BE%BD%E7%94%B0%E7%A9%BA%E6%B8%AF%20%E7%AC%AC3%E3%82%BF%E3%83%BC%E3%83%9F%E3%83%8A%E3%83%AB%E5%B1%95%E6%9C%9B%E3%83%87%E3%83%83%E3%82%AD&amp;travelmode=driving","現在地からナビ開始")</x:f>
      </x:c>
      <x:c r="F4" s="27" t="str">
        <x:v>深夜でも滑走路灯火と航空機を楽しめる、安定性の高いEnding。</x:v>
      </x:c>
      <x:c r="G4" s="27" t="str">
        <x:v>P5 2,910台・24時間・有料</x:v>
      </x:c>
      <x:c r="H4" s="27" t="str">
        <x:v>展望デッキ24時間</x:v>
      </x:c>
      <x:c r="I4" s="27" t="n">
        <x:v>5</x:v>
      </x:c>
      <x:c r="J4" s="27" t="n">
        <x:v>2</x:v>
      </x:c>
      <x:c r="K4" s="27" t="str">
        <x:v>保安・悪天候・イベントで一時閉鎖の場合あり。多客期は駐車場混雑。</x:v>
      </x:c>
      <x:c r="L4" s="28" t="n">
        <x:v>46232</x:v>
      </x:c>
      <x:c r="M4" s="27" t="str">
        <x:v>一次確認済</x:v>
      </x:c>
      <x:c r="N4" s="27" t="str">
        <x:v>https://tokyo-haneda.com/service/facilities/observation_deck.html</x:v>
      </x:c>
      <x:c r="O4" s="27" t="str">
        <x:v>現在の第3ターミナルは2010年に国際線ターミナルとして開業し、2020年に現在の名称へ変更された。</x:v>
      </x:c>
      <x:c r="P4" s="84" t="e">
        <x:f>HYPERLINK("https://ja.wikipedia.org/wiki/Special:Search?search=%E7%BE%BD%E7%94%B0%E7%A9%BA%E6%B8%AF%20%E7%AC%AC3%E3%82%BF%E3%83%BC%E3%83%9F%E3%83%8A%E3%83%AB%E5%B1%95%E6%9C%9B%E3%83%87%E3%83%83%E3%82%AD","Wikipedia・関連項目")</x:f>
      </x:c>
      <x:c r="Q4" s="27" t="str">
        <x:v>2026-07-29公式再確認：T3展望デッキ24時間を深夜ルートのHard Gateなし条件へ反映。</x:v>
      </x:c>
      <x:c r="R4" s="27" t="str">
        <x:v>0〜10km</x:v>
      </x:c>
      <x:c r="S4" s="27" t="str">
        <x:v>概ね0〜10km</x:v>
      </x:c>
      <x:c r="T4" s="27" t="str">
        <x:v>通常10〜30分</x:v>
      </x:c>
      <x:c r="U4" s="27" t="str">
        <x:v>飛行機</x:v>
      </x:c>
      <x:c r="V4" s="27" t="str">
        <x:v>30〜60分</x:v>
      </x:c>
      <x:c r="W4" s="27" t="n">
        <x:v>2</x:v>
      </x:c>
      <x:c r="X4" s="27" t="n">
        <x:v>4</x:v>
      </x:c>
      <x:c r="Y4" s="27" t="str">
        <x:v>城南島海浜公園</x:v>
      </x:c>
      <x:c r="Z4" s="27" t="str">
        <x:v>京浜島つばさ公園／羽田空港 第3ターミナル展望デッキ</x:v>
      </x:c>
      <x:c r="AA4" s="22" t="str">
        <x:v>なし</x:v>
      </x:c>
      <x:c r="AB4" s="22" t="str">
        <x:v>-</x:v>
      </x:c>
      <x:c r="AC4" s="22" t="str"/>
      <x:c r="AD4" s="22" t="str">
        <x:v>専用・路外駐車を基本</x:v>
      </x:c>
      <x:c r="AE4" s="22" t="str"/>
    </x:row>
    <x:row r="5">
      <x:c r="A5" s="27" t="str">
        <x:v>D004</x:v>
      </x:c>
      <x:c r="B5" s="27" t="str">
        <x:v>多摩川浅間神社</x:v>
      </x:c>
      <x:c r="C5" s="27" t="str">
        <x:v>大田区・田園調布</x:v>
      </x:c>
      <x:c r="D5" s="27" t="str">
        <x:v>高台・Story</x:v>
      </x:c>
      <x:c r="E5" s="48" t="e">
        <x:f>HYPERLINK("https://www.google.com/maps/dir/?api=1&amp;destination=%E5%A4%9A%E6%91%A9%E5%B7%9D%E6%B5%85%E9%96%93%E7%A5%9E%E7%A4%BE&amp;travelmode=driving","現在地からナビ開始")</x:f>
      </x:c>
      <x:c r="F5" s="27" t="str">
        <x:v>多摩川と武蔵小杉方面を見下ろし、『シン・ゴジラ』の物語性も重ねられる。</x:v>
      </x:c>
      <x:c r="G5" s="27" t="str">
        <x:v>あり・約20台</x:v>
      </x:c>
      <x:c r="H5" s="27" t="str">
        <x:v>授与所 10:00～16:00、参拝は現地掲示優先</x:v>
      </x:c>
      <x:c r="I5" s="27" t="n">
        <x:v>2</x:v>
      </x:c>
      <x:c r="J5" s="27" t="n">
        <x:v>3</x:v>
      </x:c>
      <x:c r="K5" s="27" t="str">
        <x:v>住宅地と神社のため静粛必須。夜遅くより夕暮れ向け。</x:v>
      </x:c>
      <x:c r="L5" s="28" t="n">
        <x:v>46232</x:v>
      </x:c>
      <x:c r="M5" s="27" t="str">
        <x:v>一次確認済</x:v>
      </x:c>
      <x:c r="N5" s="27" t="str">
        <x:v>https://sengenjinja.info/</x:v>
      </x:c>
      <x:c r="O5" s="27" t="str">
        <x:v>社伝では源頼朝の時代に北条政子が富士浅間大神を勧請したとされ、『シン・ゴジラ』のロケ地としても知られる。</x:v>
      </x:c>
      <x:c r="P5" s="84" t="e">
        <x:f>HYPERLINK("https://ja.wikipedia.org/wiki/Special:Search?search=%E5%A4%9A%E6%91%A9%E5%B7%9D%E6%B5%85%E9%96%93%E7%A5%9E%E7%A4%BE","Wikipedia・関連項目")</x:f>
      </x:c>
      <x:c r="Q5" s="27"/>
      <x:c r="R5" s="27" t="str">
        <x:v>0〜10km</x:v>
      </x:c>
      <x:c r="S5" s="27" t="str">
        <x:v>概ね0〜10km</x:v>
      </x:c>
      <x:c r="T5" s="27" t="str">
        <x:v>通常10〜30分</x:v>
      </x:c>
      <x:c r="U5" s="27" t="str">
        <x:v>Story</x:v>
      </x:c>
      <x:c r="V5" s="27" t="str">
        <x:v>30〜60分</x:v>
      </x:c>
      <x:c r="W5" s="27" t="n">
        <x:v>1</x:v>
      </x:c>
      <x:c r="X5" s="27" t="n">
        <x:v>1</x:v>
      </x:c>
      <x:c r="Y5" s="27" t="str">
        <x:v>羽田空港 第3ターミナル展望デッキ</x:v>
      </x:c>
      <x:c r="Z5" s="27" t="str">
        <x:v>城南島海浜公園／潮風公園</x:v>
      </x:c>
      <x:c r="AA5" s="22" t="str">
        <x:v>なし</x:v>
      </x:c>
      <x:c r="AB5" s="22" t="str">
        <x:v>-</x:v>
      </x:c>
      <x:c r="AC5" s="22" t="str"/>
      <x:c r="AD5" s="22" t="str">
        <x:v>専用・路外駐車を基本</x:v>
      </x:c>
      <x:c r="AE5" s="22" t="str"/>
    </x:row>
    <x:row r="6">
      <x:c r="A6" s="27" t="str">
        <x:v>D005</x:v>
      </x:c>
      <x:c r="B6" s="27" t="str">
        <x:v>潮風公園</x:v>
      </x:c>
      <x:c r="C6" s="27" t="str">
        <x:v>港区・台場</x:v>
      </x:c>
      <x:c r="D6" s="27" t="str">
        <x:v>海・都市夜景</x:v>
      </x:c>
      <x:c r="E6" s="48" t="e">
        <x:f>HYPERLINK("https://www.google.com/maps/dir/?api=1&amp;destination=%E6%BD%AE%E9%A2%A8%E5%85%AC%E5%9C%92&amp;travelmode=driving","現在地からナビ開始")</x:f>
      </x:c>
      <x:c r="F6" s="27" t="str">
        <x:v>海辺でレインボーブリッジと都心の灯りを眺め、余韻を作りやすい。</x:v>
      </x:c>
      <x:c r="G6" s="27" t="str">
        <x:v>あり・有料</x:v>
      </x:c>
      <x:c r="H6" s="27" t="str">
        <x:v>駐車場 24時間</x:v>
      </x:c>
      <x:c r="I6" s="27" t="n">
        <x:v>5</x:v>
      </x:c>
      <x:c r="J6" s="27" t="n">
        <x:v>3</x:v>
      </x:c>
      <x:c r="K6" s="27" t="str">
        <x:v>イベント・工事による部分閉鎖を当日確認。集会や騒音行為は禁止。</x:v>
      </x:c>
      <x:c r="L6" s="28" t="n">
        <x:v>46232</x:v>
      </x:c>
      <x:c r="M6" s="27" t="str">
        <x:v>一次確認済</x:v>
      </x:c>
      <x:c r="N6" s="27" t="str">
        <x:v>https://www.tokyo-park.or.jp/park/shiokaze/index.html</x:v>
      </x:c>
      <x:c r="O6" s="27" t="str">
        <x:v>『お台場』の名は、江戸幕府が黒船来航に備えて東京湾に築いた砲台＝台場に由来する。</x:v>
      </x:c>
      <x:c r="P6" s="84" t="e">
        <x:f>HYPERLINK("https://ja.wikipedia.org/wiki/Special:Search?search=%E6%BD%AE%E9%A2%A8%E5%85%AC%E5%9C%92","Wikipedia・関連項目")</x:f>
      </x:c>
      <x:c r="Q6" s="27"/>
      <x:c r="R6" s="27" t="str">
        <x:v>10〜20km</x:v>
      </x:c>
      <x:c r="S6" s="27" t="str">
        <x:v>概ね10〜20km</x:v>
      </x:c>
      <x:c r="T6" s="27" t="str">
        <x:v>通常25〜50分</x:v>
      </x:c>
      <x:c r="U6" s="27" t="str">
        <x:v>海・港</x:v>
      </x:c>
      <x:c r="V6" s="27" t="str">
        <x:v>30〜60分</x:v>
      </x:c>
      <x:c r="W6" s="27" t="n">
        <x:v>1</x:v>
      </x:c>
      <x:c r="X6" s="27" t="n">
        <x:v>3</x:v>
      </x:c>
      <x:c r="Y6" s="27" t="str">
        <x:v>城南島海浜公園</x:v>
      </x:c>
      <x:c r="Z6" s="27" t="str">
        <x:v>潮風公園／晴海ふ頭公園</x:v>
      </x:c>
      <x:c r="AA6" s="22" t="str">
        <x:v>なし</x:v>
      </x:c>
      <x:c r="AB6" s="22" t="str">
        <x:v>-</x:v>
      </x:c>
      <x:c r="AC6" s="22" t="str"/>
      <x:c r="AD6" s="22" t="str">
        <x:v>専用・路外駐車を基本</x:v>
      </x:c>
      <x:c r="AE6" s="22" t="str"/>
    </x:row>
    <x:row r="7">
      <x:c r="A7" s="27" t="str">
        <x:v>D006</x:v>
      </x:c>
      <x:c r="B7" s="27" t="str">
        <x:v>若洲海浜公園</x:v>
      </x:c>
      <x:c r="C7" s="27" t="str">
        <x:v>江東区・若洲</x:v>
      </x:c>
      <x:c r="D7" s="27" t="str">
        <x:v>橋・海・港</x:v>
      </x:c>
      <x:c r="E7" s="48" t="e">
        <x:f>HYPERLINK("https://www.google.com/maps/dir/?api=1&amp;destination=%E8%8B%A5%E6%B4%B2%E6%B5%B7%E6%B5%9C%E5%85%AC%E5%9C%92&amp;travelmode=driving","現在地からナビ開始")</x:f>
      </x:c>
      <x:c r="F7" s="27" t="str">
        <x:v>東京ゲートブリッジを間近に感じ、東京港の最奥へ走る感覚が強い。</x:v>
      </x:c>
      <x:c r="G7" s="27" t="str">
        <x:v>東京都立若洲海浜公園駐車場322台・有料</x:v>
      </x:c>
      <x:c r="H7" s="27" t="str">
        <x:v>駐車場6:00～22:00／年末年始休場</x:v>
      </x:c>
      <x:c r="I7" s="27" t="n">
        <x:v>4</x:v>
      </x:c>
      <x:c r="J7" s="27" t="n">
        <x:v>3</x:v>
      </x:c>
      <x:c r="K7" s="27" t="str">
        <x:v>江東区立若洲公園はリニューアル工事中で、駐車場の一部・キャンプ場・貸自転車等が利用休止。強風時は滞在短縮。</x:v>
      </x:c>
      <x:c r="L7" s="28" t="n">
        <x:v>46232</x:v>
      </x:c>
      <x:c r="M7" s="27" t="str">
        <x:v>一次確認済</x:v>
      </x:c>
      <x:c r="N7" s="27" t="str">
        <x:v>https://www.tptc.co.jp/park/03_07/access</x:v>
      </x:c>
      <x:c r="O7" s="27" t="str">
        <x:v>東京ゲートブリッジはトラス部分の形から『恐竜橋』とも呼ばれ、羽田空港の航空制限を避けるため吊橋ではなくトラス橋になった。</x:v>
      </x:c>
      <x:c r="P7" s="84" t="e">
        <x:f>HYPERLINK("https://ja.wikipedia.org/wiki/Special:Search?search=%E8%8B%A5%E6%B4%B2%E6%B5%B7%E6%B5%9C%E5%85%AC%E5%9C%92","Wikipedia・関連項目")</x:f>
      </x:c>
      <x:c r="Q7" s="27" t="str">
        <x:v>2026-07-29公式再確認：駐車場322台・6:00～22:00と、リニューアル工事による一部利用休止を反映。</x:v>
      </x:c>
      <x:c r="R7" s="27" t="str">
        <x:v>10〜20km</x:v>
      </x:c>
      <x:c r="S7" s="27" t="str">
        <x:v>概ね10〜20km</x:v>
      </x:c>
      <x:c r="T7" s="27" t="str">
        <x:v>通常25〜50分</x:v>
      </x:c>
      <x:c r="U7" s="27" t="str">
        <x:v>海・港</x:v>
      </x:c>
      <x:c r="V7" s="27" t="str">
        <x:v>30〜90分</x:v>
      </x:c>
      <x:c r="W7" s="27" t="n">
        <x:v>1</x:v>
      </x:c>
      <x:c r="X7" s="27" t="n">
        <x:v>3</x:v>
      </x:c>
      <x:c r="Y7" s="27" t="str">
        <x:v>城南島海浜公園</x:v>
      </x:c>
      <x:c r="Z7" s="27" t="str">
        <x:v>潮風公園／晴海ふ頭公園</x:v>
      </x:c>
      <x:c r="AA7" s="22" t="str">
        <x:v>なし</x:v>
      </x:c>
      <x:c r="AB7" s="22" t="str">
        <x:v>-</x:v>
      </x:c>
      <x:c r="AC7" s="22" t="str"/>
      <x:c r="AD7" s="22" t="str">
        <x:v>専用・路外駐車を基本</x:v>
      </x:c>
      <x:c r="AE7" s="22" t="str"/>
    </x:row>
    <x:row r="8">
      <x:c r="A8" s="27" t="str">
        <x:v>D007</x:v>
      </x:c>
      <x:c r="B8" s="27" t="str">
        <x:v>葛西臨海公園</x:v>
      </x:c>
      <x:c r="C8" s="27" t="str">
        <x:v>江戸川区・臨海町</x:v>
      </x:c>
      <x:c r="D8" s="27" t="str">
        <x:v>海・観覧車・公園</x:v>
      </x:c>
      <x:c r="E8" s="48" t="e">
        <x:f>HYPERLINK("https://www.google.com/maps/dir/?api=1&amp;destination=%E8%91%9B%E8%A5%BF%E8%87%A8%E6%B5%B7%E5%85%AC%E5%9C%92&amp;travelmode=driving","現在地からナビ開始")</x:f>
      </x:c>
      <x:c r="F8" s="27" t="str">
        <x:v>湾岸道路の先に海辺と観覧車が現れ、東側の安定Endingになる。</x:v>
      </x:c>
      <x:c r="G8" s="27" t="str">
        <x:v>あり・有料</x:v>
      </x:c>
      <x:c r="H8" s="27" t="str">
        <x:v>駐車場 24時間</x:v>
      </x:c>
      <x:c r="I8" s="27" t="n">
        <x:v>4</x:v>
      </x:c>
      <x:c r="J8" s="27" t="n">
        <x:v>2</x:v>
      </x:c>
      <x:c r="K8" s="27" t="str">
        <x:v>休日は混雑。深夜は暗い園路や人通りの少ない区域を避ける。</x:v>
      </x:c>
      <x:c r="L8" s="28" t="n">
        <x:v>46232</x:v>
      </x:c>
      <x:c r="M8" s="27" t="str">
        <x:v>一次確認済</x:v>
      </x:c>
      <x:c r="N8" s="27" t="str">
        <x:v>https://www.tokyo-park.or.jp/park/kasairinkai/index.html</x:v>
      </x:c>
      <x:c r="O8" s="27" t="str">
        <x:v>園内の葛西臨海水族園は、ドーナツ形の大型水槽でクロマグロを群泳展示したことで世界的にも知られた。</x:v>
      </x:c>
      <x:c r="P8" s="84" t="e">
        <x:f>HYPERLINK("https://ja.wikipedia.org/wiki/Special:Search?search=%E8%91%9B%E8%A5%BF%E8%87%A8%E6%B5%B7%E5%85%AC%E5%9C%92","Wikipedia・関連項目")</x:f>
      </x:c>
      <x:c r="Q8" s="27"/>
      <x:c r="R8" s="27" t="str">
        <x:v>20〜25km</x:v>
      </x:c>
      <x:c r="S8" s="27" t="str">
        <x:v>概ね20〜25km</x:v>
      </x:c>
      <x:c r="T8" s="27" t="str">
        <x:v>通常40〜70分</x:v>
      </x:c>
      <x:c r="U8" s="27" t="str">
        <x:v>海・港</x:v>
      </x:c>
      <x:c r="V8" s="27" t="str">
        <x:v>30〜90分</x:v>
      </x:c>
      <x:c r="W8" s="27" t="n">
        <x:v>1</x:v>
      </x:c>
      <x:c r="X8" s="27" t="n">
        <x:v>3</x:v>
      </x:c>
      <x:c r="Y8" s="27" t="str">
        <x:v>城南島海浜公園</x:v>
      </x:c>
      <x:c r="Z8" s="27" t="str">
        <x:v>潮風公園／晴海ふ頭公園</x:v>
      </x:c>
      <x:c r="AA8" s="22" t="str">
        <x:v>なし</x:v>
      </x:c>
      <x:c r="AB8" s="22" t="str">
        <x:v>-</x:v>
      </x:c>
      <x:c r="AC8" s="22" t="str"/>
      <x:c r="AD8" s="22" t="str">
        <x:v>専用・路外駐車を基本</x:v>
      </x:c>
      <x:c r="AE8" s="22" t="str"/>
    </x:row>
    <x:row r="9">
      <x:c r="A9" s="27" t="str">
        <x:v>D008</x:v>
      </x:c>
      <x:c r="B9" s="27" t="str">
        <x:v>夢の島公園</x:v>
      </x:c>
      <x:c r="C9" s="27" t="str">
        <x:v>江東区・夢の島</x:v>
      </x:c>
      <x:c r="D9" s="27" t="str">
        <x:v>静かな休憩・公園</x:v>
      </x:c>
      <x:c r="E9" s="48" t="e">
        <x:f>HYPERLINK("https://www.google.com/maps/dir/?api=1&amp;destination=%E5%A4%A2%E3%81%AE%E5%B3%B6%E5%85%AC%E5%9C%92&amp;travelmode=driving","現在地からナビ開始")</x:f>
      </x:c>
      <x:c r="F9" s="27" t="str">
        <x:v>派手さはないが、湾岸走行後に静かに休むEndingとして使いやすい。</x:v>
      </x:c>
      <x:c r="G9" s="27" t="str">
        <x:v>あり・有料</x:v>
      </x:c>
      <x:c r="H9" s="27" t="str">
        <x:v>最新時間は公式確認</x:v>
      </x:c>
      <x:c r="I9" s="27" t="n">
        <x:v>3</x:v>
      </x:c>
      <x:c r="J9" s="27" t="n">
        <x:v>4</x:v>
      </x:c>
      <x:c r="K9" s="27" t="str">
        <x:v>一部閉鎖やイベントを確認。夜は奥まった区域を避ける。</x:v>
      </x:c>
      <x:c r="L9" s="28" t="n">
        <x:v>46232</x:v>
      </x:c>
      <x:c r="M9" s="27" t="str">
        <x:v>当日再確認</x:v>
      </x:c>
      <x:c r="N9" s="27" t="str">
        <x:v>https://www.tokyo-park.or.jp/park/yumenoshima/index.html</x:v>
      </x:c>
      <x:c r="O9" s="27" t="str">
        <x:v>夢の島は戦前に新空港建設地として計画され、戦後は海水浴場を経てごみ埋立地となったという劇的な履歴を持つ。</x:v>
      </x:c>
      <x:c r="P9" s="84" t="e">
        <x:f>HYPERLINK("https://ja.wikipedia.org/wiki/Special:Search?search=%E5%A4%A2%E3%81%AE%E5%B3%B6%E5%85%AC%E5%9C%92","Wikipedia・関連項目")</x:f>
      </x:c>
      <x:c r="Q9" s="27"/>
      <x:c r="R9" s="27" t="str">
        <x:v>10〜20km</x:v>
      </x:c>
      <x:c r="S9" s="27" t="str">
        <x:v>概ね10〜20km</x:v>
      </x:c>
      <x:c r="T9" s="27" t="str">
        <x:v>通常25〜50分</x:v>
      </x:c>
      <x:c r="U9" s="27" t="str">
        <x:v>休日半日</x:v>
      </x:c>
      <x:c r="V9" s="27" t="str">
        <x:v>30〜90分</x:v>
      </x:c>
      <x:c r="W9" s="27" t="n">
        <x:v>1</x:v>
      </x:c>
      <x:c r="X9" s="27" t="n">
        <x:v>1</x:v>
      </x:c>
      <x:c r="Y9" s="27" t="str">
        <x:v>平和の森公園</x:v>
      </x:c>
      <x:c r="Z9" s="27" t="str">
        <x:v>大森ふるさとの浜辺公園／森ケ崎公園</x:v>
      </x:c>
      <x:c r="AA9" s="22" t="str">
        <x:v>なし</x:v>
      </x:c>
      <x:c r="AB9" s="22" t="str">
        <x:v>-</x:v>
      </x:c>
      <x:c r="AC9" s="22" t="str"/>
      <x:c r="AD9" s="22" t="str">
        <x:v>専用・路外駐車を基本</x:v>
      </x:c>
      <x:c r="AE9" s="22" t="str"/>
    </x:row>
    <x:row r="10">
      <x:c r="A10" s="27" t="str">
        <x:v>D009</x:v>
      </x:c>
      <x:c r="B10" s="27" t="str">
        <x:v>川崎マリエン</x:v>
      </x:c>
      <x:c r="C10" s="27" t="str">
        <x:v>川崎市・東扇島</x:v>
      </x:c>
      <x:c r="D10" s="27" t="str">
        <x:v>工場夜景・展望</x:v>
      </x:c>
      <x:c r="E10" s="48" t="e">
        <x:f>HYPERLINK("https://www.google.com/maps/dir/?api=1&amp;destination=%E5%B7%9D%E5%B4%8E%E3%83%9E%E3%83%AA%E3%82%A8%E3%83%B3&amp;travelmode=driving","現在地からナビ開始")</x:f>
      </x:c>
      <x:c r="F10" s="27" t="str">
        <x:v>川崎港、工場、大型船、東京湾を高所から360度眺められる主力Ending。</x:v>
      </x:c>
      <x:c r="G10" s="27" t="str">
        <x:v>あり・有料</x:v>
      </x:c>
      <x:c r="H10" s="27" t="str">
        <x:v>駐車場 24時間／展望室 9:00～21:00</x:v>
      </x:c>
      <x:c r="I10" s="27" t="n">
        <x:v>5</x:v>
      </x:c>
      <x:c r="J10" s="27" t="n">
        <x:v>4</x:v>
      </x:c>
      <x:c r="K10" s="27" t="str">
        <x:v>最終入場、休館日、工事情報を当日確認。</x:v>
      </x:c>
      <x:c r="L10" s="28" t="n">
        <x:v>46232</x:v>
      </x:c>
      <x:c r="M10" s="27" t="str">
        <x:v>一次確認済</x:v>
      </x:c>
      <x:c r="N10" s="27" t="str">
        <x:v>https://www.kawasakiport.or.jp/</x:v>
      </x:c>
      <x:c r="O10" s="27" t="str">
        <x:v>『マリエン』はMarineとEntranceを組み合わせた愛称で、川崎港の交流拠点として造られた。</x:v>
      </x:c>
      <x:c r="P10" s="84" t="e">
        <x:f>HYPERLINK("https://ja.wikipedia.org/wiki/Special:Search?search=%E5%B7%9D%E5%B4%8E%E3%83%9E%E3%83%AA%E3%82%A8%E3%83%B3","Wikipedia・関連項目")</x:f>
      </x:c>
      <x:c r="Q10" s="27"/>
      <x:c r="R10" s="27" t="str">
        <x:v>10〜20km</x:v>
      </x:c>
      <x:c r="S10" s="27" t="str">
        <x:v>概ね10〜20km</x:v>
      </x:c>
      <x:c r="T10" s="27" t="str">
        <x:v>通常25〜50分</x:v>
      </x:c>
      <x:c r="U10" s="27" t="str">
        <x:v>工場夜景</x:v>
      </x:c>
      <x:c r="V10" s="27" t="str">
        <x:v>30〜60分</x:v>
      </x:c>
      <x:c r="W10" s="27" t="n">
        <x:v>2</x:v>
      </x:c>
      <x:c r="X10" s="27" t="n">
        <x:v>4</x:v>
      </x:c>
      <x:c r="Y10" s="27" t="str">
        <x:v>川崎マリエン</x:v>
      </x:c>
      <x:c r="Z10" s="27" t="str">
        <x:v>東扇島東公園／ちどり公園</x:v>
      </x:c>
      <x:c r="AA10" s="22" t="str">
        <x:v>なし</x:v>
      </x:c>
      <x:c r="AB10" s="22" t="str">
        <x:v>-</x:v>
      </x:c>
      <x:c r="AC10" s="22" t="str"/>
      <x:c r="AD10" s="22" t="str">
        <x:v>専用・路外駐車を基本</x:v>
      </x:c>
      <x:c r="AE10" s="22" t="str"/>
    </x:row>
    <x:row r="11">
      <x:c r="A11" s="27" t="str">
        <x:v>D010</x:v>
      </x:c>
      <x:c r="B11" s="27" t="str">
        <x:v>東扇島東公園</x:v>
      </x:c>
      <x:c r="C11" s="27" t="str">
        <x:v>川崎市・東扇島</x:v>
      </x:c>
      <x:c r="D11" s="27" t="str">
        <x:v>人工海浜・港</x:v>
      </x:c>
      <x:c r="E11" s="48" t="e">
        <x:f>HYPERLINK("https://www.google.com/maps/dir/?api=1&amp;destination=%E6%9D%B1%E6%89%87%E5%B3%B6%E6%9D%B1%E5%85%AC%E5%9C%92&amp;travelmode=driving","現在地からナビ開始")</x:f>
      </x:c>
      <x:c r="F11" s="27" t="str">
        <x:v>人工海浜、航空機、港湾設備を低い目線で眺める夕方Ending。</x:v>
      </x:c>
      <x:c r="G11" s="27" t="str">
        <x:v>あり・有料</x:v>
      </x:c>
      <x:c r="H11" s="27" t="str">
        <x:v>20:30～翌5:00は入庫不可</x:v>
      </x:c>
      <x:c r="I11" s="27" t="n">
        <x:v>3</x:v>
      </x:c>
      <x:c r="J11" s="27" t="n">
        <x:v>4</x:v>
      </x:c>
      <x:c r="K11" s="27" t="str">
        <x:v>夜遅い出発には不向き。入庫制限時刻を厳守。</x:v>
      </x:c>
      <x:c r="L11" s="28" t="n">
        <x:v>46232</x:v>
      </x:c>
      <x:c r="M11" s="27" t="str">
        <x:v>一次確認済</x:v>
      </x:c>
      <x:c r="N11" s="27" t="str">
        <x:v>https://www.city.kawasaki.jp/580/page/0000001282.html</x:v>
      </x:c>
      <x:c r="O11" s="27" t="str">
        <x:v>東扇島は川崎港の人工島で、公園の人工海浜は京浜工業地帯の中に造られた珍しい砂浜である。</x:v>
      </x:c>
      <x:c r="P11" s="84" t="e">
        <x:f>HYPERLINK("https://ja.wikipedia.org/wiki/Special:Search?search=%E6%9D%B1%E6%89%87%E5%B3%B6%E6%9D%B1%E5%85%AC%E5%9C%92","Wikipedia・関連項目")</x:f>
      </x:c>
      <x:c r="Q11" s="27"/>
      <x:c r="R11" s="27" t="str">
        <x:v>10〜20km</x:v>
      </x:c>
      <x:c r="S11" s="27" t="str">
        <x:v>概ね10〜20km</x:v>
      </x:c>
      <x:c r="T11" s="27" t="str">
        <x:v>通常25〜50分</x:v>
      </x:c>
      <x:c r="U11" s="27" t="str">
        <x:v>海・港</x:v>
      </x:c>
      <x:c r="V11" s="27" t="str">
        <x:v>30〜90分</x:v>
      </x:c>
      <x:c r="W11" s="27" t="n">
        <x:v>1</x:v>
      </x:c>
      <x:c r="X11" s="27" t="n">
        <x:v>3</x:v>
      </x:c>
      <x:c r="Y11" s="27" t="str">
        <x:v>城南島海浜公園</x:v>
      </x:c>
      <x:c r="Z11" s="27" t="str">
        <x:v>潮風公園／晴海ふ頭公園</x:v>
      </x:c>
      <x:c r="AA11" s="22" t="str">
        <x:v>なし</x:v>
      </x:c>
      <x:c r="AB11" s="22" t="str">
        <x:v>-</x:v>
      </x:c>
      <x:c r="AC11" s="22" t="str"/>
      <x:c r="AD11" s="22" t="str">
        <x:v>専用・路外駐車を基本</x:v>
      </x:c>
      <x:c r="AE11" s="22" t="str"/>
    </x:row>
    <x:row r="12">
      <x:c r="A12" s="27" t="str">
        <x:v>D013</x:v>
      </x:c>
      <x:c r="B12" s="27" t="str">
        <x:v>横浜港大さん橋</x:v>
      </x:c>
      <x:c r="C12" s="27" t="str">
        <x:v>横浜市・中区</x:v>
      </x:c>
      <x:c r="D12" s="27" t="str">
        <x:v>港・都市夜景</x:v>
      </x:c>
      <x:c r="E12" s="48" t="e">
        <x:f>HYPERLINK("https://www.google.com/maps/dir/?api=1&amp;destination=%E6%A8%AA%E6%B5%9C%E6%B8%AF%E5%A4%A7%E3%81%95%E3%82%93%E6%A9%8B&amp;travelmode=driving","現在地からナビ開始")</x:f>
      </x:c>
      <x:c r="F12" s="27" t="str">
        <x:v>みなとみらいとベイブリッジを受け止める完成度の高い都市型Ending。</x:v>
      </x:c>
      <x:c r="G12" s="27" t="str">
        <x:v>あり・有料</x:v>
      </x:c>
      <x:c r="H12" s="27" t="str">
        <x:v>駐車場 24時間</x:v>
      </x:c>
      <x:c r="I12" s="27" t="n">
        <x:v>5</x:v>
      </x:c>
      <x:c r="J12" s="27" t="n">
        <x:v>1</x:v>
      </x:c>
      <x:c r="K12" s="27" t="str">
        <x:v>イベント日・客船入港日は混雑。穴場性より確実性重視。</x:v>
      </x:c>
      <x:c r="L12" s="28" t="n">
        <x:v>46232</x:v>
      </x:c>
      <x:c r="M12" s="27" t="str">
        <x:v>一次確認済</x:v>
      </x:c>
      <x:c r="N12" s="27" t="str">
        <x:v>https://osanbashi.jp/</x:v>
      </x:c>
      <x:c r="O12" s="27" t="str">
        <x:v>大さん橋の起源は1894年完成の鉄桟橋で、現在の客船ターミナルは波打つ屋上デッキを持つ建築として評価が高い。</x:v>
      </x:c>
      <x:c r="P12" s="84" t="e">
        <x:f>HYPERLINK("https://ja.wikipedia.org/wiki/Special:Search?search=%E6%A8%AA%E6%B5%9C%E6%B8%AF%E5%A4%A7%E3%81%95%E3%82%93%E6%A9%8B","Wikipedia・関連項目")</x:f>
      </x:c>
      <x:c r="Q12" s="27"/>
      <x:c r="R12" s="27" t="str">
        <x:v>20〜25km</x:v>
      </x:c>
      <x:c r="S12" s="27" t="str">
        <x:v>概ね20〜25km</x:v>
      </x:c>
      <x:c r="T12" s="27" t="str">
        <x:v>通常40〜70分</x:v>
      </x:c>
      <x:c r="U12" s="27" t="str">
        <x:v>海・港</x:v>
      </x:c>
      <x:c r="V12" s="27" t="str">
        <x:v>30〜60分</x:v>
      </x:c>
      <x:c r="W12" s="27" t="n">
        <x:v>2</x:v>
      </x:c>
      <x:c r="X12" s="27" t="n">
        <x:v>3</x:v>
      </x:c>
      <x:c r="Y12" s="27" t="str">
        <x:v>城南島海浜公園</x:v>
      </x:c>
      <x:c r="Z12" s="27" t="str">
        <x:v>潮風公園／晴海ふ頭公園</x:v>
      </x:c>
      <x:c r="AA12" s="22" t="str">
        <x:v>なし</x:v>
      </x:c>
      <x:c r="AB12" s="22" t="str">
        <x:v>-</x:v>
      </x:c>
      <x:c r="AC12" s="22" t="str"/>
      <x:c r="AD12" s="22" t="str">
        <x:v>専用・路外駐車を基本</x:v>
      </x:c>
      <x:c r="AE12" s="22" t="str"/>
    </x:row>
    <x:row r="13">
      <x:c r="A13" s="27" t="str">
        <x:v>D021</x:v>
      </x:c>
      <x:c r="B13" s="27" t="str">
        <x:v>暁ふ頭公園</x:v>
      </x:c>
      <x:c r="C13" s="27" t="str">
        <x:v>江東区・青海</x:v>
      </x:c>
      <x:c r="D13" s="27" t="str">
        <x:v>港・行き止まり・静かな休憩</x:v>
      </x:c>
      <x:c r="E13" s="48" t="e">
        <x:f>HYPERLINK("https://www.google.com/maps/dir/?api=1&amp;destination=%E6%9A%81%E3%81%B5%E9%A0%AD%E5%85%AC%E5%9C%92&amp;travelmode=driving","現在地からナビ開始")</x:f>
      </x:c>
      <x:c r="F13" s="27" t="str">
        <x:v>東京港最奥まで走り切る感覚があり、船と海を近距離で眺める穴場Ending。</x:v>
      </x:c>
      <x:c r="G13" s="27" t="str">
        <x:v>あり・小規模有料</x:v>
      </x:c>
      <x:c r="H13" s="27" t="str">
        <x:v>駐車場運用時間は公式ページで再確認</x:v>
      </x:c>
      <x:c r="I13" s="27" t="n">
        <x:v>5</x:v>
      </x:c>
      <x:c r="J13" s="27" t="n">
        <x:v>5</x:v>
      </x:c>
      <x:c r="K13" s="27" t="str">
        <x:v>港湾部で風が強い。工事・駐車運用変更を当日確認。</x:v>
      </x:c>
      <x:c r="L13" s="28" t="n">
        <x:v>46232</x:v>
      </x:c>
      <x:c r="M13" s="27" t="str">
        <x:v>当日再確認</x:v>
      </x:c>
      <x:c r="N13" s="27" t="str">
        <x:v>https://www.tptc.co.jp/park/01_10</x:v>
      </x:c>
      <x:c r="O13" s="27" t="str">
        <x:v>暁ふ頭周辺は東京港の埋立地の最奥部にあり、都市のごみ処理・物流・港湾拡張の歴史とつながっている。</x:v>
      </x:c>
      <x:c r="P13" s="84" t="e">
        <x:f>HYPERLINK("https://ja.wikipedia.org/wiki/Special:Search?search=%E6%9A%81%E3%81%B5%E9%A0%AD%E5%85%AC%E5%9C%92","Wikipedia・関連項目")</x:f>
      </x:c>
      <x:c r="Q13" s="27"/>
      <x:c r="R13" s="27" t="str">
        <x:v>10〜20km</x:v>
      </x:c>
      <x:c r="S13" s="27" t="str">
        <x:v>概ね10〜20km</x:v>
      </x:c>
      <x:c r="T13" s="27" t="str">
        <x:v>通常25〜50分</x:v>
      </x:c>
      <x:c r="U13" s="27" t="str">
        <x:v>海・港</x:v>
      </x:c>
      <x:c r="V13" s="27" t="str">
        <x:v>30〜90分</x:v>
      </x:c>
      <x:c r="W13" s="27" t="n">
        <x:v>2</x:v>
      </x:c>
      <x:c r="X13" s="27" t="n">
        <x:v>3</x:v>
      </x:c>
      <x:c r="Y13" s="27" t="str">
        <x:v>城南島海浜公園</x:v>
      </x:c>
      <x:c r="Z13" s="27" t="str">
        <x:v>潮風公園／晴海ふ頭公園</x:v>
      </x:c>
      <x:c r="AA13" s="22" t="str">
        <x:v>なし</x:v>
      </x:c>
      <x:c r="AB13" s="22" t="str">
        <x:v>-</x:v>
      </x:c>
      <x:c r="AC13" s="22" t="str"/>
      <x:c r="AD13" s="22" t="str">
        <x:v>専用・路外駐車を基本</x:v>
      </x:c>
      <x:c r="AE13" s="22" t="str"/>
    </x:row>
    <x:row r="14">
      <x:c r="A14" s="27" t="str">
        <x:v>D022</x:v>
      </x:c>
      <x:c r="B14" s="27" t="str">
        <x:v>豊洲ぐるり公園</x:v>
      </x:c>
      <x:c r="C14" s="27" t="str">
        <x:v>江東区・豊洲</x:v>
      </x:c>
      <x:c r="D14" s="27" t="str">
        <x:v>都市夜景・水辺</x:v>
      </x:c>
      <x:c r="E14" s="48" t="e">
        <x:f>HYPERLINK("https://www.google.com/maps/dir/?api=1&amp;destination=%E8%B1%8A%E6%B4%B2%E3%81%90%E3%82%8B%E3%82%8A%E5%85%AC%E5%9C%92&amp;travelmode=driving","現在地からナビ開始")</x:f>
      </x:c>
      <x:c r="F14" s="27" t="str">
        <x:v>レインボーブリッジと都心の高層群を水辺越しに眺め、歩いて余韻を作れる。</x:v>
      </x:c>
      <x:c r="G14" s="27" t="str">
        <x:v>あり・有料</x:v>
      </x:c>
      <x:c r="H14" s="27" t="str">
        <x:v>駐車場 終日</x:v>
      </x:c>
      <x:c r="I14" s="27" t="n">
        <x:v>5</x:v>
      </x:c>
      <x:c r="J14" s="27" t="n">
        <x:v>3</x:v>
      </x:c>
      <x:c r="K14" s="27" t="str">
        <x:v>市場周辺イベント時は混雑。駐車位置と見たい景色の位置関係を確認。</x:v>
      </x:c>
      <x:c r="L14" s="28" t="n">
        <x:v>46232</x:v>
      </x:c>
      <x:c r="M14" s="27" t="str">
        <x:v>一次確認済</x:v>
      </x:c>
      <x:c r="N14" s="27" t="str">
        <x:v>https://www.city.koto.lg.jp/470705/kasenkouen/toyosugururipark.html</x:v>
      </x:c>
      <x:c r="O14" s="27" t="str">
        <x:v>豊洲は関東大震災の瓦礫なども利用して造成された埋立地で、工業地から住宅・市場地区へ大転換した。</x:v>
      </x:c>
      <x:c r="P14" s="84" t="e">
        <x:f>HYPERLINK("https://ja.wikipedia.org/wiki/Special:Search?search=%E8%B1%8A%E6%B4%B2%E3%81%90%E3%82%8B%E3%82%8A%E5%85%AC%E5%9C%92","Wikipedia・関連項目")</x:f>
      </x:c>
      <x:c r="Q14" s="27"/>
      <x:c r="R14" s="27" t="str">
        <x:v>10〜20km</x:v>
      </x:c>
      <x:c r="S14" s="27" t="str">
        <x:v>概ね10〜20km</x:v>
      </x:c>
      <x:c r="T14" s="27" t="str">
        <x:v>通常25〜50分</x:v>
      </x:c>
      <x:c r="U14" s="27" t="str">
        <x:v>平日夜・深夜</x:v>
      </x:c>
      <x:c r="V14" s="27" t="str">
        <x:v>30〜60分</x:v>
      </x:c>
      <x:c r="W14" s="27" t="n">
        <x:v>2</x:v>
      </x:c>
      <x:c r="X14" s="27" t="n">
        <x:v>3</x:v>
      </x:c>
      <x:c r="Y14" s="27" t="str">
        <x:v>羽田空港 第3ターミナル展望デッキ</x:v>
      </x:c>
      <x:c r="Z14" s="27" t="str">
        <x:v>城南島海浜公園／潮風公園</x:v>
      </x:c>
      <x:c r="AA14" s="22" t="str">
        <x:v>なし</x:v>
      </x:c>
      <x:c r="AB14" s="22" t="str">
        <x:v>-</x:v>
      </x:c>
      <x:c r="AC14" s="22" t="str"/>
      <x:c r="AD14" s="22" t="str">
        <x:v>専用・路外駐車を基本</x:v>
      </x:c>
      <x:c r="AE14" s="22" t="str"/>
    </x:row>
    <x:row r="15">
      <x:c r="A15" s="27" t="str">
        <x:v>D023</x:v>
      </x:c>
      <x:c r="B15" s="27" t="str">
        <x:v>晴海ふ頭公園</x:v>
      </x:c>
      <x:c r="C15" s="27" t="str">
        <x:v>中央区・晴海</x:v>
      </x:c>
      <x:c r="D15" s="27" t="str">
        <x:v>港・都市夜景・Story</x:v>
      </x:c>
      <x:c r="E15" s="48" t="e">
        <x:f>HYPERLINK("https://www.google.com/maps/dir/?api=1&amp;destination=%E6%99%B4%E6%B5%B7%E3%81%B5%E9%A0%AD%E5%85%AC%E5%9C%92&amp;travelmode=driving","現在地からナビ開始")</x:f>
      </x:c>
      <x:c r="F15" s="27" t="str">
        <x:v>東京港とTOKYOモニュメントが重なる都市型Ending。</x:v>
      </x:c>
      <x:c r="G15" s="27" t="str">
        <x:v>あり・小規模有料</x:v>
      </x:c>
      <x:c r="H15" s="27" t="str">
        <x:v>駐車場 24時間／点灯は日没～23時目安</x:v>
      </x:c>
      <x:c r="I15" s="27" t="n">
        <x:v>5</x:v>
      </x:c>
      <x:c r="J15" s="27" t="n">
        <x:v>4</x:v>
      </x:c>
      <x:c r="K15" s="27" t="str">
        <x:v>台数が少なくイベント時は入庫待ちに注意。</x:v>
      </x:c>
      <x:c r="L15" s="28" t="n">
        <x:v>46232</x:v>
      </x:c>
      <x:c r="M15" s="27" t="str">
        <x:v>一次確認済</x:v>
      </x:c>
      <x:c r="N15" s="27" t="str">
        <x:v>https://www.tptc.co.jp/park/02_01</x:v>
      </x:c>
      <x:c r="O15" s="27" t="str">
        <x:v>晴海は戦後の東京国際見本市会場として発展し、近年は東京2020大会の選手村が置かれた。</x:v>
      </x:c>
      <x:c r="P15" s="84" t="e">
        <x:f>HYPERLINK("https://ja.wikipedia.org/wiki/Special:Search?search=%E6%99%B4%E6%B5%B7%E3%81%B5%E9%A0%AD%E5%85%AC%E5%9C%92","Wikipedia・関連項目")</x:f>
      </x:c>
      <x:c r="Q15" s="27"/>
      <x:c r="R15" s="27" t="str">
        <x:v>10〜20km</x:v>
      </x:c>
      <x:c r="S15" s="27" t="str">
        <x:v>概ね10〜20km</x:v>
      </x:c>
      <x:c r="T15" s="27" t="str">
        <x:v>通常25〜50分</x:v>
      </x:c>
      <x:c r="U15" s="27" t="str">
        <x:v>海・港</x:v>
      </x:c>
      <x:c r="V15" s="27" t="str">
        <x:v>30〜60分</x:v>
      </x:c>
      <x:c r="W15" s="27" t="n">
        <x:v>2</x:v>
      </x:c>
      <x:c r="X15" s="27" t="n">
        <x:v>3</x:v>
      </x:c>
      <x:c r="Y15" s="27" t="str">
        <x:v>城南島海浜公園</x:v>
      </x:c>
      <x:c r="Z15" s="27" t="str">
        <x:v>潮風公園／晴海ふ頭公園</x:v>
      </x:c>
      <x:c r="AA15" s="22" t="str">
        <x:v>なし</x:v>
      </x:c>
      <x:c r="AB15" s="22" t="str">
        <x:v>-</x:v>
      </x:c>
      <x:c r="AC15" s="22" t="str"/>
      <x:c r="AD15" s="22" t="str">
        <x:v>専用・路外駐車を基本</x:v>
      </x:c>
      <x:c r="AE15" s="22" t="str"/>
    </x:row>
    <x:row r="16">
      <x:c r="A16" s="27" t="str">
        <x:v>D024</x:v>
      </x:c>
      <x:c r="B16" s="27" t="str">
        <x:v>東京港野鳥公園</x:v>
      </x:c>
      <x:c r="C16" s="27" t="str">
        <x:v>大田区・東海</x:v>
      </x:c>
      <x:c r="D16" s="27" t="str">
        <x:v>自然・水辺</x:v>
      </x:c>
      <x:c r="E16" s="48" t="e">
        <x:f>HYPERLINK("https://www.google.com/maps/dir/?api=1&amp;destination=%E6%9D%B1%E4%BA%AC%E6%B8%AF%E9%87%8E%E9%B3%A5%E5%85%AC%E5%9C%92&amp;travelmode=driving","現在地からナビ開始")</x:f>
      </x:c>
      <x:c r="F16" s="27" t="str">
        <x:v>物流・空港エリアの中に湿地が残り、昼の静かな終点になる。</x:v>
      </x:c>
      <x:c r="G16" s="27" t="str">
        <x:v>あり・無料</x:v>
      </x:c>
      <x:c r="H16" s="27" t="str">
        <x:v>開園 9:00～17:00前後</x:v>
      </x:c>
      <x:c r="I16" s="27" t="n">
        <x:v>1</x:v>
      </x:c>
      <x:c r="J16" s="27" t="n">
        <x:v>4</x:v>
      </x:c>
      <x:c r="K16" s="27" t="str">
        <x:v>休園日を確認。夕方以降は使用不可。</x:v>
      </x:c>
      <x:c r="L16" s="28" t="n">
        <x:v>46232</x:v>
      </x:c>
      <x:c r="M16" s="27" t="str">
        <x:v>当日再確認</x:v>
      </x:c>
      <x:c r="N16" s="27" t="str">
        <x:v>https://www.tptc.co.jp/park/03_08</x:v>
      </x:c>
      <x:c r="O16" s="27" t="str">
        <x:v>東京港野鳥公園は埋立地に自然発生した池や湿地へ鳥が集まったことから、その環境を保全して公園化された。</x:v>
      </x:c>
      <x:c r="P16" s="84" t="e">
        <x:f>HYPERLINK("https://ja.wikipedia.org/wiki/Special:Search?search=%E6%9D%B1%E4%BA%AC%E6%B8%AF%E9%87%8E%E9%B3%A5%E5%85%AC%E5%9C%92","Wikipedia・関連項目")</x:f>
      </x:c>
      <x:c r="Q16" s="27"/>
      <x:c r="R16" s="27" t="str">
        <x:v>0〜10km</x:v>
      </x:c>
      <x:c r="S16" s="27" t="str">
        <x:v>概ね0〜10km</x:v>
      </x:c>
      <x:c r="T16" s="27" t="str">
        <x:v>通常10〜30分</x:v>
      </x:c>
      <x:c r="U16" s="27" t="str">
        <x:v>休日半日</x:v>
      </x:c>
      <x:c r="V16" s="27" t="str">
        <x:v>30〜60分</x:v>
      </x:c>
      <x:c r="W16" s="27" t="n">
        <x:v>2</x:v>
      </x:c>
      <x:c r="X16" s="27" t="n">
        <x:v>1</x:v>
      </x:c>
      <x:c r="Y16" s="27" t="str">
        <x:v>羽田空港 第3ターミナル展望デッキ</x:v>
      </x:c>
      <x:c r="Z16" s="27" t="str">
        <x:v>城南島海浜公園／潮風公園</x:v>
      </x:c>
      <x:c r="AA16" s="22" t="str">
        <x:v>なし</x:v>
      </x:c>
      <x:c r="AB16" s="22" t="str">
        <x:v>-</x:v>
      </x:c>
      <x:c r="AC16" s="22" t="str"/>
      <x:c r="AD16" s="22" t="str">
        <x:v>専用・路外駐車を基本</x:v>
      </x:c>
      <x:c r="AE16" s="22" t="str"/>
    </x:row>
    <x:row r="17">
      <x:c r="A17" s="27" t="str">
        <x:v>D025</x:v>
      </x:c>
      <x:c r="B17" s="27" t="str">
        <x:v>海の森公園</x:v>
      </x:c>
      <x:c r="C17" s="27" t="str">
        <x:v>江東区・海の森</x:v>
      </x:c>
      <x:c r="D17" s="27" t="str">
        <x:v>高台・東京港・新景観</x:v>
      </x:c>
      <x:c r="E17" s="48" t="e">
        <x:f>HYPERLINK("https://www.google.com/maps/dir/?api=1&amp;destination=%E6%B5%B7%E3%81%AE%E6%A3%AE%E5%85%AC%E5%9C%92&amp;travelmode=driving","現在地からナビ開始")</x:f>
      </x:c>
      <x:c r="F17" s="27" t="str">
        <x:v>東京港の埋立地を高い視点から眺め、空の広さを体験できる。</x:v>
      </x:c>
      <x:c r="G17" s="27" t="str">
        <x:v>あり・普通車268台・有料</x:v>
      </x:c>
      <x:c r="H17" s="27" t="str">
        <x:v>閉園17:00／開園開始時刻は公式ページ間で7:00・9:00表記があるため当日確認</x:v>
      </x:c>
      <x:c r="I17" s="27" t="n">
        <x:v>1</x:v>
      </x:c>
      <x:c r="J17" s="27" t="n">
        <x:v>5</x:v>
      </x:c>
      <x:c r="K17" s="27" t="str">
        <x:v>時間外は出庫不可。イベント・団体利用・公式ページの当日案内を確認。</x:v>
      </x:c>
      <x:c r="L17" s="28" t="n">
        <x:v>46232</x:v>
      </x:c>
      <x:c r="M17" s="27" t="str">
        <x:v>一次確認済</x:v>
      </x:c>
      <x:c r="N17" s="27" t="str">
        <x:v>https://uminomoripark.com/faq/</x:v>
      </x:c>
      <x:c r="O17" s="27" t="str">
        <x:v>海の森は中央防波堤内側埋立地を森へ変える事業で、市民が育てた苗木も植えられている。</x:v>
      </x:c>
      <x:c r="P17" s="84" t="e">
        <x:f>HYPERLINK("https://ja.wikipedia.org/wiki/Special:Search?search=%E6%B5%B7%E3%81%AE%E6%A3%AE%E5%85%AC%E5%9C%92","Wikipedia・関連項目")</x:f>
      </x:c>
      <x:c r="Q17" s="27" t="str">
        <x:v>2026-07-29公式再確認：普通車268台、閉園17:00を反映。開始時刻は公式表記差があるため当日確認へ。</x:v>
      </x:c>
      <x:c r="R17" s="27" t="str">
        <x:v>10〜20km</x:v>
      </x:c>
      <x:c r="S17" s="27" t="str">
        <x:v>概ね10〜20km</x:v>
      </x:c>
      <x:c r="T17" s="27" t="str">
        <x:v>通常25〜50分</x:v>
      </x:c>
      <x:c r="U17" s="27" t="str">
        <x:v>海・港</x:v>
      </x:c>
      <x:c r="V17" s="27" t="str">
        <x:v>30〜90分</x:v>
      </x:c>
      <x:c r="W17" s="27" t="n">
        <x:v>1</x:v>
      </x:c>
      <x:c r="X17" s="27" t="n">
        <x:v>3</x:v>
      </x:c>
      <x:c r="Y17" s="27" t="str">
        <x:v>城南島海浜公園</x:v>
      </x:c>
      <x:c r="Z17" s="27" t="str">
        <x:v>潮風公園／晴海ふ頭公園</x:v>
      </x:c>
      <x:c r="AA17" s="22" t="str">
        <x:v>なし</x:v>
      </x:c>
      <x:c r="AB17" s="22" t="str">
        <x:v>-</x:v>
      </x:c>
      <x:c r="AC17" s="22" t="str"/>
      <x:c r="AD17" s="22" t="str">
        <x:v>専用・路外駐車を基本</x:v>
      </x:c>
      <x:c r="AE17" s="22" t="str"/>
    </x:row>
    <x:row r="18">
      <x:c r="A18" s="27" t="str">
        <x:v>D044</x:v>
      </x:c>
      <x:c r="B18" s="27" t="str">
        <x:v>桜ヶ丘公園 ゆうひの丘</x:v>
      </x:c>
      <x:c r="C18" s="27" t="str">
        <x:v>多摩市・連光寺</x:v>
      </x:c>
      <x:c r="D18" s="27" t="str">
        <x:v>高台・夕景・夜景</x:v>
      </x:c>
      <x:c r="E18" s="48" t="e">
        <x:f>HYPERLINK("https://www.google.com/maps/dir/?api=1&amp;destination=%E6%A1%9C%E3%83%B6%E4%B8%98%E5%85%AC%E5%9C%92%20%E3%82%86%E3%81%86%E3%81%B2%E3%81%AE%E4%B8%98&amp;travelmode=driving","現在地からナビ開始")</x:f>
      </x:c>
      <x:c r="F18" s="27" t="str">
        <x:v>多摩丘陵から市街地を見下ろす夕景が強く、都心湾岸とは別系統の高台Endingになる。</x:v>
      </x:c>
      <x:c r="G18" s="27" t="str">
        <x:v>あり・無料・約38台</x:v>
      </x:c>
      <x:c r="H18" s="27" t="str">
        <x:v>ゆうひの丘側 8:45～20:00</x:v>
      </x:c>
      <x:c r="I18" s="27" t="n">
        <x:v>4</x:v>
      </x:c>
      <x:c r="J18" s="27" t="n">
        <x:v>4</x:v>
      </x:c>
      <x:c r="K18" s="27" t="str">
        <x:v>20時に夜間閉鎖。台数が少なく、公道での入庫待ちは不可。</x:v>
      </x:c>
      <x:c r="L18" s="28" t="n">
        <x:v>46232</x:v>
      </x:c>
      <x:c r="M18" s="27" t="str">
        <x:v>一次確認済</x:v>
      </x:c>
      <x:c r="N18" s="27" t="str">
        <x:v>https://www.tokyo-park.or.jp/park/sakuragaoka/index.html</x:v>
      </x:c>
      <x:c r="O18" s="27" t="str">
        <x:v>ゆうひの丘は多摩丘陵の高低差を生かした展望地で、テレビドラマや映像作品のロケ地としても使われてきた。</x:v>
      </x:c>
      <x:c r="P18" s="84" t="e">
        <x:f>HYPERLINK("https://ja.wikipedia.org/wiki/Special:Search?search=%E6%A1%9C%E3%83%B6%E4%B8%98%E5%85%AC%E5%9C%92%20%E3%82%86%E3%81%86%E3%81%B2%E3%81%AE%E4%B8%98","Wikipedia・関連項目")</x:f>
      </x:c>
      <x:c r="Q18" s="27"/>
      <x:c r="R18" s="27" t="str">
        <x:v>20〜25km</x:v>
      </x:c>
      <x:c r="S18" s="27" t="str">
        <x:v>概ね20〜25km</x:v>
      </x:c>
      <x:c r="T18" s="27" t="str">
        <x:v>通常40〜70分</x:v>
      </x:c>
      <x:c r="U18" s="27" t="str">
        <x:v>平日夜・深夜</x:v>
      </x:c>
      <x:c r="V18" s="27" t="str">
        <x:v>30〜60分</x:v>
      </x:c>
      <x:c r="W18" s="27" t="n">
        <x:v>1</x:v>
      </x:c>
      <x:c r="X18" s="27" t="n">
        <x:v>3</x:v>
      </x:c>
      <x:c r="Y18" s="27" t="str">
        <x:v>羽田空港 第3ターミナル展望デッキ</x:v>
      </x:c>
      <x:c r="Z18" s="27" t="str">
        <x:v>城南島海浜公園／潮風公園</x:v>
      </x:c>
      <x:c r="AA18" s="22" t="str">
        <x:v>なし</x:v>
      </x:c>
      <x:c r="AB18" s="22" t="str">
        <x:v>-</x:v>
      </x:c>
      <x:c r="AC18" s="22" t="str"/>
      <x:c r="AD18" s="22" t="str">
        <x:v>専用・路外駐車を基本</x:v>
      </x:c>
      <x:c r="AE18" s="22" t="str"/>
    </x:row>
    <x:row r="19">
      <x:c r="A19" s="27" t="str">
        <x:v>D058</x:v>
      </x:c>
      <x:c r="B19" s="27" t="str">
        <x:v>浦安市総合公園</x:v>
      </x:c>
      <x:c r="C19" s="27" t="str">
        <x:v>浦安市・明海</x:v>
      </x:c>
      <x:c r="D19" s="27" t="str">
        <x:v>海・芝生・夜間公園</x:v>
      </x:c>
      <x:c r="E19" s="48" t="e">
        <x:f>HYPERLINK("https://www.google.com/maps/dir/?api=1&amp;destination=%E6%B5%A6%E5%AE%89%E5%B8%82%E7%B7%8F%E5%90%88%E5%85%AC%E5%9C%92&amp;travelmode=driving","現在地からナビ開始")</x:f>
      </x:c>
      <x:c r="F19" s="27" t="str">
        <x:v>海沿いの広い芝生と新浦安の灯りがあり、深夜にも使える穏やかな湾岸Ending。</x:v>
      </x:c>
      <x:c r="G19" s="27" t="str">
        <x:v>あり・251台・有料</x:v>
      </x:c>
      <x:c r="H19" s="27" t="str">
        <x:v>駐車場 終日利用可</x:v>
      </x:c>
      <x:c r="I19" s="27" t="n">
        <x:v>5</x:v>
      </x:c>
      <x:c r="J19" s="27" t="n">
        <x:v>4</x:v>
      </x:c>
      <x:c r="K19" s="27" t="str">
        <x:v>海側は風が強い。住宅・ホテルに近いため静粛に。</x:v>
      </x:c>
      <x:c r="L19" s="28" t="n">
        <x:v>46232</x:v>
      </x:c>
      <x:c r="M19" s="27" t="str">
        <x:v>一次確認済</x:v>
      </x:c>
      <x:c r="N19" s="27" t="str">
        <x:v>https://www.city.urayasu.lg.jp/shisetsu/kouen/1005625.html</x:v>
      </x:c>
      <x:c r="O19" s="27" t="str">
        <x:v>浦安の海側は大規模埋立地で、漁村だった浦安が住宅・リゾート都市へ変わった歴史を象徴する。</x:v>
      </x:c>
      <x:c r="P19" s="84" t="e">
        <x:f>HYPERLINK("https://ja.wikipedia.org/wiki/Special:Search?search=%E6%B5%A6%E5%AE%89%E5%B8%82%E7%B7%8F%E5%90%88%E5%85%AC%E5%9C%92","Wikipedia・関連項目")</x:f>
      </x:c>
      <x:c r="Q19" s="27"/>
      <x:c r="R19" s="27" t="str">
        <x:v>20〜25km</x:v>
      </x:c>
      <x:c r="S19" s="27" t="str">
        <x:v>概ね20〜25km</x:v>
      </x:c>
      <x:c r="T19" s="27" t="str">
        <x:v>通常40〜70分</x:v>
      </x:c>
      <x:c r="U19" s="27" t="str">
        <x:v>海・港</x:v>
      </x:c>
      <x:c r="V19" s="27" t="str">
        <x:v>30〜90分</x:v>
      </x:c>
      <x:c r="W19" s="27" t="n">
        <x:v>1</x:v>
      </x:c>
      <x:c r="X19" s="27" t="n">
        <x:v>3</x:v>
      </x:c>
      <x:c r="Y19" s="27" t="str">
        <x:v>城南島海浜公園</x:v>
      </x:c>
      <x:c r="Z19" s="27" t="str">
        <x:v>潮風公園／晴海ふ頭公園</x:v>
      </x:c>
      <x:c r="AA19" s="22" t="str">
        <x:v>なし</x:v>
      </x:c>
      <x:c r="AB19" s="22" t="str">
        <x:v>-</x:v>
      </x:c>
      <x:c r="AC19" s="22" t="str"/>
      <x:c r="AD19" s="22" t="str">
        <x:v>専用・路外駐車を基本</x:v>
      </x:c>
      <x:c r="AE19" s="22" t="str"/>
    </x:row>
    <x:row r="20">
      <x:c r="A20" s="27" t="str">
        <x:v>D062</x:v>
      </x:c>
      <x:c r="B20" s="27" t="str">
        <x:v>辰巳第一PA</x:v>
      </x:c>
      <x:c r="C20" s="27" t="str">
        <x:v>江東区・辰巳</x:v>
      </x:c>
      <x:c r="D20" s="27" t="str">
        <x:v>PA・高層夜景・首都高</x:v>
      </x:c>
      <x:c r="E20" s="48" t="e">
        <x:f>HYPERLINK("https://www.google.com/maps/dir/?api=1&amp;destination=%E8%BE%B0%E5%B7%B3%E7%AC%AC%E4%B8%80PA&amp;travelmode=driving","現在地からナビ開始")</x:f>
      </x:c>
      <x:c r="F20" s="27" t="str">
        <x:v>湾岸線から都心高層群を見渡せ、短時間で首都高ドライブを締められる。</x:v>
      </x:c>
      <x:c r="G20" s="27" t="str">
        <x:v>あり・普通車29台</x:v>
      </x:c>
      <x:c r="H20" s="27" t="str">
        <x:v>原則24時間、夜間・工事閉鎖あり</x:v>
      </x:c>
      <x:c r="I20" s="27" t="n">
        <x:v>5</x:v>
      </x:c>
      <x:c r="J20" s="27" t="n">
        <x:v>3</x:v>
      </x:c>
      <x:c r="K20" s="27" t="str">
        <x:v>夜間閉鎖や入口規制を確認。撮影・滞留・騒音行為は避ける。</x:v>
      </x:c>
      <x:c r="L20" s="28" t="n">
        <x:v>46232</x:v>
      </x:c>
      <x:c r="M20" s="27" t="str">
        <x:v>当日再確認</x:v>
      </x:c>
      <x:c r="N20" s="27" t="str">
        <x:v>https://www.shutoko-sv.jp/pa/tatsumi-1</x:v>
      </x:c>
      <x:c r="O20" s="27" t="str">
        <x:v>辰巳は東京湾の埋立地で、PAから見える高層住宅群は湾岸部の都市化を象徴する景観である。</x:v>
      </x:c>
      <x:c r="P20" s="84" t="e">
        <x:f>HYPERLINK("https://ja.wikipedia.org/wiki/Special:Search?search=%E8%BE%B0%E5%B7%B3%E7%AC%AC%E4%B8%80PA","Wikipedia・関連項目")</x:f>
      </x:c>
      <x:c r="Q20" s="27"/>
      <x:c r="R20" s="27" t="str">
        <x:v>10〜20km</x:v>
      </x:c>
      <x:c r="S20" s="27" t="str">
        <x:v>概ね10〜20km</x:v>
      </x:c>
      <x:c r="T20" s="27" t="str">
        <x:v>通常25〜50分</x:v>
      </x:c>
      <x:c r="U20" s="27" t="str">
        <x:v>平日夜・深夜</x:v>
      </x:c>
      <x:c r="V20" s="27" t="str">
        <x:v>15〜30分</x:v>
      </x:c>
      <x:c r="W20" s="27" t="n">
        <x:v>4</x:v>
      </x:c>
      <x:c r="X20" s="27" t="n">
        <x:v>4</x:v>
      </x:c>
      <x:c r="Y20" s="27" t="str">
        <x:v>羽田空港 第3ターミナル展望デッキ</x:v>
      </x:c>
      <x:c r="Z20" s="27" t="str">
        <x:v>城南島海浜公園／潮風公園</x:v>
      </x:c>
      <x:c r="AA20" s="22" t="str">
        <x:v>なし</x:v>
      </x:c>
      <x:c r="AB20" s="22" t="str">
        <x:v>-</x:v>
      </x:c>
      <x:c r="AC20" s="22" t="str"/>
      <x:c r="AD20" s="22" t="str">
        <x:v>専用・路外駐車を基本</x:v>
      </x:c>
      <x:c r="AE20" s="22" t="str"/>
    </x:row>
    <x:row r="21">
      <x:c r="A21" s="27" t="str">
        <x:v>D063</x:v>
      </x:c>
      <x:c r="B21" s="27" t="str">
        <x:v>芝浦PA</x:v>
      </x:c>
      <x:c r="C21" s="27" t="str">
        <x:v>港区・海岸</x:v>
      </x:c>
      <x:c r="D21" s="27" t="str">
        <x:v>PA・高架・都市夜景</x:v>
      </x:c>
      <x:c r="E21" s="48" t="e">
        <x:f>HYPERLINK("https://www.google.com/maps/dir/?api=1&amp;destination=%E8%8A%9D%E6%B5%A6PA&amp;travelmode=driving","現在地からナビ開始")</x:f>
      </x:c>
      <x:c r="F21" s="27" t="str">
        <x:v>レインボーブリッジ手前の高架空間で、都心湾岸ルートの余韻を短く残せる。</x:v>
      </x:c>
      <x:c r="G21" s="27" t="str">
        <x:v>あり・小規模</x:v>
      </x:c>
      <x:c r="H21" s="27" t="str">
        <x:v>原則24時間、夜間・工事閉鎖あり</x:v>
      </x:c>
      <x:c r="I21" s="27" t="n">
        <x:v>4</x:v>
      </x:c>
      <x:c r="J21" s="27" t="n">
        <x:v>3</x:v>
      </x:c>
      <x:c r="K21" s="27" t="str">
        <x:v>閉鎖措置が入りやすい。満車時は通過し、待機しない。</x:v>
      </x:c>
      <x:c r="L21" s="28" t="n">
        <x:v>46232</x:v>
      </x:c>
      <x:c r="M21" s="27" t="str">
        <x:v>当日再確認</x:v>
      </x:c>
      <x:c r="N21" s="27" t="str">
        <x:v>https://www.shutoko-sv.jp/pa/shibaura</x:v>
      </x:c>
      <x:c r="O21" s="27" t="str">
        <x:v>芝浦PAはレインボーブリッジへ続く11号台場線上にあり、都心高架と港湾景観が交差する。</x:v>
      </x:c>
      <x:c r="P21" s="84" t="e">
        <x:f>HYPERLINK("https://ja.wikipedia.org/wiki/Special:Search?search=%E8%8A%9D%E6%B5%A6PA","Wikipedia・関連項目")</x:f>
      </x:c>
      <x:c r="Q21" s="27"/>
      <x:c r="R21" s="27" t="str">
        <x:v>10〜20km</x:v>
      </x:c>
      <x:c r="S21" s="27" t="str">
        <x:v>概ね10〜20km</x:v>
      </x:c>
      <x:c r="T21" s="27" t="str">
        <x:v>通常25〜50分</x:v>
      </x:c>
      <x:c r="U21" s="27" t="str">
        <x:v>平日夜・深夜</x:v>
      </x:c>
      <x:c r="V21" s="27" t="str">
        <x:v>15〜30分</x:v>
      </x:c>
      <x:c r="W21" s="27" t="n">
        <x:v>4</x:v>
      </x:c>
      <x:c r="X21" s="27" t="n">
        <x:v>4</x:v>
      </x:c>
      <x:c r="Y21" s="27" t="str">
        <x:v>羽田空港 第3ターミナル展望デッキ</x:v>
      </x:c>
      <x:c r="Z21" s="27" t="str">
        <x:v>城南島海浜公園／潮風公園</x:v>
      </x:c>
      <x:c r="AA21" s="22" t="str">
        <x:v>なし</x:v>
      </x:c>
      <x:c r="AB21" s="22" t="str">
        <x:v>-</x:v>
      </x:c>
      <x:c r="AC21" s="22" t="str"/>
      <x:c r="AD21" s="22" t="str">
        <x:v>専用・路外駐車を基本</x:v>
      </x:c>
      <x:c r="AE21" s="22" t="str"/>
    </x:row>
    <x:row r="22">
      <x:c r="A22" s="27" t="str">
        <x:v>D064</x:v>
      </x:c>
      <x:c r="B22" s="27" t="str">
        <x:v>大井PA（東行き）</x:v>
      </x:c>
      <x:c r="C22" s="27" t="str">
        <x:v>品川区・八潮</x:v>
      </x:c>
      <x:c r="D22" s="27" t="str">
        <x:v>PA・湾岸・近距離休憩</x:v>
      </x:c>
      <x:c r="E22" s="48" t="e">
        <x:f>HYPERLINK("https://www.google.com/maps/dir/?api=1&amp;destination=%E5%A4%A7%E4%BA%95PA%EF%BC%88%E6%9D%B1%E8%A1%8C%E3%81%8D%EF%BC%89&amp;travelmode=driving","現在地からナビ開始")</x:f>
      </x:c>
      <x:c r="F22" s="27" t="str">
        <x:v>大田区から近く、短時間だけ湾岸を走りたい夜のミニマムEndingになる。</x:v>
      </x:c>
      <x:c r="G22" s="27" t="str">
        <x:v>あり・普通車19台</x:v>
      </x:c>
      <x:c r="H22" s="27" t="str">
        <x:v>原則24時間、工事閉鎖あり</x:v>
      </x:c>
      <x:c r="I22" s="27" t="n">
        <x:v>4</x:v>
      </x:c>
      <x:c r="J22" s="27" t="n">
        <x:v>4</x:v>
      </x:c>
      <x:c r="K22" s="27" t="str">
        <x:v>東行き専用で進行方向制約あり。工事情報を確認。</x:v>
      </x:c>
      <x:c r="L22" s="28" t="n">
        <x:v>46232</x:v>
      </x:c>
      <x:c r="M22" s="27" t="str">
        <x:v>当日再確認</x:v>
      </x:c>
      <x:c r="N22" s="27" t="str">
        <x:v>https://www.shutoko-sv.jp/pa/oi-eastbound</x:v>
      </x:c>
      <x:c r="O22" s="27" t="str">
        <x:v>大井PA周辺の八潮・大井ふ頭は東京港の主要物流拠点で、巨大な倉庫・コンテナ施設が集まる。</x:v>
      </x:c>
      <x:c r="P22" s="84" t="e">
        <x:f>HYPERLINK("https://ja.wikipedia.org/wiki/Special:Search?search=%E5%A4%A7%E4%BA%95PA%EF%BC%88%E6%9D%B1%E8%A1%8C%E3%81%8D%EF%BC%89","Wikipedia・関連項目")</x:f>
      </x:c>
      <x:c r="Q22" s="27"/>
      <x:c r="R22" s="27" t="str">
        <x:v>0〜10km</x:v>
      </x:c>
      <x:c r="S22" s="27" t="str">
        <x:v>概ね0〜10km</x:v>
      </x:c>
      <x:c r="T22" s="27" t="str">
        <x:v>通常10〜30分</x:v>
      </x:c>
      <x:c r="U22" s="27" t="str">
        <x:v>平日夜・深夜</x:v>
      </x:c>
      <x:c r="V22" s="27" t="str">
        <x:v>15〜30分</x:v>
      </x:c>
      <x:c r="W22" s="27" t="n">
        <x:v>4</x:v>
      </x:c>
      <x:c r="X22" s="27" t="n">
        <x:v>4</x:v>
      </x:c>
      <x:c r="Y22" s="27" t="str">
        <x:v>羽田空港 第3ターミナル展望デッキ</x:v>
      </x:c>
      <x:c r="Z22" s="27" t="str">
        <x:v>城南島海浜公園／潮風公園</x:v>
      </x:c>
      <x:c r="AA22" s="22" t="str">
        <x:v>なし</x:v>
      </x:c>
      <x:c r="AB22" s="22" t="str">
        <x:v>-</x:v>
      </x:c>
      <x:c r="AC22" s="22" t="str"/>
      <x:c r="AD22" s="22" t="str">
        <x:v>専用・路外駐車を基本</x:v>
      </x:c>
      <x:c r="AE22" s="22" t="str"/>
    </x:row>
    <x:row r="23">
      <x:c r="A23" s="27" t="str">
        <x:v>D065</x:v>
      </x:c>
      <x:c r="B23" s="27" t="str">
        <x:v>平和島PA（上り）</x:v>
      </x:c>
      <x:c r="C23" s="27" t="str">
        <x:v>大田区・平和島</x:v>
      </x:c>
      <x:c r="D23" s="27" t="str">
        <x:v>PA・近距離・夜間休憩</x:v>
      </x:c>
      <x:c r="E23" s="48" t="e">
        <x:f>HYPERLINK("https://www.google.com/maps/dir/?api=1&amp;destination=%E5%B9%B3%E5%92%8C%E5%B3%B6PA%EF%BC%88%E4%B8%8A%E3%82%8A%EF%BC%89&amp;travelmode=driving","現在地からナビ開始")</x:f>
      </x:c>
      <x:c r="F23" s="27" t="str">
        <x:v>大田区内で最短の首都高体験を作れ、出発後すぐに気分転換したい夜に使える。</x:v>
      </x:c>
      <x:c r="G23" s="27" t="str">
        <x:v>あり・首都高PA</x:v>
      </x:c>
      <x:c r="H23" s="27" t="str">
        <x:v>原則24時間、工事閉鎖あり</x:v>
      </x:c>
      <x:c r="I23" s="27" t="n">
        <x:v>4</x:v>
      </x:c>
      <x:c r="J23" s="27" t="n">
        <x:v>4</x:v>
      </x:c>
      <x:c r="K23" s="27" t="str">
        <x:v>上り線専用。短時間休憩に限定し、周回目的の走行はしない。</x:v>
      </x:c>
      <x:c r="L23" s="28" t="n">
        <x:v>46232</x:v>
      </x:c>
      <x:c r="M23" s="27" t="str">
        <x:v>当日再確認</x:v>
      </x:c>
      <x:c r="N23" s="27" t="str">
        <x:v>https://www.shutoko-sv.jp/pa/heiwajima-up</x:v>
      </x:c>
      <x:c r="O23" s="27" t="str">
        <x:v>平和島は昭和期に造成された人工島で、『平和』を願う名称が町名として採用された。</x:v>
      </x:c>
      <x:c r="P23" s="84" t="e">
        <x:f>HYPERLINK("https://ja.wikipedia.org/wiki/Special:Search?search=%E5%B9%B3%E5%92%8C%E5%B3%B6PA%EF%BC%88%E4%B8%8A%E3%82%8A%EF%BC%89","Wikipedia・関連項目")</x:f>
      </x:c>
      <x:c r="Q23" s="27"/>
      <x:c r="R23" s="27" t="str">
        <x:v>0〜10km</x:v>
      </x:c>
      <x:c r="S23" s="27" t="str">
        <x:v>概ね0〜10km</x:v>
      </x:c>
      <x:c r="T23" s="27" t="str">
        <x:v>通常10〜30分</x:v>
      </x:c>
      <x:c r="U23" s="27" t="str">
        <x:v>平日夜・深夜</x:v>
      </x:c>
      <x:c r="V23" s="27" t="str">
        <x:v>15〜30分</x:v>
      </x:c>
      <x:c r="W23" s="27" t="n">
        <x:v>4</x:v>
      </x:c>
      <x:c r="X23" s="27" t="n">
        <x:v>4</x:v>
      </x:c>
      <x:c r="Y23" s="27" t="str">
        <x:v>羽田空港 第3ターミナル展望デッキ</x:v>
      </x:c>
      <x:c r="Z23" s="27" t="str">
        <x:v>城南島海浜公園／潮風公園</x:v>
      </x:c>
      <x:c r="AA23" s="22" t="str">
        <x:v>なし</x:v>
      </x:c>
      <x:c r="AB23" s="22" t="str">
        <x:v>-</x:v>
      </x:c>
      <x:c r="AC23" s="22" t="str"/>
      <x:c r="AD23" s="22" t="str">
        <x:v>専用・路外駐車を基本</x:v>
      </x:c>
      <x:c r="AE23" s="22" t="str"/>
    </x:row>
    <x:row r="24">
      <x:c r="A24" s="27" t="str">
        <x:v>D075</x:v>
      </x:c>
      <x:c r="B24" s="27" t="str">
        <x:v>県立四季の森公園</x:v>
      </x:c>
      <x:c r="C24" s="27" t="str">
        <x:v>横浜市・緑区</x:v>
      </x:c>
      <x:c r="D24" s="27" t="str">
        <x:v>谷戸・池・森林</x:v>
      </x:c>
      <x:c r="E24" s="48" t="e">
        <x:f>HYPERLINK("https://www.google.com/maps/dir/?api=1&amp;destination=%E7%9C%8C%E7%AB%8B%E5%9B%9B%E5%AD%A3%E3%81%AE%E6%A3%AE%E5%85%AC%E5%9C%92&amp;travelmode=driving","現在地からナビ開始")</x:f>
      </x:c>
      <x:c r="F24" s="27" t="str">
        <x:v>横浜市内ながら谷戸と水田、森が残り、昼の回復系Endingに向く。</x:v>
      </x:c>
      <x:c r="G24" s="27" t="str">
        <x:v>あり・有料</x:v>
      </x:c>
      <x:c r="H24" s="27" t="str">
        <x:v>駐車場時間は季節・公式案内を確認</x:v>
      </x:c>
      <x:c r="I24" s="27" t="n">
        <x:v>2</x:v>
      </x:c>
      <x:c r="J24" s="27" t="n">
        <x:v>4</x:v>
      </x:c>
      <x:c r="K24" s="27" t="str">
        <x:v>イベント・工事情報と閉場時刻を確認。夜は暗い。</x:v>
      </x:c>
      <x:c r="L24" s="28" t="n">
        <x:v>46232</x:v>
      </x:c>
      <x:c r="M24" s="27" t="str">
        <x:v>当日再確認</x:v>
      </x:c>
      <x:c r="N24" s="27" t="str">
        <x:v>https://www.kanagawa-park.or.jp/shikinomori/</x:v>
      </x:c>
      <x:c r="O24" s="27" t="str">
        <x:v>四季の森公園は横浜に残る谷戸の地形と雑木林を保全し、水田や炭焼きの里山文化を伝える。</x:v>
      </x:c>
      <x:c r="P24" s="84" t="e">
        <x:f>HYPERLINK("https://ja.wikipedia.org/wiki/Special:Search?search=%E7%9C%8C%E7%AB%8B%E5%9B%9B%E5%AD%A3%E3%81%AE%E6%A3%AE%E5%85%AC%E5%9C%92","Wikipedia・関連項目")</x:f>
      </x:c>
      <x:c r="Q24" s="27"/>
      <x:c r="R24" s="27" t="str">
        <x:v>20〜25km</x:v>
      </x:c>
      <x:c r="S24" s="27" t="str">
        <x:v>概ね20〜25km</x:v>
      </x:c>
      <x:c r="T24" s="27" t="str">
        <x:v>通常40〜70分</x:v>
      </x:c>
      <x:c r="U24" s="27" t="str">
        <x:v>水辺</x:v>
      </x:c>
      <x:c r="V24" s="27" t="str">
        <x:v>30〜90分</x:v>
      </x:c>
      <x:c r="W24" s="27" t="n">
        <x:v>1</x:v>
      </x:c>
      <x:c r="X24" s="27" t="n">
        <x:v>1</x:v>
      </x:c>
      <x:c r="Y24" s="27" t="str">
        <x:v>多摩川浅間神社</x:v>
      </x:c>
      <x:c r="Z24" s="27" t="str">
        <x:v>多摩川六郷橋緑地／多摩川ガス橋緑地</x:v>
      </x:c>
      <x:c r="AA24" s="22" t="str">
        <x:v>なし</x:v>
      </x:c>
      <x:c r="AB24" s="22" t="str">
        <x:v>-</x:v>
      </x:c>
      <x:c r="AC24" s="22" t="str"/>
      <x:c r="AD24" s="22" t="str">
        <x:v>専用・路外駐車を基本</x:v>
      </x:c>
      <x:c r="AE24" s="22" t="str"/>
    </x:row>
    <x:row r="25">
      <x:c r="A25" s="27" t="str">
        <x:v>D080</x:v>
      </x:c>
      <x:c r="B25" s="27" t="str">
        <x:v>根岸森林公園</x:v>
      </x:c>
      <x:c r="C25" s="27" t="str">
        <x:v>横浜市・中区</x:v>
      </x:c>
      <x:c r="D25" s="27" t="str">
        <x:v>高台・芝生・都市近郊</x:v>
      </x:c>
      <x:c r="E25" s="48" t="e">
        <x:f>HYPERLINK("https://www.google.com/maps/dir/?api=1&amp;destination=%E6%A0%B9%E5%B2%B8%E6%A3%AE%E6%9E%97%E5%85%AC%E5%9C%92&amp;travelmode=driving","現在地からナビ開始")</x:f>
      </x:c>
      <x:c r="F25" s="27" t="str">
        <x:v>広い芝生と旧競馬場の高台景観があり、横浜中心部の後に静けさを作れる。</x:v>
      </x:c>
      <x:c r="G25" s="27" t="str">
        <x:v>第1・第2駐車場 各約100台・有料</x:v>
      </x:c>
      <x:c r="H25" s="27" t="str">
        <x:v>公園常時／駐車場は運営案内・現地表示を確認</x:v>
      </x:c>
      <x:c r="I25" s="27" t="n">
        <x:v>4</x:v>
      </x:c>
      <x:c r="J25" s="27" t="n">
        <x:v>3</x:v>
      </x:c>
      <x:c r="K25" s="27" t="str">
        <x:v>桜期・休日は満車と周辺渋滞。路上待機禁止。閉場時刻は当日表示を優先。</x:v>
      </x:c>
      <x:c r="L25" s="28" t="n">
        <x:v>46232</x:v>
      </x:c>
      <x:c r="M25" s="27" t="str">
        <x:v>一次確認済</x:v>
      </x:c>
      <x:c r="N25" s="27" t="str">
        <x:v>https://www.city.yokohama.lg.jp/kurashi/machizukuri-kankyo/midori-koen/koen/koen/daihyoteki/negishi/kouen010.html</x:v>
      </x:c>
      <x:c r="O25" s="27" t="str">
        <x:v>根岸森林公園は日本初の本格的な洋式競馬場・横浜競馬場の跡地で、旧一等馬見所が今も残る。</x:v>
      </x:c>
      <x:c r="P25" s="84" t="e">
        <x:f>HYPERLINK("https://ja.wikipedia.org/wiki/Special:Search?search=%E6%A0%B9%E5%B2%B8%E6%A3%AE%E6%9E%97%E5%85%AC%E5%9C%92","Wikipedia・関連項目")</x:f>
      </x:c>
      <x:c r="Q25" s="27" t="str">
        <x:v>2026-07-29公式再確認：駐車場合計約200台と競馬場跡Storyを経由地設計へ反映。</x:v>
      </x:c>
      <x:c r="R25" s="27" t="str">
        <x:v>20〜25km</x:v>
      </x:c>
      <x:c r="S25" s="27" t="str">
        <x:v>概ね20〜25km</x:v>
      </x:c>
      <x:c r="T25" s="27" t="str">
        <x:v>通常40〜70分</x:v>
      </x:c>
      <x:c r="U25" s="27" t="str">
        <x:v>平日夜・深夜</x:v>
      </x:c>
      <x:c r="V25" s="27" t="str">
        <x:v>30〜60分</x:v>
      </x:c>
      <x:c r="W25" s="27" t="n">
        <x:v>1</x:v>
      </x:c>
      <x:c r="X25" s="27" t="n">
        <x:v>1</x:v>
      </x:c>
      <x:c r="Y25" s="27" t="str">
        <x:v>羽田空港 第3ターミナル展望デッキ</x:v>
      </x:c>
      <x:c r="Z25" s="27" t="str">
        <x:v>城南島海浜公園／潮風公園</x:v>
      </x:c>
      <x:c r="AA25" s="22" t="str">
        <x:v>なし</x:v>
      </x:c>
      <x:c r="AB25" s="22" t="str">
        <x:v>-</x:v>
      </x:c>
      <x:c r="AC25" s="22" t="str"/>
      <x:c r="AD25" s="22" t="str">
        <x:v>専用・路外駐車を基本</x:v>
      </x:c>
      <x:c r="AE25" s="22" t="str"/>
    </x:row>
    <x:row r="26">
      <x:c r="A26" s="27" t="str">
        <x:v>D096</x:v>
      </x:c>
      <x:c r="B26" s="27" t="str">
        <x:v>大島小松川公園</x:v>
      </x:c>
      <x:c r="C26" s="27" t="str">
        <x:v>江戸川区・小松川</x:v>
      </x:c>
      <x:c r="D26" s="27" t="str">
        <x:v>河川・高台・夜間公園</x:v>
      </x:c>
      <x:c r="E26" s="48" t="e">
        <x:f>HYPERLINK("https://www.google.com/maps/dir/?api=1&amp;destination=%E5%A4%A7%E5%B3%B6%E5%B0%8F%E6%9D%BE%E5%B7%9D%E5%85%AC%E5%9C%92&amp;travelmode=driving","現在地からナビ開始")</x:f>
      </x:c>
      <x:c r="F26" s="27" t="str">
        <x:v>旧中川と荒川に挟まれた高台公園で、都心東側を静かに終える24時間候補になる。</x:v>
      </x:c>
      <x:c r="G26" s="27" t="str">
        <x:v>あり・97台・有料</x:v>
      </x:c>
      <x:c r="H26" s="27" t="str">
        <x:v>駐車場 24時間</x:v>
      </x:c>
      <x:c r="I26" s="27" t="n">
        <x:v>4</x:v>
      </x:c>
      <x:c r="J26" s="27" t="n">
        <x:v>4</x:v>
      </x:c>
      <x:c r="K26" s="27" t="str">
        <x:v>夜は暗い区域を避ける。公道での入庫待ち・騒音行為は禁止。</x:v>
      </x:c>
      <x:c r="L26" s="28" t="n">
        <x:v>46232</x:v>
      </x:c>
      <x:c r="M26" s="27" t="str">
        <x:v>一次確認済</x:v>
      </x:c>
      <x:c r="N26" s="27" t="str">
        <x:v>https://www.tokyo-park.or.jp/park/ojima-komatsugawa/index.html</x:v>
      </x:c>
      <x:c r="O26" s="27" t="str">
        <x:v>大島小松川公園は荒川と旧中川に挟まれた防災拠点で、災害時には避難・救援空間として機能する。</x:v>
      </x:c>
      <x:c r="P26" s="84" t="e">
        <x:f>HYPERLINK("https://ja.wikipedia.org/wiki/Special:Search?search=%E5%A4%A7%E5%B3%B6%E5%B0%8F%E6%9D%BE%E5%B7%9D%E5%85%AC%E5%9C%92","Wikipedia・関連項目")</x:f>
      </x:c>
      <x:c r="Q26" s="27"/>
      <x:c r="R26" s="27" t="str">
        <x:v>20〜25km</x:v>
      </x:c>
      <x:c r="S26" s="27" t="str">
        <x:v>概ね20〜25km</x:v>
      </x:c>
      <x:c r="T26" s="27" t="str">
        <x:v>通常40〜70分</x:v>
      </x:c>
      <x:c r="U26" s="27" t="str">
        <x:v>水辺</x:v>
      </x:c>
      <x:c r="V26" s="27" t="str">
        <x:v>30〜90分</x:v>
      </x:c>
      <x:c r="W26" s="27" t="n">
        <x:v>1</x:v>
      </x:c>
      <x:c r="X26" s="27" t="n">
        <x:v>1</x:v>
      </x:c>
      <x:c r="Y26" s="27" t="str">
        <x:v>多摩川浅間神社</x:v>
      </x:c>
      <x:c r="Z26" s="27" t="str">
        <x:v>多摩川六郷橋緑地／多摩川ガス橋緑地</x:v>
      </x:c>
      <x:c r="AA26" s="22" t="str">
        <x:v>なし</x:v>
      </x:c>
      <x:c r="AB26" s="22" t="str">
        <x:v>-</x:v>
      </x:c>
      <x:c r="AC26" s="22" t="str"/>
      <x:c r="AD26" s="22" t="str">
        <x:v>専用・路外駐車を基本</x:v>
      </x:c>
      <x:c r="AE26" s="22" t="str"/>
    </x:row>
    <x:row r="27">
      <x:c r="A27" s="27" t="str">
        <x:v>D097</x:v>
      </x:c>
      <x:c r="B27" s="27" t="str">
        <x:v>篠崎公園</x:v>
      </x:c>
      <x:c r="C27" s="27" t="str">
        <x:v>江戸川区・上篠崎</x:v>
      </x:c>
      <x:c r="D27" s="27" t="str">
        <x:v>河川敷・公園・夜間休憩</x:v>
      </x:c>
      <x:c r="E27" s="48" t="e">
        <x:f>HYPERLINK("https://www.google.com/maps/dir/?api=1&amp;destination=%E7%AF%A0%E5%B4%8E%E5%85%AC%E5%9C%92&amp;travelmode=driving","現在地からナビ開始")</x:f>
      </x:c>
      <x:c r="F27" s="27" t="str">
        <x:v>江戸川に近い広い公園で、東東京方面の長い一般道ドライブを落ち着かせられる。</x:v>
      </x:c>
      <x:c r="G27" s="27" t="str">
        <x:v>あり・第一駐車場有料</x:v>
      </x:c>
      <x:c r="H27" s="27" t="str">
        <x:v>駐車場 24時間</x:v>
      </x:c>
      <x:c r="I27" s="27" t="n">
        <x:v>4</x:v>
      </x:c>
      <x:c r="J27" s="27" t="n">
        <x:v>4</x:v>
      </x:c>
      <x:c r="K27" s="27" t="str">
        <x:v>花火大会日は駐車場利用制限あり。夜間は外灯のある区域に限定。</x:v>
      </x:c>
      <x:c r="L27" s="28" t="n">
        <x:v>46232</x:v>
      </x:c>
      <x:c r="M27" s="27" t="str">
        <x:v>一次確認済</x:v>
      </x:c>
      <x:c r="N27" s="27" t="str">
        <x:v>https://www.tokyo-park.or.jp/park/shinozaki/index.html</x:v>
      </x:c>
      <x:c r="O27" s="27" t="str">
        <x:v>篠崎公園は江戸川沿いの防災公園として計画され、広いオープンスペースを確保している。</x:v>
      </x:c>
      <x:c r="P27" s="84" t="e">
        <x:f>HYPERLINK("https://ja.wikipedia.org/wiki/Special:Search?search=%E7%AF%A0%E5%B4%8E%E5%85%AC%E5%9C%92","Wikipedia・関連項目")</x:f>
      </x:c>
      <x:c r="Q27" s="27"/>
      <x:c r="R27" s="27" t="str">
        <x:v>20〜25km</x:v>
      </x:c>
      <x:c r="S27" s="27" t="str">
        <x:v>概ね20〜25km</x:v>
      </x:c>
      <x:c r="T27" s="27" t="str">
        <x:v>通常40〜70分</x:v>
      </x:c>
      <x:c r="U27" s="27" t="str">
        <x:v>水辺</x:v>
      </x:c>
      <x:c r="V27" s="27" t="str">
        <x:v>30〜90分</x:v>
      </x:c>
      <x:c r="W27" s="27" t="n">
        <x:v>1</x:v>
      </x:c>
      <x:c r="X27" s="27" t="n">
        <x:v>1</x:v>
      </x:c>
      <x:c r="Y27" s="27" t="str">
        <x:v>多摩川浅間神社</x:v>
      </x:c>
      <x:c r="Z27" s="27" t="str">
        <x:v>多摩川六郷橋緑地／多摩川ガス橋緑地</x:v>
      </x:c>
      <x:c r="AA27" s="22" t="str">
        <x:v>なし</x:v>
      </x:c>
      <x:c r="AB27" s="22" t="str">
        <x:v>-</x:v>
      </x:c>
      <x:c r="AC27" s="22" t="str"/>
      <x:c r="AD27" s="22" t="str">
        <x:v>専用・路外駐車を基本</x:v>
      </x:c>
      <x:c r="AE27" s="22" t="str"/>
    </x:row>
    <x:row r="28">
      <x:c r="A28" s="27" t="str">
        <x:v>D098</x:v>
      </x:c>
      <x:c r="B28" s="27" t="str">
        <x:v>木場公園</x:v>
      </x:c>
      <x:c r="C28" s="27" t="str">
        <x:v>江東区・木場</x:v>
      </x:c>
      <x:c r="D28" s="27" t="str">
        <x:v>都市公園・橋・夜間休憩</x:v>
      </x:c>
      <x:c r="E28" s="48" t="e">
        <x:f>HYPERLINK("https://www.google.com/maps/dir/?api=1&amp;destination=%E6%9C%A8%E5%A0%B4%E5%85%AC%E5%9C%92&amp;travelmode=driving","現在地からナビ開始")</x:f>
      </x:c>
      <x:c r="F28" s="27" t="str">
        <x:v>木場公園大橋と広い芝生があり、湾岸・都心走行を緑の空間で終えられる。</x:v>
      </x:c>
      <x:c r="G28" s="27" t="str">
        <x:v>あり・有料</x:v>
      </x:c>
      <x:c r="H28" s="27" t="str">
        <x:v>駐車場 24時間</x:v>
      </x:c>
      <x:c r="I28" s="27" t="n">
        <x:v>4</x:v>
      </x:c>
      <x:c r="J28" s="27" t="n">
        <x:v>3</x:v>
      </x:c>
      <x:c r="K28" s="27" t="str">
        <x:v>イベント時は混雑。公道での入庫待ち禁止。商用撮影は申請が必要。</x:v>
      </x:c>
      <x:c r="L28" s="28" t="n">
        <x:v>46232</x:v>
      </x:c>
      <x:c r="M28" s="27" t="str">
        <x:v>一次確認済</x:v>
      </x:c>
      <x:c r="N28" s="27" t="str">
        <x:v>https://www.tokyo-park.or.jp/park/kiba/index.html</x:v>
      </x:c>
      <x:c r="O28" s="27" t="str">
        <x:v>木場という地名は、江戸時代に材木を保管・取引した『木場』が置かれたことに由来する。</x:v>
      </x:c>
      <x:c r="P28" s="84" t="e">
        <x:f>HYPERLINK("https://ja.wikipedia.org/wiki/Special:Search?search=%E6%9C%A8%E5%A0%B4%E5%85%AC%E5%9C%92","Wikipedia・関連項目")</x:f>
      </x:c>
      <x:c r="Q28" s="27"/>
      <x:c r="R28" s="27" t="str">
        <x:v>10〜20km</x:v>
      </x:c>
      <x:c r="S28" s="27" t="str">
        <x:v>概ね10〜20km</x:v>
      </x:c>
      <x:c r="T28" s="27" t="str">
        <x:v>通常25〜50分</x:v>
      </x:c>
      <x:c r="U28" s="27" t="str">
        <x:v>平日夜・深夜</x:v>
      </x:c>
      <x:c r="V28" s="27" t="str">
        <x:v>30〜90分</x:v>
      </x:c>
      <x:c r="W28" s="27" t="n">
        <x:v>1</x:v>
      </x:c>
      <x:c r="X28" s="27" t="n">
        <x:v>1</x:v>
      </x:c>
      <x:c r="Y28" s="27" t="str">
        <x:v>平和の森公園</x:v>
      </x:c>
      <x:c r="Z28" s="27" t="str">
        <x:v>大森ふるさとの浜辺公園／森ケ崎公園</x:v>
      </x:c>
      <x:c r="AA28" s="22" t="str">
        <x:v>なし</x:v>
      </x:c>
      <x:c r="AB28" s="22" t="str">
        <x:v>-</x:v>
      </x:c>
      <x:c r="AC28" s="22" t="str"/>
      <x:c r="AD28" s="22" t="str">
        <x:v>専用・路外駐車を基本</x:v>
      </x:c>
      <x:c r="AE28" s="22" t="str"/>
    </x:row>
    <x:row r="29">
      <x:c r="A29" s="27" t="str">
        <x:v>D101</x:v>
      </x:c>
      <x:c r="B29" s="27" t="str">
        <x:v>武蔵野公園</x:v>
      </x:c>
      <x:c r="C29" s="27" t="str">
        <x:v>府中市・小金井市</x:v>
      </x:c>
      <x:c r="D29" s="27" t="str">
        <x:v>河川・草地・夜間公園</x:v>
      </x:c>
      <x:c r="E29" s="48" t="e">
        <x:f>HYPERLINK("https://www.google.com/maps/dir/?api=1&amp;destination=%E6%AD%A6%E8%94%B5%E9%87%8E%E5%85%AC%E5%9C%92&amp;travelmode=driving","現在地からナビ開始")</x:f>
      </x:c>
      <x:c r="F29" s="27" t="str">
        <x:v>野川沿いの広い草地と樹林があり、西東京方面の長い一般道ドライブを静かに終えられる。</x:v>
      </x:c>
      <x:c r="G29" s="27" t="str">
        <x:v>あり・122台・有料</x:v>
      </x:c>
      <x:c r="H29" s="27" t="str">
        <x:v>駐車場 24時間</x:v>
      </x:c>
      <x:c r="I29" s="27" t="n">
        <x:v>4</x:v>
      </x:c>
      <x:c r="J29" s="27" t="n">
        <x:v>4</x:v>
      </x:c>
      <x:c r="K29" s="27" t="str">
        <x:v>夜間は照明のある主要園路に限定。大型車不可。</x:v>
      </x:c>
      <x:c r="L29" s="28" t="n">
        <x:v>46232</x:v>
      </x:c>
      <x:c r="M29" s="27" t="str">
        <x:v>一次確認済</x:v>
      </x:c>
      <x:c r="N29" s="27" t="str">
        <x:v>https://www.s-park.jp/map/996</x:v>
      </x:c>
      <x:c r="O29" s="27" t="str">
        <x:v>武蔵野公園には東京都の街路樹を育てる苗圃があり、園内に多様な樹種が並ぶ理由になっている。</x:v>
      </x:c>
      <x:c r="P29" s="84" t="e">
        <x:f>HYPERLINK("https://ja.wikipedia.org/wiki/Special:Search?search=%E6%AD%A6%E8%94%B5%E9%87%8E%E5%85%AC%E5%9C%92","Wikipedia・関連項目")</x:f>
      </x:c>
      <x:c r="Q29" s="27"/>
      <x:c r="R29" s="27" t="str">
        <x:v>20〜25km</x:v>
      </x:c>
      <x:c r="S29" s="27" t="str">
        <x:v>概ね20〜25km</x:v>
      </x:c>
      <x:c r="T29" s="27" t="str">
        <x:v>通常40〜70分</x:v>
      </x:c>
      <x:c r="U29" s="27" t="str">
        <x:v>水辺</x:v>
      </x:c>
      <x:c r="V29" s="27" t="str">
        <x:v>30〜90分</x:v>
      </x:c>
      <x:c r="W29" s="27" t="n">
        <x:v>1</x:v>
      </x:c>
      <x:c r="X29" s="27" t="n">
        <x:v>1</x:v>
      </x:c>
      <x:c r="Y29" s="27" t="str">
        <x:v>多摩川浅間神社</x:v>
      </x:c>
      <x:c r="Z29" s="27" t="str">
        <x:v>多摩川六郷橋緑地／多摩川ガス橋緑地</x:v>
      </x:c>
      <x:c r="AA29" s="22" t="str">
        <x:v>なし</x:v>
      </x:c>
      <x:c r="AB29" s="22" t="str">
        <x:v>-</x:v>
      </x:c>
      <x:c r="AC29" s="22" t="str"/>
      <x:c r="AD29" s="22" t="str">
        <x:v>専用・路外駐車を基本</x:v>
      </x:c>
      <x:c r="AE29" s="22" t="str"/>
    </x:row>
    <x:row r="30">
      <x:c r="A30" s="27" t="str">
        <x:v>D102</x:v>
      </x:c>
      <x:c r="B30" s="27" t="str">
        <x:v>砧公園</x:v>
      </x:c>
      <x:c r="C30" s="27" t="str">
        <x:v>世田谷区・砧公園</x:v>
      </x:c>
      <x:c r="D30" s="27" t="str">
        <x:v>芝生・樹林・近距離</x:v>
      </x:c>
      <x:c r="E30" s="48" t="e">
        <x:f>HYPERLINK("https://www.google.com/maps/dir/?api=1&amp;destination=%E7%A0%A7%E5%85%AC%E5%9C%92&amp;travelmode=driving","現在地からナビ開始")</x:f>
      </x:c>
      <x:c r="F30" s="27" t="str">
        <x:v>大田区から短距離で到達でき、広い芝生と樹林で都市走行の緊張を落とせる。</x:v>
      </x:c>
      <x:c r="G30" s="27" t="str">
        <x:v>あり・有料</x:v>
      </x:c>
      <x:c r="H30" s="27" t="str">
        <x:v>駐車場時間は公式確認</x:v>
      </x:c>
      <x:c r="I30" s="27" t="n">
        <x:v>3</x:v>
      </x:c>
      <x:c r="J30" s="27" t="n">
        <x:v>3</x:v>
      </x:c>
      <x:c r="K30" s="27" t="str">
        <x:v>2026年は一部立入制限情報あり。当日公式確認。</x:v>
      </x:c>
      <x:c r="L30" s="28" t="n">
        <x:v>46232</x:v>
      </x:c>
      <x:c r="M30" s="27" t="str">
        <x:v>一次確認済</x:v>
      </x:c>
      <x:c r="N30" s="27" t="str">
        <x:v>https://www.tokyo-park.or.jp/park/kinuta/news/2026/park_info_42.html</x:v>
      </x:c>
      <x:c r="O30" s="27" t="str">
        <x:v>砧公園は紀元2600年記念事業の都市計画緑地を起源とし、戦後はゴルフ場を経て家族向け公園へ転換した。</x:v>
      </x:c>
      <x:c r="P30" s="84" t="e">
        <x:f>HYPERLINK("https://ja.wikipedia.org/wiki/Special:Search?search=%E7%A0%A7%E5%85%AC%E5%9C%92","Wikipedia・関連項目")</x:f>
      </x:c>
      <x:c r="Q30" s="27" t="str">
        <x:v>2026-07-29再点検：駐車場は利用再開済み。桜期・イベント時の満車と周辺渋滞を主注意へ維持。</x:v>
      </x:c>
      <x:c r="R30" s="27" t="str">
        <x:v>10〜20km</x:v>
      </x:c>
      <x:c r="S30" s="27" t="str">
        <x:v>概ね10〜20km</x:v>
      </x:c>
      <x:c r="T30" s="27" t="str">
        <x:v>通常25〜50分</x:v>
      </x:c>
      <x:c r="U30" s="27" t="str">
        <x:v>休日半日</x:v>
      </x:c>
      <x:c r="V30" s="27" t="str">
        <x:v>30〜60分</x:v>
      </x:c>
      <x:c r="W30" s="27" t="n">
        <x:v>2</x:v>
      </x:c>
      <x:c r="X30" s="27" t="n">
        <x:v>1</x:v>
      </x:c>
      <x:c r="Y30" s="27" t="str">
        <x:v>羽田空港 第3ターミナル展望デッキ</x:v>
      </x:c>
      <x:c r="Z30" s="27" t="str">
        <x:v>城南島海浜公園／潮風公園</x:v>
      </x:c>
      <x:c r="AA30" s="22" t="str">
        <x:v>なし</x:v>
      </x:c>
      <x:c r="AB30" s="22" t="str">
        <x:v>-</x:v>
      </x:c>
      <x:c r="AC30" s="22" t="str"/>
      <x:c r="AD30" s="22" t="str">
        <x:v>専用・路外駐車を基本</x:v>
      </x:c>
      <x:c r="AE30" s="22" t="str"/>
    </x:row>
    <x:row r="31">
      <x:c r="A31" s="27" t="str">
        <x:v>D103</x:v>
      </x:c>
      <x:c r="B31" s="27" t="str">
        <x:v>夢見ヶ崎動物公園</x:v>
      </x:c>
      <x:c r="C31" s="27" t="str">
        <x:v>川崎市・幸区</x:v>
      </x:c>
      <x:c r="D31" s="27" t="str">
        <x:v>高台・動物公園・夜景</x:v>
      </x:c>
      <x:c r="E31" s="48" t="e">
        <x:f>HYPERLINK("https://www.google.com/maps/dir/?api=1&amp;destination=%E5%A4%A2%E8%A6%8B%E3%83%B6%E5%B4%8E%E5%8B%95%E7%89%A9%E5%85%AC%E5%9C%92&amp;travelmode=driving","現在地からナビ開始")</x:f>
      </x:c>
      <x:c r="F31" s="27" t="str">
        <x:v>小高い丘の展望広場から住宅地の灯りを眺められ、近距離の静かな夜景Endingになる。</x:v>
      </x:c>
      <x:c r="G31" s="27" t="str">
        <x:v>あり・小規模</x:v>
      </x:c>
      <x:c r="H31" s="27" t="str">
        <x:v>公園は常時利用可、駐車場は現地掲示優先</x:v>
      </x:c>
      <x:c r="I31" s="27" t="n">
        <x:v>4</x:v>
      </x:c>
      <x:c r="J31" s="27" t="n">
        <x:v>4</x:v>
      </x:c>
      <x:c r="K31" s="27" t="str">
        <x:v>夜間は動物舎周辺へ近づかず、近隣住宅へ配慮。</x:v>
      </x:c>
      <x:c r="L31" s="28" t="n">
        <x:v>46232</x:v>
      </x:c>
      <x:c r="M31" s="27" t="str">
        <x:v>当日再確認</x:v>
      </x:c>
      <x:c r="N31" s="27" t="str">
        <x:v>https://www.city.kawasaki.jp/530/page/0000063423.html</x:v>
      </x:c>
      <x:c r="O31" s="27" t="str">
        <x:v>夢見ヶ崎の名は、太田道灌が城を築こうとした際に不吉な夢を見て断念したという伝説に由来する。</x:v>
      </x:c>
      <x:c r="P31" s="84" t="e">
        <x:f>HYPERLINK("https://ja.wikipedia.org/wiki/Special:Search?search=%E5%A4%A2%E8%A6%8B%E3%83%B6%E5%B4%8E%E5%8B%95%E7%89%A9%E5%85%AC%E5%9C%92","Wikipedia・関連項目")</x:f>
      </x:c>
      <x:c r="Q31" s="27"/>
      <x:c r="R31" s="27" t="str">
        <x:v>0〜10km</x:v>
      </x:c>
      <x:c r="S31" s="27" t="str">
        <x:v>概ね0〜10km</x:v>
      </x:c>
      <x:c r="T31" s="27" t="str">
        <x:v>通常10〜30分</x:v>
      </x:c>
      <x:c r="U31" s="27" t="str">
        <x:v>平日夜・深夜</x:v>
      </x:c>
      <x:c r="V31" s="27" t="str">
        <x:v>60〜150分</x:v>
      </x:c>
      <x:c r="W31" s="27" t="n">
        <x:v>1</x:v>
      </x:c>
      <x:c r="X31" s="27" t="n">
        <x:v>3</x:v>
      </x:c>
      <x:c r="Y31" s="27" t="str">
        <x:v>平和の森公園</x:v>
      </x:c>
      <x:c r="Z31" s="27" t="str">
        <x:v>大森ふるさとの浜辺公園／森ケ崎公園</x:v>
      </x:c>
      <x:c r="AA31" s="22" t="str">
        <x:v>なし</x:v>
      </x:c>
      <x:c r="AB31" s="22" t="str">
        <x:v>-</x:v>
      </x:c>
      <x:c r="AC31" s="22" t="str"/>
      <x:c r="AD31" s="22" t="str">
        <x:v>専用・路外駐車を基本</x:v>
      </x:c>
      <x:c r="AE31" s="22" t="str"/>
    </x:row>
    <x:row r="32">
      <x:c r="A32" s="27" t="str">
        <x:v>D104</x:v>
      </x:c>
      <x:c r="B32" s="27" t="str">
        <x:v>殿町緑地</x:v>
      </x:c>
      <x:c r="C32" s="27" t="str">
        <x:v>川崎市・川崎区</x:v>
      </x:c>
      <x:c r="D32" s="27" t="str">
        <x:v>多摩川・飛行機・河川敷</x:v>
      </x:c>
      <x:c r="E32" s="48" t="e">
        <x:f>HYPERLINK("https://www.google.com/maps/dir/?api=1&amp;destination=%E6%AE%BF%E7%94%BA%E7%B7%91%E5%9C%B0&amp;travelmode=driving","現在地からナビ開始")</x:f>
      </x:c>
      <x:c r="F32" s="27" t="str">
        <x:v>羽田空港対岸の多摩川沿いで、橋・航空機・広い空を近距離で味わえる。</x:v>
      </x:c>
      <x:c r="G32" s="27" t="str">
        <x:v>あり・河川敷駐車場</x:v>
      </x:c>
      <x:c r="H32" s="27" t="str">
        <x:v>駐車時間は河川敷駐車場案内を当日確認</x:v>
      </x:c>
      <x:c r="I32" s="27" t="n">
        <x:v>4</x:v>
      </x:c>
      <x:c r="J32" s="27" t="n">
        <x:v>5</x:v>
      </x:c>
      <x:c r="K32" s="27" t="str">
        <x:v>増水・工事・閉鎖時は利用不可。緑地外や堤防上への駐車禁止。</x:v>
      </x:c>
      <x:c r="L32" s="28" t="n">
        <x:v>46232</x:v>
      </x:c>
      <x:c r="M32" s="27" t="str">
        <x:v>当日再確認</x:v>
      </x:c>
      <x:c r="N32" s="27" t="str">
        <x:v>https://www.city.kawasaki.jp/530/page/0000020718.html</x:v>
      </x:c>
      <x:c r="O32" s="27" t="str">
        <x:v>殿町周辺は現在『キングスカイフロント』と呼ばれる研究開発拠点へ変貌し、羽田対岸の国際戦略地区となった。</x:v>
      </x:c>
      <x:c r="P32" s="84" t="e">
        <x:f>HYPERLINK("https://ja.wikipedia.org/wiki/Special:Search?search=%E6%AE%BF%E7%94%BA%E7%B7%91%E5%9C%B0","Wikipedia・関連項目")</x:f>
      </x:c>
      <x:c r="Q32" s="27"/>
      <x:c r="R32" s="27" t="str">
        <x:v>0〜10km</x:v>
      </x:c>
      <x:c r="S32" s="27" t="str">
        <x:v>概ね0〜10km</x:v>
      </x:c>
      <x:c r="T32" s="27" t="str">
        <x:v>通常10〜30分</x:v>
      </x:c>
      <x:c r="U32" s="27" t="str">
        <x:v>飛行機</x:v>
      </x:c>
      <x:c r="V32" s="27" t="str">
        <x:v>30〜60分</x:v>
      </x:c>
      <x:c r="W32" s="27" t="n">
        <x:v>1</x:v>
      </x:c>
      <x:c r="X32" s="27" t="n">
        <x:v>4</x:v>
      </x:c>
      <x:c r="Y32" s="27" t="str">
        <x:v>城南島海浜公園</x:v>
      </x:c>
      <x:c r="Z32" s="27" t="str">
        <x:v>京浜島つばさ公園／羽田空港 第3ターミナル展望デッキ</x:v>
      </x:c>
      <x:c r="AA32" s="22" t="str">
        <x:v>なし</x:v>
      </x:c>
      <x:c r="AB32" s="22" t="str">
        <x:v>-</x:v>
      </x:c>
      <x:c r="AC32" s="22" t="str"/>
      <x:c r="AD32" s="22" t="str">
        <x:v>専用・路外駐車を基本</x:v>
      </x:c>
      <x:c r="AE32" s="22" t="str"/>
    </x:row>
    <x:row r="33">
      <x:c r="A33" s="27" t="str">
        <x:v>D105</x:v>
      </x:c>
      <x:c r="B33" s="27" t="str">
        <x:v>鷺沼北公園</x:v>
      </x:c>
      <x:c r="C33" s="27" t="str">
        <x:v>川崎市・宮前区</x:v>
      </x:c>
      <x:c r="D33" s="27" t="str">
        <x:v>高台・都市展望</x:v>
      </x:c>
      <x:c r="E33" s="48" t="e">
        <x:f>HYPERLINK("https://www.google.com/maps/dir/?api=1&amp;destination=%E9%B7%BA%E6%B2%BC%E5%8C%97%E5%85%AC%E5%9C%92&amp;travelmode=driving","現在地からナビ開始")</x:f>
      </x:c>
      <x:c r="F33" s="27" t="str">
        <x:v>東京タワーやスカイツリー方面を望める小規模な展望公園で、近隣型穴場Endingになる。</x:v>
      </x:c>
      <x:c r="G33" s="27" t="str">
        <x:v>専用駐車場なし</x:v>
      </x:c>
      <x:c r="H33" s="27" t="str">
        <x:v>周辺の合法駐車場利用を前提</x:v>
      </x:c>
      <x:c r="I33" s="27" t="n">
        <x:v>2</x:v>
      </x:c>
      <x:c r="J33" s="27" t="n">
        <x:v>5</x:v>
      </x:c>
      <x:c r="K33" s="27" t="str">
        <x:v>路上駐車禁止。徒歩移動を伴うため最終目的地より経由地向き。</x:v>
      </x:c>
      <x:c r="L33" s="28" t="n">
        <x:v>46232</x:v>
      </x:c>
      <x:c r="M33" s="27" t="str">
        <x:v>当日再確認</x:v>
      </x:c>
      <x:c r="N33" s="27" t="str">
        <x:v>https://www.city.kawasaki.jp/530/page/0000063423.html</x:v>
      </x:c>
      <x:c r="O33" s="27" t="str">
        <x:v>鷺沼という地名は、かつてサギが集まる沼地だったという説に結び付けられている。</x:v>
      </x:c>
      <x:c r="P33" s="84" t="e">
        <x:f>HYPERLINK("https://ja.wikipedia.org/wiki/Special:Search?search=%E9%B7%BA%E6%B2%BC%E5%8C%97%E5%85%AC%E5%9C%92","Wikipedia・関連項目")</x:f>
      </x:c>
      <x:c r="Q33" s="27"/>
      <x:c r="R33" s="27" t="str">
        <x:v>10〜20km</x:v>
      </x:c>
      <x:c r="S33" s="27" t="str">
        <x:v>概ね10〜20km</x:v>
      </x:c>
      <x:c r="T33" s="27" t="str">
        <x:v>通常25〜50分</x:v>
      </x:c>
      <x:c r="U33" s="27" t="str">
        <x:v>休日半日</x:v>
      </x:c>
      <x:c r="V33" s="27" t="str">
        <x:v>30〜60分</x:v>
      </x:c>
      <x:c r="W33" s="27" t="n">
        <x:v>1</x:v>
      </x:c>
      <x:c r="X33" s="27" t="n">
        <x:v>1</x:v>
      </x:c>
      <x:c r="Y33" s="27" t="str">
        <x:v>羽田空港 第3ターミナル展望デッキ</x:v>
      </x:c>
      <x:c r="Z33" s="27" t="str">
        <x:v>城南島海浜公園／潮風公園</x:v>
      </x:c>
      <x:c r="AA33" s="22" t="str">
        <x:v>なし</x:v>
      </x:c>
      <x:c r="AB33" s="22" t="str">
        <x:v>-</x:v>
      </x:c>
      <x:c r="AC33" s="22" t="str"/>
      <x:c r="AD33" s="22" t="str">
        <x:v>専用・路外駐車を基本</x:v>
      </x:c>
      <x:c r="AE33" s="22" t="str"/>
    </x:row>
    <x:row r="34">
      <x:c r="A34" s="27" t="str">
        <x:v>D106</x:v>
      </x:c>
      <x:c r="B34" s="27" t="str">
        <x:v>菅生緑地</x:v>
      </x:c>
      <x:c r="C34" s="27" t="str">
        <x:v>川崎市・宮前区</x:v>
      </x:c>
      <x:c r="D34" s="27" t="str">
        <x:v>高台・展望・里山</x:v>
      </x:c>
      <x:c r="E34" s="48" t="e">
        <x:f>HYPERLINK("https://www.google.com/maps/dir/?api=1&amp;destination=%E8%8F%85%E7%94%9F%E7%B7%91%E5%9C%B0&amp;travelmode=driving","現在地からナビ開始")</x:f>
      </x:c>
      <x:c r="F34" s="27" t="str">
        <x:v>高台の展望デッキと里山的な緑があり、川崎北部で静かな昼Endingになる。</x:v>
      </x:c>
      <x:c r="G34" s="27" t="str">
        <x:v>駐車場は区域ごとに要確認</x:v>
      </x:c>
      <x:c r="H34" s="27" t="str">
        <x:v>昼間利用推奨</x:v>
      </x:c>
      <x:c r="I34" s="27" t="n">
        <x:v>2</x:v>
      </x:c>
      <x:c r="J34" s="27" t="n">
        <x:v>4</x:v>
      </x:c>
      <x:c r="K34" s="27" t="str">
        <x:v>夜間不向き。駐車場所と閉鎖時刻を当日確認。</x:v>
      </x:c>
      <x:c r="L34" s="28" t="n">
        <x:v>46232</x:v>
      </x:c>
      <x:c r="M34" s="27" t="str">
        <x:v>当日再確認</x:v>
      </x:c>
      <x:c r="N34" s="27" t="str">
        <x:v>https://www.city.kawasaki.jp/530/page/0000063423.html</x:v>
      </x:c>
      <x:c r="O34" s="27" t="str">
        <x:v>菅生は多摩丘陵の谷戸と雑木林が残る地域で、都市化した川崎北部の中に里山景観を保つ。</x:v>
      </x:c>
      <x:c r="P34" s="84" t="e">
        <x:f>HYPERLINK("https://ja.wikipedia.org/wiki/Special:Search?search=%E8%8F%85%E7%94%9F%E7%B7%91%E5%9C%B0","Wikipedia・関連項目")</x:f>
      </x:c>
      <x:c r="Q34" s="27"/>
      <x:c r="R34" s="27" t="str">
        <x:v>10〜20km</x:v>
      </x:c>
      <x:c r="S34" s="27" t="str">
        <x:v>概ね10〜20km</x:v>
      </x:c>
      <x:c r="T34" s="27" t="str">
        <x:v>通常25〜50分</x:v>
      </x:c>
      <x:c r="U34" s="27" t="str">
        <x:v>休日半日</x:v>
      </x:c>
      <x:c r="V34" s="27" t="str">
        <x:v>30〜60分</x:v>
      </x:c>
      <x:c r="W34" s="27" t="n">
        <x:v>1</x:v>
      </x:c>
      <x:c r="X34" s="27" t="n">
        <x:v>1</x:v>
      </x:c>
      <x:c r="Y34" s="27" t="str">
        <x:v>羽田空港 第3ターミナル展望デッキ</x:v>
      </x:c>
      <x:c r="Z34" s="27" t="str">
        <x:v>城南島海浜公園／潮風公園</x:v>
      </x:c>
      <x:c r="AA34" s="22" t="str">
        <x:v>なし</x:v>
      </x:c>
      <x:c r="AB34" s="22" t="str">
        <x:v>-</x:v>
      </x:c>
      <x:c r="AC34" s="22" t="str"/>
      <x:c r="AD34" s="22" t="str">
        <x:v>専用・路外駐車を基本</x:v>
      </x:c>
      <x:c r="AE34" s="22" t="str"/>
    </x:row>
    <x:row r="35">
      <x:c r="A35" s="27" t="str">
        <x:v>D108</x:v>
      </x:c>
      <x:c r="B35" s="27" t="str">
        <x:v>千葉公園</x:v>
      </x:c>
      <x:c r="C35" s="27" t="str">
        <x:v>千葉市・中央区</x:v>
      </x:c>
      <x:c r="D35" s="27" t="str">
        <x:v>池・都市公園・夜間散歩</x:v>
      </x:c>
      <x:c r="E35" s="48" t="e">
        <x:f>HYPERLINK("https://www.google.com/maps/dir/?api=1&amp;destination=%E5%8D%83%E8%91%89%E5%85%AC%E5%9C%92&amp;travelmode=driving","現在地からナビ開始")</x:f>
      </x:c>
      <x:c r="F35" s="27" t="str">
        <x:v>池とモノレール、市街地の灯りが重なり、千葉市中心部の落ち着いたEndingになる。</x:v>
      </x:c>
      <x:c r="G35" s="27" t="str">
        <x:v>あり・有料</x:v>
      </x:c>
      <x:c r="H35" s="27" t="str">
        <x:v>公園は常時開園、駐車場は最新案内確認</x:v>
      </x:c>
      <x:c r="I35" s="27" t="n">
        <x:v>4</x:v>
      </x:c>
      <x:c r="J35" s="27" t="n">
        <x:v>3</x:v>
      </x:c>
      <x:c r="K35" s="27" t="str">
        <x:v>イベント・ボート営業日で混雑。夜は主要園路のみ。</x:v>
      </x:c>
      <x:c r="L35" s="28" t="n">
        <x:v>46232</x:v>
      </x:c>
      <x:c r="M35" s="27" t="str">
        <x:v>当日再確認</x:v>
      </x:c>
      <x:c r="N35" s="27" t="str">
        <x:v>https://www.city.chiba.jp/toshi/koenryokuchi/kanri/chuo-inage/chibap02acces.html</x:v>
      </x:c>
      <x:c r="O35" s="27" t="str">
        <x:v>千葉公園の大賀ハスは、植物学者・大賀一郎が約2000年前とされる種子から発芽させた古代ハスである。</x:v>
      </x:c>
      <x:c r="P35" s="84" t="e">
        <x:f>HYPERLINK("https://ja.wikipedia.org/wiki/Special:Search?search=%E5%8D%83%E8%91%89%E5%85%AC%E5%9C%92","Wikipedia・関連項目")</x:f>
      </x:c>
      <x:c r="Q35" s="27"/>
      <x:c r="R35" s="27" t="str">
        <x:v>10〜20km</x:v>
      </x:c>
      <x:c r="S35" s="27" t="str">
        <x:v>概ね10〜20km</x:v>
      </x:c>
      <x:c r="T35" s="27" t="str">
        <x:v>通常25〜50分</x:v>
      </x:c>
      <x:c r="U35" s="27" t="str">
        <x:v>水辺</x:v>
      </x:c>
      <x:c r="V35" s="27" t="str">
        <x:v>30〜90分</x:v>
      </x:c>
      <x:c r="W35" s="27" t="n">
        <x:v>1</x:v>
      </x:c>
      <x:c r="X35" s="27" t="n">
        <x:v>1</x:v>
      </x:c>
      <x:c r="Y35" s="27" t="str">
        <x:v>多摩川浅間神社</x:v>
      </x:c>
      <x:c r="Z35" s="27" t="str">
        <x:v>多摩川六郷橋緑地／多摩川ガス橋緑地</x:v>
      </x:c>
      <x:c r="AA35" s="22" t="str">
        <x:v>なし</x:v>
      </x:c>
      <x:c r="AB35" s="22" t="str">
        <x:v>-</x:v>
      </x:c>
      <x:c r="AC35" s="22" t="str"/>
      <x:c r="AD35" s="22" t="str">
        <x:v>専用・路外駐車を基本</x:v>
      </x:c>
      <x:c r="AE35" s="22" t="str"/>
    </x:row>
    <x:row r="36">
      <x:c r="A36" s="27" t="str">
        <x:v>D109</x:v>
      </x:c>
      <x:c r="B36" s="27" t="str">
        <x:v>亥鼻公園</x:v>
      </x:c>
      <x:c r="C36" s="27" t="str">
        <x:v>千葉市・中央区</x:v>
      </x:c>
      <x:c r="D36" s="27" t="str">
        <x:v>城址・高台・Story</x:v>
      </x:c>
      <x:c r="E36" s="48" t="e">
        <x:f>HYPERLINK("https://www.google.com/maps/dir/?api=1&amp;destination=%E4%BA%A5%E9%BC%BB%E5%85%AC%E5%9C%92&amp;travelmode=driving","現在地からナビ開始")</x:f>
      </x:c>
      <x:c r="F36" s="27" t="str">
        <x:v>千葉城と歴史公園の高台景観があり、都市ドライブに物語性を加えられる。</x:v>
      </x:c>
      <x:c r="G36" s="27" t="str">
        <x:v>周辺有料駐車場利用</x:v>
      </x:c>
      <x:c r="H36" s="27" t="str">
        <x:v>公園は常時利用可、施設時間は別</x:v>
      </x:c>
      <x:c r="I36" s="27" t="n">
        <x:v>3</x:v>
      </x:c>
      <x:c r="J36" s="27" t="n">
        <x:v>4</x:v>
      </x:c>
      <x:c r="K36" s="27" t="str">
        <x:v>桜祭り時は混雑。千葉城施設の営業時間と駐車位置を確認。</x:v>
      </x:c>
      <x:c r="L36" s="28" t="n">
        <x:v>46232</x:v>
      </x:c>
      <x:c r="M36" s="27" t="str">
        <x:v>当日再確認</x:v>
      </x:c>
      <x:c r="N36" s="27" t="str">
        <x:v>https://www.city.chiba.jp/toshi/koenryokuchi/kanri/chuo-mihama/inohanap-top.html</x:v>
      </x:c>
      <x:c r="O36" s="27" t="str">
        <x:v>亥鼻公園の模擬天守は千葉市立郷土博物館で、中世に千葉氏が拠点とした亥鼻城をイメージしている。</x:v>
      </x:c>
      <x:c r="P36" s="84" t="e">
        <x:f>HYPERLINK("https://ja.wikipedia.org/wiki/Special:Search?search=%E4%BA%A5%E9%BC%BB%E5%85%AC%E5%9C%92","Wikipedia・関連項目")</x:f>
      </x:c>
      <x:c r="Q36" s="27"/>
      <x:c r="R36" s="27" t="str">
        <x:v>10〜20km</x:v>
      </x:c>
      <x:c r="S36" s="27" t="str">
        <x:v>概ね10〜20km</x:v>
      </x:c>
      <x:c r="T36" s="27" t="str">
        <x:v>通常25〜50分</x:v>
      </x:c>
      <x:c r="U36" s="27" t="str">
        <x:v>Story</x:v>
      </x:c>
      <x:c r="V36" s="27" t="str">
        <x:v>30〜60分</x:v>
      </x:c>
      <x:c r="W36" s="27" t="n">
        <x:v>1</x:v>
      </x:c>
      <x:c r="X36" s="27" t="n">
        <x:v>1</x:v>
      </x:c>
      <x:c r="Y36" s="27" t="str">
        <x:v>羽田空港 第3ターミナル展望デッキ</x:v>
      </x:c>
      <x:c r="Z36" s="27" t="str">
        <x:v>城南島海浜公園／潮風公園</x:v>
      </x:c>
      <x:c r="AA36" s="22" t="str">
        <x:v>なし</x:v>
      </x:c>
      <x:c r="AB36" s="22" t="str">
        <x:v>-</x:v>
      </x:c>
      <x:c r="AC36" s="22" t="str"/>
      <x:c r="AD36" s="22" t="str">
        <x:v>専用・路外駐車を基本</x:v>
      </x:c>
      <x:c r="AE36" s="22" t="str"/>
    </x:row>
    <x:row r="37">
      <x:c r="A37" s="27" t="str">
        <x:v>D112</x:v>
      </x:c>
      <x:c r="B37" s="27" t="str">
        <x:v>県立三ツ池公園</x:v>
      </x:c>
      <x:c r="C37" s="27" t="str">
        <x:v>横浜市・鶴見区</x:v>
      </x:c>
      <x:c r="D37" s="27" t="str">
        <x:v>池・丘陵・大規模公園</x:v>
      </x:c>
      <x:c r="E37" s="48" t="e">
        <x:f>HYPERLINK("https://www.google.com/maps/dir/?api=1&amp;destination=%E7%9C%8C%E7%AB%8B%E4%B8%89%E3%83%84%E6%B1%A0%E5%85%AC%E5%9C%92&amp;travelmode=driving","現在地からナビ開始")</x:f>
      </x:c>
      <x:c r="F37" s="27" t="str">
        <x:v>三つの池と丘陵があり、大田区から近いのに都市感を切れる。</x:v>
      </x:c>
      <x:c r="G37" s="27" t="str">
        <x:v>あり・有料・計146台</x:v>
      </x:c>
      <x:c r="H37" s="27" t="str">
        <x:v>公園24時間／駐車場は営業時間あり</x:v>
      </x:c>
      <x:c r="I37" s="27" t="n">
        <x:v>3</x:v>
      </x:c>
      <x:c r="J37" s="27" t="n">
        <x:v>3</x:v>
      </x:c>
      <x:c r="K37" s="27" t="str">
        <x:v>駐車場閉鎖時刻を当日確認。桜期は大混雑。</x:v>
      </x:c>
      <x:c r="L37" s="28" t="n">
        <x:v>46232</x:v>
      </x:c>
      <x:c r="M37" s="27" t="str">
        <x:v>当日再確認</x:v>
      </x:c>
      <x:c r="N37" s="27" t="str">
        <x:v>https://iju-sumu.city.yokohama.lg.jp/tips/2255/</x:v>
      </x:c>
      <x:c r="O37" s="27" t="str">
        <x:v>三ツ池公園は上・中・下の三つの池に由来する名称で、『日本さくら名所100選』にも選ばれている。</x:v>
      </x:c>
      <x:c r="P37" s="84" t="e">
        <x:f>HYPERLINK("https://ja.wikipedia.org/wiki/Special:Search?search=%E7%9C%8C%E7%AB%8B%E4%B8%89%E3%83%84%E6%B1%A0%E5%85%AC%E5%9C%92","Wikipedia・関連項目")</x:f>
      </x:c>
      <x:c r="Q37" s="27"/>
      <x:c r="R37" s="27" t="str">
        <x:v>10〜20km</x:v>
      </x:c>
      <x:c r="S37" s="27" t="str">
        <x:v>概ね10〜20km</x:v>
      </x:c>
      <x:c r="T37" s="27" t="str">
        <x:v>通常25〜50分</x:v>
      </x:c>
      <x:c r="U37" s="27" t="str">
        <x:v>水辺</x:v>
      </x:c>
      <x:c r="V37" s="27" t="str">
        <x:v>30〜90分</x:v>
      </x:c>
      <x:c r="W37" s="27" t="n">
        <x:v>1</x:v>
      </x:c>
      <x:c r="X37" s="27" t="n">
        <x:v>1</x:v>
      </x:c>
      <x:c r="Y37" s="27" t="str">
        <x:v>多摩川浅間神社</x:v>
      </x:c>
      <x:c r="Z37" s="27" t="str">
        <x:v>多摩川六郷橋緑地／多摩川ガス橋緑地</x:v>
      </x:c>
      <x:c r="AA37" s="22" t="str">
        <x:v>なし</x:v>
      </x:c>
      <x:c r="AB37" s="22" t="str">
        <x:v>-</x:v>
      </x:c>
      <x:c r="AC37" s="22" t="str"/>
      <x:c r="AD37" s="22" t="str">
        <x:v>専用・路外駐車を基本</x:v>
      </x:c>
      <x:c r="AE37" s="22" t="str"/>
    </x:row>
    <x:row r="38">
      <x:c r="A38" s="27" t="str">
        <x:v>D116</x:v>
      </x:c>
      <x:c r="B38" s="27" t="str">
        <x:v>大師公園</x:v>
      </x:c>
      <x:c r="C38" s="27" t="str">
        <x:v>川崎市・川崎区</x:v>
      </x:c>
      <x:c r="D38" s="27" t="str">
        <x:v>大規模公園・Story・近距離</x:v>
      </x:c>
      <x:c r="E38" s="48" t="e">
        <x:f>HYPERLINK("https://www.google.com/maps/dir/?api=1&amp;destination=%E5%A4%A7%E5%B8%AB%E5%85%AC%E5%9C%92&amp;travelmode=driving","現在地からナビ開始")</x:f>
      </x:c>
      <x:c r="F38" s="27" t="str">
        <x:v>川崎大師周辺の街並みと公園を組み合わせ、短距離のStory Layerとして使える。</x:v>
      </x:c>
      <x:c r="G38" s="27" t="str">
        <x:v>周辺駐車場利用</x:v>
      </x:c>
      <x:c r="H38" s="27" t="str">
        <x:v>公園は常時利用可</x:v>
      </x:c>
      <x:c r="I38" s="27" t="n">
        <x:v>3</x:v>
      </x:c>
      <x:c r="J38" s="27" t="n">
        <x:v>3</x:v>
      </x:c>
      <x:c r="K38" s="27" t="str">
        <x:v>祭事日は道路規制と大混雑。路上駐車禁止。</x:v>
      </x:c>
      <x:c r="L38" s="28" t="n">
        <x:v>46232</x:v>
      </x:c>
      <x:c r="M38" s="27" t="str">
        <x:v>当日再確認</x:v>
      </x:c>
      <x:c r="N38" s="27" t="str">
        <x:v>https://www.city.kawasaki.jp/170/cmsfiles/contents/0000187/187611/04.pdf</x:v>
      </x:c>
      <x:c r="O38" s="27" t="str">
        <x:v>大師公園は川崎大師平間寺に隣接し、正月の初詣文化と中国庭園『瀋秀園』を同時に楽しめる。</x:v>
      </x:c>
      <x:c r="P38" s="84" t="e">
        <x:f>HYPERLINK("https://ja.wikipedia.org/wiki/Special:Search?search=%E5%A4%A7%E5%B8%AB%E5%85%AC%E5%9C%92","Wikipedia・関連項目")</x:f>
      </x:c>
      <x:c r="Q38" s="27"/>
      <x:c r="R38" s="27" t="str">
        <x:v>0〜10km</x:v>
      </x:c>
      <x:c r="S38" s="27" t="str">
        <x:v>概ね0〜10km</x:v>
      </x:c>
      <x:c r="T38" s="27" t="str">
        <x:v>通常10〜30分</x:v>
      </x:c>
      <x:c r="U38" s="27" t="str">
        <x:v>Story</x:v>
      </x:c>
      <x:c r="V38" s="27" t="str">
        <x:v>30〜90分</x:v>
      </x:c>
      <x:c r="W38" s="27" t="n">
        <x:v>1</x:v>
      </x:c>
      <x:c r="X38" s="27" t="n">
        <x:v>1</x:v>
      </x:c>
      <x:c r="Y38" s="27" t="str">
        <x:v>平和の森公園</x:v>
      </x:c>
      <x:c r="Z38" s="27" t="str">
        <x:v>大森ふるさとの浜辺公園／森ケ崎公園</x:v>
      </x:c>
      <x:c r="AA38" s="22" t="str">
        <x:v>なし</x:v>
      </x:c>
      <x:c r="AB38" s="22" t="str">
        <x:v>-</x:v>
      </x:c>
      <x:c r="AC38" s="22" t="str"/>
      <x:c r="AD38" s="22" t="str">
        <x:v>専用・路外駐車を基本</x:v>
      </x:c>
      <x:c r="AE38" s="22" t="str"/>
    </x:row>
    <x:row r="39">
      <x:c r="A39" s="27" t="str">
        <x:v>D117</x:v>
      </x:c>
      <x:c r="B39" s="27" t="str">
        <x:v>富士見公園</x:v>
      </x:c>
      <x:c r="C39" s="27" t="str">
        <x:v>川崎市・川崎区</x:v>
      </x:c>
      <x:c r="D39" s="27" t="str">
        <x:v>都市公園・スポーツ・夜間休憩</x:v>
      </x:c>
      <x:c r="E39" s="48" t="e">
        <x:f>HYPERLINK("https://www.google.com/maps/dir/?api=1&amp;destination=%E5%AF%8C%E5%A3%AB%E8%A6%8B%E5%85%AC%E5%9C%92&amp;travelmode=driving","現在地からナビ開始")</x:f>
      </x:c>
      <x:c r="F39" s="27" t="str">
        <x:v>川崎中心部で広い公園に切り替えられ、工場夜景前後の休憩地点になる。</x:v>
      </x:c>
      <x:c r="G39" s="27" t="str">
        <x:v>あり・周辺駐車場</x:v>
      </x:c>
      <x:c r="H39" s="27" t="str">
        <x:v>施設・駐車場時間は当日確認</x:v>
      </x:c>
      <x:c r="I39" s="27" t="n">
        <x:v>3</x:v>
      </x:c>
      <x:c r="J39" s="27" t="n">
        <x:v>3</x:v>
      </x:c>
      <x:c r="K39" s="27" t="str">
        <x:v>イベント・競技開催日は混雑。工事範囲確認。</x:v>
      </x:c>
      <x:c r="L39" s="28" t="n">
        <x:v>46232</x:v>
      </x:c>
      <x:c r="M39" s="27" t="str">
        <x:v>当日再確認</x:v>
      </x:c>
      <x:c r="N39" s="27" t="str">
        <x:v>https://www.city.kawasaki.jp/170/cmsfiles/contents/0000187/187611/04.pdf</x:v>
      </x:c>
      <x:c r="O39" s="27" t="str">
        <x:v>富士見公園一帯にはかつて川崎球場があり、大洋ホエールズやロッテオリオンズの本拠地として使われた。</x:v>
      </x:c>
      <x:c r="P39" s="84" t="e">
        <x:f>HYPERLINK("https://ja.wikipedia.org/wiki/Special:Search?search=%E5%AF%8C%E5%A3%AB%E8%A6%8B%E5%85%AC%E5%9C%92","Wikipedia・関連項目")</x:f>
      </x:c>
      <x:c r="Q39" s="27"/>
      <x:c r="R39" s="27" t="str">
        <x:v>0〜10km</x:v>
      </x:c>
      <x:c r="S39" s="27" t="str">
        <x:v>概ね0〜10km</x:v>
      </x:c>
      <x:c r="T39" s="27" t="str">
        <x:v>通常10〜30分</x:v>
      </x:c>
      <x:c r="U39" s="27" t="str">
        <x:v>休日半日</x:v>
      </x:c>
      <x:c r="V39" s="27" t="str">
        <x:v>30〜90分</x:v>
      </x:c>
      <x:c r="W39" s="27" t="n">
        <x:v>1</x:v>
      </x:c>
      <x:c r="X39" s="27" t="n">
        <x:v>1</x:v>
      </x:c>
      <x:c r="Y39" s="27" t="str">
        <x:v>平和の森公園</x:v>
      </x:c>
      <x:c r="Z39" s="27" t="str">
        <x:v>大森ふるさとの浜辺公園／森ケ崎公園</x:v>
      </x:c>
      <x:c r="AA39" s="22" t="str">
        <x:v>なし</x:v>
      </x:c>
      <x:c r="AB39" s="22" t="str">
        <x:v>-</x:v>
      </x:c>
      <x:c r="AC39" s="22" t="str"/>
      <x:c r="AD39" s="22" t="str">
        <x:v>専用・路外駐車を基本</x:v>
      </x:c>
      <x:c r="AE39" s="22" t="str"/>
    </x:row>
    <x:row r="40">
      <x:c r="A40" s="27" t="str">
        <x:v>D118</x:v>
      </x:c>
      <x:c r="B40" s="27" t="str">
        <x:v>御幸公園</x:v>
      </x:c>
      <x:c r="C40" s="27" t="str">
        <x:v>川崎市・幸区</x:v>
      </x:c>
      <x:c r="D40" s="27" t="str">
        <x:v>多摩川・梅林・河川景観</x:v>
      </x:c>
      <x:c r="E40" s="48" t="e">
        <x:f>HYPERLINK("https://www.google.com/maps/dir/?api=1&amp;destination=%E5%BE%A1%E5%B9%B8%E5%85%AC%E5%9C%92&amp;travelmode=driving","現在地からナビ開始")</x:f>
      </x:c>
      <x:c r="F40" s="27" t="str">
        <x:v>多摩川沿いの開放感と梅林があり、川崎北側の穏やかな昼Endingになる。</x:v>
      </x:c>
      <x:c r="G40" s="27" t="str">
        <x:v>周辺駐車場利用</x:v>
      </x:c>
      <x:c r="H40" s="27" t="str">
        <x:v>公園利用時間は現地掲示優先</x:v>
      </x:c>
      <x:c r="I40" s="27" t="n">
        <x:v>2</x:v>
      </x:c>
      <x:c r="J40" s="27" t="n">
        <x:v>4</x:v>
      </x:c>
      <x:c r="K40" s="27" t="str">
        <x:v>専用駐車条件を当日確認。河川増水時は避ける。</x:v>
      </x:c>
      <x:c r="L40" s="28" t="n">
        <x:v>46232</x:v>
      </x:c>
      <x:c r="M40" s="27" t="str">
        <x:v>当日再確認</x:v>
      </x:c>
      <x:c r="N40" s="27" t="str">
        <x:v>https://www.city.kawasaki.jp/170/cmsfiles/contents/0000187/187611/04.pdf</x:v>
      </x:c>
      <x:c r="O40" s="27" t="str">
        <x:v>『御幸』の名は、明治天皇が当地の梅林へ行幸したことに由来する。</x:v>
      </x:c>
      <x:c r="P40" s="84" t="e">
        <x:f>HYPERLINK("https://ja.wikipedia.org/wiki/Special:Search?search=%E5%BE%A1%E5%B9%B8%E5%85%AC%E5%9C%92","Wikipedia・関連項目")</x:f>
      </x:c>
      <x:c r="Q40" s="27"/>
      <x:c r="R40" s="27" t="str">
        <x:v>0〜10km</x:v>
      </x:c>
      <x:c r="S40" s="27" t="str">
        <x:v>概ね0〜10km</x:v>
      </x:c>
      <x:c r="T40" s="27" t="str">
        <x:v>通常10〜30分</x:v>
      </x:c>
      <x:c r="U40" s="27" t="str">
        <x:v>水辺</x:v>
      </x:c>
      <x:c r="V40" s="27" t="str">
        <x:v>30〜90分</x:v>
      </x:c>
      <x:c r="W40" s="27" t="n">
        <x:v>1</x:v>
      </x:c>
      <x:c r="X40" s="27" t="n">
        <x:v>1</x:v>
      </x:c>
      <x:c r="Y40" s="27" t="str">
        <x:v>多摩川浅間神社</x:v>
      </x:c>
      <x:c r="Z40" s="27" t="str">
        <x:v>多摩川六郷橋緑地／多摩川ガス橋緑地</x:v>
      </x:c>
      <x:c r="AA40" s="22" t="str">
        <x:v>なし</x:v>
      </x:c>
      <x:c r="AB40" s="22" t="str">
        <x:v>-</x:v>
      </x:c>
      <x:c r="AC40" s="22" t="str"/>
      <x:c r="AD40" s="22" t="str">
        <x:v>専用・路外駐車を基本</x:v>
      </x:c>
      <x:c r="AE40" s="22" t="str"/>
    </x:row>
    <x:row r="41">
      <x:c r="A41" s="27" t="str">
        <x:v>D119</x:v>
      </x:c>
      <x:c r="B41" s="27" t="str">
        <x:v>殿町第2公園</x:v>
      </x:c>
      <x:c r="C41" s="27" t="str">
        <x:v>川崎市・川崎区</x:v>
      </x:c>
      <x:c r="D41" s="27" t="str">
        <x:v>飛行機・多摩川・小展望</x:v>
      </x:c>
      <x:c r="E41" s="48" t="e">
        <x:f>HYPERLINK("https://www.google.com/maps/dir/?api=1&amp;destination=%E6%AE%BF%E7%94%BA%E7%AC%AC2%E5%85%AC%E5%9C%92&amp;travelmode=driving","現在地からナビ開始")</x:f>
      </x:c>
      <x:c r="F41" s="27" t="str">
        <x:v>羽田空港、多摩川、橋を望む小規模公園で、近距離の航空機経由地として面白い。</x:v>
      </x:c>
      <x:c r="G41" s="27" t="str">
        <x:v>専用駐車場なし</x:v>
      </x:c>
      <x:c r="H41" s="27" t="str">
        <x:v>周辺合法駐車場から徒歩</x:v>
      </x:c>
      <x:c r="I41" s="27" t="n">
        <x:v>2</x:v>
      </x:c>
      <x:c r="J41" s="27" t="n">
        <x:v>5</x:v>
      </x:c>
      <x:c r="K41" s="27" t="str">
        <x:v>路上駐車前提では使用しない。経由地専用候補。</x:v>
      </x:c>
      <x:c r="L41" s="28" t="n">
        <x:v>46232</x:v>
      </x:c>
      <x:c r="M41" s="27" t="str">
        <x:v>当日再確認</x:v>
      </x:c>
      <x:c r="N41" s="27" t="str">
        <x:v>https://www.city.kawasaki.jp/170/cmsfiles/contents/0000187/187611/04.pdf</x:v>
      </x:c>
      <x:c r="O41" s="27" t="str">
        <x:v>殿町は羽田空港対岸という立地を生かし、医療・生命科学分野の研究拠点へ再編された。</x:v>
      </x:c>
      <x:c r="P41" s="84" t="e">
        <x:f>HYPERLINK("https://ja.wikipedia.org/wiki/Special:Search?search=%E6%AE%BF%E7%94%BA%E7%AC%AC2%E5%85%AC%E5%9C%92","Wikipedia・関連項目")</x:f>
      </x:c>
      <x:c r="Q41" s="27"/>
      <x:c r="R41" s="27" t="str">
        <x:v>0〜10km</x:v>
      </x:c>
      <x:c r="S41" s="27" t="str">
        <x:v>概ね0〜10km</x:v>
      </x:c>
      <x:c r="T41" s="27" t="str">
        <x:v>通常10〜30分</x:v>
      </x:c>
      <x:c r="U41" s="27" t="str">
        <x:v>飛行機</x:v>
      </x:c>
      <x:c r="V41" s="27" t="str">
        <x:v>30〜60分</x:v>
      </x:c>
      <x:c r="W41" s="27" t="n">
        <x:v>2</x:v>
      </x:c>
      <x:c r="X41" s="27" t="n">
        <x:v>4</x:v>
      </x:c>
      <x:c r="Y41" s="27" t="str">
        <x:v>城南島海浜公園</x:v>
      </x:c>
      <x:c r="Z41" s="27" t="str">
        <x:v>京浜島つばさ公園／羽田空港 第3ターミナル展望デッキ</x:v>
      </x:c>
      <x:c r="AA41" s="22" t="str">
        <x:v>なし</x:v>
      </x:c>
      <x:c r="AB41" s="22" t="str">
        <x:v>-</x:v>
      </x:c>
      <x:c r="AC41" s="22" t="str"/>
      <x:c r="AD41" s="22" t="str">
        <x:v>専用・路外駐車を基本</x:v>
      </x:c>
      <x:c r="AE41" s="22" t="str"/>
    </x:row>
    <x:row r="42">
      <x:c r="A42" s="27" t="str">
        <x:v>D143</x:v>
      </x:c>
      <x:c r="B42" s="27" t="str">
        <x:v>桜ヶ丘公園 ゆうひの丘</x:v>
      </x:c>
      <x:c r="C42" s="27" t="str">
        <x:v>多摩市・連光寺</x:v>
      </x:c>
      <x:c r="D42" s="27" t="str">
        <x:v>高台・夕景・夜景</x:v>
      </x:c>
      <x:c r="E42" s="48" t="e">
        <x:f>HYPERLINK("https://www.google.com/maps/dir/?api=1&amp;destination=%E6%A1%9C%E3%83%B6%E4%B8%98%E5%85%AC%E5%9C%92%20%E3%82%86%E3%81%86%E3%81%B2%E3%81%AE%E4%B8%98&amp;travelmode=driving","現在地からナビ開始")</x:f>
      </x:c>
      <x:c r="F42" s="27" t="str">
        <x:v>多摩丘陵の高台から市街地の夕景を眺められ、短い徒歩で到達感が得られる。</x:v>
      </x:c>
      <x:c r="G42" s="27" t="str">
        <x:v>あり・ゆうひの丘側約38台、無料</x:v>
      </x:c>
      <x:c r="H42" s="27" t="str">
        <x:v>8:45～20:00、夜間閉鎖</x:v>
      </x:c>
      <x:c r="I42" s="27" t="n">
        <x:v>4</x:v>
      </x:c>
      <x:c r="J42" s="27" t="n">
        <x:v>3</x:v>
      </x:c>
      <x:c r="K42" s="27" t="str">
        <x:v>20時閉鎖。週末は満車時の公道待機禁止。住宅地のため静粛必須。</x:v>
      </x:c>
      <x:c r="L42" s="28" t="n">
        <x:v>46232</x:v>
      </x:c>
      <x:c r="M42" s="27" t="str">
        <x:v>一次確認済</x:v>
      </x:c>
      <x:c r="N42" s="27" t="str">
        <x:v>https://www.tokyo-park.or.jp/park/sakuragaoka/index.html</x:v>
      </x:c>
      <x:c r="O42" s="27" t="str">
        <x:v>園内には旧多摩聖蹟記念館があり、『聖蹟』は明治天皇が当地を訪れたことに由来する。</x:v>
      </x:c>
      <x:c r="P42" s="84" t="e">
        <x:f>HYPERLINK("https://ja.wikipedia.org/wiki/Special:Search?search=%E6%A1%9C%E3%83%B6%E4%B8%98%E5%85%AC%E5%9C%92%20%E3%82%86%E3%81%86%E3%81%B2%E3%81%AE%E4%B8%98","Wikipedia・関連項目")</x:f>
      </x:c>
      <x:c r="Q42" s="27"/>
      <x:c r="R42" s="27" t="str">
        <x:v>20〜25km</x:v>
      </x:c>
      <x:c r="S42" s="27" t="str">
        <x:v>概ね20〜25km</x:v>
      </x:c>
      <x:c r="T42" s="27" t="str">
        <x:v>通常40〜70分</x:v>
      </x:c>
      <x:c r="U42" s="27" t="str">
        <x:v>平日夜・深夜</x:v>
      </x:c>
      <x:c r="V42" s="27" t="str">
        <x:v>30〜60分</x:v>
      </x:c>
      <x:c r="W42" s="27" t="n">
        <x:v>1</x:v>
      </x:c>
      <x:c r="X42" s="27" t="n">
        <x:v>3</x:v>
      </x:c>
      <x:c r="Y42" s="27" t="str">
        <x:v>羽田空港 第3ターミナル展望デッキ</x:v>
      </x:c>
      <x:c r="Z42" s="27" t="str">
        <x:v>城南島海浜公園／潮風公園</x:v>
      </x:c>
      <x:c r="AA42" s="22" t="str">
        <x:v>なし</x:v>
      </x:c>
      <x:c r="AB42" s="22" t="str">
        <x:v>-</x:v>
      </x:c>
      <x:c r="AC42" s="22" t="str"/>
      <x:c r="AD42" s="22" t="str">
        <x:v>専用・路外駐車を基本</x:v>
      </x:c>
      <x:c r="AE42" s="22" t="str"/>
    </x:row>
    <x:row r="43">
      <x:c r="A43" s="27" t="str">
        <x:v>D144</x:v>
      </x:c>
      <x:c r="B43" s="27" t="str">
        <x:v>武蔵野の森公園</x:v>
      </x:c>
      <x:c r="C43" s="27" t="str">
        <x:v>府中市・調布市・三鷹市</x:v>
      </x:c>
      <x:c r="D43" s="27" t="str">
        <x:v>飛行機・広い空・24時間駐車</x:v>
      </x:c>
      <x:c r="E43" s="48" t="e">
        <x:f>HYPERLINK("https://www.google.com/maps/dir/?api=1&amp;destination=%E6%AD%A6%E8%94%B5%E9%87%8E%E3%81%AE%E6%A3%AE%E5%85%AC%E5%9C%92&amp;travelmode=driving","現在地からナビ開始")</x:f>
      </x:c>
      <x:c r="F43" s="27" t="str">
        <x:v>調布飛行場に隣接し、小型機の離着陸と広い空を眺められる航空系の安定候補。</x:v>
      </x:c>
      <x:c r="G43" s="27" t="str">
        <x:v>第1駐車場90台／第2駐車場143台・有料・24時間</x:v>
      </x:c>
      <x:c r="H43" s="27" t="str">
        <x:v>公園常時／駐車場24時間／北南プロムナード9:00～16:30</x:v>
      </x:c>
      <x:c r="I43" s="27" t="n">
        <x:v>5</x:v>
      </x:c>
      <x:c r="J43" s="27" t="n">
        <x:v>3</x:v>
      </x:c>
      <x:c r="K43" s="27" t="str">
        <x:v>夜間は北地区・南地区を結ぶプロムナードが閉鎖。飛行場側の明るい範囲を利用。</x:v>
      </x:c>
      <x:c r="L43" s="28" t="n">
        <x:v>46232</x:v>
      </x:c>
      <x:c r="M43" s="27" t="str">
        <x:v>一次確認済</x:v>
      </x:c>
      <x:c r="N43" s="27" t="str">
        <x:v>https://www.tokyo-park.or.jp/park/musashino-no-mori/index.html</x:v>
      </x:c>
      <x:c r="O43" s="27" t="str">
        <x:v>調布飛行場は戦時中に陸軍飛行場として整備され、現在は伊豆諸島への定期便が発着する。</x:v>
      </x:c>
      <x:c r="P43" s="84" t="e">
        <x:f>HYPERLINK("https://ja.wikipedia.org/wiki/Special:Search?search=%E6%AD%A6%E8%94%B5%E9%87%8E%E3%81%AE%E6%A3%AE%E5%85%AC%E5%9C%92","Wikipedia・関連項目")</x:f>
      </x:c>
      <x:c r="Q43" s="27" t="str">
        <x:v>2026-07-29公式再確認：第1・第2駐車場計233台・24時間、プロムナード16:30閉鎖を反映。</x:v>
      </x:c>
      <x:c r="R43" s="27" t="str">
        <x:v>20〜25km</x:v>
      </x:c>
      <x:c r="S43" s="27" t="str">
        <x:v>概ね20〜25km</x:v>
      </x:c>
      <x:c r="T43" s="27" t="str">
        <x:v>通常40〜70分</x:v>
      </x:c>
      <x:c r="U43" s="27" t="str">
        <x:v>飛行機</x:v>
      </x:c>
      <x:c r="V43" s="27" t="str">
        <x:v>30〜60分</x:v>
      </x:c>
      <x:c r="W43" s="27" t="n">
        <x:v>2</x:v>
      </x:c>
      <x:c r="X43" s="27" t="n">
        <x:v>4</x:v>
      </x:c>
      <x:c r="Y43" s="27" t="str">
        <x:v>城南島海浜公園</x:v>
      </x:c>
      <x:c r="Z43" s="27" t="str">
        <x:v>京浜島つばさ公園／羽田空港 第3ターミナル展望デッキ</x:v>
      </x:c>
      <x:c r="AA43" s="22" t="str">
        <x:v>なし</x:v>
      </x:c>
      <x:c r="AB43" s="22" t="str">
        <x:v>-</x:v>
      </x:c>
      <x:c r="AC43" s="22" t="str"/>
      <x:c r="AD43" s="22" t="str">
        <x:v>専用・路外駐車を基本</x:v>
      </x:c>
      <x:c r="AE43" s="22" t="str"/>
    </x:row>
    <x:row r="44">
      <x:c r="A44" s="27" t="str">
        <x:v>D145</x:v>
      </x:c>
      <x:c r="B44" s="27" t="str">
        <x:v>駒沢オリンピック公園</x:v>
      </x:c>
      <x:c r="C44" s="27" t="str">
        <x:v>世田谷区・駒沢</x:v>
      </x:c>
      <x:c r="D44" s="27" t="str">
        <x:v>オリンピック・建築・24時間駐車</x:v>
      </x:c>
      <x:c r="E44" s="48" t="e">
        <x:f>HYPERLINK("https://www.google.com/maps/dir/?api=1&amp;destination=%E9%A7%92%E6%B2%A2%E3%82%AA%E3%83%AA%E3%83%B3%E3%83%94%E3%83%83%E3%82%AF%E5%85%AC%E5%9C%92&amp;travelmode=driving","現在地からナビ開始")</x:f>
      </x:c>
      <x:c r="F44" s="27" t="str">
        <x:v>1964年東京大会の競技施設群を夜間でも眺められ、建築と都市史のStory Layerが強い。</x:v>
      </x:c>
      <x:c r="G44" s="27" t="str">
        <x:v>あり・第1駐車場ほか、有料</x:v>
      </x:c>
      <x:c r="H44" s="27" t="str">
        <x:v>第1駐車場 24時間</x:v>
      </x:c>
      <x:c r="I44" s="27" t="n">
        <x:v>4</x:v>
      </x:c>
      <x:c r="J44" s="27" t="n">
        <x:v>2</x:v>
      </x:c>
      <x:c r="K44" s="27" t="str">
        <x:v>大会・イベント日は混雑。第一駐車場は工事による一部閉鎖情報を確認。</x:v>
      </x:c>
      <x:c r="L44" s="28" t="n">
        <x:v>46232</x:v>
      </x:c>
      <x:c r="M44" s="27" t="str">
        <x:v>一次確認済</x:v>
      </x:c>
      <x:c r="N44" s="27" t="str">
        <x:v>https://www.tokyo-park.or.jp/park/komazawa-olympic/index.html</x:v>
      </x:c>
      <x:c r="O44" s="27" t="str">
        <x:v>1964年東京オリンピックではレスリングやバレーボールなどの会場となった。</x:v>
      </x:c>
      <x:c r="P44" s="84" t="e">
        <x:f>HYPERLINK("https://ja.wikipedia.org/wiki/Special:Search?search=%E9%A7%92%E6%B2%A2%E3%82%AA%E3%83%AA%E3%83%B3%E3%83%94%E3%83%83%E3%82%AF%E5%85%AC%E5%9C%92","Wikipedia・関連項目")</x:f>
      </x:c>
      <x:c r="Q44" s="27"/>
      <x:c r="R44" s="27" t="str">
        <x:v>10〜20km</x:v>
      </x:c>
      <x:c r="S44" s="27" t="str">
        <x:v>概ね10〜20km</x:v>
      </x:c>
      <x:c r="T44" s="27" t="str">
        <x:v>通常25〜50分</x:v>
      </x:c>
      <x:c r="U44" s="27" t="str">
        <x:v>平日夜・深夜</x:v>
      </x:c>
      <x:c r="V44" s="27" t="str">
        <x:v>30〜60分</x:v>
      </x:c>
      <x:c r="W44" s="27" t="n">
        <x:v>2</x:v>
      </x:c>
      <x:c r="X44" s="27" t="n">
        <x:v>1</x:v>
      </x:c>
      <x:c r="Y44" s="27" t="str">
        <x:v>羽田空港 第3ターミナル展望デッキ</x:v>
      </x:c>
      <x:c r="Z44" s="27" t="str">
        <x:v>城南島海浜公園／潮風公園</x:v>
      </x:c>
      <x:c r="AA44" s="22" t="str">
        <x:v>なし</x:v>
      </x:c>
      <x:c r="AB44" s="22" t="str">
        <x:v>-</x:v>
      </x:c>
      <x:c r="AC44" s="22" t="str"/>
      <x:c r="AD44" s="22" t="str">
        <x:v>専用・路外駐車を基本</x:v>
      </x:c>
      <x:c r="AE44" s="22" t="str"/>
    </x:row>
    <x:row r="45">
      <x:c r="A45" s="27" t="str">
        <x:v>D146</x:v>
      </x:c>
      <x:c r="B45" s="27" t="str">
        <x:v>東扇島西公園</x:v>
      </x:c>
      <x:c r="C45" s="27" t="str">
        <x:v>川崎市・東扇島</x:v>
      </x:c>
      <x:c r="D45" s="27" t="str">
        <x:v>港・行き止まり・釣り</x:v>
      </x:c>
      <x:c r="E45" s="48" t="e">
        <x:f>HYPERLINK("https://www.google.com/maps/dir/?api=1&amp;destination=%E6%9D%B1%E6%89%87%E5%B3%B6%E8%A5%BF%E5%85%AC%E5%9C%92&amp;travelmode=driving","現在地からナビ開始")</x:f>
      </x:c>
      <x:c r="F45" s="27" t="str">
        <x:v>東扇島の西端まで走り切り、東京湾・船舶・工業港湾を眺める行き止まり型Ending。</x:v>
      </x:c>
      <x:c r="G45" s="27" t="str">
        <x:v>第1・第2駐車場 合計172台・有料・24時間</x:v>
      </x:c>
      <x:c r="H45" s="27" t="str">
        <x:v>公園・駐車場24時間</x:v>
      </x:c>
      <x:c r="I45" s="27" t="n">
        <x:v>5</x:v>
      </x:c>
      <x:c r="J45" s="27" t="n">
        <x:v>4</x:v>
      </x:c>
      <x:c r="K45" s="27" t="str">
        <x:v>土日祝・釣り時間帯は混雑。路上駐車・アイドリング禁止。臨時閉鎖を当日確認。</x:v>
      </x:c>
      <x:c r="L45" s="28" t="n">
        <x:v>46232</x:v>
      </x:c>
      <x:c r="M45" s="27" t="str">
        <x:v>一次確認済</x:v>
      </x:c>
      <x:c r="N45" s="27" t="str">
        <x:v>https://www.city.kawasaki.jp/580/page/0000001336.html</x:v>
      </x:c>
      <x:c r="O45" s="27" t="str">
        <x:v>東扇島は川崎港の物流機能拡張のため造成された人工島で、首都圏の国際物流拠点の一つ。</x:v>
      </x:c>
      <x:c r="P45" s="84" t="e">
        <x:f>HYPERLINK("https://ja.wikipedia.org/wiki/Special:Search?search=%E6%9D%B1%E6%89%87%E5%B3%B6%E8%A5%BF%E5%85%AC%E5%9C%92","Wikipedia・関連項目")</x:f>
      </x:c>
      <x:c r="Q45" s="27" t="str">
        <x:v>2026-07-29公式再確認：172台・24時間を深夜最終目的地条件へ反映。</x:v>
      </x:c>
      <x:c r="R45" s="27" t="str">
        <x:v>10〜20km</x:v>
      </x:c>
      <x:c r="S45" s="27" t="str">
        <x:v>概ね10〜20km</x:v>
      </x:c>
      <x:c r="T45" s="27" t="str">
        <x:v>通常25〜50分</x:v>
      </x:c>
      <x:c r="U45" s="27" t="str">
        <x:v>海・港</x:v>
      </x:c>
      <x:c r="V45" s="27" t="str">
        <x:v>30〜90分</x:v>
      </x:c>
      <x:c r="W45" s="27" t="n">
        <x:v>2</x:v>
      </x:c>
      <x:c r="X45" s="27" t="n">
        <x:v>3</x:v>
      </x:c>
      <x:c r="Y45" s="27" t="str">
        <x:v>城南島海浜公園</x:v>
      </x:c>
      <x:c r="Z45" s="27" t="str">
        <x:v>潮風公園／晴海ふ頭公園</x:v>
      </x:c>
      <x:c r="AA45" s="22" t="str">
        <x:v>なし</x:v>
      </x:c>
      <x:c r="AB45" s="22" t="str">
        <x:v>-</x:v>
      </x:c>
      <x:c r="AC45" s="22" t="str"/>
      <x:c r="AD45" s="22" t="str">
        <x:v>専用・路外駐車を基本</x:v>
      </x:c>
      <x:c r="AE45" s="22" t="str"/>
    </x:row>
    <x:row r="46">
      <x:c r="A46" s="27" t="str">
        <x:v>D147</x:v>
      </x:c>
      <x:c r="B46" s="27" t="str">
        <x:v>北八朔公園</x:v>
      </x:c>
      <x:c r="C46" s="27" t="str">
        <x:v>横浜市・緑区</x:v>
      </x:c>
      <x:c r="D46" s="27" t="str">
        <x:v>谷戸・里山・風致公園</x:v>
      </x:c>
      <x:c r="E46" s="48" t="e">
        <x:f>HYPERLINK("https://www.google.com/maps/dir/?api=1&amp;destination=%E5%8C%97%E5%85%AB%E6%9C%94%E5%85%AC%E5%9C%92&amp;travelmode=driving","現在地からナビ開始")</x:f>
      </x:c>
      <x:c r="F46" s="27" t="str">
        <x:v>谷戸地形と樹林が残る横浜北部の静かな公園で、都市部から自然へ切り替える経由地になる。</x:v>
      </x:c>
      <x:c r="G46" s="27" t="str">
        <x:v>あり・普通車39台、有料</x:v>
      </x:c>
      <x:c r="H46" s="27" t="str">
        <x:v>駐車場は24時間運用情報あり</x:v>
      </x:c>
      <x:c r="I46" s="27" t="n">
        <x:v>3</x:v>
      </x:c>
      <x:c r="J46" s="27" t="n">
        <x:v>4</x:v>
      </x:c>
      <x:c r="K46" s="27" t="str">
        <x:v>夜間は暗い。主要園路のみ利用し、自然保護区域へ入らない。</x:v>
      </x:c>
      <x:c r="L46" s="28" t="n">
        <x:v>46232</x:v>
      </x:c>
      <x:c r="M46" s="27" t="str">
        <x:v>一次確認済</x:v>
      </x:c>
      <x:c r="N46" s="27" t="str">
        <x:v>https://www.city.yokohama.lg.jp/kurashi/machizukuri-kankyo/midori-koen/koen/koen/daihyoteki/kitahassaku_park.html</x:v>
      </x:c>
      <x:c r="O46" s="27" t="str">
        <x:v>『八朔』は旧暦8月1日を指し、地名には農村の年中行事や旧村名の記憶が残る場合がある。</x:v>
      </x:c>
      <x:c r="P46" s="84" t="e">
        <x:f>HYPERLINK("https://ja.wikipedia.org/wiki/Special:Search?search=%E5%8C%97%E5%85%AB%E6%9C%94%E5%85%AC%E5%9C%92","Wikipedia・関連項目")</x:f>
      </x:c>
      <x:c r="Q46" s="27"/>
      <x:c r="R46" s="27" t="str">
        <x:v>20〜25km</x:v>
      </x:c>
      <x:c r="S46" s="27" t="str">
        <x:v>概ね20〜25km</x:v>
      </x:c>
      <x:c r="T46" s="27" t="str">
        <x:v>通常40〜70分</x:v>
      </x:c>
      <x:c r="U46" s="27" t="str">
        <x:v>休日半日</x:v>
      </x:c>
      <x:c r="V46" s="27" t="str">
        <x:v>30〜90分</x:v>
      </x:c>
      <x:c r="W46" s="27" t="n">
        <x:v>1</x:v>
      </x:c>
      <x:c r="X46" s="27" t="n">
        <x:v>1</x:v>
      </x:c>
      <x:c r="Y46" s="27" t="str">
        <x:v>平和の森公園</x:v>
      </x:c>
      <x:c r="Z46" s="27" t="str">
        <x:v>大森ふるさとの浜辺公園／森ケ崎公園</x:v>
      </x:c>
      <x:c r="AA46" s="22" t="str">
        <x:v>なし</x:v>
      </x:c>
      <x:c r="AB46" s="22" t="str">
        <x:v>-</x:v>
      </x:c>
      <x:c r="AC46" s="22" t="str"/>
      <x:c r="AD46" s="22" t="str">
        <x:v>専用・路外駐車を基本</x:v>
      </x:c>
      <x:c r="AE46" s="22" t="str"/>
    </x:row>
    <x:row r="47">
      <x:c r="A47" s="27" t="str">
        <x:v>D152</x:v>
      </x:c>
      <x:c r="B47" s="27" t="str">
        <x:v>府中の森公園</x:v>
      </x:c>
      <x:c r="C47" s="27" t="str">
        <x:v>府中市・浅間町</x:v>
      </x:c>
      <x:c r="D47" s="27" t="str">
        <x:v>並木・文化施設・24時間駐車</x:v>
      </x:c>
      <x:c r="E47" s="48" t="e">
        <x:f>HYPERLINK("https://www.google.com/maps/dir/?api=1&amp;destination=%E5%BA%9C%E4%B8%AD%E3%81%AE%E6%A3%AE%E5%85%AC%E5%9C%92&amp;travelmode=driving","現在地からナビ開始")</x:f>
      </x:c>
      <x:c r="F47" s="27" t="str">
        <x:v>整った並木と文化施設があり、西東京の夜間休憩地点として安定する。</x:v>
      </x:c>
      <x:c r="G47" s="27" t="str">
        <x:v>あり・有料・24時間</x:v>
      </x:c>
      <x:c r="H47" s="27" t="str">
        <x:v>公園常時／駐車場24時間</x:v>
      </x:c>
      <x:c r="I47" s="27" t="n">
        <x:v>4</x:v>
      </x:c>
      <x:c r="J47" s="27" t="n">
        <x:v>3</x:v>
      </x:c>
      <x:c r="K47" s="27" t="str">
        <x:v>イベント時は駐車場混雑。住宅地に近いため夜間は静粛に利用。</x:v>
      </x:c>
      <x:c r="L47" s="28" t="n">
        <x:v>46232</x:v>
      </x:c>
      <x:c r="M47" s="27" t="str">
        <x:v>一次確認済</x:v>
      </x:c>
      <x:c r="N47" s="27" t="str">
        <x:v>https://www.tokyo-park.or.jp/park/fuchunomori/index.html</x:v>
      </x:c>
      <x:c r="O47" s="27" t="str">
        <x:v>周辺は旧米軍府中基地跡地を含む公共施設集積地で、戦後の土地利用転換を感じられる。</x:v>
      </x:c>
      <x:c r="P47" s="84" t="e">
        <x:f>HYPERLINK("https://ja.wikipedia.org/wiki/Special:Search?search=%E5%BA%9C%E4%B8%AD%E3%81%AE%E6%A3%AE%E5%85%AC%E5%9C%92","Wikipedia・関連項目")</x:f>
      </x:c>
      <x:c r="Q47" s="27" t="str">
        <x:v>2026-07-29公式再確認：駐車場24時間営業を反映。</x:v>
      </x:c>
      <x:c r="R47" s="27" t="str">
        <x:v>20〜25km</x:v>
      </x:c>
      <x:c r="S47" s="27" t="str">
        <x:v>概ね20〜25km</x:v>
      </x:c>
      <x:c r="T47" s="27" t="str">
        <x:v>通常40〜70分</x:v>
      </x:c>
      <x:c r="U47" s="27" t="str">
        <x:v>平日夜・深夜</x:v>
      </x:c>
      <x:c r="V47" s="27" t="str">
        <x:v>30〜60分</x:v>
      </x:c>
      <x:c r="W47" s="27" t="n">
        <x:v>2</x:v>
      </x:c>
      <x:c r="X47" s="27" t="n">
        <x:v>1</x:v>
      </x:c>
      <x:c r="Y47" s="27" t="str">
        <x:v>羽田空港 第3ターミナル展望デッキ</x:v>
      </x:c>
      <x:c r="Z47" s="27" t="str">
        <x:v>城南島海浜公園／潮風公園</x:v>
      </x:c>
      <x:c r="AA47" s="22" t="str">
        <x:v>なし</x:v>
      </x:c>
      <x:c r="AB47" s="22" t="str">
        <x:v>-</x:v>
      </x:c>
      <x:c r="AC47" s="22" t="str"/>
      <x:c r="AD47" s="22" t="str">
        <x:v>専用・路外駐車を基本</x:v>
      </x:c>
      <x:c r="AE47" s="22" t="str"/>
    </x:row>
    <x:row r="48">
      <x:c r="A48" s="27" t="str">
        <x:v>D154</x:v>
      </x:c>
      <x:c r="B48" s="27" t="str">
        <x:v>神代植物公園・深大寺</x:v>
      </x:c>
      <x:c r="C48" s="27" t="str">
        <x:v>調布市・深大寺</x:v>
      </x:c>
      <x:c r="D48" s="27" t="str">
        <x:v>植物園・寺社・Story</x:v>
      </x:c>
      <x:c r="E48" s="48" t="e">
        <x:f>HYPERLINK("https://www.google.com/maps/dir/?api=1&amp;destination=%E7%A5%9E%E4%BB%A3%E6%A4%8D%E7%89%A9%E5%85%AC%E5%9C%92%E3%83%BB%E6%B7%B1%E5%A4%A7%E5%AF%BA&amp;travelmode=driving","現在地からナビ開始")</x:f>
      </x:c>
      <x:c r="F48" s="27" t="str">
        <x:v>植物園と深大寺の門前町を組み合わせられ、季節景観と歴史を一度に楽しめる。</x:v>
      </x:c>
      <x:c r="G48" s="27" t="str">
        <x:v>あり・第1/第2駐車場、有料</x:v>
      </x:c>
      <x:c r="H48" s="27" t="str">
        <x:v>駐車場 24時間／植物園は日中開園</x:v>
      </x:c>
      <x:c r="I48" s="27" t="n">
        <x:v>3</x:v>
      </x:c>
      <x:c r="J48" s="27" t="n">
        <x:v>2</x:v>
      </x:c>
      <x:c r="K48" s="27" t="str">
        <x:v>植物園閉園後は深大寺周辺散策のみ。行楽期は満車。</x:v>
      </x:c>
      <x:c r="L48" s="28" t="n">
        <x:v>46232</x:v>
      </x:c>
      <x:c r="M48" s="27" t="str">
        <x:v>一次確認済</x:v>
      </x:c>
      <x:c r="N48" s="27" t="str">
        <x:v>https://www.tokyo-park.or.jp/park/jindai/index.html</x:v>
      </x:c>
      <x:c r="O48" s="27" t="str">
        <x:v>深大寺は東京都内では浅草寺に次ぐ古刹とされ、門前の深大寺そばでも知られる。</x:v>
      </x:c>
      <x:c r="P48" s="84" t="e">
        <x:f>HYPERLINK("https://ja.wikipedia.org/wiki/Special:Search?search=%E7%A5%9E%E4%BB%A3%E6%A4%8D%E7%89%A9%E5%85%AC%E5%9C%92%E3%83%BB%E6%B7%B1%E5%A4%A7%E5%AF%BA","Wikipedia・関連項目")</x:f>
      </x:c>
      <x:c r="Q48" s="27"/>
      <x:c r="R48" s="27" t="str">
        <x:v>20〜25km</x:v>
      </x:c>
      <x:c r="S48" s="27" t="str">
        <x:v>概ね20〜25km</x:v>
      </x:c>
      <x:c r="T48" s="27" t="str">
        <x:v>通常40〜70分</x:v>
      </x:c>
      <x:c r="U48" s="27" t="str">
        <x:v>Story</x:v>
      </x:c>
      <x:c r="V48" s="27" t="str">
        <x:v>60〜150分</x:v>
      </x:c>
      <x:c r="W48" s="27" t="n">
        <x:v>2</x:v>
      </x:c>
      <x:c r="X48" s="27" t="n">
        <x:v>1</x:v>
      </x:c>
      <x:c r="Y48" s="27" t="str">
        <x:v>羽田空港 第3ターミナル展望デッキ</x:v>
      </x:c>
      <x:c r="Z48" s="27" t="str">
        <x:v>城南島海浜公園／潮風公園</x:v>
      </x:c>
      <x:c r="AA48" s="22" t="str">
        <x:v>なし</x:v>
      </x:c>
      <x:c r="AB48" s="22" t="str">
        <x:v>-</x:v>
      </x:c>
      <x:c r="AC48" s="22" t="str"/>
      <x:c r="AD48" s="22" t="str">
        <x:v>専用・路外駐車を基本</x:v>
      </x:c>
      <x:c r="AE48" s="22" t="str"/>
    </x:row>
    <x:row r="49">
      <x:c r="A49" s="27" t="str">
        <x:v>D156</x:v>
      </x:c>
      <x:c r="B49" s="27" t="str">
        <x:v>稲田公園</x:v>
      </x:c>
      <x:c r="C49" s="27" t="str">
        <x:v>川崎市・多摩区</x:v>
      </x:c>
      <x:c r="D49" s="27" t="str">
        <x:v>多摩川・くじら遊具・近距離</x:v>
      </x:c>
      <x:c r="E49" s="48" t="e">
        <x:f>HYPERLINK("https://www.google.com/maps/dir/?api=1&amp;destination=%E7%A8%B2%E7%94%B0%E5%85%AC%E5%9C%92&amp;travelmode=driving","現在地からナビ開始")</x:f>
      </x:c>
      <x:c r="F49" s="27" t="str">
        <x:v>多摩川沿いの開放感と象徴的なくじらモニュメントがあり、近距離のStory系公園になる。</x:v>
      </x:c>
      <x:c r="G49" s="27" t="str">
        <x:v>あり・約32台、有料</x:v>
      </x:c>
      <x:c r="H49" s="27" t="str">
        <x:v>利用時間は駐車場掲示を当日確認</x:v>
      </x:c>
      <x:c r="I49" s="27" t="n">
        <x:v>3</x:v>
      </x:c>
      <x:c r="J49" s="27" t="n">
        <x:v>4</x:v>
      </x:c>
      <x:c r="K49" s="27" t="str">
        <x:v>河川増水時は避ける。夏季プール営業日は混雑。</x:v>
      </x:c>
      <x:c r="L49" s="28" t="n">
        <x:v>46232</x:v>
      </x:c>
      <x:c r="M49" s="27" t="str">
        <x:v>当日再確認</x:v>
      </x:c>
      <x:c r="N49" s="27" t="str">
        <x:v>https://www.city.kawasaki.jp/530/cmsfiles/contents/0000109/109446/syoukai.pdf</x:v>
      </x:c>
      <x:c r="O49" s="27" t="str">
        <x:v>稲田堤は多摩川の堤防と渡河の歴史を背景に発展し、現在も河川景観が地域の骨格。</x:v>
      </x:c>
      <x:c r="P49" s="84" t="e">
        <x:f>HYPERLINK("https://ja.wikipedia.org/wiki/Special:Search?search=%E7%A8%B2%E7%94%B0%E5%85%AC%E5%9C%92","Wikipedia・関連項目")</x:f>
      </x:c>
      <x:c r="Q49" s="27"/>
      <x:c r="R49" s="27" t="str">
        <x:v>20〜25km</x:v>
      </x:c>
      <x:c r="S49" s="27" t="str">
        <x:v>概ね20〜25km</x:v>
      </x:c>
      <x:c r="T49" s="27" t="str">
        <x:v>通常40〜70分</x:v>
      </x:c>
      <x:c r="U49" s="27" t="str">
        <x:v>休日半日</x:v>
      </x:c>
      <x:c r="V49" s="27" t="str">
        <x:v>30〜60分</x:v>
      </x:c>
      <x:c r="W49" s="27" t="n">
        <x:v>2</x:v>
      </x:c>
      <x:c r="X49" s="27" t="n">
        <x:v>1</x:v>
      </x:c>
      <x:c r="Y49" s="27" t="str">
        <x:v>羽田空港 第3ターミナル展望デッキ</x:v>
      </x:c>
      <x:c r="Z49" s="27" t="str">
        <x:v>城南島海浜公園／潮風公園</x:v>
      </x:c>
      <x:c r="AA49" s="22" t="str">
        <x:v>なし</x:v>
      </x:c>
      <x:c r="AB49" s="22" t="str">
        <x:v>-</x:v>
      </x:c>
      <x:c r="AC49" s="22" t="str"/>
      <x:c r="AD49" s="22" t="str">
        <x:v>専用・路外駐車を基本</x:v>
      </x:c>
      <x:c r="AE49" s="22" t="str"/>
    </x:row>
    <x:row r="50">
      <x:c r="A50" s="27" t="str">
        <x:v>D157</x:v>
      </x:c>
      <x:c r="B50" s="27" t="str">
        <x:v>川崎市役所 展望ロビー・スカイデッキ</x:v>
      </x:c>
      <x:c r="C50" s="27" t="str">
        <x:v>川崎市・川崎区</x:v>
      </x:c>
      <x:c r="D50" s="27" t="str">
        <x:v>市役所・展望・都市史</x:v>
      </x:c>
      <x:c r="E50" s="48" t="e">
        <x:f>HYPERLINK("https://www.google.com/maps/dir/?api=1&amp;destination=%E5%B7%9D%E5%B4%8E%E5%B8%82%E5%BD%B9%E6%89%80%20%E5%B1%95%E6%9C%9B%E3%83%AD%E3%83%93%E3%83%BC%E3%83%BB%E3%82%B9%E3%82%AB%E3%82%A4%E3%83%87%E3%83%83%E3%82%AD&amp;travelmode=driving","現在地からナビ開始")</x:f>
      </x:c>
      <x:c r="F50" s="27" t="str">
        <x:v>無料の高層展望から川崎・東京・横浜方面を一望し、旧庁舎復元部の歴史展示も見られる。</x:v>
      </x:c>
      <x:c r="G50" s="27" t="str">
        <x:v>本庁舎駐車場あり・展望利用は無料措置対象外</x:v>
      </x:c>
      <x:c r="H50" s="27" t="str">
        <x:v>展望フロア利用時間は公式最新情報確認</x:v>
      </x:c>
      <x:c r="I50" s="27" t="n">
        <x:v>4</x:v>
      </x:c>
      <x:c r="J50" s="27" t="n">
        <x:v>3</x:v>
      </x:c>
      <x:c r="K50" s="27" t="str">
        <x:v>駐車料金が発生。行政行事・荒天でスカイデッキ閉鎖あり。</x:v>
      </x:c>
      <x:c r="L50" s="28" t="n">
        <x:v>46232</x:v>
      </x:c>
      <x:c r="M50" s="27" t="str">
        <x:v>一次確認済</x:v>
      </x:c>
      <x:c r="N50" s="27" t="str">
        <x:v>https://www.city.kawasaki.jp/170/page/0000153797.html</x:v>
      </x:c>
      <x:c r="O50" s="27" t="str">
        <x:v>復元棟は旧川崎市役所本庁舎の象徴的外観を再現し、都市の記憶を新庁舎へ継承している。</x:v>
      </x:c>
      <x:c r="P50" s="84" t="e">
        <x:f>HYPERLINK("https://ja.wikipedia.org/wiki/Special:Search?search=%E5%B7%9D%E5%B4%8E%E5%B8%82%E5%BD%B9%E6%89%80%20%E5%B1%95%E6%9C%9B%E3%83%AD%E3%83%93%E3%83%BC%E3%83%BB%E3%82%B9%E3%82%AB%E3%82%A4%E3%83%87%E3%83%83%E3%82%AD","Wikipedia・関連項目")</x:f>
      </x:c>
      <x:c r="Q50" s="27"/>
      <x:c r="R50" s="27" t="str">
        <x:v>0〜10km</x:v>
      </x:c>
      <x:c r="S50" s="27" t="str">
        <x:v>概ね0〜10km</x:v>
      </x:c>
      <x:c r="T50" s="27" t="str">
        <x:v>通常10〜30分</x:v>
      </x:c>
      <x:c r="U50" s="27" t="str">
        <x:v>平日夜・深夜</x:v>
      </x:c>
      <x:c r="V50" s="27" t="str">
        <x:v>30〜60分</x:v>
      </x:c>
      <x:c r="W50" s="27" t="n">
        <x:v>2</x:v>
      </x:c>
      <x:c r="X50" s="27" t="n">
        <x:v>1</x:v>
      </x:c>
      <x:c r="Y50" s="27" t="str">
        <x:v>羽田空港 第3ターミナル展望デッキ</x:v>
      </x:c>
      <x:c r="Z50" s="27" t="str">
        <x:v>城南島海浜公園／潮風公園</x:v>
      </x:c>
      <x:c r="AA50" s="22" t="str">
        <x:v>なし</x:v>
      </x:c>
      <x:c r="AB50" s="22" t="str">
        <x:v>-</x:v>
      </x:c>
      <x:c r="AC50" s="22" t="str"/>
      <x:c r="AD50" s="22" t="str">
        <x:v>専用・路外駐車を基本</x:v>
      </x:c>
      <x:c r="AE50" s="22" t="str"/>
    </x:row>
    <x:row r="51">
      <x:c r="A51" s="27" t="str">
        <x:v>D159</x:v>
      </x:c>
      <x:c r="B51" s="27" t="str">
        <x:v>青葉の森公園</x:v>
      </x:c>
      <x:c r="C51" s="27" t="str">
        <x:v>千葉市・中央区</x:v>
      </x:c>
      <x:c r="D51" s="27" t="str">
        <x:v>大規模公園・文化施設・夜間</x:v>
      </x:c>
      <x:c r="E51" s="48" t="e">
        <x:f>HYPERLINK("https://www.google.com/maps/dir/?api=1&amp;destination=%E9%9D%92%E8%91%89%E3%81%AE%E6%A3%AE%E5%85%AC%E5%9C%92&amp;travelmode=driving","現在地からナビ開始")</x:f>
      </x:c>
      <x:c r="F51" s="27" t="str">
        <x:v>広い芝生、博物館、芸術文化ホールが集まり、千葉市内の文化系Endingとして安定する。</x:v>
      </x:c>
      <x:c r="G51" s="27" t="str">
        <x:v>あり・普通車573台ほか、有料</x:v>
      </x:c>
      <x:c r="H51" s="27" t="str">
        <x:v>公園24時間／駐車場6:00～22:00</x:v>
      </x:c>
      <x:c r="I51" s="27" t="n">
        <x:v>4</x:v>
      </x:c>
      <x:c r="J51" s="27" t="n">
        <x:v>2</x:v>
      </x:c>
      <x:c r="K51" s="27" t="str">
        <x:v>22時閉鎖。イベント日は満車、周辺路上駐車禁止。</x:v>
      </x:c>
      <x:c r="L51" s="28" t="n">
        <x:v>46232</x:v>
      </x:c>
      <x:c r="M51" s="27" t="str">
        <x:v>一次確認済</x:v>
      </x:c>
      <x:c r="N51" s="27" t="str">
        <x:v>https://www.cue-net.or.jp/kouen/aoba/annai/parking.html</x:v>
      </x:c>
      <x:c r="O51" s="27" t="str">
        <x:v>園内の千葉県立中央博物館は房総の自然と歴史を総合的に扱う県立博物館。</x:v>
      </x:c>
      <x:c r="P51" s="84" t="e">
        <x:f>HYPERLINK("https://ja.wikipedia.org/wiki/Special:Search?search=%E9%9D%92%E8%91%89%E3%81%AE%E6%A3%AE%E5%85%AC%E5%9C%92","Wikipedia・関連項目")</x:f>
      </x:c>
      <x:c r="Q51" s="27"/>
      <x:c r="R51" s="27" t="str">
        <x:v>10〜20km</x:v>
      </x:c>
      <x:c r="S51" s="27" t="str">
        <x:v>概ね10〜20km</x:v>
      </x:c>
      <x:c r="T51" s="27" t="str">
        <x:v>通常25〜50分</x:v>
      </x:c>
      <x:c r="U51" s="27" t="str">
        <x:v>平日夜・深夜</x:v>
      </x:c>
      <x:c r="V51" s="27" t="str">
        <x:v>30〜90分</x:v>
      </x:c>
      <x:c r="W51" s="27" t="n">
        <x:v>1</x:v>
      </x:c>
      <x:c r="X51" s="27" t="n">
        <x:v>1</x:v>
      </x:c>
      <x:c r="Y51" s="27" t="str">
        <x:v>平和の森公園</x:v>
      </x:c>
      <x:c r="Z51" s="27" t="str">
        <x:v>大森ふるさとの浜辺公園／森ケ崎公園</x:v>
      </x:c>
      <x:c r="AA51" s="22" t="str">
        <x:v>なし</x:v>
      </x:c>
      <x:c r="AB51" s="22" t="str">
        <x:v>-</x:v>
      </x:c>
      <x:c r="AC51" s="22" t="str"/>
      <x:c r="AD51" s="22" t="str">
        <x:v>専用・路外駐車を基本</x:v>
      </x:c>
      <x:c r="AE51" s="22" t="str"/>
    </x:row>
    <x:row r="52">
      <x:c r="A52" s="27" t="str">
        <x:v>D164</x:v>
      </x:c>
      <x:c r="B52" s="27" t="str">
        <x:v>本牧山頂公園</x:v>
      </x:c>
      <x:c r="C52" s="27" t="str">
        <x:v>横浜市・中区</x:v>
      </x:c>
      <x:c r="D52" s="27" t="str">
        <x:v>高台・港・草地・都市展望</x:v>
      </x:c>
      <x:c r="E52" s="48" t="e">
        <x:f>HYPERLINK("https://www.google.com/maps/dir/?api=1&amp;destination=%E6%9C%AC%E7%89%A7%E5%B1%B1%E9%A0%82%E5%85%AC%E5%9C%92&amp;travelmode=driving","現在地からナビ開始")</x:f>
      </x:c>
      <x:c r="F52" s="27" t="str">
        <x:v>本牧の尾根上を歩きながら横浜港と住宅地を見下ろせ、港湾ドライブの最後に地形の高さを加えられる。</x:v>
      </x:c>
      <x:c r="G52" s="27" t="str">
        <x:v>あり・有料</x:v>
      </x:c>
      <x:c r="H52" s="27" t="str">
        <x:v>駐車場時間は指定管理者の当日案内確認</x:v>
      </x:c>
      <x:c r="I52" s="27" t="n">
        <x:v>3</x:v>
      </x:c>
      <x:c r="J52" s="27" t="n">
        <x:v>4</x:v>
      </x:c>
      <x:c r="K52" s="27" t="str">
        <x:v>住宅地に接するため夜間の騒音厳禁。駐車場の入出庫時間を出発前に確認。</x:v>
      </x:c>
      <x:c r="L52" s="28" t="n">
        <x:v>46232</x:v>
      </x:c>
      <x:c r="M52" s="27" t="str">
        <x:v>当日再確認</x:v>
      </x:c>
      <x:c r="N52" s="27" t="str">
        <x:v>https://www.city.yokohama.lg.jp/kenko-iryo-fukushi/fukushi-kaigo/fuku-machi/barrierfree/shisetsu/shisetsu/06092.html</x:v>
      </x:c>
      <x:c r="O52" s="27" t="str">
        <x:v>本牧はかつて海沿いの景勝地だったが、戦後の接収と埋立・再開発で現在の港湾都市景観へ変化した。</x:v>
      </x:c>
      <x:c r="P52" s="84" t="e">
        <x:f>HYPERLINK("https://ja.wikipedia.org/wiki/Special:Search?search=%E6%9C%AC%E7%89%A7%E5%B1%B1%E9%A0%82%E5%85%AC%E5%9C%92","Wikipedia・関連項目")</x:f>
      </x:c>
      <x:c r="Q52" s="27"/>
      <x:c r="R52" s="27" t="str">
        <x:v>20〜25km</x:v>
      </x:c>
      <x:c r="S52" s="27" t="str">
        <x:v>概ね20〜25km</x:v>
      </x:c>
      <x:c r="T52" s="27" t="str">
        <x:v>通常40〜70分</x:v>
      </x:c>
      <x:c r="U52" s="27" t="str">
        <x:v>海・港</x:v>
      </x:c>
      <x:c r="V52" s="27" t="str">
        <x:v>30〜60分</x:v>
      </x:c>
      <x:c r="W52" s="27" t="n">
        <x:v>1</x:v>
      </x:c>
      <x:c r="X52" s="27" t="n">
        <x:v>3</x:v>
      </x:c>
      <x:c r="Y52" s="27" t="str">
        <x:v>城南島海浜公園</x:v>
      </x:c>
      <x:c r="Z52" s="27" t="str">
        <x:v>潮風公園／晴海ふ頭公園</x:v>
      </x:c>
      <x:c r="AA52" s="22" t="str">
        <x:v>なし</x:v>
      </x:c>
      <x:c r="AB52" s="22" t="str">
        <x:v>-</x:v>
      </x:c>
      <x:c r="AC52" s="22" t="str"/>
      <x:c r="AD52" s="22" t="str">
        <x:v>専用・路外駐車を基本</x:v>
      </x:c>
      <x:c r="AE52" s="22" t="str"/>
    </x:row>
    <x:row r="53">
      <x:c r="A53" s="27" t="str">
        <x:v>D181</x:v>
      </x:c>
      <x:c r="B53" s="27" t="str">
        <x:v>高洲海浜公園</x:v>
      </x:c>
      <x:c r="C53" s="27" t="str">
        <x:v>浦安市・高洲</x:v>
      </x:c>
      <x:c r="D53" s="27" t="str">
        <x:v>海・展望の丘・24時間駐車</x:v>
      </x:c>
      <x:c r="E53" s="48" t="e">
        <x:f>HYPERLINK("https://www.google.com/maps/dir/?api=1&amp;destination=%E9%AB%98%E6%B4%B2%E6%B5%B7%E6%B5%9C%E5%85%AC%E5%9C%92&amp;travelmode=driving","現在地からナビ開始")</x:f>
      </x:c>
      <x:c r="F53" s="27" t="str">
        <x:v>芝生、展望の丘、テラス式海岸を備え、東京湾の風と新浦安の街明かりを安全な駐車場から楽しめる。</x:v>
      </x:c>
      <x:c r="G53" s="27" t="str">
        <x:v>あり・152台・有料</x:v>
      </x:c>
      <x:c r="H53" s="27" t="str">
        <x:v>駐車場 年中無休・終日利用可</x:v>
      </x:c>
      <x:c r="I53" s="27" t="n">
        <x:v>5</x:v>
      </x:c>
      <x:c r="J53" s="27" t="n">
        <x:v>4</x:v>
      </x:c>
      <x:c r="K53" s="27" t="str">
        <x:v>海沿いは強風になりやすい。火気禁止。深夜は住宅地側への騒音と長時間滞在を避ける。</x:v>
      </x:c>
      <x:c r="L53" s="28" t="n">
        <x:v>46232</x:v>
      </x:c>
      <x:c r="M53" s="27" t="str">
        <x:v>一次確認済</x:v>
      </x:c>
      <x:c r="N53" s="27" t="str">
        <x:v>https://www.city.urayasu.lg.jp/shisetsu/kouen/1005634.html</x:v>
      </x:c>
      <x:c r="O53" s="27" t="str">
        <x:v>高洲は東京湾岸の埋立地として形成され、新浦安の住宅地と海辺の公共空間が隣り合う地区である。</x:v>
      </x:c>
      <x:c r="P53" s="84" t="e">
        <x:f>HYPERLINK("https://ja.wikipedia.org/wiki/Special:Search?search=%E9%AB%98%E6%B4%B2%E6%B5%B7%E6%B5%9C%E5%85%AC%E5%9C%92","Wikipedia・関連項目")</x:f>
      </x:c>
      <x:c r="Q53" s="27" t="str">
        <x:v>新規追加。24時間駐車可能な海辺Endingとして採用。</x:v>
      </x:c>
      <x:c r="R53" s="27" t="str">
        <x:v>20〜25km</x:v>
      </x:c>
      <x:c r="S53" s="27" t="str">
        <x:v>概ね20〜25km</x:v>
      </x:c>
      <x:c r="T53" s="27" t="str">
        <x:v>通常40〜70分</x:v>
      </x:c>
      <x:c r="U53" s="27" t="str">
        <x:v>海・港</x:v>
      </x:c>
      <x:c r="V53" s="27" t="str">
        <x:v>30〜60分</x:v>
      </x:c>
      <x:c r="W53" s="27" t="n">
        <x:v>1</x:v>
      </x:c>
      <x:c r="X53" s="27" t="n">
        <x:v>3</x:v>
      </x:c>
      <x:c r="Y53" s="27" t="str">
        <x:v>城南島海浜公園</x:v>
      </x:c>
      <x:c r="Z53" s="27" t="str">
        <x:v>潮風公園／晴海ふ頭公園</x:v>
      </x:c>
      <x:c r="AA53" s="22" t="str">
        <x:v>なし</x:v>
      </x:c>
      <x:c r="AB53" s="22" t="str">
        <x:v>-</x:v>
      </x:c>
      <x:c r="AC53" s="22" t="str"/>
      <x:c r="AD53" s="22" t="str">
        <x:v>専用・路外駐車を基本</x:v>
      </x:c>
      <x:c r="AE53" s="22" t="str"/>
    </x:row>
    <x:row r="54">
      <x:c r="A54" s="27" t="str">
        <x:v>D205</x:v>
      </x:c>
      <x:c r="B54" s="27" t="str">
        <x:v>三溪園</x:v>
      </x:c>
      <x:c r="C54" s="27" t="str">
        <x:v>横浜市・中区本牧</x:v>
      </x:c>
      <x:c r="D54" s="27" t="str">
        <x:v>日本庭園・古建築・Story</x:v>
      </x:c>
      <x:c r="E54" s="48" t="e">
        <x:f>HYPERLINK("https://www.google.com/maps/dir/?api=1&amp;destination=%E4%B8%89%E6%BA%AA%E5%9C%92&amp;travelmode=driving","現在地からナビ開始")</x:f>
      </x:c>
      <x:c r="F54" s="27" t="str">
        <x:v>池、谷戸、三重塔、移築古建築を巡り、横浜港の近代都市景観とは別の時間軸へ入れる文化系Ending。</x:v>
      </x:c>
      <x:c r="G54" s="27" t="str">
        <x:v>あり・通常最大約60台・有料</x:v>
      </x:c>
      <x:c r="H54" s="27" t="str">
        <x:v>9:00～17:00／最終入園・入庫16:30</x:v>
      </x:c>
      <x:c r="I54" s="27" t="n">
        <x:v>1</x:v>
      </x:c>
      <x:c r="J54" s="27" t="n">
        <x:v>2</x:v>
      </x:c>
      <x:c r="K54" s="27" t="str">
        <x:v>12月26～31日休園。桜・紅葉・夜間開園は満車。2026年は一部古建築の公開休止・修繕情報あり。</x:v>
      </x:c>
      <x:c r="L54" s="28" t="n">
        <x:v>46232</x:v>
      </x:c>
      <x:c r="M54" s="27" t="str">
        <x:v>一次確認済</x:v>
      </x:c>
      <x:c r="N54" s="27" t="str">
        <x:v>https://www.sankeien.or.jp/price-service/</x:v>
      </x:c>
      <x:c r="O54" s="27" t="str">
        <x:v>実業家・原三溪が京都や鎌倉などから歴史的建造物を移築して公開した庭園で、近代日本の美術家支援の舞台にもなった。</x:v>
      </x:c>
      <x:c r="P54" s="84" t="e">
        <x:f>HYPERLINK("https://ja.wikipedia.org/wiki/Special:Search?search=%E4%B8%89%E6%BA%AA%E5%9C%92","Wikipedia・関連項目")</x:f>
      </x:c>
      <x:c r="Q54" s="27" t="str">
        <x:v>新規追加。建築・庭園・実業史が一地点で重なる高密度Story。</x:v>
      </x:c>
      <x:c r="R54" s="27" t="str">
        <x:v>20〜25km</x:v>
      </x:c>
      <x:c r="S54" s="27" t="str">
        <x:v>概ね20〜25km</x:v>
      </x:c>
      <x:c r="T54" s="27" t="str">
        <x:v>通常40〜70分</x:v>
      </x:c>
      <x:c r="U54" s="27" t="str">
        <x:v>Story</x:v>
      </x:c>
      <x:c r="V54" s="27" t="str">
        <x:v>30〜90分</x:v>
      </x:c>
      <x:c r="W54" s="27" t="n">
        <x:v>1</x:v>
      </x:c>
      <x:c r="X54" s="27" t="n">
        <x:v>1</x:v>
      </x:c>
      <x:c r="Y54" s="27" t="str">
        <x:v>羽田空港 第3ターミナル展望デッキ</x:v>
      </x:c>
      <x:c r="Z54" s="27" t="str">
        <x:v>城南島海浜公園／潮風公園</x:v>
      </x:c>
      <x:c r="AA54" s="22" t="str">
        <x:v>なし</x:v>
      </x:c>
      <x:c r="AB54" s="22" t="str">
        <x:v>-</x:v>
      </x:c>
      <x:c r="AC54" s="22" t="str"/>
      <x:c r="AD54" s="22" t="str">
        <x:v>専用・路外駐車を基本</x:v>
      </x:c>
      <x:c r="AE54" s="22" t="str"/>
    </x:row>
    <x:row r="55">
      <x:c r="A55" s="27" t="str">
        <x:v>D207</x:v>
      </x:c>
      <x:c r="B55" s="27" t="str">
        <x:v>生田緑地・枡形山展望台</x:v>
      </x:c>
      <x:c r="C55" s="27" t="str">
        <x:v>川崎市・多摩区</x:v>
      </x:c>
      <x:c r="D55" s="27" t="str">
        <x:v>高台・展望・文化施設</x:v>
      </x:c>
      <x:c r="E55" s="48" t="e">
        <x:f>HYPERLINK("https://www.google.com/maps/dir/?api=1&amp;destination=%E7%94%9F%E7%94%B0%E7%B7%91%E5%9C%B0%E3%83%BB%E6%9E%A1%E5%BD%A2%E5%B1%B1%E5%B1%95%E6%9C%9B%E5%8F%B0&amp;travelmode=driving","現在地からナビ開始")</x:f>
      </x:c>
      <x:c r="F55" s="27" t="str">
        <x:v>枡形山の展望、民家園、岡本太郎美術館、プラネタリウムを組み合わせ、自然と文化の両方で目的地化できる。</x:v>
      </x:c>
      <x:c r="G55" s="27" t="str">
        <x:v>あり・東口約140台、西口約50台・有料</x:v>
      </x:c>
      <x:c r="H55" s="27" t="str">
        <x:v>駐車場入庫5:00～22:00／出庫は22:00以降も可</x:v>
      </x:c>
      <x:c r="I55" s="27" t="n">
        <x:v>4</x:v>
      </x:c>
      <x:c r="J55" s="27" t="n">
        <x:v>2</x:v>
      </x:c>
      <x:c r="K55" s="27" t="str">
        <x:v>展望台や園路は夜に暗い。施設営業時間は別。休日は東口駐車場が混雑。</x:v>
      </x:c>
      <x:c r="L55" s="28" t="n">
        <x:v>46232</x:v>
      </x:c>
      <x:c r="M55" s="27" t="str">
        <x:v>一次確認済</x:v>
      </x:c>
      <x:c r="N55" s="27" t="str">
        <x:v>https://www.ikutaryokuti.jp/access.html</x:v>
      </x:c>
      <x:c r="O55" s="27" t="str">
        <x:v>多摩丘陵の自然を残す川崎市最大級の緑地で、日本民家園や岡本太郎美術館など複数の文化施設が集まる。</x:v>
      </x:c>
      <x:c r="P55" s="84" t="e">
        <x:f>HYPERLINK("https://ja.wikipedia.org/wiki/Special:Search?search=%E7%94%9F%E7%94%B0%E7%B7%91%E5%9C%B0%E3%83%BB%E6%9E%A1%E5%BD%A2%E5%B1%B1%E5%B1%95%E6%9C%9B%E5%8F%B0","Wikipedia・関連項目")</x:f>
      </x:c>
      <x:c r="Q55" s="27" t="str">
        <x:v>新規追加。夜は駐車場と明るい園路中心、展望台は日没前後向け。</x:v>
      </x:c>
      <x:c r="R55" s="27" t="str">
        <x:v>20〜25km</x:v>
      </x:c>
      <x:c r="S55" s="27" t="str">
        <x:v>概ね20〜25km</x:v>
      </x:c>
      <x:c r="T55" s="27" t="str">
        <x:v>通常40〜70分</x:v>
      </x:c>
      <x:c r="U55" s="27" t="str">
        <x:v>平日夜・深夜</x:v>
      </x:c>
      <x:c r="V55" s="27" t="str">
        <x:v>30〜60分</x:v>
      </x:c>
      <x:c r="W55" s="27" t="n">
        <x:v>1</x:v>
      </x:c>
      <x:c r="X55" s="27" t="n">
        <x:v>1</x:v>
      </x:c>
      <x:c r="Y55" s="27" t="str">
        <x:v>羽田空港 第3ターミナル展望デッキ</x:v>
      </x:c>
      <x:c r="Z55" s="27" t="str">
        <x:v>城南島海浜公園／潮風公園</x:v>
      </x:c>
      <x:c r="AA55" s="22" t="str">
        <x:v>なし</x:v>
      </x:c>
      <x:c r="AB55" s="22" t="str">
        <x:v>-</x:v>
      </x:c>
      <x:c r="AC55" s="22" t="str"/>
      <x:c r="AD55" s="22" t="str">
        <x:v>専用・路外駐車を基本</x:v>
      </x:c>
      <x:c r="AE55" s="22" t="str"/>
    </x:row>
    <x:row r="56">
      <x:c r="A56" s="27" t="str">
        <x:v>D208</x:v>
      </x:c>
      <x:c r="B56" s="27" t="str">
        <x:v>県立東高根森林公園</x:v>
      </x:c>
      <x:c r="C56" s="27" t="str">
        <x:v>川崎市・宮前区</x:v>
      </x:c>
      <x:c r="D56" s="27" t="str">
        <x:v>森林・遺跡・シラカシ林</x:v>
      </x:c>
      <x:c r="E56" s="48" t="e">
        <x:f>HYPERLINK("https://www.google.com/maps/dir/?api=1&amp;destination=%E7%9C%8C%E7%AB%8B%E6%9D%B1%E9%AB%98%E6%A0%B9%E6%A3%AE%E6%9E%97%E5%85%AC%E5%9C%92&amp;travelmode=driving","現在地からナビ開始")</x:f>
      </x:c>
      <x:c r="F56" s="27" t="str">
        <x:v>古代遺跡の上に広がるシラカシ林と湿生植物園を歩き、住宅地の中で急に深い森へ入れる。</x:v>
      </x:c>
      <x:c r="G56" s="27" t="str">
        <x:v>あり・112台</x:v>
      </x:c>
      <x:c r="H56" s="27" t="str">
        <x:v>8:30～19:00</x:v>
      </x:c>
      <x:c r="I56" s="27" t="n">
        <x:v>2</x:v>
      </x:c>
      <x:c r="J56" s="27" t="n">
        <x:v>4</x:v>
      </x:c>
      <x:c r="K56" s="27" t="str">
        <x:v>19時を過ぎると翌朝まで出庫不可。土日祝の有料期間は季節で変わるため当日確認。</x:v>
      </x:c>
      <x:c r="L56" s="28" t="n">
        <x:v>46232</x:v>
      </x:c>
      <x:c r="M56" s="27" t="str">
        <x:v>一次確認済</x:v>
      </x:c>
      <x:c r="N56" s="27" t="str">
        <x:v>https://higashitakane.com/about</x:v>
      </x:c>
      <x:c r="O56" s="27" t="str">
        <x:v>園内には県指定史跡の東高根遺跡と、県指定天然記念物のシラカシ林が共存している。</x:v>
      </x:c>
      <x:c r="P56" s="84" t="e">
        <x:f>HYPERLINK("https://ja.wikipedia.org/wiki/Special:Search?search=%E7%9C%8C%E7%AB%8B%E6%9D%B1%E9%AB%98%E6%A0%B9%E6%A3%AE%E6%9E%97%E5%85%AC%E5%9C%92","Wikipedia・関連項目")</x:f>
      </x:c>
      <x:c r="Q56" s="27" t="str">
        <x:v>新規追加。歴史・植生・防災避難地の三層Storyを持つ。</x:v>
      </x:c>
      <x:c r="R56" s="27" t="str">
        <x:v>10〜20km</x:v>
      </x:c>
      <x:c r="S56" s="27" t="str">
        <x:v>概ね10〜20km</x:v>
      </x:c>
      <x:c r="T56" s="27" t="str">
        <x:v>通常25〜50分</x:v>
      </x:c>
      <x:c r="U56" s="27" t="str">
        <x:v>休日半日</x:v>
      </x:c>
      <x:c r="V56" s="27" t="str">
        <x:v>30〜90分</x:v>
      </x:c>
      <x:c r="W56" s="27" t="n">
        <x:v>1</x:v>
      </x:c>
      <x:c r="X56" s="27" t="n">
        <x:v>1</x:v>
      </x:c>
      <x:c r="Y56" s="27" t="str">
        <x:v>平和の森公園</x:v>
      </x:c>
      <x:c r="Z56" s="27" t="str">
        <x:v>大森ふるさとの浜辺公園／森ケ崎公園</x:v>
      </x:c>
      <x:c r="AA56" s="22" t="str">
        <x:v>なし</x:v>
      </x:c>
      <x:c r="AB56" s="22" t="str">
        <x:v>-</x:v>
      </x:c>
      <x:c r="AC56" s="22" t="str"/>
      <x:c r="AD56" s="22" t="str">
        <x:v>専用・路外駐車を基本</x:v>
      </x:c>
      <x:c r="AE56" s="22" t="str"/>
    </x:row>
    <x:row r="57">
      <x:c r="A57" s="27" t="str">
        <x:v>D221</x:v>
      </x:c>
      <x:c r="B57" s="27" t="str">
        <x:v>葛西海浜公園</x:v>
      </x:c>
      <x:c r="C57" s="27" t="str">
        <x:v>東京都江戸川区</x:v>
      </x:c>
      <x:c r="D57" s="27" t="str">
        <x:v>干潟・海浜・東京湾</x:v>
      </x:c>
      <x:c r="E57" s="48" t="e">
        <x:f>HYPERLINK("https://www.google.com/maps/dir/?api=1&amp;destination=%E8%91%9B%E8%A5%BF%E6%B5%B7%E6%B5%9C%E5%85%AC%E5%9C%92&amp;travelmode=driving","現在地からナビ開始")</x:f>
      </x:c>
      <x:c r="F57" s="27" t="str">
        <x:v>都心近くで干潟と東京湾の水平線を感じられ、臨海公園の人工景観から自然海浜へ抜けるEndingになる。</x:v>
      </x:c>
      <x:c r="G57" s="27" t="str">
        <x:v>葛西臨海公園駐車場を利用・有料</x:v>
      </x:c>
      <x:c r="H57" s="27" t="str">
        <x:v>駐車場24時間／西なぎさ利用は季節・潮位条件を確認</x:v>
      </x:c>
      <x:c r="I57" s="27" t="n">
        <x:v>4</x:v>
      </x:c>
      <x:c r="J57" s="27" t="n">
        <x:v>2</x:v>
      </x:c>
      <x:c r="K57" s="27" t="str">
        <x:v>大型連休は早朝から満車。入庫規制中の路上待機禁止。荒天・高波・潮位上昇時は海浜へ入らない。</x:v>
      </x:c>
      <x:c r="L57" s="28" t="n">
        <x:v>46232</x:v>
      </x:c>
      <x:c r="M57" s="27" t="str">
        <x:v>一次確認済</x:v>
      </x:c>
      <x:c r="N57" s="27" t="str">
        <x:v>https://www.tokyo-park.or.jp/park/kasaikaihin/index.html</x:v>
      </x:c>
      <x:c r="O57" s="27" t="str">
        <x:v>葛西沖の干潟を保全・再生した海浜公園で、西なぎさは東京23区内で海へ直接近づける数少ない公共海浜。</x:v>
      </x:c>
      <x:c r="P57" s="84" t="e">
        <x:f>HYPERLINK("https://ja.wikipedia.org/wiki/Special:Search?search=%E8%91%9B%E8%A5%BF%E6%B5%B7%E6%B5%9C%E5%85%AC%E5%9C%92","Wikipedia・関連項目")</x:f>
      </x:c>
      <x:c r="Q57" s="27" t="str">
        <x:v>新規追加。既存の葛西臨海公園とは『干潟・海へ降りる体験』で差別化。</x:v>
      </x:c>
      <x:c r="R57" s="27" t="str">
        <x:v>20〜25km</x:v>
      </x:c>
      <x:c r="S57" s="27" t="str">
        <x:v>概ね20〜25km</x:v>
      </x:c>
      <x:c r="T57" s="27" t="str">
        <x:v>通常40〜70分</x:v>
      </x:c>
      <x:c r="U57" s="27" t="str">
        <x:v>海・港</x:v>
      </x:c>
      <x:c r="V57" s="27" t="str">
        <x:v>30〜60分</x:v>
      </x:c>
      <x:c r="W57" s="27" t="n">
        <x:v>1</x:v>
      </x:c>
      <x:c r="X57" s="27" t="n">
        <x:v>3</x:v>
      </x:c>
      <x:c r="Y57" s="27" t="str">
        <x:v>城南島海浜公園</x:v>
      </x:c>
      <x:c r="Z57" s="27" t="str">
        <x:v>潮風公園／晴海ふ頭公園</x:v>
      </x:c>
      <x:c r="AA57" s="22" t="str">
        <x:v>なし</x:v>
      </x:c>
      <x:c r="AB57" s="22" t="str">
        <x:v>-</x:v>
      </x:c>
      <x:c r="AC57" s="22" t="str"/>
      <x:c r="AD57" s="22" t="str">
        <x:v>専用・路外駐車を基本</x:v>
      </x:c>
      <x:c r="AE57" s="22" t="str"/>
    </x:row>
    <x:row r="58">
      <x:c r="A58" s="27" t="str">
        <x:v>D222</x:v>
      </x:c>
      <x:c r="B58" s="27" t="str">
        <x:v>東品川海上公園</x:v>
      </x:c>
      <x:c r="C58" s="27" t="str">
        <x:v>東京都品川区</x:v>
      </x:c>
      <x:c r="D58" s="27" t="str">
        <x:v>運河・屋上庭園・Story</x:v>
      </x:c>
      <x:c r="E58" s="48" t="e">
        <x:f>HYPERLINK("https://www.google.com/maps/dir/?api=1&amp;destination=%E6%9D%B1%E5%93%81%E5%B7%9D%E6%B5%B7%E4%B8%8A%E5%85%AC%E5%9C%92&amp;travelmode=driving","現在地からナビ開始")</x:f>
      </x:c>
      <x:c r="F58" s="27" t="str">
        <x:v>目黒川が天王洲南運河へ注ぐ河口で、運河、橋、ポンプ場屋上庭園、ミッフィー花壇を短時間で巡れる。</x:v>
      </x:c>
      <x:c r="G58" s="27" t="str">
        <x:v>園内専用なし／隣接時間貸し19台・24時間</x:v>
      </x:c>
      <x:c r="H58" s="27" t="str">
        <x:v>公園常時利用可／工事・イベント範囲は当日確認</x:v>
      </x:c>
      <x:c r="I58" s="27" t="n">
        <x:v>4</x:v>
      </x:c>
      <x:c r="J58" s="27" t="n">
        <x:v>3</x:v>
      </x:c>
      <x:c r="K58" s="27" t="str">
        <x:v>専用駐車場はない。必ず合法な時間貸し駐車場を利用し、周辺道路での乗降・待機をしない。Park-PFI工事確認。</x:v>
      </x:c>
      <x:c r="L58" s="28" t="n">
        <x:v>46232</x:v>
      </x:c>
      <x:c r="M58" s="27" t="str">
        <x:v>条件付き採用</x:v>
      </x:c>
      <x:c r="N58" s="27" t="str">
        <x:v>https://shinagawa-kanko.or.jp/spot/higasishinagawakaijoukouen/</x:v>
      </x:c>
      <x:c r="O58" s="27" t="str">
        <x:v>天王洲の運河景観に、下水ポンプ場上部の屋上庭園を重ねた立体的な都市公園。ディック・ブルーナの意匠もある。</x:v>
      </x:c>
      <x:c r="P58" s="84" t="e">
        <x:f>HYPERLINK("https://ja.wikipedia.org/wiki/Special:Search?search=%E6%9D%B1%E5%93%81%E5%B7%9D%E6%B5%B7%E4%B8%8A%E5%85%AC%E5%9C%92","Wikipedia・関連項目")</x:f>
      </x:c>
      <x:c r="Q58" s="27" t="str">
        <x:v>新規追加。駐車場条件を明示した近距離・短時間Ending。</x:v>
      </x:c>
      <x:c r="R58" s="27" t="str">
        <x:v>0〜10km</x:v>
      </x:c>
      <x:c r="S58" s="27" t="str">
        <x:v>概ね0〜10km</x:v>
      </x:c>
      <x:c r="T58" s="27" t="str">
        <x:v>通常10〜30分</x:v>
      </x:c>
      <x:c r="U58" s="27" t="str">
        <x:v>Story</x:v>
      </x:c>
      <x:c r="V58" s="27" t="str">
        <x:v>30〜90分</x:v>
      </x:c>
      <x:c r="W58" s="27" t="n">
        <x:v>1</x:v>
      </x:c>
      <x:c r="X58" s="27" t="n">
        <x:v>1</x:v>
      </x:c>
      <x:c r="Y58" s="27" t="str">
        <x:v>羽田空港 第3ターミナル展望デッキ</x:v>
      </x:c>
      <x:c r="Z58" s="27" t="str">
        <x:v>城南島海浜公園／潮風公園</x:v>
      </x:c>
      <x:c r="AA58" s="22" t="str">
        <x:v>なし</x:v>
      </x:c>
      <x:c r="AB58" s="22" t="str">
        <x:v>-</x:v>
      </x:c>
      <x:c r="AC58" s="22" t="str"/>
      <x:c r="AD58" s="22" t="str">
        <x:v>専用・路外駐車を基本</x:v>
      </x:c>
      <x:c r="AE58" s="22" t="str"/>
    </x:row>
    <x:row r="59">
      <x:c r="A59" s="27" t="str">
        <x:v>D231</x:v>
      </x:c>
      <x:c r="B59" s="27" t="str">
        <x:v>野川公園</x:v>
      </x:c>
      <x:c r="C59" s="27" t="str">
        <x:v>東京都調布市・小金井市・三鷹市</x:v>
      </x:c>
      <x:c r="D59" s="27" t="str">
        <x:v>湧水・河川・草地</x:v>
      </x:c>
      <x:c r="E59" s="48" t="e">
        <x:f>HYPERLINK("https://www.google.com/maps/dir/?api=1&amp;destination=%E9%87%8E%E5%B7%9D%E5%85%AC%E5%9C%92&amp;travelmode=driving","現在地からナビ開始")</x:f>
      </x:c>
      <x:c r="F59" s="27" t="str">
        <x:v>国分寺崖線の湧水と野川、広い草地がつながり、都市西部で水と地形を感じる静かなEnding。</x:v>
      </x:c>
      <x:c r="G59" s="27" t="str">
        <x:v>あり・有料</x:v>
      </x:c>
      <x:c r="H59" s="27" t="str">
        <x:v>入庫7:00～20:00／出庫24時間</x:v>
      </x:c>
      <x:c r="I59" s="27" t="n">
        <x:v>3</x:v>
      </x:c>
      <x:c r="J59" s="27" t="n">
        <x:v>2</x:v>
      </x:c>
      <x:c r="K59" s="27" t="str">
        <x:v>20時以降入庫不可。自然観察園等の施設時間は別。休日は満車になりやすい。</x:v>
      </x:c>
      <x:c r="L59" s="28" t="n">
        <x:v>46232</x:v>
      </x:c>
      <x:c r="M59" s="27" t="str">
        <x:v>一次確認済</x:v>
      </x:c>
      <x:c r="N59" s="27" t="str">
        <x:v>https://www.tokyo-park.or.jp/park/nogawa/index.html</x:v>
      </x:c>
      <x:c r="O59" s="27" t="str">
        <x:v>国際基督教大学のゴルフ場跡を公園化し、国分寺崖線の湧水と野川の自然を保全している。</x:v>
      </x:c>
      <x:c r="P59" s="84" t="e">
        <x:f>HYPERLINK("https://ja.wikipedia.org/wiki/Special:Search?search=%E9%87%8E%E5%B7%9D%E5%85%AC%E5%9C%92","Wikipedia・関連項目")</x:f>
      </x:c>
      <x:c r="Q59" s="27" t="str">
        <x:v>新規追加。武蔵野公園とは湧水・自然観察の密度で差別化。</x:v>
      </x:c>
      <x:c r="R59" s="27" t="str">
        <x:v>20〜25km</x:v>
      </x:c>
      <x:c r="S59" s="27" t="str">
        <x:v>概ね20〜25km</x:v>
      </x:c>
      <x:c r="T59" s="27" t="str">
        <x:v>通常40〜70分</x:v>
      </x:c>
      <x:c r="U59" s="27" t="str">
        <x:v>水辺</x:v>
      </x:c>
      <x:c r="V59" s="27" t="str">
        <x:v>30〜90分</x:v>
      </x:c>
      <x:c r="W59" s="27" t="n">
        <x:v>1</x:v>
      </x:c>
      <x:c r="X59" s="27" t="n">
        <x:v>1</x:v>
      </x:c>
      <x:c r="Y59" s="27" t="str">
        <x:v>多摩川浅間神社</x:v>
      </x:c>
      <x:c r="Z59" s="27" t="str">
        <x:v>多摩川六郷橋緑地／多摩川ガス橋緑地</x:v>
      </x:c>
      <x:c r="AA59" s="22" t="str">
        <x:v>なし</x:v>
      </x:c>
      <x:c r="AB59" s="22" t="str">
        <x:v>-</x:v>
      </x:c>
      <x:c r="AC59" s="22" t="str"/>
      <x:c r="AD59" s="22" t="str">
        <x:v>専用・路外駐車を基本</x:v>
      </x:c>
      <x:c r="AE59" s="22" t="str"/>
    </x:row>
    <x:row r="60">
      <x:c r="A60" s="27" t="str">
        <x:v>D241</x:v>
      </x:c>
      <x:c r="B60" s="27" t="str">
        <x:v>大森ふるさとの浜辺公園</x:v>
      </x:c>
      <x:c r="C60" s="27" t="str">
        <x:v>大田区・大森東</x:v>
      </x:c>
      <x:c r="D60" s="27" t="str">
        <x:v>人工海浜・干潟・海苔Story</x:v>
      </x:c>
      <x:c r="E60" s="48" t="e">
        <x:f>HYPERLINK("https://www.google.com/maps/dir/?api=1&amp;destination=%E5%A4%A7%E6%A3%AE%E3%81%B5%E3%82%8B%E3%81%95%E3%81%A8%E3%81%AE%E6%B5%9C%E8%BE%BA%E5%85%AC%E5%9C%92&amp;travelmode=driving","現在地からナビ開始")</x:f>
      </x:c>
      <x:c r="F60" s="27" t="str">
        <x:v>蒲田から短時間で、砂浜・干潟・芝生・運河を味わえる。遠出せず『海へ来た感覚』を得られる近距離の主力Ending。</x:v>
      </x:c>
      <x:c r="G60" s="27" t="str">
        <x:v>共用駐車場・平日121台／土日祝142台・30分100円・24時間</x:v>
      </x:c>
      <x:c r="H60" s="27" t="str">
        <x:v>広場エリア終日／浜辺エリア5:30～21:00</x:v>
      </x:c>
      <x:c r="I60" s="27" t="n">
        <x:v>4</x:v>
      </x:c>
      <x:c r="J60" s="27" t="n">
        <x:v>2</x:v>
      </x:c>
      <x:c r="K60" s="27" t="str">
        <x:v>浜辺は21時閉門。休日は駐車待ちが発生。遊泳・釣り・火気は禁止。</x:v>
      </x:c>
      <x:c r="L60" s="28" t="n">
        <x:v>46232</x:v>
      </x:c>
      <x:c r="M60" s="27" t="str">
        <x:v>一次確認済</x:v>
      </x:c>
      <x:c r="N60" s="27" t="str">
        <x:v>https://www.city.ota.tokyo.jp/shisetsu/park/oomorifurusatonohamabe.html</x:v>
      </x:c>
      <x:c r="O60" s="27" t="str">
        <x:v>かつて海苔養殖で栄えた大森海岸の記憶を、人工海浜と隣接する海苔のふるさと館が伝えている。</x:v>
      </x:c>
      <x:c r="P60" s="84" t="e">
        <x:f>HYPERLINK("https://ja.wikipedia.org/wiki/Special:Search?search=%E5%A4%A7%E6%A3%AE%E3%81%B5%E3%82%8B%E3%81%95%E3%81%A8%E3%81%AE%E6%B5%9C%E8%BE%BA%E5%85%AC%E5%9C%92","Wikipedia・関連項目")</x:f>
      </x:c>
      <x:c r="Q60" s="27" t="str">
        <x:v>2026-07-29公式再確認：駐車台数、24時間駐車、浜辺21時閉門を更新。</x:v>
      </x:c>
      <x:c r="R60" s="27" t="str">
        <x:v>0〜10km</x:v>
      </x:c>
      <x:c r="S60" s="27" t="str">
        <x:v>蒲田から約4〜7km</x:v>
      </x:c>
      <x:c r="T60" s="27" t="str">
        <x:v>通常15〜25分</x:v>
      </x:c>
      <x:c r="U60" s="27" t="str">
        <x:v>平日夜・休日短時間</x:v>
      </x:c>
      <x:c r="V60" s="27" t="str">
        <x:v>30〜75分</x:v>
      </x:c>
      <x:c r="W60" s="27" t="n">
        <x:v>1</x:v>
      </x:c>
      <x:c r="X60" s="27" t="n">
        <x:v>2</x:v>
      </x:c>
      <x:c r="Y60" s="27" t="str">
        <x:v>平和の森公園</x:v>
      </x:c>
      <x:c r="Z60" s="27" t="str">
        <x:v>平和の森公園／城南島海浜公園</x:v>
      </x:c>
      <x:c r="AA60" s="22" t="str">
        <x:v>なし</x:v>
      </x:c>
      <x:c r="AB60" s="22" t="str">
        <x:v>-</x:v>
      </x:c>
      <x:c r="AC60" s="22" t="str"/>
      <x:c r="AD60" s="22" t="str">
        <x:v>専用・路外駐車を基本</x:v>
      </x:c>
      <x:c r="AE60" s="22" t="str"/>
    </x:row>
    <x:row r="61">
      <x:c r="A61" s="27" t="str">
        <x:v>D242</x:v>
      </x:c>
      <x:c r="B61" s="27" t="str">
        <x:v>平和の森公園</x:v>
      </x:c>
      <x:c r="C61" s="27" t="str">
        <x:v>大田区・平和の森公園</x:v>
      </x:c>
      <x:c r="D61" s="27" t="str">
        <x:v>大規模公園・池・平和Story</x:v>
      </x:c>
      <x:c r="E61" s="48" t="e">
        <x:f>HYPERLINK("https://www.google.com/maps/dir/?api=1&amp;destination=%E5%B9%B3%E5%92%8C%E3%81%AE%E6%A3%AE%E5%85%AC%E5%9C%92&amp;travelmode=driving","現在地からナビ開始")</x:f>
      </x:c>
      <x:c r="F61" s="27" t="str">
        <x:v>区内最大級の公園で、ひょうたん池、梅、広場、アスレチックを近距離で選べる。浜辺公園とのセット性能が高い。</x:v>
      </x:c>
      <x:c r="G61" s="27" t="str">
        <x:v>あり・186台・30分100円</x:v>
      </x:c>
      <x:c r="H61" s="27" t="str">
        <x:v>公園常時利用可／施設ごとに時間制</x:v>
      </x:c>
      <x:c r="I61" s="27" t="n">
        <x:v>4</x:v>
      </x:c>
      <x:c r="J61" s="27" t="n">
        <x:v>2</x:v>
      </x:c>
      <x:c r="K61" s="27" t="str">
        <x:v>施設利用時間は個別。休日は大森ふるさとの浜辺公園と共用で混雑する。</x:v>
      </x:c>
      <x:c r="L61" s="28" t="n">
        <x:v>46232</x:v>
      </x:c>
      <x:c r="M61" s="27" t="str">
        <x:v>一次確認済</x:v>
      </x:c>
      <x:c r="N61" s="27" t="str">
        <x:v>https://www.city.ota.tokyo.jp/shisetsu/park/heiwanomori.html</x:v>
      </x:c>
      <x:c r="O61" s="27" t="str">
        <x:v>名称には大田区の恒久平和への願いが込められ、平和都市宣言を象徴する像が置かれている。</x:v>
      </x:c>
      <x:c r="P61" s="84" t="e">
        <x:f>HYPERLINK("https://ja.wikipedia.org/wiki/Special:Search?search=%E5%B9%B3%E5%92%8C%E3%81%AE%E6%A3%AE%E5%85%AC%E5%9C%92","Wikipedia・関連項目")</x:f>
      </x:c>
      <x:c r="Q61" s="27" t="str">
        <x:v>近距離コア新規追加</x:v>
      </x:c>
      <x:c r="R61" s="27" t="str">
        <x:v>0〜10km</x:v>
      </x:c>
      <x:c r="S61" s="27" t="str">
        <x:v>蒲田から約4〜7km</x:v>
      </x:c>
      <x:c r="T61" s="27" t="str">
        <x:v>通常15〜25分</x:v>
      </x:c>
      <x:c r="U61" s="27" t="str">
        <x:v>平日夜・休日半日</x:v>
      </x:c>
      <x:c r="V61" s="27" t="str">
        <x:v>30〜90分</x:v>
      </x:c>
      <x:c r="W61" s="27" t="n">
        <x:v>1</x:v>
      </x:c>
      <x:c r="X61" s="27" t="n">
        <x:v>1</x:v>
      </x:c>
      <x:c r="Y61" s="27" t="str">
        <x:v>大森ふるさとの浜辺公園</x:v>
      </x:c>
      <x:c r="Z61" s="27" t="str">
        <x:v>大森ふるさとの浜辺公園／都堀公園</x:v>
      </x:c>
      <x:c r="AA61" s="22" t="str">
        <x:v>なし</x:v>
      </x:c>
      <x:c r="AB61" s="22" t="str">
        <x:v>-</x:v>
      </x:c>
      <x:c r="AC61" s="22" t="str"/>
      <x:c r="AD61" s="22" t="str">
        <x:v>専用・路外駐車を基本</x:v>
      </x:c>
      <x:c r="AE61" s="22" t="str"/>
    </x:row>
    <x:row r="62">
      <x:c r="A62" s="27" t="str">
        <x:v>D243</x:v>
      </x:c>
      <x:c r="B62" s="27" t="str">
        <x:v>森ケ崎公園</x:v>
      </x:c>
      <x:c r="C62" s="27" t="str">
        <x:v>大田区・大森南</x:v>
      </x:c>
      <x:c r="D62" s="27" t="str">
        <x:v>屋上公園・飛行機・富士山</x:v>
      </x:c>
      <x:c r="E62" s="48" t="e">
        <x:f>HYPERLINK("https://www.google.com/maps/dir/?api=1&amp;destination=%E6%A3%AE%E3%82%B1%E5%B4%8E%E5%85%AC%E5%9C%92&amp;travelmode=driving","現在地からナビ開始")</x:f>
      </x:c>
      <x:c r="F62" s="27" t="str">
        <x:v>水再生センター屋上という特殊な立地から、羽田空港と富士山方向を望める。近いのに地上から切り離された感覚がある。</x:v>
      </x:c>
      <x:c r="G62" s="27" t="str">
        <x:v>あり・47台・30分100円</x:v>
      </x:c>
      <x:c r="H62" s="27" t="str">
        <x:v>4～11月・2～3月 6:30～21:30／12～1月 7:30～20:30</x:v>
      </x:c>
      <x:c r="I62" s="27" t="n">
        <x:v>4</x:v>
      </x:c>
      <x:c r="J62" s="27" t="n">
        <x:v>4</x:v>
      </x:c>
      <x:c r="K62" s="27" t="str">
        <x:v>利用時間外は入出庫不可。土日祝は入場待ちが発生しやすく、急ぐ場合は近隣民間駐車場へ切替。</x:v>
      </x:c>
      <x:c r="L62" s="28" t="n">
        <x:v>46232</x:v>
      </x:c>
      <x:c r="M62" s="27" t="str">
        <x:v>一次確認済</x:v>
      </x:c>
      <x:c r="N62" s="27" t="str">
        <x:v>https://www.city.ota.tokyo.jp/shisetsu/park/morigasaki.html</x:v>
      </x:c>
      <x:c r="O62" s="27" t="str">
        <x:v>森ケ崎水再生センターの屋上を公園として再利用した都市インフラ上の緑地である。</x:v>
      </x:c>
      <x:c r="P62" s="84" t="e">
        <x:f>HYPERLINK("https://ja.wikipedia.org/wiki/Special:Search?search=%E6%A3%AE%E3%82%B1%E5%B4%8E%E5%85%AC%E5%9C%92","Wikipedia・関連項目")</x:f>
      </x:c>
      <x:c r="Q62" s="27" t="str">
        <x:v>2026-07-29公式再確認：2026-04-01以降の延長時間と47台駐車場を反映。</x:v>
      </x:c>
      <x:c r="R62" s="27" t="str">
        <x:v>0〜10km</x:v>
      </x:c>
      <x:c r="S62" s="27" t="str">
        <x:v>蒲田から約5〜8km</x:v>
      </x:c>
      <x:c r="T62" s="27" t="str">
        <x:v>通常15〜30分</x:v>
      </x:c>
      <x:c r="U62" s="27" t="str">
        <x:v>夕景・飛行機・平日夜</x:v>
      </x:c>
      <x:c r="V62" s="27" t="str">
        <x:v>30〜60分</x:v>
      </x:c>
      <x:c r="W62" s="27" t="n">
        <x:v>1</x:v>
      </x:c>
      <x:c r="X62" s="27" t="n">
        <x:v>2</x:v>
      </x:c>
      <x:c r="Y62" s="27" t="str">
        <x:v>HANEDA INNOVATION CITY 足湯スカイデッキ</x:v>
      </x:c>
      <x:c r="Z62" s="27" t="str">
        <x:v>ソラムナード羽田緑地／城南島海浜公園</x:v>
      </x:c>
      <x:c r="AA62" s="22" t="str">
        <x:v>なし</x:v>
      </x:c>
      <x:c r="AB62" s="22" t="str">
        <x:v>-</x:v>
      </x:c>
      <x:c r="AC62" s="22" t="str"/>
      <x:c r="AD62" s="22" t="str">
        <x:v>専用・路外駐車を基本</x:v>
      </x:c>
      <x:c r="AE62" s="22" t="str"/>
    </x:row>
    <x:row r="63">
      <x:c r="A63" s="27" t="str">
        <x:v>D244</x:v>
      </x:c>
      <x:c r="B63" s="27" t="str">
        <x:v>ソラムナード羽田緑地</x:v>
      </x:c>
      <x:c r="C63" s="27" t="str">
        <x:v>大田区・羽田空港</x:v>
      </x:c>
      <x:c r="D63" s="27" t="str">
        <x:v>飛行機・多摩川0km・工場夜景</x:v>
      </x:c>
      <x:c r="E63" s="48" t="e">
        <x:f>HYPERLINK("https://www.google.com/maps/dir/?api=1&amp;destination=%E3%82%BD%E3%83%A9%E3%83%A0%E3%83%8A%E3%83%BC%E3%83%89%E7%BE%BD%E7%94%B0%E7%B7%91%E5%9C%B0&amp;travelmode=driving","現在地からナビ開始")</x:f>
      </x:c>
      <x:c r="F63" s="27" t="str">
        <x:v>多摩川河口、離着陸機、対岸の川崎工場夜景、日の出と夕日を一本の遊歩道で切り替えられる。</x:v>
      </x:c>
      <x:c r="G63" s="27" t="str">
        <x:v>専用駐車場なし／HIC P1等の合法駐車場から徒歩</x:v>
      </x:c>
      <x:c r="H63" s="27" t="str">
        <x:v>緑地常時利用を基本／照明・工事情報は当日確認</x:v>
      </x:c>
      <x:c r="I63" s="27" t="n">
        <x:v>5</x:v>
      </x:c>
      <x:c r="J63" s="27" t="n">
        <x:v>5</x:v>
      </x:c>
      <x:c r="K63" s="27" t="str">
        <x:v>路上駐車禁止。HICなど合法駐車場から徒歩。強風・高潮・増水時は利用を避ける。</x:v>
      </x:c>
      <x:c r="L63" s="28" t="n">
        <x:v>46232</x:v>
      </x:c>
      <x:c r="M63" s="27" t="str">
        <x:v>一次確認済</x:v>
      </x:c>
      <x:c r="N63" s="27" t="str">
        <x:v>https://www.city.ota.tokyo.jp/seikatsu/sumaimachinami/haneda_airport/hgw/waterside/soramunadohanedaryokuti.html</x:v>
      </x:c>
      <x:c r="O63" s="27" t="str">
        <x:v>全長約2km。多摩川0km地点標、干潟、約14,600株のスカシユリなど、空港と河口環境が同居する。</x:v>
      </x:c>
      <x:c r="P63" s="84" t="e">
        <x:f>HYPERLINK("https://ja.wikipedia.org/wiki/Special:Search?search=%E3%82%BD%E3%83%A9%E3%83%A0%E3%83%8A%E3%83%BC%E3%83%89%E7%BE%BD%E7%94%B0%E7%B7%91%E5%9C%B0","Wikipedia・関連項目")</x:f>
      </x:c>
      <x:c r="Q63" s="27" t="str">
        <x:v>近距離コア新規追加</x:v>
      </x:c>
      <x:c r="R63" s="27" t="str">
        <x:v>0〜10km</x:v>
      </x:c>
      <x:c r="S63" s="27" t="str">
        <x:v>蒲田から約7〜10km</x:v>
      </x:c>
      <x:c r="T63" s="27" t="str">
        <x:v>通常20〜35分</x:v>
      </x:c>
      <x:c r="U63" s="27" t="str">
        <x:v>飛行機・夕景・工場夜景</x:v>
      </x:c>
      <x:c r="V63" s="27" t="str">
        <x:v>30〜75分</x:v>
      </x:c>
      <x:c r="W63" s="27" t="n">
        <x:v>1</x:v>
      </x:c>
      <x:c r="X63" s="27" t="n">
        <x:v>2</x:v>
      </x:c>
      <x:c r="Y63" s="27" t="str">
        <x:v>HANEDA INNOVATION CITY 足湯スカイデッキ</x:v>
      </x:c>
      <x:c r="Z63" s="27" t="str">
        <x:v>羽田空港 第3ターミナル展望デッキ／殿町緑地</x:v>
      </x:c>
      <x:c r="AA63" s="22" t="str">
        <x:v>なし</x:v>
      </x:c>
      <x:c r="AB63" s="22" t="str">
        <x:v>-</x:v>
      </x:c>
      <x:c r="AC63" s="22" t="str"/>
      <x:c r="AD63" s="22" t="str">
        <x:v>専用・路外駐車を基本</x:v>
      </x:c>
      <x:c r="AE63" s="22" t="str"/>
    </x:row>
    <x:row r="64">
      <x:c r="A64" s="27" t="str">
        <x:v>D245</x:v>
      </x:c>
      <x:c r="B64" s="27" t="str">
        <x:v>HANEDA INNOVATION CITY 足湯スカイデッキ</x:v>
      </x:c>
      <x:c r="C64" s="27" t="str">
        <x:v>大田区・天空橋</x:v>
      </x:c>
      <x:c r="D64" s="27" t="str">
        <x:v>足湯・飛行機・夜景</x:v>
      </x:c>
      <x:c r="E64" s="48" t="e">
        <x:f>HYPERLINK("https://www.google.com/maps/dir/?api=1&amp;destination=HANEDA%20INNOVATION%20CITY%20%E8%B6%B3%E6%B9%AF%E3%82%B9%E3%82%AB%E3%82%A4%E3%83%87%E3%83%83%E3%82%AD&amp;travelmode=driving","現在地からナビ開始")</x:f>
      </x:c>
      <x:c r="F64" s="27" t="str">
        <x:v>無料の足湯に浸かりながら飛行機を眺められ、短時間でも『出かけた満足感』が非常に高い。</x:v>
      </x:c>
      <x:c r="G64" s="27" t="str">
        <x:v>HIC P1 190台・24時間／P2 18台・7:00～23:00</x:v>
      </x:c>
      <x:c r="H64" s="27" t="str">
        <x:v>足湯5:30～23:30</x:v>
      </x:c>
      <x:c r="I64" s="27" t="n">
        <x:v>5</x:v>
      </x:c>
      <x:c r="J64" s="27" t="n">
        <x:v>3</x:v>
      </x:c>
      <x:c r="K64" s="27" t="str">
        <x:v>貸切利用時は入場不可。食事は禁止。深夜帯は静粛にし、P2は営業時間外出庫不可。</x:v>
      </x:c>
      <x:c r="L64" s="28" t="n">
        <x:v>46232</x:v>
      </x:c>
      <x:c r="M64" s="27" t="str">
        <x:v>一次確認済</x:v>
      </x:c>
      <x:c r="N64" s="27" t="str">
        <x:v>https://haneda-innovation-city.com/facility/page/2/</x:v>
      </x:c>
      <x:c r="O64" s="27" t="str">
        <x:v>羽田空港跡地に整備されたイノベーション拠点の屋上施設で、足湯と航空機撮影を組み合わせた珍しい公共的空間。</x:v>
      </x:c>
      <x:c r="P64" s="84" t="e">
        <x:f>HYPERLINK("https://ja.wikipedia.org/wiki/Special:Search?search=HANEDA%20INNOVATION%20CITY%20%E8%B6%B3%E6%B9%AF%E3%82%B9%E3%82%AB%E3%82%A4%E3%83%87%E3%83%83%E3%82%AD","Wikipedia・関連項目")</x:f>
      </x:c>
      <x:c r="Q64" s="27" t="str">
        <x:v>近距離コア新規追加</x:v>
      </x:c>
      <x:c r="R64" s="27" t="str">
        <x:v>0〜10km</x:v>
      </x:c>
      <x:c r="S64" s="27" t="str">
        <x:v>蒲田から約6〜9km</x:v>
      </x:c>
      <x:c r="T64" s="27" t="str">
        <x:v>通常15〜30分</x:v>
      </x:c>
      <x:c r="U64" s="27" t="str">
        <x:v>平日夜・雨上がり・飛行機</x:v>
      </x:c>
      <x:c r="V64" s="27" t="str">
        <x:v>20〜60分</x:v>
      </x:c>
      <x:c r="W64" s="27" t="n">
        <x:v>3</x:v>
      </x:c>
      <x:c r="X64" s="27" t="n">
        <x:v>3</x:v>
      </x:c>
      <x:c r="Y64" s="27" t="str">
        <x:v>羽田空港 第3ターミナル展望デッキ</x:v>
      </x:c>
      <x:c r="Z64" s="27" t="str">
        <x:v>ソラムナード羽田緑地／森ケ崎公園</x:v>
      </x:c>
      <x:c r="AA64" s="22" t="str">
        <x:v>なし</x:v>
      </x:c>
      <x:c r="AB64" s="22" t="str">
        <x:v>-</x:v>
      </x:c>
      <x:c r="AC64" s="22" t="str"/>
      <x:c r="AD64" s="22" t="str">
        <x:v>専用・路外駐車を基本</x:v>
      </x:c>
      <x:c r="AE64" s="22" t="str"/>
    </x:row>
    <x:row r="65">
      <x:c r="A65" s="27" t="str">
        <x:v>D246</x:v>
      </x:c>
      <x:c r="B65" s="27" t="str">
        <x:v>羽田空港 第1ターミナル展望デッキ</x:v>
      </x:c>
      <x:c r="C65" s="27" t="str">
        <x:v>大田区・羽田空港</x:v>
      </x:c>
      <x:c r="D65" s="27" t="str">
        <x:v>飛行機・国内線・空港</x:v>
      </x:c>
      <x:c r="E65" s="48" t="e">
        <x:f>HYPERLINK("https://www.google.com/maps/dir/?api=1&amp;destination=%E7%BE%BD%E7%94%B0%E7%A9%BA%E6%B8%AF%20%E7%AC%AC1%E3%82%BF%E3%83%BC%E3%83%9F%E3%83%8A%E3%83%AB%E5%B1%95%E6%9C%9B%E3%83%87%E3%83%83%E3%82%AD&amp;travelmode=driving","現在地からナビ開始")</x:f>
      </x:c>
      <x:c r="F65" s="27" t="str">
        <x:v>JAL系の国内線機材や滑走路運用を見ながら、空港飲食と組み合わせられる雨天対応の近距離Ending。</x:v>
      </x:c>
      <x:c r="G65" s="27" t="str">
        <x:v>P1 2,351台／P2 2,315台・料金は時期別</x:v>
      </x:c>
      <x:c r="H65" s="27" t="str">
        <x:v>展望デッキ6:30～22:00</x:v>
      </x:c>
      <x:c r="I65" s="27" t="n">
        <x:v>5</x:v>
      </x:c>
      <x:c r="J65" s="27" t="n">
        <x:v>2</x:v>
      </x:c>
      <x:c r="K65" s="27" t="str">
        <x:v>悪天候・保安上の閉鎖あり。多客期5:30～20:00は駐車場が数時間待ちになる場合がある。</x:v>
      </x:c>
      <x:c r="L65" s="28" t="n">
        <x:v>46232</x:v>
      </x:c>
      <x:c r="M65" s="27" t="str">
        <x:v>一次確認済</x:v>
      </x:c>
      <x:c r="N65" s="27" t="str">
        <x:v>https://tokyo-haneda.com/service/facilities/observation_deck.html</x:v>
      </x:c>
      <x:c r="O65" s="27" t="str">
        <x:v>1955年開業の旧国内線ターミナルを起源に持ち、現在も羽田国内線の主要拠点の一つ。</x:v>
      </x:c>
      <x:c r="P65" s="84" t="e">
        <x:f>HYPERLINK("https://ja.wikipedia.org/wiki/Special:Search?search=%E7%BE%BD%E7%94%B0%E7%A9%BA%E6%B8%AF%20%E7%AC%AC1%E3%82%BF%E3%83%BC%E3%83%9F%E3%83%8A%E3%83%AB%E5%B1%95%E6%9C%9B%E3%83%87%E3%83%83%E3%82%AD","Wikipedia・関連項目")</x:f>
      </x:c>
      <x:c r="Q65" s="27" t="str">
        <x:v>近距離コア新規追加</x:v>
      </x:c>
      <x:c r="R65" s="27" t="str">
        <x:v>0〜10km</x:v>
      </x:c>
      <x:c r="S65" s="27" t="str">
        <x:v>蒲田から約9〜13km</x:v>
      </x:c>
      <x:c r="T65" s="27" t="str">
        <x:v>通常20〜40分</x:v>
      </x:c>
      <x:c r="U65" s="27" t="str">
        <x:v>飛行機・雨天・食事</x:v>
      </x:c>
      <x:c r="V65" s="27" t="str">
        <x:v>30〜90分</x:v>
      </x:c>
      <x:c r="W65" s="27" t="n">
        <x:v>4</x:v>
      </x:c>
      <x:c r="X65" s="27" t="n">
        <x:v>2</x:v>
      </x:c>
      <x:c r="Y65" s="27" t="str">
        <x:v>羽田空港 第2ターミナル展望デッキ／FLIGHT DECK TOKYO</x:v>
      </x:c>
      <x:c r="Z65" s="27" t="str">
        <x:v>羽田空港 第3ターミナル展望デッキ／城南島海浜公園</x:v>
      </x:c>
      <x:c r="AA65" s="22" t="str">
        <x:v>なし</x:v>
      </x:c>
      <x:c r="AB65" s="22" t="str">
        <x:v>-</x:v>
      </x:c>
      <x:c r="AC65" s="22" t="str"/>
      <x:c r="AD65" s="22" t="str">
        <x:v>専用・路外駐車を基本</x:v>
      </x:c>
      <x:c r="AE65" s="22" t="str"/>
    </x:row>
    <x:row r="66">
      <x:c r="A66" s="27" t="str">
        <x:v>D247</x:v>
      </x:c>
      <x:c r="B66" s="27" t="str">
        <x:v>羽田空港 第2ターミナル展望デッキ／FLIGHT DECK TOKYO</x:v>
      </x:c>
      <x:c r="C66" s="27" t="str">
        <x:v>大田区・羽田空港</x:v>
      </x:c>
      <x:c r="D66" s="27" t="str">
        <x:v>飛行機・屋内展望・雨天</x:v>
      </x:c>
      <x:c r="E66" s="48" t="e">
        <x:f>HYPERLINK("https://www.google.com/maps/dir/?api=1&amp;destination=%E7%BE%BD%E7%94%B0%E7%A9%BA%E6%B8%AF%20%E7%AC%AC2%E3%82%BF%E3%83%BC%E3%83%9F%E3%83%8A%E3%83%AB%E5%B1%95%E6%9C%9B%E3%83%87%E3%83%83%E3%82%AD%EF%BC%8FFLIGHT%20DECK%20TOKYO&amp;travelmode=driving","現在地からナビ開始")</x:f>
      </x:c>
      <x:c r="F66" s="27" t="str">
        <x:v>屋外デッキと屋内展望フロアを使い分けられ、雨天や強風でも航空機を目的地化しやすい。</x:v>
      </x:c>
      <x:c r="G66" s="27" t="str">
        <x:v>P3 2,449台／P4 3,087台・有料</x:v>
      </x:c>
      <x:c r="H66" s="27" t="str">
        <x:v>屋外展望デッキ6:30～22:00／屋内FLIGHT DECK 5:00～23:00</x:v>
      </x:c>
      <x:c r="I66" s="27" t="n">
        <x:v>5</x:v>
      </x:c>
      <x:c r="J66" s="27" t="n">
        <x:v>2</x:v>
      </x:c>
      <x:c r="K66" s="27" t="str">
        <x:v>悪天候時は屋外閉鎖。多客期は駐車場混雑。雨天ルートでは屋内FLIGHT DECKを優先。</x:v>
      </x:c>
      <x:c r="L66" s="28" t="n">
        <x:v>46232</x:v>
      </x:c>
      <x:c r="M66" s="27" t="str">
        <x:v>一次確認済</x:v>
      </x:c>
      <x:c r="N66" s="27" t="str">
        <x:v>https://tokyo-haneda.com/service/facilities/observation_deck.html</x:v>
      </x:c>
      <x:c r="O66" s="27" t="str">
        <x:v>第2ターミナルはANA系国内線の拠点として開業し、現在は国際線機能も備える。</x:v>
      </x:c>
      <x:c r="P66" s="84" t="e">
        <x:f>HYPERLINK("https://ja.wikipedia.org/wiki/Special:Search?search=%E7%BE%BD%E7%94%B0%E7%A9%BA%E6%B8%AF%20%E7%AC%AC2%E3%82%BF%E3%83%BC%E3%83%9F%E3%83%8A%E3%83%AB%E5%B1%95%E6%9C%9B%E3%83%87%E3%83%83%E3%82%AD%EF%BC%8FFLIGHT%20DECK%20TOKYO","Wikipedia・関連項目")</x:f>
      </x:c>
      <x:c r="Q66" s="27" t="str">
        <x:v>2026-07-29公式再確認：屋外22時、屋内23時、大規模駐車場を反映。</x:v>
      </x:c>
      <x:c r="R66" s="27" t="str">
        <x:v>0〜10km</x:v>
      </x:c>
      <x:c r="S66" s="27" t="str">
        <x:v>蒲田から約10〜14km</x:v>
      </x:c>
      <x:c r="T66" s="27" t="str">
        <x:v>通常25〜45分</x:v>
      </x:c>
      <x:c r="U66" s="27" t="str">
        <x:v>飛行機・雨天・夜</x:v>
      </x:c>
      <x:c r="V66" s="27" t="str">
        <x:v>30〜90分</x:v>
      </x:c>
      <x:c r="W66" s="27" t="n">
        <x:v>5</x:v>
      </x:c>
      <x:c r="X66" s="27" t="n">
        <x:v>2</x:v>
      </x:c>
      <x:c r="Y66" s="27" t="str">
        <x:v>羽田空港 第1ターミナル展望デッキ</x:v>
      </x:c>
      <x:c r="Z66" s="27" t="str">
        <x:v>羽田空港 第3ターミナル展望デッキ／京浜島つばさ公園</x:v>
      </x:c>
      <x:c r="AA66" s="22" t="str">
        <x:v>なし</x:v>
      </x:c>
      <x:c r="AB66" s="22" t="str">
        <x:v>-</x:v>
      </x:c>
      <x:c r="AC66" s="22" t="str"/>
      <x:c r="AD66" s="22" t="str">
        <x:v>専用・路外駐車を基本</x:v>
      </x:c>
      <x:c r="AE66" s="22" t="str"/>
    </x:row>
    <x:row r="67">
      <x:c r="A67" s="27" t="str">
        <x:v>D248</x:v>
      </x:c>
      <x:c r="B67" s="27" t="str">
        <x:v>池上梅園</x:v>
      </x:c>
      <x:c r="C67" s="27" t="str">
        <x:v>大田区・池上</x:v>
      </x:c>
      <x:c r="D67" s="27" t="str">
        <x:v>日本庭園・梅・茶室Story</x:v>
      </x:c>
      <x:c r="E67" s="48" t="e">
        <x:f>HYPERLINK("https://www.google.com/maps/dir/?api=1&amp;destination=%E6%B1%A0%E4%B8%8A%E6%A2%85%E5%9C%92&amp;travelmode=driving","現在地からナビ開始")</x:f>
      </x:c>
      <x:c r="F67" s="27" t="str">
        <x:v>丘陵斜面を使った小さな庭園で、短時間でも季節と静けさを得られる。近距離の昼Endingとして密度が高い。</x:v>
      </x:c>
      <x:c r="G67" s="27" t="str">
        <x:v>あり・一般6台＋身障者1台・30分100円</x:v>
      </x:c>
      <x:c r="H67" s="27" t="str">
        <x:v>9:00～16:30／入園16:00まで</x:v>
      </x:c>
      <x:c r="I67" s="27" t="n">
        <x:v>1</x:v>
      </x:c>
      <x:c r="J67" s="27" t="n">
        <x:v>4</x:v>
      </x:c>
      <x:c r="K67" s="27" t="str">
        <x:v>梅見頃の2月・3月上旬の土日祝は駐車場利用不可。月曜休園期あり。</x:v>
      </x:c>
      <x:c r="L67" s="28" t="n">
        <x:v>46232</x:v>
      </x:c>
      <x:c r="M67" s="27" t="str">
        <x:v>一次確認済</x:v>
      </x:c>
      <x:c r="N67" s="27" t="str">
        <x:v>https://www.city.ota.tokyo.jp/shisetsu/park/ikegamibaien.html</x:v>
      </x:c>
      <x:c r="O67" s="27" t="str">
        <x:v>園内の聴雨庵は、戦時中に東条内閣打倒の密議が行われたとされる茶室を移築したもの。</x:v>
      </x:c>
      <x:c r="P67" s="84" t="e">
        <x:f>HYPERLINK("https://ja.wikipedia.org/wiki/Special:Search?search=%E6%B1%A0%E4%B8%8A%E6%A2%85%E5%9C%92","Wikipedia・関連項目")</x:f>
      </x:c>
      <x:c r="Q67" s="27" t="str">
        <x:v>近距離コア新規追加</x:v>
      </x:c>
      <x:c r="R67" s="27" t="str">
        <x:v>0〜10km</x:v>
      </x:c>
      <x:c r="S67" s="27" t="str">
        <x:v>蒲田から約4〜7km</x:v>
      </x:c>
      <x:c r="T67" s="27" t="str">
        <x:v>通常15〜25分</x:v>
      </x:c>
      <x:c r="U67" s="27" t="str">
        <x:v>静かな昼・季節Story</x:v>
      </x:c>
      <x:c r="V67" s="27" t="str">
        <x:v>30〜60分</x:v>
      </x:c>
      <x:c r="W67" s="27" t="n">
        <x:v>2</x:v>
      </x:c>
      <x:c r="X67" s="27" t="n">
        <x:v>1</x:v>
      </x:c>
      <x:c r="Y67" s="27" t="str">
        <x:v>平和の森公園</x:v>
      </x:c>
      <x:c r="Z67" s="27" t="str">
        <x:v>池上本門寺周辺／大森ふるさとの浜辺公園</x:v>
      </x:c>
      <x:c r="AA67" s="22" t="str">
        <x:v>なし</x:v>
      </x:c>
      <x:c r="AB67" s="22" t="str">
        <x:v>-</x:v>
      </x:c>
      <x:c r="AC67" s="22" t="str"/>
      <x:c r="AD67" s="22" t="str">
        <x:v>専用・路外駐車を基本</x:v>
      </x:c>
      <x:c r="AE67" s="22" t="str"/>
    </x:row>
    <x:row r="68">
      <x:c r="A68" s="27" t="str">
        <x:v>D249</x:v>
      </x:c>
      <x:c r="B68" s="27" t="str">
        <x:v>多摩川六郷橋緑地</x:v>
      </x:c>
      <x:c r="C68" s="27" t="str">
        <x:v>大田区・東六郷</x:v>
      </x:c>
      <x:c r="D68" s="27" t="str">
        <x:v>河川敷・橋・広い空</x:v>
      </x:c>
      <x:c r="E68" s="48" t="e">
        <x:f>HYPERLINK("https://www.google.com/maps/dir/?api=1&amp;destination=%E5%A4%9A%E6%91%A9%E5%B7%9D%E5%85%AD%E9%83%B7%E6%A9%8B%E7%B7%91%E5%9C%B0&amp;travelmode=driving","現在地からナビ開始")</x:f>
      </x:c>
      <x:c r="F68" s="27" t="str">
        <x:v>蒲田から極めて近く、六郷橋と多摩川の広い空を車で気軽に取りに行ける週末型Ending。</x:v>
      </x:c>
      <x:c r="G68" s="27" t="str">
        <x:v>あり・195台・土日祝のみ・1日500円</x:v>
      </x:c>
      <x:c r="H68" s="27" t="str">
        <x:v>季節により5:30～19:30／冬7:30～17:30</x:v>
      </x:c>
      <x:c r="I68" s="27" t="n">
        <x:v>2</x:v>
      </x:c>
      <x:c r="J68" s="27" t="n">
        <x:v>4</x:v>
      </x:c>
      <x:c r="K68" s="27" t="str">
        <x:v>平日は駐車場閉鎖。閉鎖時刻後は出庫不可。台風・増水・イベント時は閉鎖。</x:v>
      </x:c>
      <x:c r="L68" s="28" t="n">
        <x:v>46232</x:v>
      </x:c>
      <x:c r="M68" s="27" t="str">
        <x:v>一次確認済</x:v>
      </x:c>
      <x:c r="N68" s="27" t="str">
        <x:v>https://www.city.ota.tokyo.jp/shisetsu/kuei_park/rokugobashiryokuchi_chusyajyo.html</x:v>
      </x:c>
      <x:c r="O68" s="27" t="str">
        <x:v>六郷は東海道の多摩川渡河点として栄え、六郷橋は東京と川崎を結ぶ歴史的な交通軸に位置する。</x:v>
      </x:c>
      <x:c r="P68" s="84" t="e">
        <x:f>HYPERLINK("https://ja.wikipedia.org/wiki/Special:Search?search=%E5%A4%9A%E6%91%A9%E5%B7%9D%E5%85%AD%E9%83%B7%E6%A9%8B%E7%B7%91%E5%9C%B0","Wikipedia・関連項目")</x:f>
      </x:c>
      <x:c r="Q68" s="27" t="str">
        <x:v>近距離コア新規追加</x:v>
      </x:c>
      <x:c r="R68" s="27" t="str">
        <x:v>0〜10km</x:v>
      </x:c>
      <x:c r="S68" s="27" t="str">
        <x:v>蒲田から約3〜6km</x:v>
      </x:c>
      <x:c r="T68" s="27" t="str">
        <x:v>通常10〜20分</x:v>
      </x:c>
      <x:c r="U68" s="27" t="str">
        <x:v>休日朝夕・河川</x:v>
      </x:c>
      <x:c r="V68" s="27" t="str">
        <x:v>30〜60分</x:v>
      </x:c>
      <x:c r="W68" s="27" t="n">
        <x:v>1</x:v>
      </x:c>
      <x:c r="X68" s="27" t="n">
        <x:v>3</x:v>
      </x:c>
      <x:c r="Y68" s="27" t="str">
        <x:v>多摩川ガス橋緑地</x:v>
      </x:c>
      <x:c r="Z68" s="27" t="str">
        <x:v>多摩川浅間神社／御幸公園</x:v>
      </x:c>
      <x:c r="AA68" s="22" t="str">
        <x:v>なし</x:v>
      </x:c>
      <x:c r="AB68" s="22" t="str">
        <x:v>-</x:v>
      </x:c>
      <x:c r="AC68" s="22" t="str"/>
      <x:c r="AD68" s="22" t="str">
        <x:v>専用・路外駐車を基本</x:v>
      </x:c>
      <x:c r="AE68" s="22" t="str"/>
    </x:row>
    <x:row r="69">
      <x:c r="A69" s="27" t="str">
        <x:v>D250</x:v>
      </x:c>
      <x:c r="B69" s="27" t="str">
        <x:v>多摩川ガス橋緑地</x:v>
      </x:c>
      <x:c r="C69" s="27" t="str">
        <x:v>大田区・下丸子</x:v>
      </x:c>
      <x:c r="D69" s="27" t="str">
        <x:v>河川敷・橋・芝生</x:v>
      </x:c>
      <x:c r="E69" s="48" t="e">
        <x:f>HYPERLINK("https://www.google.com/maps/dir/?api=1&amp;destination=%E5%A4%9A%E6%91%A9%E5%B7%9D%E3%82%AC%E3%82%B9%E6%A9%8B%E7%B7%91%E5%9C%B0&amp;travelmode=driving","現在地からナビ開始")</x:f>
      </x:c>
      <x:c r="F69" s="27" t="str">
        <x:v>ガス橋の構造、武蔵小杉方面の空、広い河川敷を近距離で楽しめる。休日の短時間リセットに向く。</x:v>
      </x:c>
      <x:c r="G69" s="27" t="str">
        <x:v>あり・196台・土日祝のみ・1日500円</x:v>
      </x:c>
      <x:c r="H69" s="27" t="str">
        <x:v>季節により5:30～19:30／冬7:30～17:30</x:v>
      </x:c>
      <x:c r="I69" s="27" t="n">
        <x:v>2</x:v>
      </x:c>
      <x:c r="J69" s="27" t="n">
        <x:v>4</x:v>
      </x:c>
      <x:c r="K69" s="27" t="str">
        <x:v>平日は駐車場閉鎖。閉鎖時刻後は出庫不可。増水・台風・イベント時は閉鎖。</x:v>
      </x:c>
      <x:c r="L69" s="28" t="n">
        <x:v>46232</x:v>
      </x:c>
      <x:c r="M69" s="27" t="str">
        <x:v>一次確認済</x:v>
      </x:c>
      <x:c r="N69" s="27" t="str">
        <x:v>https://www.city.ota.tokyo.jp/shisetsu/kuei_park/gasbashiryokuchi_chusyajyo.html</x:v>
      </x:c>
      <x:c r="O69" s="27" t="str">
        <x:v>ガス橋は東京ガスのガス管を通す橋として架けられ、現在は道路橋として多摩川両岸を結ぶ。</x:v>
      </x:c>
      <x:c r="P69" s="84" t="e">
        <x:f>HYPERLINK("https://ja.wikipedia.org/wiki/Special:Search?search=%E5%A4%9A%E6%91%A9%E5%B7%9D%E3%82%AC%E3%82%B9%E6%A9%8B%E7%B7%91%E5%9C%B0","Wikipedia・関連項目")</x:f>
      </x:c>
      <x:c r="Q69" s="27" t="str">
        <x:v>近距離コア新規追加</x:v>
      </x:c>
      <x:c r="R69" s="27" t="str">
        <x:v>0〜10km</x:v>
      </x:c>
      <x:c r="S69" s="27" t="str">
        <x:v>蒲田から約4〜7km</x:v>
      </x:c>
      <x:c r="T69" s="27" t="str">
        <x:v>通常15〜25分</x:v>
      </x:c>
      <x:c r="U69" s="27" t="str">
        <x:v>休日朝夕・河川</x:v>
      </x:c>
      <x:c r="V69" s="27" t="str">
        <x:v>30〜60分</x:v>
      </x:c>
      <x:c r="W69" s="27" t="n">
        <x:v>1</x:v>
      </x:c>
      <x:c r="X69" s="27" t="n">
        <x:v>3</x:v>
      </x:c>
      <x:c r="Y69" s="27" t="str">
        <x:v>多摩川六郷橋緑地</x:v>
      </x:c>
      <x:c r="Z69" s="27" t="str">
        <x:v>多摩川浅間神社／御幸公園</x:v>
      </x:c>
      <x:c r="AA69" s="22" t="str">
        <x:v>なし</x:v>
      </x:c>
      <x:c r="AB69" s="22" t="str">
        <x:v>-</x:v>
      </x:c>
      <x:c r="AC69" s="22" t="str"/>
      <x:c r="AD69" s="22" t="str">
        <x:v>専用・路外駐車を基本</x:v>
      </x:c>
      <x:c r="AE69" s="22" t="str"/>
    </x:row>
    <x:row r="70">
      <x:c r="A70" s="27" t="str">
        <x:v>D251</x:v>
      </x:c>
      <x:c r="B70" s="27" t="str">
        <x:v>お台場海浜公園</x:v>
      </x:c>
      <x:c r="C70" s="27" t="str">
        <x:v>港区・台場</x:v>
      </x:c>
      <x:c r="D70" s="27" t="str">
        <x:v>海浜・第三台場・都市夜景</x:v>
      </x:c>
      <x:c r="E70" s="48" t="e">
        <x:f>HYPERLINK("https://www.google.com/maps/dir/?api=1&amp;destination=%E3%81%8A%E5%8F%B0%E5%A0%B4%E6%B5%B7%E6%B5%9C%E5%85%AC%E5%9C%92&amp;travelmode=driving","現在地からナビ開始")</x:f>
      </x:c>
      <x:c r="F70" s="27" t="str">
        <x:v>レインボーブリッジ、砂浜、第三台場、都心夜景が一つにまとまり、近距離でも王道の到達感を得られる。</x:v>
      </x:c>
      <x:c r="G70" s="27" t="str">
        <x:v>中央101台／北口244台・有料・24時間</x:v>
      </x:c>
      <x:c r="H70" s="27" t="str">
        <x:v>公園・駐車場24時間</x:v>
      </x:c>
      <x:c r="I70" s="27" t="n">
        <x:v>5</x:v>
      </x:c>
      <x:c r="J70" s="27" t="n">
        <x:v>1</x:v>
      </x:c>
      <x:c r="K70" s="27" t="str">
        <x:v>大規模イベント時は駐車場閉鎖・交通規制あり。北口のみ24時間最大料金設定。</x:v>
      </x:c>
      <x:c r="L70" s="28" t="n">
        <x:v>46232</x:v>
      </x:c>
      <x:c r="M70" s="27" t="str">
        <x:v>一次確認済</x:v>
      </x:c>
      <x:c r="N70" s="27" t="str">
        <x:v>https://www.tptc.co.jp/park/01_02/access</x:v>
      </x:c>
      <x:c r="O70" s="27" t="str">
        <x:v>第三台場はペリー来航後に江戸幕府が東京湾防備のため築いた砲台跡で、公園から徒歩で入れる。</x:v>
      </x:c>
      <x:c r="P70" s="84" t="e">
        <x:f>HYPERLINK("https://ja.wikipedia.org/wiki/Special:Search?search=%E3%81%8A%E5%8F%B0%E5%A0%B4%E6%B5%B7%E6%B5%9C%E5%85%AC%E5%9C%92","Wikipedia・関連項目")</x:f>
      </x:c>
      <x:c r="Q70" s="27" t="str">
        <x:v>2026-07-29公式再確認：中央・北口とも24時間、台数・料金条件を反映。</x:v>
      </x:c>
      <x:c r="R70" s="27" t="str">
        <x:v>10〜20km</x:v>
      </x:c>
      <x:c r="S70" s="27" t="str">
        <x:v>蒲田から約12〜18km</x:v>
      </x:c>
      <x:c r="T70" s="27" t="str">
        <x:v>通常25〜45分</x:v>
      </x:c>
      <x:c r="U70" s="27" t="str">
        <x:v>平日夜・海・都市夜景</x:v>
      </x:c>
      <x:c r="V70" s="27" t="str">
        <x:v>45〜90分</x:v>
      </x:c>
      <x:c r="W70" s="27" t="n">
        <x:v>2</x:v>
      </x:c>
      <x:c r="X70" s="27" t="n">
        <x:v>3</x:v>
      </x:c>
      <x:c r="Y70" s="27" t="str">
        <x:v>潮風公園</x:v>
      </x:c>
      <x:c r="Z70" s="27" t="str">
        <x:v>晴海ふ頭公園／豊洲ぐるり公園</x:v>
      </x:c>
      <x:c r="AA70" s="22" t="str">
        <x:v>なし</x:v>
      </x:c>
      <x:c r="AB70" s="22" t="str">
        <x:v>-</x:v>
      </x:c>
      <x:c r="AC70" s="22" t="str"/>
      <x:c r="AD70" s="22" t="str">
        <x:v>専用・路外駐車を基本</x:v>
      </x:c>
      <x:c r="AE70" s="22" t="str"/>
    </x:row>
    <x:row r="71">
      <x:c r="A71" s="27" t="str">
        <x:v>D252</x:v>
      </x:c>
      <x:c r="B71" s="27" t="str">
        <x:v>豊洲市場 屋上緑化広場</x:v>
      </x:c>
      <x:c r="C71" s="27" t="str">
        <x:v>江東区・豊洲</x:v>
      </x:c>
      <x:c r="D71" s="27" t="str">
        <x:v>屋上芝生・市場・湾岸展望</x:v>
      </x:c>
      <x:c r="E71" s="48" t="e">
        <x:f>HYPERLINK("https://www.google.com/maps/dir/?api=1&amp;destination=%E8%B1%8A%E6%B4%B2%E5%B8%82%E5%A0%B4%20%E5%B1%8B%E4%B8%8A%E7%B7%91%E5%8C%96%E5%BA%83%E5%A0%B4&amp;travelmode=driving","現在地からナビ開始")</x:f>
      </x:c>
      <x:c r="F71" s="27" t="str">
        <x:v>市場建築の屋上に広い芝生と東京湾の眺望があり、食・産業・夜景を一地点でつなげられる。</x:v>
      </x:c>
      <x:c r="G71" s="27" t="str">
        <x:v>市場内一般駐車不可／周辺民間駐車場利用</x:v>
      </x:c>
      <x:c r="H71" s="27" t="str">
        <x:v>屋上5:00～23:00</x:v>
      </x:c>
      <x:c r="I71" s="27" t="n">
        <x:v>5</x:v>
      </x:c>
      <x:c r="J71" s="27" t="n">
        <x:v>3</x:v>
      </x:c>
      <x:c r="K71" s="27" t="str">
        <x:v>市場内駐車場は関係者専用。周辺道路は駐停車禁止。雨天時は芝生が滑りやすい。</x:v>
      </x:c>
      <x:c r="L71" s="28" t="n">
        <x:v>46232</x:v>
      </x:c>
      <x:c r="M71" s="27" t="str">
        <x:v>一次確認済</x:v>
      </x:c>
      <x:c r="N71" s="27" t="str">
        <x:v>https://www.shijou.metro.tokyo.lg.jp/info/0/kenngaku/kenngaku1</x:v>
      </x:c>
      <x:c r="O71" s="27" t="str">
        <x:v>築地市場から移転した中央卸売市場の屋上を緑化し、巨大な物流施設を公共的な展望空間として開放している。</x:v>
      </x:c>
      <x:c r="P71" s="84" t="e">
        <x:f>HYPERLINK("https://ja.wikipedia.org/wiki/Special:Search?search=%E8%B1%8A%E6%B4%B2%E5%B8%82%E5%A0%B4%20%E5%B1%8B%E4%B8%8A%E7%B7%91%E5%8C%96%E5%BA%83%E5%A0%B4","Wikipedia・関連項目")</x:f>
      </x:c>
      <x:c r="Q71" s="27" t="str">
        <x:v>近距離コア新規追加</x:v>
      </x:c>
      <x:c r="R71" s="27" t="str">
        <x:v>10〜20km</x:v>
      </x:c>
      <x:c r="S71" s="27" t="str">
        <x:v>蒲田から約16〜22km</x:v>
      </x:c>
      <x:c r="T71" s="27" t="str">
        <x:v>通常30〜55分</x:v>
      </x:c>
      <x:c r="U71" s="27" t="str">
        <x:v>平日夜・市場Story・湾岸</x:v>
      </x:c>
      <x:c r="V71" s="27" t="str">
        <x:v>30〜75分</x:v>
      </x:c>
      <x:c r="W71" s="27" t="n">
        <x:v>2</x:v>
      </x:c>
      <x:c r="X71" s="27" t="n">
        <x:v>1</x:v>
      </x:c>
      <x:c r="Y71" s="27" t="str">
        <x:v>豊洲ぐるり公園</x:v>
      </x:c>
      <x:c r="Z71" s="27" t="str">
        <x:v>晴海ふ頭公園／お台場海浜公園</x:v>
      </x:c>
      <x:c r="AA71" s="22" t="str">
        <x:v>なし</x:v>
      </x:c>
      <x:c r="AB71" s="22" t="str">
        <x:v>-</x:v>
      </x:c>
      <x:c r="AC71" s="22" t="str"/>
      <x:c r="AD71" s="22" t="str">
        <x:v>専用・路外駐車を基本</x:v>
      </x:c>
      <x:c r="AE71" s="22" t="str"/>
    </x:row>
    <x:row r="72">
      <x:c r="A72" s="22" t="str">
        <x:v>D253</x:v>
      </x:c>
      <x:c r="B72" s="22" t="str">
        <x:v>平和島公園</x:v>
      </x:c>
      <x:c r="C72" s="22" t="str">
        <x:v>大田区・平和島</x:v>
      </x:c>
      <x:c r="D72" s="22" t="str">
        <x:v>総合公園・防災・24時間駐車</x:v>
      </x:c>
      <x:c r="E72" s="22" t="e">
        <x:f>HYPERLINK("https://www.google.com/maps/dir/?api=1&amp;destination=%E5%B9%B3%E5%92%8C%E5%B3%B6%E5%85%AC%E5%9C%92&amp;travelmode=driving","現在地からナビ開始")</x:f>
      </x:c>
      <x:c r="F72" s="22" t="str">
        <x:v>蒲田から近く、80台の24時間駐車場がある。遠出する気力がない夜でも、緑・広場・水施設で短時間のリセット先になる。</x:v>
      </x:c>
      <x:c r="G72" s="22" t="str">
        <x:v>第1駐車場60台＋第2駐車場20台・30分100円・24時間</x:v>
      </x:c>
      <x:c r="H72" s="22" t="str">
        <x:v>公園・駐車場24時間</x:v>
      </x:c>
      <x:c r="I72" s="22" t="n">
        <x:v>4</x:v>
      </x:c>
      <x:c r="J72" s="22" t="n">
        <x:v>3</x:v>
      </x:c>
      <x:c r="K72" s="22" t="str">
        <x:v>休日は入庫待ちが長くなる場合がある。公園利用以外の駐車は禁止。夜間は住宅・スポーツ利用者へ配慮。</x:v>
      </x:c>
      <x:c r="L72" s="23" t="n">
        <x:v>46232</x:v>
      </x:c>
      <x:c r="M72" s="22" t="str">
        <x:v>一次確認済</x:v>
      </x:c>
      <x:c r="N72" s="22" t="str">
        <x:v>https://www.city.ota.tokyo.jp/shisetsu/park/heiwajima.html</x:v>
      </x:c>
      <x:c r="O72" s="22" t="str">
        <x:v>京浜運河沿いの埋立地に整備された公園で、スポーツ・レクリエーションと防災機能を兼ねる。</x:v>
      </x:c>
      <x:c r="P72" s="22" t="e">
        <x:f>HYPERLINK("https://ja.wikipedia.org/wiki/Special:Search?search=%E5%B9%B3%E5%92%8C%E5%B3%B6%E5%85%AC%E5%9C%92","Wikipedia・関連項目")</x:f>
      </x:c>
      <x:c r="Q72" s="22" t="str">
        <x:v>近距離代替経由地プール追加</x:v>
      </x:c>
      <x:c r="R72" s="22" t="str">
        <x:v>0〜10km</x:v>
      </x:c>
      <x:c r="S72" s="22" t="str">
        <x:v>蒲田から約4〜7km</x:v>
      </x:c>
      <x:c r="T72" s="22" t="str">
        <x:v>通常15〜25分</x:v>
      </x:c>
      <x:c r="U72" s="22" t="str">
        <x:v>平日夜・短時間休憩</x:v>
      </x:c>
      <x:c r="V72" s="22" t="str">
        <x:v>20〜50分</x:v>
      </x:c>
      <x:c r="W72" s="22" t="n">
        <x:v>1</x:v>
      </x:c>
      <x:c r="X72" s="22" t="n">
        <x:v>2</x:v>
      </x:c>
      <x:c r="Y72" s="22" t="str">
        <x:v>平和の森公園</x:v>
      </x:c>
      <x:c r="Z72" s="22" t="str">
        <x:v>しながわ区民公園／大森ふるさとの浜辺公園</x:v>
      </x:c>
      <x:c r="AA72" s="22" t="str">
        <x:v>なし</x:v>
      </x:c>
      <x:c r="AB72" s="22" t="str">
        <x:v>-</x:v>
      </x:c>
      <x:c r="AC72" s="22" t="str"/>
      <x:c r="AD72" s="22" t="str">
        <x:v>専用・路外駐車を基本</x:v>
      </x:c>
      <x:c r="AE72" s="22" t="str"/>
    </x:row>
    <x:row r="73">
      <x:c r="A73" s="22" t="str">
        <x:v>D254</x:v>
      </x:c>
      <x:c r="B73" s="22" t="str">
        <x:v>しながわ区民公園</x:v>
      </x:c>
      <x:c r="C73" s="22" t="str">
        <x:v>品川区・勝島</x:v>
      </x:c>
      <x:c r="D73" s="22" t="str">
        <x:v>人工湖・松並木・防災公園</x:v>
      </x:c>
      <x:c r="E73" s="22" t="e">
        <x:f>HYPERLINK("https://www.google.com/maps/dir/?api=1&amp;destination=%E3%81%97%E3%81%AA%E3%81%8C%E3%82%8F%E5%8C%BA%E6%B0%91%E5%85%AC%E5%9C%92&amp;travelmode=driving","現在地からナビ開始")</x:f>
      </x:c>
      <x:c r="F73" s="22" t="str">
        <x:v>人工湖『勝島の海』、松並木、広場がまとまり、大森海岸からすぐに水と緑へ切り替えられる近距離の昼～夕方候補。</x:v>
      </x:c>
      <x:c r="G73" s="22" t="str">
        <x:v>有料駐車場50台・20分100円</x:v>
      </x:c>
      <x:c r="H73" s="22" t="str">
        <x:v>公園6:00～20:30</x:v>
      </x:c>
      <x:c r="I73" s="22" t="n">
        <x:v>3</x:v>
      </x:c>
      <x:c r="J73" s="22" t="n">
        <x:v>2</x:v>
      </x:c>
      <x:c r="K73" s="22" t="str">
        <x:v>犬の入園不可。休日・水族館営業日は混雑。20時30分閉園のため夜遅くは使わない。</x:v>
      </x:c>
      <x:c r="L73" s="23" t="n">
        <x:v>46232</x:v>
      </x:c>
      <x:c r="M73" s="22" t="str">
        <x:v>一次確認済</x:v>
      </x:c>
      <x:c r="N73" s="22" t="str">
        <x:v>https://www.city.shinagawa.tokyo.jp/PC/shisetsu/shisetsu-bunka/shisetsu-bunka-kouen/hpg000000342.html</x:v>
      </x:c>
      <x:c r="O73" s="22" t="str">
        <x:v>勝島運河を埋め立てて整備され、約6,500平方メートルの海水人工湖『勝島の海』を持つ。</x:v>
      </x:c>
      <x:c r="P73" s="22" t="e">
        <x:f>HYPERLINK("https://ja.wikipedia.org/wiki/Special:Search?search=%E3%81%97%E3%81%AA%E3%81%8C%E3%82%8F%E5%8C%BA%E6%B0%91%E5%85%AC%E5%9C%92","Wikipedia・関連項目")</x:f>
      </x:c>
      <x:c r="Q73" s="22" t="str">
        <x:v>近距離代替経由地プール追加</x:v>
      </x:c>
      <x:c r="R73" s="22" t="str">
        <x:v>0〜10km</x:v>
      </x:c>
      <x:c r="S73" s="22" t="str">
        <x:v>蒲田から約6〜9km</x:v>
      </x:c>
      <x:c r="T73" s="22" t="str">
        <x:v>通常15〜30分</x:v>
      </x:c>
      <x:c r="U73" s="22" t="str">
        <x:v>夕方・水辺・静かな散歩</x:v>
      </x:c>
      <x:c r="V73" s="22" t="str">
        <x:v>30〜75分</x:v>
      </x:c>
      <x:c r="W73" s="22" t="n">
        <x:v>1</x:v>
      </x:c>
      <x:c r="X73" s="22" t="n">
        <x:v>1</x:v>
      </x:c>
      <x:c r="Y73" s="22" t="str">
        <x:v>平和島公園</x:v>
      </x:c>
      <x:c r="Z73" s="22" t="str">
        <x:v>大井ふ頭中央海浜公園／大森ふるさとの浜辺公園</x:v>
      </x:c>
      <x:c r="AA73" s="22" t="str">
        <x:v>なし</x:v>
      </x:c>
      <x:c r="AB73" s="22" t="str">
        <x:v>-</x:v>
      </x:c>
      <x:c r="AC73" s="22" t="str"/>
      <x:c r="AD73" s="22" t="str">
        <x:v>専用・路外駐車を基本</x:v>
      </x:c>
      <x:c r="AE73" s="22" t="str"/>
    </x:row>
    <x:row r="74">
      <x:c r="A74" s="22" t="str">
        <x:v>D255</x:v>
      </x:c>
      <x:c r="B74" s="22" t="str">
        <x:v>大井ふ頭中央海浜公園</x:v>
      </x:c>
      <x:c r="C74" s="22" t="str">
        <x:v>品川区・八潮／大田区・東海</x:v>
      </x:c>
      <x:c r="D74" s="22" t="str">
        <x:v>運河・干潟・スポーツ・産業景観</x:v>
      </x:c>
      <x:c r="E74" s="22" t="e">
        <x:f>HYPERLINK("https://www.google.com/maps/dir/?api=1&amp;destination=%E5%A4%A7%E4%BA%95%E3%81%B5%E9%A0%AD%E4%B8%AD%E5%A4%AE%E6%B5%B7%E6%B5%9C%E5%85%AC%E5%9C%92&amp;travelmode=driving","現在地からナビ開始")</x:f>
      </x:c>
      <x:c r="F74" s="22" t="str">
        <x:v>スポーツの森となぎさの森を使い分けられ、京浜運河、人工なぎさ、物流地帯の景観を近距離で回収できる。</x:v>
      </x:c>
      <x:c r="G74" s="22" t="str">
        <x:v>第2駐車場110台・1時間300円＋30分100円・現在24時間／第1駐車場190台は工事閉鎖中</x:v>
      </x:c>
      <x:c r="H74" s="22" t="str">
        <x:v>公園常時を基本／第2駐車場24時間は第1駐車場工事中のみ／12月30日～1月1日休業</x:v>
      </x:c>
      <x:c r="I74" s="22" t="n">
        <x:v>4</x:v>
      </x:c>
      <x:c r="J74" s="22" t="n">
        <x:v>3</x:v>
      </x:c>
      <x:c r="K74" s="22" t="str">
        <x:v>第1駐車場は2027年3月下旬予定まで閉鎖。自然観察路の立入制限や大会開催を当日確認。夜は明るい範囲のみ利用。</x:v>
      </x:c>
      <x:c r="L74" s="23" t="n">
        <x:v>46232</x:v>
      </x:c>
      <x:c r="M74" s="22" t="str">
        <x:v>一次確認済</x:v>
      </x:c>
      <x:c r="N74" s="22" t="str">
        <x:v>https://tokyo-south-seaside-parks.com/oi-hockey-access/</x:v>
      </x:c>
      <x:c r="O74" s="22" t="str">
        <x:v>公園は『スポーツの森』と『なぎさの森』に分かれ、東京湾岸のスポーツ拠点と水辺環境を一体化している。</x:v>
      </x:c>
      <x:c r="P74" s="22" t="e">
        <x:f>HYPERLINK("https://ja.wikipedia.org/wiki/Special:Search?search=%E5%A4%A7%E4%BA%95%E3%81%B5%E9%A0%AD%E4%B8%AD%E5%A4%AE%E6%B5%B7%E6%B5%9C%E5%85%AC%E5%9C%92","Wikipedia・関連項目")</x:f>
      </x:c>
      <x:c r="Q74" s="22" t="str">
        <x:v>近距離代替経由地プール追加</x:v>
      </x:c>
      <x:c r="R74" s="22" t="str">
        <x:v>0〜10km</x:v>
      </x:c>
      <x:c r="S74" s="22" t="str">
        <x:v>蒲田から約8〜12km</x:v>
      </x:c>
      <x:c r="T74" s="22" t="str">
        <x:v>通常20〜35分</x:v>
      </x:c>
      <x:c r="U74" s="22" t="str">
        <x:v>夕方・運河・短時間散歩</x:v>
      </x:c>
      <x:c r="V74" s="22" t="str">
        <x:v>30〜90分</x:v>
      </x:c>
      <x:c r="W74" s="22" t="n">
        <x:v>1</x:v>
      </x:c>
      <x:c r="X74" s="22" t="n">
        <x:v>2</x:v>
      </x:c>
      <x:c r="Y74" s="22" t="str">
        <x:v>東京港野鳥公園</x:v>
      </x:c>
      <x:c r="Z74" s="22" t="str">
        <x:v>しながわ区民公園／平和島公園</x:v>
      </x:c>
      <x:c r="AA74" s="22" t="str">
        <x:v>なし</x:v>
      </x:c>
      <x:c r="AB74" s="22" t="str">
        <x:v>-</x:v>
      </x:c>
      <x:c r="AC74" s="22" t="str"/>
      <x:c r="AD74" s="22" t="str">
        <x:v>専用・路外駐車を基本</x:v>
      </x:c>
      <x:c r="AE74" s="22" t="str"/>
    </x:row>
    <x:row r="75">
      <x:c r="A75" s="22" t="str">
        <x:v>D256</x:v>
      </x:c>
      <x:c r="B75" s="22" t="str">
        <x:v>ちどり公園</x:v>
      </x:c>
      <x:c r="C75" s="22" t="str">
        <x:v>川崎市川崎区・千鳥町</x:v>
      </x:c>
      <x:c r="D75" s="22" t="str">
        <x:v>川崎港・運河・小展望台</x:v>
      </x:c>
      <x:c r="E75" s="22" t="e">
        <x:f>HYPERLINK("https://www.google.com/maps/dir/?api=1&amp;destination=%E3%81%A1%E3%81%A9%E3%82%8A%E5%85%AC%E5%9C%92&amp;travelmode=driving","現在地からナビ開始")</x:f>
      </x:c>
      <x:c r="F75" s="22" t="str">
        <x:v>高さ約7mの展望台から京浜運河、船、東扇島を眺められ、工場夜景へ入る前の昼間導入地点として機能する。</x:v>
      </x:c>
      <x:c r="G75" s="22" t="str">
        <x:v>あり・約30台・無料</x:v>
      </x:c>
      <x:c r="H75" s="22" t="str">
        <x:v>公園24時間／駐車場9:00～18:00</x:v>
      </x:c>
      <x:c r="I75" s="22" t="n">
        <x:v>2</x:v>
      </x:c>
      <x:c r="J75" s="22" t="n">
        <x:v>4</x:v>
      </x:c>
      <x:c r="K75" s="22" t="str">
        <x:v>車利用は18時まで。30台程度で満車時は待たない。釣り禁止。工場敷地・岸壁へ入らない。</x:v>
      </x:c>
      <x:c r="L75" s="23" t="n">
        <x:v>46232</x:v>
      </x:c>
      <x:c r="M75" s="22" t="str">
        <x:v>一次確認済</x:v>
      </x:c>
      <x:c r="N75" s="22" t="str">
        <x:v>https://www.city.kawasaki.jp/580/page/0000167054.html</x:v>
      </x:c>
      <x:c r="O75" s="22" t="str">
        <x:v>川崎港の運河に面する約4万平方メートルの臨海公園で、船舶と港湾施設を見渡せる展望台を持つ。</x:v>
      </x:c>
      <x:c r="P75" s="22" t="e">
        <x:f>HYPERLINK("https://ja.wikipedia.org/wiki/Special:Search?search=%E3%81%A1%E3%81%A9%E3%82%8A%E5%85%AC%E5%9C%92","Wikipedia・関連項目")</x:f>
      </x:c>
      <x:c r="Q75" s="22" t="str">
        <x:v>近距離代替経由地プール追加</x:v>
      </x:c>
      <x:c r="R75" s="22" t="str">
        <x:v>10〜20km</x:v>
      </x:c>
      <x:c r="S75" s="22" t="str">
        <x:v>蒲田から約12〜17km</x:v>
      </x:c>
      <x:c r="T75" s="22" t="str">
        <x:v>通常30〜50分</x:v>
      </x:c>
      <x:c r="U75" s="22" t="str">
        <x:v>昼・川崎港Story</x:v>
      </x:c>
      <x:c r="V75" s="22" t="str">
        <x:v>20〜45分</x:v>
      </x:c>
      <x:c r="W75" s="22" t="n">
        <x:v>1</x:v>
      </x:c>
      <x:c r="X75" s="22" t="n">
        <x:v>2</x:v>
      </x:c>
      <x:c r="Y75" s="22" t="str">
        <x:v>川崎マリエン</x:v>
      </x:c>
      <x:c r="Z75" s="22" t="str">
        <x:v>東扇島中公園／富士見公園</x:v>
      </x:c>
      <x:c r="AA75" s="22" t="str">
        <x:v>なし</x:v>
      </x:c>
      <x:c r="AB75" s="22" t="str">
        <x:v>-</x:v>
      </x:c>
      <x:c r="AC75" s="22" t="str"/>
      <x:c r="AD75" s="22" t="str">
        <x:v>専用・路外駐車を基本</x:v>
      </x:c>
      <x:c r="AE75" s="22" t="str"/>
    </x:row>
    <x:row r="76">
      <x:c r="A76" s="22" t="str">
        <x:v>D257</x:v>
      </x:c>
      <x:c r="B76" s="22" t="str">
        <x:v>東扇島中公園</x:v>
      </x:c>
      <x:c r="C76" s="22" t="str">
        <x:v>川崎市川崎区・東扇島</x:v>
      </x:c>
      <x:c r="D76" s="22" t="str">
        <x:v>芝生・港湾休憩・共有駐車</x:v>
      </x:c>
      <x:c r="E76" s="22" t="e">
        <x:f>HYPERLINK("https://www.google.com/maps/dir/?api=1&amp;destination=%E6%9D%B1%E6%89%87%E5%B3%B6%E4%B8%AD%E5%85%AC%E5%9C%92&amp;travelmode=driving","現在地からナビ開始")</x:f>
      </x:c>
      <x:c r="F76" s="22" t="str">
        <x:v>川崎マリエンに隣接し、芝生・港湾の空・休憩を短時間で取り込める。マリエンと1回の駐車で組み合わせられる。</x:v>
      </x:c>
      <x:c r="G76" s="22" t="str">
        <x:v>川崎マリエン駐車場を共用・有料</x:v>
      </x:c>
      <x:c r="H76" s="22" t="str">
        <x:v>公園24時間／駐車場22:30～6:00は入出場に一部制限</x:v>
      </x:c>
      <x:c r="I76" s="22" t="n">
        <x:v>4</x:v>
      </x:c>
      <x:c r="J76" s="22" t="n">
        <x:v>4</x:v>
      </x:c>
      <x:c r="K76" s="22" t="str">
        <x:v>深夜は駐車場の入出場制限を確認。公園単独で再駐車せず、川崎マリエンとの徒歩連結を基本とする。</x:v>
      </x:c>
      <x:c r="L76" s="23" t="n">
        <x:v>46232</x:v>
      </x:c>
      <x:c r="M76" s="22" t="str">
        <x:v>一次確認済</x:v>
      </x:c>
      <x:c r="N76" s="22" t="str">
        <x:v>https://www.city.kawasaki.jp/580/page/0000041705.html</x:v>
      </x:c>
      <x:c r="O76" s="22" t="str">
        <x:v>川崎マリエンに隣接する港湾公園で、芝生広場、バーベキュー場、キャンプサイトを備える。</x:v>
      </x:c>
      <x:c r="P76" s="22" t="e">
        <x:f>HYPERLINK("https://ja.wikipedia.org/wiki/Special:Search?search=%E6%9D%B1%E6%89%87%E5%B3%B6%E4%B8%AD%E5%85%AC%E5%9C%92","Wikipedia・関連項目")</x:f>
      </x:c>
      <x:c r="Q76" s="22" t="str">
        <x:v>近距離代替経由地プール追加</x:v>
      </x:c>
      <x:c r="R76" s="22" t="str">
        <x:v>10〜20km</x:v>
      </x:c>
      <x:c r="S76" s="22" t="str">
        <x:v>蒲田から約16〜21km</x:v>
      </x:c>
      <x:c r="T76" s="22" t="str">
        <x:v>通常35〜55分</x:v>
      </x:c>
      <x:c r="U76" s="22" t="str">
        <x:v>夕方・港湾休憩・共有駐車</x:v>
      </x:c>
      <x:c r="V76" s="22" t="str">
        <x:v>15〜45分</x:v>
      </x:c>
      <x:c r="W76" s="22" t="n">
        <x:v>1</x:v>
      </x:c>
      <x:c r="X76" s="22" t="n">
        <x:v>2</x:v>
      </x:c>
      <x:c r="Y76" s="22" t="str">
        <x:v>川崎マリエン</x:v>
      </x:c>
      <x:c r="Z76" s="22" t="str">
        <x:v>東扇島西公園／ちどり公園</x:v>
      </x:c>
      <x:c r="AA76" s="22" t="str">
        <x:v>なし</x:v>
      </x:c>
      <x:c r="AB76" s="22" t="str">
        <x:v>-</x:v>
      </x:c>
      <x:c r="AC76" s="22" t="str"/>
      <x:c r="AD76" s="22" t="str">
        <x:v>専用・路外駐車を基本</x:v>
      </x:c>
      <x:c r="AE76" s="22" t="str"/>
    </x:row>
    <x:row r="77">
      <x:c r="A77" s="22" t="str">
        <x:v>D258</x:v>
      </x:c>
      <x:c r="B77" s="22" t="str">
        <x:v>横浜市高齢者保養研修施設 ふれーゆ</x:v>
      </x:c>
      <x:c r="C77" s="22" t="str">
        <x:v>横浜市鶴見区・末広町</x:v>
      </x:c>
      <x:c r="D77" s="22" t="str">
        <x:v>大浴場・プール・横浜港展望・雨天</x:v>
      </x:c>
      <x:c r="E77" s="22" t="e">
        <x:f>HYPERLINK("https://www.google.com/maps/dir/?api=1&amp;destination=%E6%A8%AA%E6%B5%9C%E5%B8%82%E9%AB%98%E9%BD%A2%E8%80%85%E4%BF%9D%E9%A4%8A%E7%A0%94%E4%BF%AE%E6%96%BD%E8%A8%AD%20%E3%81%B5%E3%82%8C%E3%83%BC%E3%82%86&amp;travelmode=driving","現在地からナビ開始")</x:f>
      </x:c>
      <x:c r="F77" s="22" t="str">
        <x:v>大浴場やプールで天候に左右されず滞在でき、大窓からベイブリッジ、鶴見つばさ橋、横浜港を望める。</x:v>
      </x:c>
      <x:c r="G77" s="22" t="str">
        <x:v>専用駐車場245台・有料</x:v>
      </x:c>
      <x:c r="H77" s="22" t="str">
        <x:v>4～9月 平日9:00～19:00・火曜18:00・土日祝20:00／10～3月 平日18:00・土日祝19:00</x:v>
      </x:c>
      <x:c r="I77" s="22" t="n">
        <x:v>2</x:v>
      </x:c>
      <x:c r="J77" s="22" t="n">
        <x:v>4</x:v>
      </x:c>
      <x:c r="K77" s="22" t="str">
        <x:v>毎月第2火曜休館（7・8月を除く）。駐車場の最終入庫は閉館1時間前。施設点検による長期休館を確認。</x:v>
      </x:c>
      <x:c r="L77" s="23" t="n">
        <x:v>46232</x:v>
      </x:c>
      <x:c r="M77" s="22" t="str">
        <x:v>一次確認済</x:v>
      </x:c>
      <x:c r="N77" s="22" t="str">
        <x:v>https://fure-yu.jp/access/</x:v>
      </x:c>
      <x:c r="O77" s="22" t="str">
        <x:v>横浜市の保養研修施設として整備され、港湾最奥部の大窓から横浜港と二つの大型橋を見渡せる。</x:v>
      </x:c>
      <x:c r="P77" s="22" t="e">
        <x:f>HYPERLINK("https://ja.wikipedia.org/wiki/Special:Search?search=%E6%A8%AA%E6%B5%9C%E5%B8%82%E9%AB%98%E9%BD%A2%E8%80%85%E4%BF%9D%E9%A4%8A%E7%A0%94%E4%BF%AE%E6%96%BD%E8%A8%AD%20%E3%81%B5%E3%82%8C%E3%83%BC%E3%82%86","Wikipedia・関連項目")</x:f>
      </x:c>
      <x:c r="Q77" s="22" t="str">
        <x:v>近距離代替経由地プール追加</x:v>
      </x:c>
      <x:c r="R77" s="22" t="str">
        <x:v>10〜20km</x:v>
      </x:c>
      <x:c r="S77" s="22" t="str">
        <x:v>蒲田から約15〜20km</x:v>
      </x:c>
      <x:c r="T77" s="22" t="str">
        <x:v>通常35〜55分</x:v>
      </x:c>
      <x:c r="U77" s="22" t="str">
        <x:v>雨天・入浴・港湾Story</x:v>
      </x:c>
      <x:c r="V77" s="22" t="str">
        <x:v>60〜150分</x:v>
      </x:c>
      <x:c r="W77" s="22" t="n">
        <x:v>5</x:v>
      </x:c>
      <x:c r="X77" s="22" t="n">
        <x:v>3</x:v>
      </x:c>
      <x:c r="Y77" s="22" t="str">
        <x:v>横浜港大さん橋</x:v>
      </x:c>
      <x:c r="Z77" s="22" t="str">
        <x:v>ちどり公園／横浜港シンボルタワー</x:v>
      </x:c>
      <x:c r="AA77" s="22" t="str">
        <x:v>なし</x:v>
      </x:c>
      <x:c r="AB77" s="22" t="str">
        <x:v>-</x:v>
      </x:c>
      <x:c r="AC77" s="22" t="str"/>
      <x:c r="AD77" s="22" t="str">
        <x:v>専用・路外駐車を基本</x:v>
      </x:c>
      <x:c r="AE77" s="22" t="str"/>
    </x:row>
    <x:row r="78">
      <x:c r="A78" s="22" t="str">
        <x:v>D259</x:v>
      </x:c>
      <x:c r="B78" s="22" t="str">
        <x:v>大森 海苔のふるさと館</x:v>
      </x:c>
      <x:c r="C78" s="22" t="str">
        <x:v>大田区・平和の森公園</x:v>
      </x:c>
      <x:c r="D78" s="22" t="str">
        <x:v>産業遺産・海苔・博物館Story</x:v>
      </x:c>
      <x:c r="E78" s="22" t="e">
        <x:f>HYPERLINK("https://www.google.com/maps/dir/?api=1&amp;destination=%E5%A4%A7%E6%A3%AE%20%E6%B5%B7%E8%8B%94%E3%81%AE%E3%81%B5%E3%82%8B%E3%81%95%E3%81%A8%E9%A4%A8&amp;travelmode=driving","現在地からナビ開始")</x:f>
      </x:c>
      <x:c r="F78" s="22" t="str">
        <x:v>大森の海苔養殖と加工の歴史を、実物資料と復元展示で短時間に理解できる。大森海岸ルートの物語密度を一気に上げる経由地。</x:v>
      </x:c>
      <x:c r="G78" s="22" t="str">
        <x:v>隣接する平和の森公園有料駐車場を利用</x:v>
      </x:c>
      <x:c r="H78" s="22" t="str">
        <x:v>9:00～17:00／6～8月は19:00まで</x:v>
      </x:c>
      <x:c r="I78" s="22" t="n">
        <x:v>1</x:v>
      </x:c>
      <x:c r="J78" s="22" t="n">
        <x:v>4</x:v>
      </x:c>
      <x:c r="K78" s="22" t="str">
        <x:v>第3月曜（祝日の場合は翌日）と年末年始は休館。駐車場混雑時は大森ふるさとの浜辺公園側へ切替。</x:v>
      </x:c>
      <x:c r="L78" s="23" t="n">
        <x:v>46232</x:v>
      </x:c>
      <x:c r="M78" s="22" t="str">
        <x:v>一次確認済</x:v>
      </x:c>
      <x:c r="N78" s="22" t="str">
        <x:v>https://www.city.ota.tokyo.jp/shisetsu/hakubutsukan/oomori_norinofurusatokan.html</x:v>
      </x:c>
      <x:c r="O78" s="22" t="str">
        <x:v>大森は東京湾を代表する海苔養殖地で、館内ではかつての海苔船や乾燥作業の道具を保存する。</x:v>
      </x:c>
      <x:c r="P78" s="22" t="e">
        <x:f>HYPERLINK("https://ja.wikipedia.org/wiki/Special:Search?search=%E5%A4%A7%E6%A3%AE%20%E6%B5%B7%E8%8B%94%E3%81%AE%E3%81%B5%E3%82%8B%E3%81%95%E3%81%A8%E9%A4%A8","Wikipedia・関連項目")</x:f>
      </x:c>
      <x:c r="Q78" s="22" t="str">
        <x:v>4区重点追加・大田区</x:v>
      </x:c>
      <x:c r="R78" s="22" t="str">
        <x:v>0〜10km</x:v>
      </x:c>
      <x:c r="S78" s="22" t="str">
        <x:v>蒲田から約4〜7km</x:v>
      </x:c>
      <x:c r="T78" s="22" t="str">
        <x:v>通常15〜25分</x:v>
      </x:c>
      <x:c r="U78" s="22" t="str">
        <x:v>昼・産業Story・雨天</x:v>
      </x:c>
      <x:c r="V78" s="22" t="str">
        <x:v>45〜90分</x:v>
      </x:c>
      <x:c r="W78" s="22" t="n">
        <x:v>5</x:v>
      </x:c>
      <x:c r="X78" s="22" t="n">
        <x:v>1</x:v>
      </x:c>
      <x:c r="Y78" s="22" t="str">
        <x:v>大田区立郷土博物館</x:v>
      </x:c>
      <x:c r="Z78" s="22" t="str">
        <x:v>大森ふるさとの浜辺公園／平和の森公園</x:v>
      </x:c>
      <x:c r="AA78" s="22" t="str">
        <x:v>なし</x:v>
      </x:c>
      <x:c r="AB78" s="22" t="str">
        <x:v>-</x:v>
      </x:c>
      <x:c r="AC78" s="22" t="str"/>
      <x:c r="AD78" s="22" t="str">
        <x:v>専用・路外駐車を基本</x:v>
      </x:c>
      <x:c r="AE78" s="22" t="str"/>
    </x:row>
    <x:row r="79">
      <x:c r="A79" s="22" t="str">
        <x:v>D260</x:v>
      </x:c>
      <x:c r="B79" s="22" t="str">
        <x:v>萩中公園</x:v>
      </x:c>
      <x:c r="C79" s="22" t="str">
        <x:v>大田区・萩中</x:v>
      </x:c>
      <x:c r="D79" s="22" t="str">
        <x:v>交通公園・SL・プール・家族Story</x:v>
      </x:c>
      <x:c r="E79" s="22" t="e">
        <x:f>HYPERLINK("https://www.google.com/maps/dir/?api=1&amp;destination=%E8%90%A9%E4%B8%AD%E5%85%AC%E5%9C%92&amp;travelmode=driving","現在地からナビ開始")</x:f>
      </x:c>
      <x:c r="F79" s="22" t="str">
        <x:v>蒸気機関車や路面電車、交通公園、屋内外プールがまとまり、飛行機以外の羽田周辺Storyを作れる近距離の大型公園。</x:v>
      </x:c>
      <x:c r="G79" s="22" t="str">
        <x:v>一般用45台（平日）／63台（休日）＋身障者用2台・普通車30分100円・24時間</x:v>
      </x:c>
      <x:c r="H79" s="22" t="str">
        <x:v>公園・駐車場24時間／児童交通公園貸出9:00～16:00／ガラクタ公園9:00～17:00／ローラースケート場8:30～20:00</x:v>
      </x:c>
      <x:c r="I79" s="22" t="n">
        <x:v>4</x:v>
      </x:c>
      <x:c r="J79" s="22" t="n">
        <x:v>3</x:v>
      </x:c>
      <x:c r="K79" s="22" t="str">
        <x:v>夜間は公園・駐車のみ成立し、保存車両・交通公園・遊具Storyは17時までが主力。土日祝は駐車場混雑。プール利用者専用駐車場ではない。</x:v>
      </x:c>
      <x:c r="L79" s="23" t="n">
        <x:v>46232</x:v>
      </x:c>
      <x:c r="M79" s="22" t="str">
        <x:v>一次確認済</x:v>
      </x:c>
      <x:c r="N79" s="22" t="str">
        <x:v>https://www.city.ota.tokyo.jp/shisetsu/park/haginaka.html</x:v>
      </x:c>
      <x:c r="O79" s="22" t="str">
        <x:v>園内には蒸気機関車と都電車両が保存され、戦後の交通史を身近に感じられる。</x:v>
      </x:c>
      <x:c r="P79" s="22" t="e">
        <x:f>HYPERLINK("https://ja.wikipedia.org/wiki/Special:Search?search=%E8%90%A9%E4%B8%AD%E5%85%AC%E5%9C%92","Wikipedia・関連項目")</x:f>
      </x:c>
      <x:c r="Q79" s="22" t="str">
        <x:v>2026-07-29公式再確認：駐車場24時間、一般45/63台＋身障者2台、交通公園・ガラクタ公園・スケート場の個別時間を分離。</x:v>
      </x:c>
      <x:c r="R79" s="22" t="str">
        <x:v>0〜10km</x:v>
      </x:c>
      <x:c r="S79" s="22" t="str">
        <x:v>蒲田から約3〜6km</x:v>
      </x:c>
      <x:c r="T79" s="22" t="str">
        <x:v>通常10〜20分</x:v>
      </x:c>
      <x:c r="U79" s="22" t="str">
        <x:v>家族・交通Story・短時間</x:v>
      </x:c>
      <x:c r="V79" s="22" t="str">
        <x:v>30〜120分</x:v>
      </x:c>
      <x:c r="W79" s="22" t="n">
        <x:v>3</x:v>
      </x:c>
      <x:c r="X79" s="22" t="n">
        <x:v>2</x:v>
      </x:c>
      <x:c r="Y79" s="22" t="str">
        <x:v>東糀谷防災公園</x:v>
      </x:c>
      <x:c r="Z79" s="22" t="str">
        <x:v>HANEDA INNOVATION CITY 足湯スカイデッキ／穴守稲荷神社</x:v>
      </x:c>
      <x:c r="AA79" s="22" t="str">
        <x:v>なし</x:v>
      </x:c>
      <x:c r="AB79" s="22" t="str">
        <x:v>-</x:v>
      </x:c>
      <x:c r="AC79" s="22" t="str"/>
      <x:c r="AD79" s="22" t="str">
        <x:v>専用・路外駐車を基本</x:v>
      </x:c>
      <x:c r="AE79" s="22" t="str"/>
    </x:row>
    <x:row r="80">
      <x:c r="A80" s="22" t="str">
        <x:v>D261</x:v>
      </x:c>
      <x:c r="B80" s="22" t="str">
        <x:v>大田区立郷土博物館</x:v>
      </x:c>
      <x:c r="C80" s="22" t="str">
        <x:v>大田区・南馬込</x:v>
      </x:c>
      <x:c r="D80" s="22" t="str">
        <x:v>郷土史・考古・民俗・雨天</x:v>
      </x:c>
      <x:c r="E80" s="22" t="e">
        <x:f>HYPERLINK("https://www.google.com/maps/dir/?api=1&amp;destination=%E5%A4%A7%E7%94%B0%E5%8C%BA%E7%AB%8B%E9%83%B7%E5%9C%9F%E5%8D%9A%E7%89%A9%E9%A4%A8&amp;travelmode=driving","現在地からナビ開始")</x:f>
      </x:c>
      <x:c r="F80" s="22" t="str">
        <x:v>大田区の地形、古墳、馬込文士村、海苔産業まで横断できる。Project CruiseのStory Layerを補強する雨天向け拠点。</x:v>
      </x:c>
      <x:c r="G80" s="22" t="str">
        <x:v>敷地内約6台・無料</x:v>
      </x:c>
      <x:c r="H80" s="22" t="str">
        <x:v>9:00～17:00</x:v>
      </x:c>
      <x:c r="I80" s="22" t="n">
        <x:v>1</x:v>
      </x:c>
      <x:c r="J80" s="22" t="n">
        <x:v>4</x:v>
      </x:c>
      <x:c r="K80" s="22" t="str">
        <x:v>月曜・年末年始等休館。2026年11月30日～2027年3月31日は改修休館予定。駐車台数が少ないため満車時は周辺民間駐車場へ。</x:v>
      </x:c>
      <x:c r="L80" s="23" t="n">
        <x:v>46232</x:v>
      </x:c>
      <x:c r="M80" s="22" t="str">
        <x:v>一次確認済</x:v>
      </x:c>
      <x:c r="N80" s="22" t="str">
        <x:v>https://www.city.ota.tokyo.jp/seikatsu/manabu/hakubutsukan/R8_kyoudohakubutsukan_annai.html</x:v>
      </x:c>
      <x:c r="O80" s="22" t="str">
        <x:v>馬込文士村や大森貝塚、古墳群など、大田区の複数の歴史層をまとめて扱う地域博物館。</x:v>
      </x:c>
      <x:c r="P80" s="22" t="e">
        <x:f>HYPERLINK("https://ja.wikipedia.org/wiki/Special:Search?search=%E5%A4%A7%E7%94%B0%E5%8C%BA%E7%AB%8B%E9%83%B7%E5%9C%9F%E5%8D%9A%E7%89%A9%E9%A4%A8","Wikipedia・関連項目")</x:f>
      </x:c>
      <x:c r="Q80" s="22" t="str">
        <x:v>4区重点追加・大田区</x:v>
      </x:c>
      <x:c r="R80" s="22" t="str">
        <x:v>0〜10km</x:v>
      </x:c>
      <x:c r="S80" s="22" t="str">
        <x:v>蒲田から約5〜8km</x:v>
      </x:c>
      <x:c r="T80" s="22" t="str">
        <x:v>通常15〜30分</x:v>
      </x:c>
      <x:c r="U80" s="22" t="str">
        <x:v>雨天・歴史Story・昼</x:v>
      </x:c>
      <x:c r="V80" s="22" t="str">
        <x:v>45〜90分</x:v>
      </x:c>
      <x:c r="W80" s="22" t="n">
        <x:v>5</x:v>
      </x:c>
      <x:c r="X80" s="22" t="n">
        <x:v>1</x:v>
      </x:c>
      <x:c r="Y80" s="22" t="str">
        <x:v>品川歴史館</x:v>
      </x:c>
      <x:c r="Z80" s="22" t="str">
        <x:v>池上梅園／大森 海苔のふるさと館</x:v>
      </x:c>
      <x:c r="AA80" s="22" t="str">
        <x:v>なし</x:v>
      </x:c>
      <x:c r="AB80" s="22" t="str">
        <x:v>-</x:v>
      </x:c>
      <x:c r="AC80" s="22" t="str"/>
      <x:c r="AD80" s="22" t="str">
        <x:v>専用・路外駐車を基本</x:v>
      </x:c>
      <x:c r="AE80" s="22" t="str"/>
    </x:row>
    <x:row r="81">
      <x:c r="A81" s="22" t="str">
        <x:v>D262</x:v>
      </x:c>
      <x:c r="B81" s="22" t="str">
        <x:v>昭和島二丁目公園</x:v>
      </x:c>
      <x:c r="C81" s="22" t="str">
        <x:v>大田区・昭和島</x:v>
      </x:c>
      <x:c r="D81" s="22" t="str">
        <x:v>工業島・運河・スポーツ・行き止まり</x:v>
      </x:c>
      <x:c r="E81" s="22" t="e">
        <x:f>HYPERLINK("https://www.google.com/maps/dir/?api=1&amp;destination=%E6%98%AD%E5%92%8C%E5%B3%B6%E4%BA%8C%E4%B8%81%E7%9B%AE%E5%85%AC%E5%9C%92&amp;travelmode=driving","現在地からナビ開始")</x:f>
      </x:c>
      <x:c r="F81" s="22" t="str">
        <x:v>工業専用島の奥まで走る到達感があり、運河、モノレール、工場の気配を近距離で味わえる。羽田系とは違う産業景観の終点。</x:v>
      </x:c>
      <x:c r="G81" s="22" t="str">
        <x:v>43台（身障者用1台含む）・30分100円</x:v>
      </x:c>
      <x:c r="H81" s="22" t="str">
        <x:v>2～11月6:30～22:00／12～1月7:30～21:00</x:v>
      </x:c>
      <x:c r="I81" s="22" t="n">
        <x:v>4</x:v>
      </x:c>
      <x:c r="J81" s="22" t="n">
        <x:v>5</x:v>
      </x:c>
      <x:c r="K81" s="22" t="str">
        <x:v>年末年始休場。競技利用・工事で混雑する場合あり。工場敷地や岸壁へ入らない。閉場後は出庫不可。</x:v>
      </x:c>
      <x:c r="L81" s="23" t="n">
        <x:v>46232</x:v>
      </x:c>
      <x:c r="M81" s="22" t="str">
        <x:v>一次確認済</x:v>
      </x:c>
      <x:c r="N81" s="22" t="str">
        <x:v>https://www.city.ota.tokyo.jp/shisetsu/park/shouwajima_ryokudou.html</x:v>
      </x:c>
      <x:c r="O81" s="22" t="str">
        <x:v>昭和島は東京湾の埋立地で、機械・金属加工などの工場が集積する工業島として整備された。</x:v>
      </x:c>
      <x:c r="P81" s="22" t="e">
        <x:f>HYPERLINK("https://ja.wikipedia.org/wiki/Special:Search?search=%E6%98%AD%E5%92%8C%E5%B3%B6%E4%BA%8C%E4%B8%81%E7%9B%AE%E5%85%AC%E5%9C%92","Wikipedia・関連項目")</x:f>
      </x:c>
      <x:c r="Q81" s="22" t="str">
        <x:v>4区重点追加・大田区</x:v>
      </x:c>
      <x:c r="R81" s="22" t="str">
        <x:v>0〜10km</x:v>
      </x:c>
      <x:c r="S81" s="22" t="str">
        <x:v>蒲田から約7〜10km</x:v>
      </x:c>
      <x:c r="T81" s="22" t="str">
        <x:v>通常20〜35分</x:v>
      </x:c>
      <x:c r="U81" s="22" t="str">
        <x:v>夕方・産業景観・穴場</x:v>
      </x:c>
      <x:c r="V81" s="22" t="str">
        <x:v>20〜50分</x:v>
      </x:c>
      <x:c r="W81" s="22" t="n">
        <x:v>1</x:v>
      </x:c>
      <x:c r="X81" s="22" t="n">
        <x:v>3</x:v>
      </x:c>
      <x:c r="Y81" s="22" t="str">
        <x:v>京浜島つばさ公園</x:v>
      </x:c>
      <x:c r="Z81" s="22" t="str">
        <x:v>大森 海苔のふるさと館／大井ふ頭中央海浜公園</x:v>
      </x:c>
      <x:c r="AA81" s="22" t="str">
        <x:v>なし</x:v>
      </x:c>
      <x:c r="AB81" s="22" t="str">
        <x:v>-</x:v>
      </x:c>
      <x:c r="AC81" s="22" t="str"/>
      <x:c r="AD81" s="22" t="str">
        <x:v>専用・路外駐車を基本</x:v>
      </x:c>
      <x:c r="AE81" s="22" t="str"/>
    </x:row>
    <x:row r="82">
      <x:c r="A82" s="22" t="str">
        <x:v>D263</x:v>
      </x:c>
      <x:c r="B82" s="22" t="str">
        <x:v>東糀谷防災公園</x:v>
      </x:c>
      <x:c r="C82" s="22" t="str">
        <x:v>大田区・東糀谷</x:v>
      </x:c>
      <x:c r="D82" s="22" t="str">
        <x:v>防災公園・ビオトープ・都市インフラ</x:v>
      </x:c>
      <x:c r="E82" s="22" t="e">
        <x:f>HYPERLINK("https://www.google.com/maps/dir/?api=1&amp;destination=%E6%9D%B1%E7%B3%80%E8%B0%B7%E9%98%B2%E7%81%BD%E5%85%AC%E5%9C%92&amp;travelmode=driving","現在地からナビ開始")</x:f>
      </x:c>
      <x:c r="F82" s="22" t="str">
        <x:v>24時間駐車できる小規模防災公園で、羽田周辺の短時間経由地として使いやすい。防災設備とビオトープという明確なStoryがある。</x:v>
      </x:c>
      <x:c r="G82" s="22" t="str">
        <x:v>一般用9台＋身障者用1台・30分100円・24時間</x:v>
      </x:c>
      <x:c r="H82" s="22" t="str">
        <x:v>公園・駐車場24時間</x:v>
      </x:c>
      <x:c r="I82" s="22" t="n">
        <x:v>4</x:v>
      </x:c>
      <x:c r="J82" s="22" t="n">
        <x:v>5</x:v>
      </x:c>
      <x:c r="K82" s="22" t="str">
        <x:v>駐車枠は合計10台だが一般枠は9台。満車時は待たずに萩中公園またはHICへ切替。災害時は防災拠点として一般利用制限の可能性あり。</x:v>
      </x:c>
      <x:c r="L82" s="23" t="n">
        <x:v>46232</x:v>
      </x:c>
      <x:c r="M82" s="22" t="str">
        <x:v>一次確認済</x:v>
      </x:c>
      <x:c r="N82" s="22" t="str">
        <x:v>https://www.city.ota.tokyo.jp/shisetsu/park/higasikoujiyabousai.html</x:v>
      </x:c>
      <x:c r="O82" s="22" t="str">
        <x:v>大田区で初めて防災機能を前面に設計した公園で、かまどベンチやマンホールトイレなどを備える。</x:v>
      </x:c>
      <x:c r="P82" s="22" t="e">
        <x:f>HYPERLINK("https://ja.wikipedia.org/wiki/Special:Search?search=%E6%9D%B1%E7%B3%80%E8%B0%B7%E9%98%B2%E7%81%BD%E5%85%AC%E5%9C%92","Wikipedia・関連項目")</x:f>
      </x:c>
      <x:c r="Q82" s="22" t="str">
        <x:v>2026-07-29公式再確認：一般9台＋身障者1台、24時間、30分100円を明記。</x:v>
      </x:c>
      <x:c r="R82" s="22" t="str">
        <x:v>0〜10km</x:v>
      </x:c>
      <x:c r="S82" s="22" t="str">
        <x:v>蒲田から約4〜7km</x:v>
      </x:c>
      <x:c r="T82" s="22" t="str">
        <x:v>通常15〜25分</x:v>
      </x:c>
      <x:c r="U82" s="22" t="str">
        <x:v>深夜短時間・防災Story</x:v>
      </x:c>
      <x:c r="V82" s="22" t="str">
        <x:v>15〜35分</x:v>
      </x:c>
      <x:c r="W82" s="22" t="n">
        <x:v>1</x:v>
      </x:c>
      <x:c r="X82" s="22" t="n">
        <x:v>3</x:v>
      </x:c>
      <x:c r="Y82" s="22" t="str">
        <x:v>萩中公園</x:v>
      </x:c>
      <x:c r="Z82" s="22" t="str">
        <x:v>HANEDA INNOVATION CITY 足湯スカイデッキ／森ケ崎公園</x:v>
      </x:c>
      <x:c r="AA82" s="22" t="str">
        <x:v>なし</x:v>
      </x:c>
      <x:c r="AB82" s="22" t="str">
        <x:v>-</x:v>
      </x:c>
      <x:c r="AC82" s="22" t="str"/>
      <x:c r="AD82" s="22" t="str">
        <x:v>専用・路外駐車を基本</x:v>
      </x:c>
      <x:c r="AE82" s="22" t="str"/>
    </x:row>
    <x:row r="83">
      <x:c r="A83" s="22" t="str">
        <x:v>D264</x:v>
      </x:c>
      <x:c r="B83" s="22" t="str">
        <x:v>品川区立 品川歴史館</x:v>
      </x:c>
      <x:c r="C83" s="22" t="str">
        <x:v>品川区・大井</x:v>
      </x:c>
      <x:c r="D83" s="22" t="str">
        <x:v>東海道・大森貝塚・地域史・雨天</x:v>
      </x:c>
      <x:c r="E83" s="22" t="e">
        <x:f>HYPERLINK("https://www.google.com/maps/dir/?api=1&amp;destination=%E5%93%81%E5%B7%9D%E5%8C%BA%E7%AB%8B%20%E5%93%81%E5%B7%9D%E6%AD%B4%E5%8F%B2%E9%A4%A8&amp;travelmode=driving","現在地からナビ開始")</x:f>
      </x:c>
      <x:c r="F83" s="22" t="str">
        <x:v>東海道品川宿、大森貝塚、品川の地形と産業を一館で理解できる。大田区から近い雨天Story経由地として優秀。</x:v>
      </x:c>
      <x:c r="G83" s="22" t="str">
        <x:v>玄関前3台・無料</x:v>
      </x:c>
      <x:c r="H83" s="22" t="str">
        <x:v>9:00～17:00／入館16:30まで</x:v>
      </x:c>
      <x:c r="I83" s="22" t="n">
        <x:v>1</x:v>
      </x:c>
      <x:c r="J83" s="22" t="n">
        <x:v>4</x:v>
      </x:c>
      <x:c r="K83" s="22" t="str">
        <x:v>月曜・年末年始休館。駐車は3台のみで館利用者限定。満車時は大井町・大森周辺の時間貸し駐車場へ切替。</x:v>
      </x:c>
      <x:c r="L83" s="23" t="n">
        <x:v>46232</x:v>
      </x:c>
      <x:c r="M83" s="22" t="str">
        <x:v>一次確認済</x:v>
      </x:c>
      <x:c r="N83" s="22" t="str">
        <x:v>https://www.city.shinagawa.tokyo.jp/jigyo/06/historyhp/raikan/raikan.html</x:v>
      </x:c>
      <x:c r="O83" s="22" t="str">
        <x:v>1985年開館、2024年に全面改修を終え、原始から現代までの品川の歴史を模型・映像で再構成した。</x:v>
      </x:c>
      <x:c r="P83" s="22" t="e">
        <x:f>HYPERLINK("https://ja.wikipedia.org/wiki/Special:Search?search=%E5%93%81%E5%B7%9D%E5%8C%BA%E7%AB%8B%20%E5%93%81%E5%B7%9D%E6%AD%B4%E5%8F%B2%E9%A4%A8","Wikipedia・関連項目")</x:f>
      </x:c>
      <x:c r="Q83" s="22" t="str">
        <x:v>4区重点追加・品川区</x:v>
      </x:c>
      <x:c r="R83" s="22" t="str">
        <x:v>0〜10km</x:v>
      </x:c>
      <x:c r="S83" s="22" t="str">
        <x:v>蒲田から約6〜9km</x:v>
      </x:c>
      <x:c r="T83" s="22" t="str">
        <x:v>通常15〜30分</x:v>
      </x:c>
      <x:c r="U83" s="22" t="str">
        <x:v>雨天・東海道Story・昼</x:v>
      </x:c>
      <x:c r="V83" s="22" t="str">
        <x:v>45〜90分</x:v>
      </x:c>
      <x:c r="W83" s="22" t="n">
        <x:v>5</x:v>
      </x:c>
      <x:c r="X83" s="22" t="n">
        <x:v>1</x:v>
      </x:c>
      <x:c r="Y83" s="22" t="str">
        <x:v>大田区立郷土博物館</x:v>
      </x:c>
      <x:c r="Z83" s="22" t="str">
        <x:v>しながわ区民公園／大井競馬場</x:v>
      </x:c>
      <x:c r="AA83" s="22" t="str">
        <x:v>なし</x:v>
      </x:c>
      <x:c r="AB83" s="22" t="str">
        <x:v>-</x:v>
      </x:c>
      <x:c r="AC83" s="22" t="str"/>
      <x:c r="AD83" s="22" t="str">
        <x:v>専用・路外駐車を基本</x:v>
      </x:c>
      <x:c r="AE83" s="22" t="str"/>
    </x:row>
    <x:row r="84">
      <x:c r="A84" s="22" t="str">
        <x:v>D265</x:v>
      </x:c>
      <x:c r="B84" s="22" t="str">
        <x:v>天王洲公園</x:v>
      </x:c>
      <x:c r="C84" s="22" t="str">
        <x:v>品川区・東品川</x:v>
      </x:c>
      <x:c r="D84" s="22" t="str">
        <x:v>運河・倉庫街・スポーツ・アート街区</x:v>
      </x:c>
      <x:c r="E84" s="22" t="e">
        <x:f>HYPERLINK("https://www.google.com/maps/dir/?api=1&amp;destination=%E5%A4%A9%E7%8E%8B%E6%B4%B2%E5%85%AC%E5%9C%92&amp;travelmode=driving","現在地からナビ開始")</x:f>
      </x:c>
      <x:c r="F84" s="22" t="str">
        <x:v>天王洲運河と倉庫街再生の空気を味わえ、都心湾岸へ入る前の短時間経由地として使える。夜は橋・運河・高層建築の対比が出る。</x:v>
      </x:c>
      <x:c r="G84" s="22" t="str">
        <x:v>有料駐車場あり・台数は公式案内で当日確認</x:v>
      </x:c>
      <x:c r="H84" s="22" t="str">
        <x:v>公園常時／スポーツ施設は概ね7:00～21:00</x:v>
      </x:c>
      <x:c r="I84" s="22" t="n">
        <x:v>4</x:v>
      </x:c>
      <x:c r="J84" s="22" t="n">
        <x:v>3</x:v>
      </x:c>
      <x:c r="K84" s="22" t="str">
        <x:v>イベント・大会日は駐車混雑。運河沿いは強風時に体感が悪化。アート施設や店舗の営業時間は個別確認。</x:v>
      </x:c>
      <x:c r="L84" s="23" t="n">
        <x:v>46232</x:v>
      </x:c>
      <x:c r="M84" s="22" t="str">
        <x:v>一次確認済</x:v>
      </x:c>
      <x:c r="N84" s="22" t="str">
        <x:v>https://www.city.shinagawa.tokyo.jp/PC/sangyo/sangyo-bunka/sangyo-bunka-kakushisetsu/sangyo-bunka-kakushisetsu-kouen/hpg000006479.html</x:v>
      </x:c>
      <x:c r="O84" s="22" t="str">
        <x:v>物流倉庫街だった天王洲は、運河沿いの再開発とアート施設の集積で文化地区へ転換した。</x:v>
      </x:c>
      <x:c r="P84" s="22" t="e">
        <x:f>HYPERLINK("https://ja.wikipedia.org/wiki/Special:Search?search=%E5%A4%A9%E7%8E%8B%E6%B4%B2%E5%85%AC%E5%9C%92","Wikipedia・関連項目")</x:f>
      </x:c>
      <x:c r="Q84" s="22" t="str">
        <x:v>4区重点追加・品川区</x:v>
      </x:c>
      <x:c r="R84" s="22" t="str">
        <x:v>10〜20km</x:v>
      </x:c>
      <x:c r="S84" s="22" t="str">
        <x:v>蒲田から約10〜14km</x:v>
      </x:c>
      <x:c r="T84" s="22" t="str">
        <x:v>通常25〜40分</x:v>
      </x:c>
      <x:c r="U84" s="22" t="str">
        <x:v>夜・運河・建築・アート</x:v>
      </x:c>
      <x:c r="V84" s="22" t="str">
        <x:v>20〜60分</x:v>
      </x:c>
      <x:c r="W84" s="22" t="n">
        <x:v>2</x:v>
      </x:c>
      <x:c r="X84" s="22" t="n">
        <x:v>2</x:v>
      </x:c>
      <x:c r="Y84" s="22" t="str">
        <x:v>東品川海上公園</x:v>
      </x:c>
      <x:c r="Z84" s="22" t="str">
        <x:v>品川シーズンテラス／八潮北公園</x:v>
      </x:c>
      <x:c r="AA84" s="22" t="str">
        <x:v>東品川1丁目 時間制限駐車区間</x:v>
      </x:c>
      <x:c r="AB84" s="22" t="str">
        <x:v>B</x:v>
      </x:c>
      <x:c r="AC84" s="22" t="str">
        <x:v>概ね9:00～19:00。制限時間・手数料・休日条件は現地標識を確認。</x:v>
      </x:c>
      <x:c r="AD84" s="22" t="str">
        <x:v>昼の短時間散策・橋や運河の撮影のみ。夜間と長時間滞在は路外駐車。</x:v>
      </x:c>
      <x:c r="AE84" s="22" t="str">
        <x:v>白線枠・稼働表示・駐車禁止併設標識・工事休止を現地確認。</x:v>
      </x:c>
    </x:row>
    <x:row r="85">
      <x:c r="A85" s="22" t="str">
        <x:v>D266</x:v>
      </x:c>
      <x:c r="B85" s="22" t="str">
        <x:v>八潮北公園</x:v>
      </x:c>
      <x:c r="C85" s="22" t="str">
        <x:v>品川区・八潮</x:v>
      </x:c>
      <x:c r="D85" s="22" t="str">
        <x:v>スケート・湾岸高架・工業景観</x:v>
      </x:c>
      <x:c r="E85" s="22" t="e">
        <x:f>HYPERLINK("https://www.google.com/maps/dir/?api=1&amp;destination=%E5%85%AB%E6%BD%AE%E5%8C%97%E5%85%AC%E5%9C%92&amp;travelmode=driving","現在地からナビ開始")</x:f>
      </x:c>
      <x:c r="F85" s="22" t="str">
        <x:v>首都高と物流街区の下でスケート施設や運動施設が成立する、東京湾岸らしい都市インフラ型の穴場経由地。</x:v>
      </x:c>
      <x:c r="G85" s="22" t="str">
        <x:v>有料駐車場あり・台数は公式案内で当日確認</x:v>
      </x:c>
      <x:c r="H85" s="22" t="str">
        <x:v>概ね7:00～21:00／施設ごとに異なる</x:v>
      </x:c>
      <x:c r="I85" s="22" t="n">
        <x:v>4</x:v>
      </x:c>
      <x:c r="J85" s="22" t="n">
        <x:v>5</x:v>
      </x:c>
      <x:c r="K85" s="22" t="str">
        <x:v>スケート場・球技利用で混雑。施設休場日と大会予定を確認。夜間は利用範囲と照明区域を守る。</x:v>
      </x:c>
      <x:c r="L85" s="23" t="n">
        <x:v>46232</x:v>
      </x:c>
      <x:c r="M85" s="22" t="str">
        <x:v>一次確認済</x:v>
      </x:c>
      <x:c r="N85" s="22" t="str">
        <x:v>https://www.city.shinagawa.tokyo.jp/PC/sangyo/sangyo-bunka/sangyo-bunka-kakushisetsu/sangyo-bunka-kakushisetsu-kouen/hpg000006479.html</x:v>
      </x:c>
      <x:c r="O85" s="22" t="str">
        <x:v>八潮は東京湾の埋立地に計画された住宅・物流地区で、高架道路と公園が近接する独特の都市景観を持つ。</x:v>
      </x:c>
      <x:c r="P85" s="22" t="e">
        <x:f>HYPERLINK("https://ja.wikipedia.org/wiki/Special:Search?search=%E5%85%AB%E6%BD%AE%E5%8C%97%E5%85%AC%E5%9C%92","Wikipedia・関連項目")</x:f>
      </x:c>
      <x:c r="Q85" s="22" t="str">
        <x:v>4区重点追加・品川区</x:v>
      </x:c>
      <x:c r="R85" s="22" t="str">
        <x:v>10〜20km</x:v>
      </x:c>
      <x:c r="S85" s="22" t="str">
        <x:v>蒲田から約9〜13km</x:v>
      </x:c>
      <x:c r="T85" s="22" t="str">
        <x:v>通常20〜40分</x:v>
      </x:c>
      <x:c r="U85" s="22" t="str">
        <x:v>夜・都市インフラ・穴場</x:v>
      </x:c>
      <x:c r="V85" s="22" t="str">
        <x:v>20〜50分</x:v>
      </x:c>
      <x:c r="W85" s="22" t="n">
        <x:v>1</x:v>
      </x:c>
      <x:c r="X85" s="22" t="n">
        <x:v>3</x:v>
      </x:c>
      <x:c r="Y85" s="22" t="str">
        <x:v>大井ふ頭中央海浜公園</x:v>
      </x:c>
      <x:c r="Z85" s="22" t="str">
        <x:v>天王洲公園／品川シーズンテラス</x:v>
      </x:c>
      <x:c r="AA85" s="22" t="str">
        <x:v>なし</x:v>
      </x:c>
      <x:c r="AB85" s="22" t="str">
        <x:v>-</x:v>
      </x:c>
      <x:c r="AC85" s="22" t="str"/>
      <x:c r="AD85" s="22" t="str">
        <x:v>専用・路外駐車を基本</x:v>
      </x:c>
      <x:c r="AE85" s="22" t="str"/>
    </x:row>
    <x:row r="86">
      <x:c r="A86" s="22" t="str">
        <x:v>D267</x:v>
      </x:c>
      <x:c r="B86" s="22" t="str">
        <x:v>東京シティ競馬 大井競馬場</x:v>
      </x:c>
      <x:c r="C86" s="22" t="str">
        <x:v>品川区・勝島</x:v>
      </x:c>
      <x:c r="D86" s="22" t="str">
        <x:v>ナイター競馬・照明・昭和娯楽Story</x:v>
      </x:c>
      <x:c r="E86" s="22" t="e">
        <x:f>HYPERLINK("https://www.google.com/maps/dir/?api=1&amp;destination=%E6%9D%B1%E4%BA%AC%E3%82%B7%E3%83%86%E3%82%A3%E7%AB%B6%E9%A6%AC%20%E5%A4%A7%E4%BA%95%E7%AB%B6%E9%A6%AC%E5%A0%B4&amp;travelmode=driving","現在地からナビ開始")</x:f>
      </x:c>
      <x:c r="F86" s="22" t="str">
        <x:v>照明、歓声、厩舎文化、運河沿いの巨大施設が一体となる。開催日は単なる観光地ではない強い夜の最終目的地になる。</x:v>
      </x:c>
      <x:c r="G86" s="22" t="str">
        <x:v>開催日の一般車駐車場・通常2,000円／特定繁忙日3,000円・予約制の場合あり</x:v>
      </x:c>
      <x:c r="H86" s="22" t="str">
        <x:v>開催日・開門時刻・最終競走は公式開催案内による</x:v>
      </x:c>
      <x:c r="I86" s="22" t="n">
        <x:v>5</x:v>
      </x:c>
      <x:c r="J86" s="22" t="n">
        <x:v>2</x:v>
      </x:c>
      <x:c r="K86" s="22" t="str">
        <x:v>非開催日は目的地として成立しにくい。繁忙日は完全予約制や料金変更あり。飲酒運転厳禁。</x:v>
      </x:c>
      <x:c r="L86" s="23" t="n">
        <x:v>46232</x:v>
      </x:c>
      <x:c r="M86" s="22" t="str">
        <x:v>一次確認済</x:v>
      </x:c>
      <x:c r="N86" s="22" t="str">
        <x:v>https://www.tokyocitykeiba.com/</x:v>
      </x:c>
      <x:c r="O86" s="22" t="str">
        <x:v>大井競馬場は『東京シティ競馬』の名称で夜間開催を定着させ、都市型ナイター競馬の代表例になった。</x:v>
      </x:c>
      <x:c r="P86" s="22" t="e">
        <x:f>HYPERLINK("https://ja.wikipedia.org/wiki/Special:Search?search=%E6%9D%B1%E4%BA%AC%E3%82%B7%E3%83%86%E3%82%A3%E7%AB%B6%E9%A6%AC%20%E5%A4%A7%E4%BA%95%E7%AB%B6%E9%A6%AC%E5%A0%B4","Wikipedia・関連項目")</x:f>
      </x:c>
      <x:c r="Q86" s="22" t="str">
        <x:v>4区重点追加・品川区</x:v>
      </x:c>
      <x:c r="R86" s="22" t="str">
        <x:v>0〜10km</x:v>
      </x:c>
      <x:c r="S86" s="22" t="str">
        <x:v>蒲田から約7〜10km</x:v>
      </x:c>
      <x:c r="T86" s="22" t="str">
        <x:v>通常20〜35分</x:v>
      </x:c>
      <x:c r="U86" s="22" t="str">
        <x:v>開催日夜・照明・娯楽Story</x:v>
      </x:c>
      <x:c r="V86" s="22" t="str">
        <x:v>90〜180分</x:v>
      </x:c>
      <x:c r="W86" s="22" t="n">
        <x:v>3</x:v>
      </x:c>
      <x:c r="X86" s="22" t="n">
        <x:v>2</x:v>
      </x:c>
      <x:c r="Y86" s="22" t="str">
        <x:v>しながわ区民公園</x:v>
      </x:c>
      <x:c r="Z86" s="22" t="str">
        <x:v>品川歴史館／大井ふ頭中央海浜公園</x:v>
      </x:c>
      <x:c r="AA86" s="22" t="str">
        <x:v>なし</x:v>
      </x:c>
      <x:c r="AB86" s="22" t="str">
        <x:v>-</x:v>
      </x:c>
      <x:c r="AC86" s="22" t="str"/>
      <x:c r="AD86" s="22" t="str">
        <x:v>専用・路外駐車を基本</x:v>
      </x:c>
      <x:c r="AE86" s="22" t="str"/>
    </x:row>
    <x:row r="87">
      <x:c r="A87" s="22" t="str">
        <x:v>D268</x:v>
      </x:c>
      <x:c r="B87" s="22" t="str">
        <x:v>東京タワー</x:v>
      </x:c>
      <x:c r="C87" s="22" t="str">
        <x:v>港区・芝公園</x:v>
      </x:c>
      <x:c r="D87" s="22" t="str">
        <x:v>展望・建築・放送塔Story・夜景</x:v>
      </x:c>
      <x:c r="E87" s="22" t="e">
        <x:f>HYPERLINK("https://www.google.com/maps/dir/?api=1&amp;destination=%E6%9D%B1%E4%BA%AC%E3%82%BF%E3%83%AF%E3%83%BC&amp;travelmode=driving","現在地からナビ開始")</x:f>
      </x:c>
      <x:c r="F87" s="22" t="str">
        <x:v>大田区から1時間以内で、東京の象徴的建築と360度夜景を確実に回収できる。王道だが最終目的地力は非常に高い。</x:v>
      </x:c>
      <x:c r="G87" s="22" t="str">
        <x:v>地上駐車場を利用・最初の1時間800円、以降30分400円／地下駐車場はメンテナンスのため営業見合わせ中</x:v>
      </x:c>
      <x:c r="H87" s="22" t="str">
        <x:v>メインデッキ9:00～23:00（最終22:30）／駐車場は現地案内を優先</x:v>
      </x:c>
      <x:c r="I87" s="22" t="n">
        <x:v>5</x:v>
      </x:c>
      <x:c r="J87" s="22" t="n">
        <x:v>1</x:v>
      </x:c>
      <x:c r="K87" s="22" t="str">
        <x:v>地下駐車場は2026年6月1日以降、営業見合わせ中。地上駐車場満車時は近隣駐車場へ。最終入場22:30を過ぎたら外観鑑賞ルートへ変更。</x:v>
      </x:c>
      <x:c r="L87" s="23" t="n">
        <x:v>46232</x:v>
      </x:c>
      <x:c r="M87" s="22" t="str">
        <x:v>一次確認済</x:v>
      </x:c>
      <x:c r="N87" s="22" t="str">
        <x:v>https://www.tokyotower.co.jp/information/20260601000623/</x:v>
      </x:c>
      <x:c r="O87" s="22" t="str">
        <x:v>1958年完成、高さ333mの総合電波塔で、戦後東京の復興と放送技術の象徴になった。</x:v>
      </x:c>
      <x:c r="P87" s="22" t="e">
        <x:f>HYPERLINK("https://ja.wikipedia.org/wiki/Special:Search?search=%E6%9D%B1%E4%BA%AC%E3%82%BF%E3%83%AF%E3%83%BC","Wikipedia・関連項目")</x:f>
      </x:c>
      <x:c r="Q87" s="22" t="str">
        <x:v>2026-07-29公式再確認：地下駐車場の営業見合わせをOperational Truthとして独立管理。</x:v>
      </x:c>
      <x:c r="R87" s="22" t="str">
        <x:v>10〜20km</x:v>
      </x:c>
      <x:c r="S87" s="22" t="str">
        <x:v>蒲田から約13〜17km</x:v>
      </x:c>
      <x:c r="T87" s="22" t="str">
        <x:v>通常30〜50分</x:v>
      </x:c>
      <x:c r="U87" s="22" t="str">
        <x:v>夜景・建築・雨天</x:v>
      </x:c>
      <x:c r="V87" s="22" t="str">
        <x:v>60〜120分</x:v>
      </x:c>
      <x:c r="W87" s="22" t="n">
        <x:v>5</x:v>
      </x:c>
      <x:c r="X87" s="22" t="n">
        <x:v>2</x:v>
      </x:c>
      <x:c r="Y87" s="22" t="str">
        <x:v>東京都庁展望室</x:v>
      </x:c>
      <x:c r="Z87" s="22" t="str">
        <x:v>品川シーズンテラス／東京ミッドタウン</x:v>
      </x:c>
      <x:c r="AA87" s="22" t="str">
        <x:v>芝5丁目7付近 パーキング・チケット</x:v>
      </x:c>
      <x:c r="AB87" s="22" t="str">
        <x:v>A</x:v>
      </x:c>
      <x:c r="AC87" s="22" t="str">
        <x:v>9:00～19:00・60分・300円・日曜休日と1月1日～3日を除く。</x:v>
      </x:c>
      <x:c r="AD87" s="22" t="str">
        <x:v>芝・三田側の街歩きや外観撮影の補助。展望台利用には距離・時間とも不向き。</x:v>
      </x:c>
      <x:c r="AE87" s="22" t="str">
        <x:v>日曜休日は利用対象外。19時以降は駐車禁止併設の可能性を前提にする。</x:v>
      </x:c>
    </x:row>
    <x:row r="88">
      <x:c r="A88" s="22" t="str">
        <x:v>D269</x:v>
      </x:c>
      <x:c r="B88" s="22" t="str">
        <x:v>東京ミッドタウン／ミッドタウン・ガーデン</x:v>
      </x:c>
      <x:c r="C88" s="22" t="str">
        <x:v>港区・赤坂</x:v>
      </x:c>
      <x:c r="D88" s="22" t="str">
        <x:v>現代建築・庭園・美術・雨天</x:v>
      </x:c>
      <x:c r="E88" s="22" t="e">
        <x:f>HYPERLINK("https://www.google.com/maps/dir/?api=1&amp;destination=%E6%9D%B1%E4%BA%AC%E3%83%9F%E3%83%83%E3%83%89%E3%82%BF%E3%82%A6%E3%83%B3%EF%BC%8F%E3%83%9F%E3%83%83%E3%83%89%E3%82%BF%E3%82%A6%E3%83%B3%E3%83%BB%E3%82%AC%E3%83%BC%E3%83%87%E3%83%B3&amp;travelmode=driving","現在地からナビ開始")</x:f>
      </x:c>
      <x:c r="F88" s="22" t="str">
        <x:v>地下駐車から建築、庭園、美術館、飲食へ切り替えられ、天候と時間に合わせて滞在内容を調整しやすい。</x:v>
      </x:c>
      <x:c r="G88" s="22" t="str">
        <x:v>駐車場24時間・30分400円・台数は公式案内で当日確認</x:v>
      </x:c>
      <x:c r="H88" s="22" t="str">
        <x:v>駐車場24時間／店舗・庭園・美術館は個別時間</x:v>
      </x:c>
      <x:c r="I88" s="22" t="n">
        <x:v>5</x:v>
      </x:c>
      <x:c r="J88" s="22" t="n">
        <x:v>1</x:v>
      </x:c>
      <x:c r="K88" s="22" t="str">
        <x:v>イベント設営や季節催事で庭園動線が変わる。美術館・店舗の休館日を個別確認。</x:v>
      </x:c>
      <x:c r="L88" s="23" t="n">
        <x:v>46232</x:v>
      </x:c>
      <x:c r="M88" s="22" t="str">
        <x:v>一次確認済</x:v>
      </x:c>
      <x:c r="N88" s="22" t="str">
        <x:v>https://www.tokyo-midtown.com/jp/access/</x:v>
      </x:c>
      <x:c r="O88" s="22" t="str">
        <x:v>旧防衛庁跡地を再開発した複合街区で、檜町公園と現代建築・デザイン施設を一体化している。</x:v>
      </x:c>
      <x:c r="P88" s="22" t="e">
        <x:f>HYPERLINK("https://ja.wikipedia.org/wiki/Special:Search?search=%E6%9D%B1%E4%BA%AC%E3%83%9F%E3%83%83%E3%83%89%E3%82%BF%E3%82%A6%E3%83%B3%EF%BC%8F%E3%83%9F%E3%83%83%E3%83%89%E3%82%BF%E3%82%A6%E3%83%B3%E3%83%BB%E3%82%AC%E3%83%BC%E3%83%87%E3%83%B3","Wikipedia・関連項目")</x:f>
      </x:c>
      <x:c r="Q88" s="22" t="str">
        <x:v>4区重点追加・港区</x:v>
      </x:c>
      <x:c r="R88" s="22" t="str">
        <x:v>10〜20km</x:v>
      </x:c>
      <x:c r="S88" s="22" t="str">
        <x:v>蒲田から約15〜19km</x:v>
      </x:c>
      <x:c r="T88" s="22" t="str">
        <x:v>通常35〜55分</x:v>
      </x:c>
      <x:c r="U88" s="22" t="str">
        <x:v>雨天・建築・夜・食事</x:v>
      </x:c>
      <x:c r="V88" s="22" t="str">
        <x:v>60〜150分</x:v>
      </x:c>
      <x:c r="W88" s="22" t="n">
        <x:v>5</x:v>
      </x:c>
      <x:c r="X88" s="22" t="n">
        <x:v>2</x:v>
      </x:c>
      <x:c r="Y88" s="22" t="str">
        <x:v>六本木ヒルズ 東京シティビュー</x:v>
      </x:c>
      <x:c r="Z88" s="22" t="str">
        <x:v>東京タワー／有栖川宮記念公園</x:v>
      </x:c>
      <x:c r="AA88" s="22" t="str">
        <x:v>なし</x:v>
      </x:c>
      <x:c r="AB88" s="22" t="str">
        <x:v>-</x:v>
      </x:c>
      <x:c r="AC88" s="22" t="str"/>
      <x:c r="AD88" s="22" t="str">
        <x:v>専用・路外駐車を基本</x:v>
      </x:c>
      <x:c r="AE88" s="22" t="str"/>
    </x:row>
    <x:row r="89">
      <x:c r="A89" s="22" t="str">
        <x:v>D270</x:v>
      </x:c>
      <x:c r="B89" s="22" t="str">
        <x:v>六本木ヒルズ 東京シティビュー</x:v>
      </x:c>
      <x:c r="C89" s="22" t="str">
        <x:v>港区・六本木</x:v>
      </x:c>
      <x:c r="D89" s="22" t="str">
        <x:v>高層展望・現代都市・美術</x:v>
      </x:c>
      <x:c r="E89" s="22" t="e">
        <x:f>HYPERLINK("https://www.google.com/maps/dir/?api=1&amp;destination=%E5%85%AD%E6%9C%AC%E6%9C%A8%E3%83%92%E3%83%AB%E3%82%BA%20%E6%9D%B1%E4%BA%AC%E3%82%B7%E3%83%86%E3%82%A3%E3%83%93%E3%83%A5%E3%83%BC&amp;travelmode=driving","現在地からナビ開始")</x:f>
      </x:c>
      <x:c r="F89" s="22" t="str">
        <x:v>52階から東京タワーと都心を正面に見る構図が強く、建築・展望・美術を一体化した夜の最終目的地になる。</x:v>
      </x:c>
      <x:c r="G89" s="22" t="str">
        <x:v>六本木ヒルズ駐車場・24時間・15分200円を基本／入口制限あり</x:v>
      </x:c>
      <x:c r="H89" s="22" t="str">
        <x:v>2026年8月1日～10月26日は10:00～22:00（最終21:30）／2026年7月31日まで休館</x:v>
      </x:c>
      <x:c r="I89" s="22" t="n">
        <x:v>5</x:v>
      </x:c>
      <x:c r="J89" s="22" t="n">
        <x:v>1</x:v>
      </x:c>
      <x:c r="K89" s="22" t="str">
        <x:v>2026年7月29日現在は休館中。8月1日再開予定。企画展切替・貸切で営業時間変更あり。</x:v>
      </x:c>
      <x:c r="L89" s="23" t="n">
        <x:v>46232</x:v>
      </x:c>
      <x:c r="M89" s="22" t="str">
        <x:v>一次確認済</x:v>
      </x:c>
      <x:c r="N89" s="22" t="str">
        <x:v>https://art-view.roppongihills.com/en/info/index.html</x:v>
      </x:c>
      <x:c r="O89" s="22" t="str">
        <x:v>森タワー52階の展望施設で、美術館と都市眺望を同じ高層階で体験できる。</x:v>
      </x:c>
      <x:c r="P89" s="22" t="e">
        <x:f>HYPERLINK("https://ja.wikipedia.org/wiki/Special:Search?search=%E5%85%AD%E6%9C%AC%E6%9C%A8%E3%83%92%E3%83%AB%E3%82%BA%20%E6%9D%B1%E4%BA%AC%E3%82%B7%E3%83%86%E3%82%A3%E3%83%93%E3%83%A5%E3%83%BC","Wikipedia・関連項目")</x:f>
      </x:c>
      <x:c r="Q89" s="22" t="str">
        <x:v>4区重点追加・港区</x:v>
      </x:c>
      <x:c r="R89" s="22" t="str">
        <x:v>10〜20km</x:v>
      </x:c>
      <x:c r="S89" s="22" t="str">
        <x:v>蒲田から約15〜19km</x:v>
      </x:c>
      <x:c r="T89" s="22" t="str">
        <x:v>通常35〜60分</x:v>
      </x:c>
      <x:c r="U89" s="22" t="str">
        <x:v>夜景・建築・美術</x:v>
      </x:c>
      <x:c r="V89" s="22" t="str">
        <x:v>60〜120分</x:v>
      </x:c>
      <x:c r="W89" s="22" t="n">
        <x:v>5</x:v>
      </x:c>
      <x:c r="X89" s="22" t="n">
        <x:v>1</x:v>
      </x:c>
      <x:c r="Y89" s="22" t="str">
        <x:v>東京タワー</x:v>
      </x:c>
      <x:c r="Z89" s="22" t="str">
        <x:v>東京ミッドタウン／東京都庁展望室</x:v>
      </x:c>
      <x:c r="AA89" s="22" t="str">
        <x:v>なし</x:v>
      </x:c>
      <x:c r="AB89" s="22" t="str">
        <x:v>-</x:v>
      </x:c>
      <x:c r="AC89" s="22" t="str"/>
      <x:c r="AD89" s="22" t="str">
        <x:v>専用・路外駐車を基本</x:v>
      </x:c>
      <x:c r="AE89" s="22" t="str"/>
    </x:row>
    <x:row r="90">
      <x:c r="A90" s="22" t="str">
        <x:v>D271</x:v>
      </x:c>
      <x:c r="B90" s="22" t="str">
        <x:v>品川シーズンテラス／芝浦中央公園</x:v>
      </x:c>
      <x:c r="C90" s="22" t="str">
        <x:v>港区・港南</x:v>
      </x:c>
      <x:c r="D90" s="22" t="str">
        <x:v>水再生センター・屋上緑地・高層建築</x:v>
      </x:c>
      <x:c r="E90" s="22" t="e">
        <x:f>HYPERLINK("https://www.google.com/maps/dir/?api=1&amp;destination=%E5%93%81%E5%B7%9D%E3%82%B7%E3%83%BC%E3%82%BA%E3%83%B3%E3%83%86%E3%83%A9%E3%82%B9%EF%BC%8F%E8%8A%9D%E6%B5%A6%E4%B8%AD%E5%A4%AE%E5%85%AC%E5%9C%92&amp;travelmode=driving","現在地からナビ開始")</x:f>
      </x:c>
      <x:c r="F90" s="22" t="str">
        <x:v>水再生センター上部の広大な緑地と高層オフィスを同時に体験でき、都市インフラStoryが強い。品川・港区ルートの接続点。</x:v>
      </x:c>
      <x:c r="G90" s="22" t="str">
        <x:v>一般313台＋身障者用6台・7:00～23:00・最初の1時間600円、以降30分300円、最大2,600円</x:v>
      </x:c>
      <x:c r="H90" s="22" t="str">
        <x:v>一般利用・駐車場7:00～23:00</x:v>
      </x:c>
      <x:c r="I90" s="22" t="n">
        <x:v>4</x:v>
      </x:c>
      <x:c r="J90" s="22" t="n">
        <x:v>4</x:v>
      </x:c>
      <x:c r="K90" s="22" t="str">
        <x:v>イベント時は芝生・水景施設が制限される場合あり。23時以降は入出庫不可。オフィス利用者への配慮。</x:v>
      </x:c>
      <x:c r="L90" s="23" t="n">
        <x:v>46232</x:v>
      </x:c>
      <x:c r="M90" s="22" t="str">
        <x:v>一次確認済</x:v>
      </x:c>
      <x:c r="N90" s="22" t="str">
        <x:v>https://shinagawa-st.jp/access/parking.html</x:v>
      </x:c>
      <x:c r="O90" s="22" t="str">
        <x:v>芝浦水再生センターの上部空間を活用し、巨大な下水処理インフラの上に緑地と業務施設を整備した。</x:v>
      </x:c>
      <x:c r="P90" s="22" t="e">
        <x:f>HYPERLINK("https://ja.wikipedia.org/wiki/Special:Search?search=%E5%93%81%E5%B7%9D%E3%82%B7%E3%83%BC%E3%82%BA%E3%83%B3%E3%83%86%E3%83%A9%E3%82%B9%EF%BC%8F%E8%8A%9D%E6%B5%A6%E4%B8%AD%E5%A4%AE%E5%85%AC%E5%9C%92","Wikipedia・関連項目")</x:f>
      </x:c>
      <x:c r="Q90" s="22" t="str">
        <x:v>4区重点追加・港区</x:v>
      </x:c>
      <x:c r="R90" s="22" t="str">
        <x:v>10〜20km</x:v>
      </x:c>
      <x:c r="S90" s="22" t="str">
        <x:v>蒲田から約11〜15km</x:v>
      </x:c>
      <x:c r="T90" s="22" t="str">
        <x:v>通常25〜45分</x:v>
      </x:c>
      <x:c r="U90" s="22" t="str">
        <x:v>夕方・都市インフラ・建築</x:v>
      </x:c>
      <x:c r="V90" s="22" t="str">
        <x:v>30〜90分</x:v>
      </x:c>
      <x:c r="W90" s="22" t="n">
        <x:v>3</x:v>
      </x:c>
      <x:c r="X90" s="22" t="n">
        <x:v>2</x:v>
      </x:c>
      <x:c r="Y90" s="22" t="str">
        <x:v>森ケ崎公園</x:v>
      </x:c>
      <x:c r="Z90" s="22" t="str">
        <x:v>天王洲公園／東京タワー</x:v>
      </x:c>
      <x:c r="AA90" s="22" t="str">
        <x:v>港南3丁目2・6付近 時間制限駐車区間</x:v>
      </x:c>
      <x:c r="AB90" s="22" t="str">
        <x:v>B</x:v>
      </x:c>
      <x:c r="AC90" s="22" t="str">
        <x:v>概ね9:00～19:00。詳細は現地のメーター・標識を確認。</x:v>
      </x:c>
      <x:c r="AD90" s="22" t="str">
        <x:v>昼の30～60分以内の都市インフラ観察のみ。夜は施設駐車場を基本。</x:v>
      </x:c>
      <x:c r="AE90" s="22" t="str">
        <x:v>普通車枠か、貨物優先枠でないか、休日利用可否を現地確認。</x:v>
      </x:c>
    </x:row>
    <x:row r="91">
      <x:c r="A91" s="22" t="str">
        <x:v>D272</x:v>
      </x:c>
      <x:c r="B91" s="22" t="str">
        <x:v>東京都庁展望室</x:v>
      </x:c>
      <x:c r="C91" s="22" t="str">
        <x:v>新宿区・西新宿</x:v>
      </x:c>
      <x:c r="D91" s="22" t="str">
        <x:v>無料展望・超高層建築・都市夜景</x:v>
      </x:c>
      <x:c r="E91" s="22" t="e">
        <x:f>HYPERLINK("https://www.google.com/maps/dir/?api=1&amp;destination=%E6%9D%B1%E4%BA%AC%E9%83%BD%E5%BA%81%E5%B1%95%E6%9C%9B%E5%AE%A4&amp;travelmode=driving","現在地からナビ開始")</x:f>
      </x:c>
      <x:c r="F91" s="22" t="str">
        <x:v>無料で高層夜景を得られ、西新宿の建築群そのものがStoryになる。大田区からの都市ドライブの明確な終点。</x:v>
      </x:c>
      <x:c r="G91" s="22" t="str">
        <x:v>第一本庁舎駐車場・最初の1時間は30分150円、以降30分250円、当日上限2,000円</x:v>
      </x:c>
      <x:c r="H91" s="22" t="str">
        <x:v>駐車場入口8:00または8:30～21:30／出庫22:00まで／展望室は当日公式案内</x:v>
      </x:c>
      <x:c r="I91" s="22" t="n">
        <x:v>5</x:v>
      </x:c>
      <x:c r="J91" s="22" t="n">
        <x:v>2</x:v>
      </x:c>
      <x:c r="K91" s="22" t="str">
        <x:v>22:00を過ぎると出庫不可。都庁通り入口8:30、公園通り入口8:00、入庫締切21:30。展望室休室・入場待ちを確認。</x:v>
      </x:c>
      <x:c r="L91" s="23" t="n">
        <x:v>46232</x:v>
      </x:c>
      <x:c r="M91" s="22" t="str">
        <x:v>一次確認済</x:v>
      </x:c>
      <x:c r="N91" s="22" t="str">
        <x:v>https://www.zaimu.metro.tokyo.lg.jp/tochousha/goannai/shisetsu</x:v>
      </x:c>
      <x:c r="O91" s="22" t="str">
        <x:v>丹下健三設計の東京都庁第一本庁舎は1991年開庁で、西新宿超高層街を代表するポストモダン建築。</x:v>
      </x:c>
      <x:c r="P91" s="22" t="e">
        <x:f>HYPERLINK("https://ja.wikipedia.org/wiki/Special:Search?search=%E6%9D%B1%E4%BA%AC%E9%83%BD%E5%BA%81%E5%B1%95%E6%9C%9B%E5%AE%A4","Wikipedia・関連項目")</x:f>
      </x:c>
      <x:c r="Q91" s="22" t="str">
        <x:v>2026-07-29公式再確認：入口別開始時刻、入庫21:30、出庫22:00、当日上限2,000円を明記。</x:v>
      </x:c>
      <x:c r="R91" s="22" t="str">
        <x:v>10〜20km</x:v>
      </x:c>
      <x:c r="S91" s="22" t="str">
        <x:v>蒲田から約18〜23km</x:v>
      </x:c>
      <x:c r="T91" s="22" t="str">
        <x:v>通常40〜65分</x:v>
      </x:c>
      <x:c r="U91" s="22" t="str">
        <x:v>夜景・建築・無料展望</x:v>
      </x:c>
      <x:c r="V91" s="22" t="str">
        <x:v>45〜90分</x:v>
      </x:c>
      <x:c r="W91" s="22" t="n">
        <x:v>5</x:v>
      </x:c>
      <x:c r="X91" s="22" t="n">
        <x:v>1</x:v>
      </x:c>
      <x:c r="Y91" s="22" t="str">
        <x:v>東京タワー</x:v>
      </x:c>
      <x:c r="Z91" s="22" t="str">
        <x:v>新宿NSビル／新宿御苑</x:v>
      </x:c>
      <x:c r="AA91" s="22" t="str">
        <x:v>西新宿6丁目10付近 時間制限駐車区間</x:v>
      </x:c>
      <x:c r="AB91" s="22" t="str">
        <x:v>B</x:v>
      </x:c>
      <x:c r="AC91" s="22" t="str">
        <x:v>概ね9:00～19:00。詳細は現地標識を確認。</x:v>
      </x:c>
      <x:c r="AD91" s="22" t="str">
        <x:v>昼の外観・新宿中央公園・超高層街の短時間観察のみ。展望室利用や夜間は路外駐車。</x:v>
      </x:c>
      <x:c r="AE91" s="22" t="str">
        <x:v>19時以降を合法とみなさない。駐車禁止併設・工事休止を確認。</x:v>
      </x:c>
    </x:row>
    <x:row r="92">
      <x:c r="A92" s="22" t="str">
        <x:v>D273</x:v>
      </x:c>
      <x:c r="B92" s="22" t="str">
        <x:v>新宿御苑</x:v>
      </x:c>
      <x:c r="C92" s="22" t="str">
        <x:v>新宿区・内藤町</x:v>
      </x:c>
      <x:c r="D92" s="22" t="str">
        <x:v>庭園・温室・都市の静けさ・Story</x:v>
      </x:c>
      <x:c r="E92" s="22" t="e">
        <x:f>HYPERLINK("https://www.google.com/maps/dir/?api=1&amp;destination=%E6%96%B0%E5%AE%BF%E5%BE%A1%E8%8B%91&amp;travelmode=driving","現在地からナビ開始")</x:f>
      </x:c>
      <x:c r="F92" s="22" t="str">
        <x:v>日本庭園、風景式庭園、温室を大都市中心部で体験でき、休日半日の最終目的地として密度が高い。</x:v>
      </x:c>
      <x:c r="G92" s="22" t="str">
        <x:v>普通車200台・7:30～21:00・入園者は120分600円、以降30分200円、最大2,900円</x:v>
      </x:c>
      <x:c r="H92" s="22" t="str">
        <x:v>季節変動：7月31日まで9:00～19:00（最終18:30）／駐車場7:30～21:00・出庫24時間可</x:v>
      </x:c>
      <x:c r="I92" s="22" t="n">
        <x:v>1</x:v>
      </x:c>
      <x:c r="J92" s="22" t="n">
        <x:v>1</x:v>
      </x:c>
      <x:c r="K92" s="22" t="str">
        <x:v>開園時間は季節変動。酒類持込・遊具等の規制あり。花見期は駐車混雑と入場制限を想定。</x:v>
      </x:c>
      <x:c r="L92" s="23" t="n">
        <x:v>46232</x:v>
      </x:c>
      <x:c r="M92" s="22" t="str">
        <x:v>一次確認済</x:v>
      </x:c>
      <x:c r="N92" s="22" t="str">
        <x:v>https://policies.env.go.jp/national-garden/shinjukugyoen/guide/information/</x:v>
      </x:c>
      <x:c r="O92" s="22" t="str">
        <x:v>江戸期の内藤家屋敷地を起源とし、皇室庭園を経て戦後に国民公園として公開された。</x:v>
      </x:c>
      <x:c r="P92" s="22" t="e">
        <x:f>HYPERLINK("https://ja.wikipedia.org/wiki/Special:Search?search=%E6%96%B0%E5%AE%BF%E5%BE%A1%E8%8B%91","Wikipedia・関連項目")</x:f>
      </x:c>
      <x:c r="Q92" s="22" t="str">
        <x:v>4区重点追加・新宿区</x:v>
      </x:c>
      <x:c r="R92" s="22" t="str">
        <x:v>10〜20km</x:v>
      </x:c>
      <x:c r="S92" s="22" t="str">
        <x:v>蒲田から約17〜22km</x:v>
      </x:c>
      <x:c r="T92" s="22" t="str">
        <x:v>通常40〜65分</x:v>
      </x:c>
      <x:c r="U92" s="22" t="str">
        <x:v>休日半日・庭園・雨天温室</x:v>
      </x:c>
      <x:c r="V92" s="22" t="str">
        <x:v>90〜180分</x:v>
      </x:c>
      <x:c r="W92" s="22" t="n">
        <x:v>4</x:v>
      </x:c>
      <x:c r="X92" s="22" t="n">
        <x:v>1</x:v>
      </x:c>
      <x:c r="Y92" s="22" t="str">
        <x:v>明治神宮外苑 聖徳記念絵画館</x:v>
      </x:c>
      <x:c r="Z92" s="22" t="str">
        <x:v>東京都庁展望室／新宿NSビル</x:v>
      </x:c>
      <x:c r="AA92" s="22" t="str">
        <x:v>新宿3丁目37付近 パーキング・メーター</x:v>
      </x:c>
      <x:c r="AB92" s="22" t="str">
        <x:v>A</x:v>
      </x:c>
      <x:c r="AC92" s="22" t="str">
        <x:v>7:00～20:00・40分・200円・1月1日～3日を除く。現地標識優先。</x:v>
      </x:c>
      <x:c r="AD92" s="22" t="str">
        <x:v>入口・外周・短時間撮影だけ。園内を回る通常滞在には使用しない。</x:v>
      </x:c>
      <x:c r="AE92" s="22" t="str">
        <x:v>40分を超えない。枠外・延長利用不可。イベント規制を確認。</x:v>
      </x:c>
    </x:row>
    <x:row r="93">
      <x:c r="A93" s="22" t="str">
        <x:v>D274</x:v>
      </x:c>
      <x:c r="B93" s="22" t="str">
        <x:v>明治神宮外苑 聖徳記念絵画館</x:v>
      </x:c>
      <x:c r="C93" s="22" t="str">
        <x:v>新宿区・霞ヶ丘町</x:v>
      </x:c>
      <x:c r="D93" s="22" t="str">
        <x:v>近代建築・絵画・明治史Story</x:v>
      </x:c>
      <x:c r="E93" s="22" t="e">
        <x:f>HYPERLINK("https://www.google.com/maps/dir/?api=1&amp;destination=%E6%98%8E%E6%B2%BB%E7%A5%9E%E5%AE%AE%E5%A4%96%E8%8B%91%20%E8%81%96%E5%BE%B3%E8%A8%98%E5%BF%B5%E7%B5%B5%E7%94%BB%E9%A4%A8&amp;travelmode=driving","現在地からナビ開始")</x:f>
      </x:c>
      <x:c r="F93" s="22" t="str">
        <x:v>重厚な石造建築と明治史を描く大壁画群があり、庭園・建築・歴史を一度に回収できる昼の経由地。</x:v>
      </x:c>
      <x:c r="G93" s="22" t="str">
        <x:v>絵画館駐車場・通常396台だが保存修理工事中は約100台減少・5:30～21:00・普通車1日2,000円</x:v>
      </x:c>
      <x:c r="H93" s="22" t="str">
        <x:v>絵画館10:00～16:30（最終16:00）／水曜休館</x:v>
      </x:c>
      <x:c r="I93" s="22" t="n">
        <x:v>2</x:v>
      </x:c>
      <x:c r="J93" s="22" t="n">
        <x:v>3</x:v>
      </x:c>
      <x:c r="K93" s="22" t="str">
        <x:v>日曜・祝日の交通規制、イベント・スポーツ開催による駐車制限を確認。保存修理工事中は通常396台から約100台減少。</x:v>
      </x:c>
      <x:c r="L93" s="23" t="n">
        <x:v>46232</x:v>
      </x:c>
      <x:c r="M93" s="22" t="str">
        <x:v>一次確認済</x:v>
      </x:c>
      <x:c r="N93" s="22" t="str">
        <x:v>https://www.meijijingugaien.jp/parking/</x:v>
      </x:c>
      <x:c r="O93" s="22" t="str">
        <x:v>1926年竣工の絵画館には、明治天皇の生涯と明治期の出来事を描く大型絵画が展示される。</x:v>
      </x:c>
      <x:c r="P93" s="22" t="e">
        <x:f>HYPERLINK("https://ja.wikipedia.org/wiki/Special:Search?search=%E6%98%8E%E6%B2%BB%E7%A5%9E%E5%AE%AE%E5%A4%96%E8%8B%91%20%E8%81%96%E5%BE%B3%E8%A8%98%E5%BF%B5%E7%B5%B5%E7%94%BB%E9%A4%A8","Wikipedia・関連項目")</x:f>
      </x:c>
      <x:c r="Q93" s="22" t="str">
        <x:v>2026-07-29公式再確認：普通車料金2,000円、保存修理工事中の収容台数約100台減少を反映。</x:v>
      </x:c>
      <x:c r="R93" s="22" t="str">
        <x:v>10〜20km</x:v>
      </x:c>
      <x:c r="S93" s="22" t="str">
        <x:v>蒲田から約16〜21km</x:v>
      </x:c>
      <x:c r="T93" s="22" t="str">
        <x:v>通常35〜60分</x:v>
      </x:c>
      <x:c r="U93" s="22" t="str">
        <x:v>建築・歴史Story・昼</x:v>
      </x:c>
      <x:c r="V93" s="22" t="str">
        <x:v>45〜90分</x:v>
      </x:c>
      <x:c r="W93" s="22" t="n">
        <x:v>4</x:v>
      </x:c>
      <x:c r="X93" s="22" t="n">
        <x:v>1</x:v>
      </x:c>
      <x:c r="Y93" s="22" t="str">
        <x:v>新宿御苑</x:v>
      </x:c>
      <x:c r="Z93" s="22" t="str">
        <x:v>東京都庁展望室／東京ミッドタウン</x:v>
      </x:c>
      <x:c r="AA93" s="22" t="str">
        <x:v>なし</x:v>
      </x:c>
      <x:c r="AB93" s="22" t="str">
        <x:v>-</x:v>
      </x:c>
      <x:c r="AC93" s="22" t="str"/>
      <x:c r="AD93" s="22" t="str">
        <x:v>専用・路外駐車を基本</x:v>
      </x:c>
      <x:c r="AE93" s="22" t="str"/>
    </x:row>
    <x:row r="94">
      <x:c r="A94" s="22" t="str">
        <x:v>D275</x:v>
      </x:c>
      <x:c r="B94" s="22" t="str">
        <x:v>新宿NSビル アトリウム・大時計</x:v>
      </x:c>
      <x:c r="C94" s="22" t="str">
        <x:v>新宿区・西新宿</x:v>
      </x:c>
      <x:c r="D94" s="22" t="str">
        <x:v>巨大吹抜け・大時計・超高層建築・雨天</x:v>
      </x:c>
      <x:c r="E94" s="22" t="e">
        <x:f>HYPERLINK("https://www.google.com/maps/dir/?api=1&amp;destination=%E6%96%B0%E5%AE%BFNS%E3%83%93%E3%83%AB%20%E3%82%A2%E3%83%88%E3%83%AA%E3%82%A6%E3%83%A0%E3%83%BB%E5%A4%A7%E6%99%82%E8%A8%88&amp;travelmode=driving","現在地からナビ開始")</x:f>
      </x:c>
      <x:c r="F94" s="22" t="str">
        <x:v>巨大アトリウムと大時計を短時間で見られ、雨天でも西新宿の超高層建築体験を作れる。都庁前の実用的な経由地。</x:v>
      </x:c>
      <x:c r="G94" s="22" t="str">
        <x:v>駐車場336台・時間貸し約100台・6:30～23:30・30分300円</x:v>
      </x:c>
      <x:c r="H94" s="22" t="str">
        <x:v>駐車場6:30～23:30／館内施設は個別時間</x:v>
      </x:c>
      <x:c r="I94" s="22" t="n">
        <x:v>4</x:v>
      </x:c>
      <x:c r="J94" s="22" t="n">
        <x:v>3</x:v>
      </x:c>
      <x:c r="K94" s="22" t="str">
        <x:v>イベント・テナント営業時間を確認。深夜はアトリウム立入範囲が限定される場合あり。</x:v>
      </x:c>
      <x:c r="L94" s="23" t="n">
        <x:v>46232</x:v>
      </x:c>
      <x:c r="M94" s="22" t="str">
        <x:v>一次確認済</x:v>
      </x:c>
      <x:c r="N94" s="22" t="str">
        <x:v>https://www.shinjuku-ns.jp/access/</x:v>
      </x:c>
      <x:c r="O94" s="22" t="str">
        <x:v>西新宿超高層街を代表する建築の一つで、中央の巨大吹抜けと大時計が内部空間の象徴になっている。</x:v>
      </x:c>
      <x:c r="P94" s="22" t="e">
        <x:f>HYPERLINK("https://ja.wikipedia.org/wiki/Special:Search?search=%E6%96%B0%E5%AE%BFNS%E3%83%93%E3%83%AB%20%E3%82%A2%E3%83%88%E3%83%AA%E3%82%A6%E3%83%A0%E3%83%BB%E5%A4%A7%E6%99%82%E8%A8%88","Wikipedia・関連項目")</x:f>
      </x:c>
      <x:c r="Q94" s="22" t="str">
        <x:v>4区重点追加・新宿区</x:v>
      </x:c>
      <x:c r="R94" s="22" t="str">
        <x:v>10〜20km</x:v>
      </x:c>
      <x:c r="S94" s="22" t="str">
        <x:v>蒲田から約18〜23km</x:v>
      </x:c>
      <x:c r="T94" s="22" t="str">
        <x:v>通常40〜65分</x:v>
      </x:c>
      <x:c r="U94" s="22" t="str">
        <x:v>雨天・建築・夜</x:v>
      </x:c>
      <x:c r="V94" s="22" t="str">
        <x:v>30〜75分</x:v>
      </x:c>
      <x:c r="W94" s="22" t="n">
        <x:v>5</x:v>
      </x:c>
      <x:c r="X94" s="22" t="n">
        <x:v>2</x:v>
      </x:c>
      <x:c r="Y94" s="22" t="str">
        <x:v>東京都庁展望室</x:v>
      </x:c>
      <x:c r="Z94" s="22" t="str">
        <x:v>新宿御苑／聖徳記念絵画館</x:v>
      </x:c>
      <x:c r="AA94" s="22" t="str">
        <x:v>西新宿6丁目10付近 時間制限駐車区間</x:v>
      </x:c>
      <x:c r="AB94" s="22" t="str">
        <x:v>B</x:v>
      </x:c>
      <x:c r="AC94" s="22" t="str">
        <x:v>概ね9:00～19:00。詳細は現地標識を確認。</x:v>
      </x:c>
      <x:c r="AD94" s="22" t="str">
        <x:v>昼の30～60分以内の建築観察用。夜間・イベント滞在はNSビル駐車場。</x:v>
      </x:c>
      <x:c r="AE94" s="22" t="str">
        <x:v>枠内駐車、制限時間、利用曜日、駐車禁止時間を確認。</x:v>
      </x:c>
    </x:row>
  </x:sheetData>
  <x:conditionalFormatting sqref="I2:J71">
    <x:cfRule type="colorScale" priority="1">
      <x:colorScale>
        <x:cfvo type="min"/>
        <x:cfvo type="percentile" val="50"/>
        <x:cfvo type="max"/>
        <x:color rgb="FFFEE2E2"/>
        <x:color rgb="FFFEF3C7"/>
        <x:color rgb="FFDCFCE7"/>
      </x:colorScale>
    </x:cfRule>
  </x:conditionalFormatting>
  <x:conditionalFormatting sqref="W2:X71">
    <x:cfRule type="colorScale" priority="2">
      <x:colorScale>
        <x:cfvo type="min"/>
        <x:cfvo type="percentile" val="50"/>
        <x:cfvo type="max"/>
        <x:color rgb="FFFEE2E2"/>
        <x:color rgb="FFFEF3C7"/>
        <x:color rgb="FFDCFCE7"/>
      </x:colorScale>
    </x:cfRule>
  </x:conditionalFormatting>
  <x:conditionalFormatting sqref="I2:J77">
    <x:cfRule type="colorScale" priority="3">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6563083bb020425c"/>
  </x:tableParts>
</x:worksheet>
</file>

<file path=xl/worksheets/sheet7.xml><?xml version="1.0" encoding="utf-8"?>
<x:worksheet xmlns:x="http://schemas.openxmlformats.org/spreadsheetml/2006/main">
  <x:sheetFormatPr defaultRowHeight="15"/>
  <x:cols>
    <x:col min="1" max="1" width="9" hidden="0" customWidth="1"/>
    <x:col min="2" max="2" width="32" hidden="0" customWidth="1"/>
    <x:col min="3" max="3" width="22" hidden="0" customWidth="1"/>
    <x:col min="4" max="4" width="31" hidden="0" customWidth="1"/>
    <x:col min="5" max="5" width="21" hidden="0" customWidth="1"/>
    <x:col min="6" max="6" width="48" hidden="0" customWidth="1"/>
    <x:col min="7" max="7" width="44" hidden="0" customWidth="1"/>
    <x:col min="8" max="8" width="41" hidden="0" customWidth="1"/>
    <x:col min="9" max="9" width="10" hidden="0" customWidth="1"/>
    <x:col min="10" max="10" width="10" hidden="0" customWidth="1"/>
    <x:col min="11" max="11" width="52" hidden="0" customWidth="1"/>
    <x:col min="12" max="12" width="13" hidden="0" customWidth="1"/>
    <x:col min="13" max="13" width="14" hidden="0" customWidth="1"/>
    <x:col min="14" max="14" width="50" hidden="0" customWidth="1"/>
    <x:col min="15" max="15" width="50" hidden="0" customWidth="1"/>
    <x:col min="16" max="16" width="22" hidden="0" customWidth="1"/>
    <x:col min="17" max="17" width="46" hidden="0" customWidth="1"/>
    <x:col min="18" max="18" width="12" hidden="0" customWidth="1"/>
    <x:col min="19" max="19" width="19" hidden="0" customWidth="1"/>
    <x:col min="20" max="20" width="20" hidden="0" customWidth="1"/>
    <x:col min="21" max="21" width="24" hidden="0" customWidth="1"/>
    <x:col min="22" max="22" width="15" hidden="0" customWidth="1"/>
    <x:col min="23" max="23" width="10" hidden="0" customWidth="1"/>
    <x:col min="24" max="24" width="12" hidden="0" customWidth="1"/>
    <x:col min="25" max="25" width="30" hidden="0" customWidth="1"/>
    <x:col min="26" max="26" width="36" hidden="0" customWidth="1"/>
    <x:col min="27" max="27" width="30" hidden="0" customWidth="1"/>
    <x:col min="28" max="28" width="14" hidden="0" customWidth="1"/>
    <x:col min="29" max="29" width="45" hidden="0" customWidth="1"/>
    <x:col min="30" max="30" width="50" hidden="0" customWidth="1"/>
    <x:col min="31" max="31" width="48" hidden="0" customWidth="1"/>
  </x:cols>
  <x:sheetData>
    <x:row r="1">
      <x:c r="A1" s="406" t="str">
        <x:v>ID</x:v>
      </x:c>
      <x:c r="B1" s="406" t="str">
        <x:v>名称</x:v>
      </x:c>
      <x:c r="C1" s="406" t="str">
        <x:v>エリア</x:v>
      </x:c>
      <x:c r="D1" s="406" t="str">
        <x:v>カテゴリ</x:v>
      </x:c>
      <x:c r="E1" s="406" t="str">
        <x:v>現在地→目的地（クリック）</x:v>
      </x:c>
      <x:c r="F1" s="406" t="str">
        <x:v>経由地・最終目的地として成立する理由</x:v>
      </x:c>
      <x:c r="G1" s="406" t="str">
        <x:v>駐車場</x:v>
      </x:c>
      <x:c r="H1" s="406" t="str">
        <x:v>利用可能時間</x:v>
      </x:c>
      <x:c r="I1" s="406" t="str">
        <x:v>夜間適性（並べ替え可）</x:v>
      </x:c>
      <x:c r="J1" s="406" t="str">
        <x:v>穴場度(1-5)</x:v>
      </x:c>
      <x:c r="K1" s="406" t="str">
        <x:v>注意事項</x:v>
      </x:c>
      <x:c r="L1" s="406" t="str">
        <x:v>確認日</x:v>
      </x:c>
      <x:c r="M1" s="406" t="str">
        <x:v>確認状態</x:v>
      </x:c>
      <x:c r="N1" s="406" t="str">
        <x:v>情報源URL</x:v>
      </x:c>
      <x:c r="O1" s="406" t="str">
        <x:v>Wikipedia由来の豆知識</x:v>
      </x:c>
      <x:c r="P1" s="406" t="str">
        <x:v>Wikipedia・関連項目（クリック）</x:v>
      </x:c>
      <x:c r="Q1" s="406" t="str">
        <x:v>品質補足・ブラッシュアップ履歴</x:v>
      </x:c>
      <x:c r="R1" s="406" t="str">
        <x:v>距離帯</x:v>
      </x:c>
      <x:c r="S1" s="406" t="str">
        <x:v>蒲田からの概算距離</x:v>
      </x:c>
      <x:c r="T1" s="406" t="str">
        <x:v>通常時の概算所要時間</x:v>
      </x:c>
      <x:c r="U1" s="406" t="str">
        <x:v>主な使いどころ</x:v>
      </x:c>
      <x:c r="V1" s="406" t="str">
        <x:v>滞在目安</x:v>
      </x:c>
      <x:c r="W1" s="406" t="str">
        <x:v>雨天適性</x:v>
      </x:c>
      <x:c r="X1" s="406" t="str">
        <x:v>車内鑑賞適性</x:v>
      </x:c>
      <x:c r="Y1" s="406" t="str">
        <x:v>代替地点</x:v>
      </x:c>
      <x:c r="Z1" s="406" t="str">
        <x:v>組み合わせやすい経由地</x:v>
      </x:c>
      <x:c r="AA1" s="447" t="str">
        <x:v>路上短時間アクセス</x:v>
      </x:c>
      <x:c r="AB1" s="447" t="str">
        <x:v>路上合法性確度</x:v>
      </x:c>
      <x:c r="AC1" s="447" t="str">
        <x:v>路上利用条件</x:v>
      </x:c>
      <x:c r="AD1" s="447" t="str">
        <x:v>路上利用の適用範囲</x:v>
      </x:c>
      <x:c r="AE1" s="447" t="str">
        <x:v>現地確認必須</x:v>
      </x:c>
    </x:row>
    <x:row r="2">
      <x:c r="A2" s="27" t="str">
        <x:v>D012</x:v>
      </x:c>
      <x:c r="B2" s="27" t="str">
        <x:v>横浜港シンボルタワー</x:v>
      </x:c>
      <x:c r="C2" s="27" t="str">
        <x:v>横浜市・本牧ふ頭</x:v>
      </x:c>
      <x:c r="D2" s="27" t="str">
        <x:v>港・行き止まり・展望</x:v>
      </x:c>
      <x:c r="E2" s="48" t="e">
        <x:f>HYPERLINK("https://www.google.com/maps/dir/?api=1&amp;destination=%E6%A8%AA%E6%B5%9C%E6%B8%AF%E3%82%B7%E3%83%B3%E3%83%9C%E3%83%AB%E3%82%BF%E3%83%AF%E3%83%BC&amp;travelmode=driving","現在地からナビ開始")</x:f>
      </x:c>
      <x:c r="F2" s="27" t="str">
        <x:v>本牧ふ頭最奥へ走り、船舶と横浜港を眺める行き止まり感が強い。</x:v>
      </x:c>
      <x:c r="G2" s="27" t="str">
        <x:v>あり・約205台</x:v>
      </x:c>
      <x:c r="H2" s="27" t="str">
        <x:v>季節変動、夏季は概ね20時まで</x:v>
      </x:c>
      <x:c r="I2" s="27" t="n">
        <x:v>3</x:v>
      </x:c>
      <x:c r="J2" s="27" t="n">
        <x:v>4</x:v>
      </x:c>
      <x:c r="K2" s="27" t="str">
        <x:v>入場締切は閉場より早い。ゲート閉鎖前に退出。</x:v>
      </x:c>
      <x:c r="L2" s="28" t="n">
        <x:v>46232</x:v>
      </x:c>
      <x:c r="M2" s="27" t="str">
        <x:v>当日再確認</x:v>
      </x:c>
      <x:c r="N2" s="27" t="str">
        <x:v>https://y-stw.com/</x:v>
      </x:c>
      <x:c r="O2" s="27" t="str">
        <x:v>横浜港シンボルタワーには船舶へ航路情報を伝える信号塔の役割があり、展望施設だけではない。</x:v>
      </x:c>
      <x:c r="P2" s="84" t="e">
        <x:f>HYPERLINK("https://ja.wikipedia.org/wiki/Special:Search?search=%E6%A8%AA%E6%B5%9C%E6%B8%AF%E3%82%B7%E3%83%B3%E3%83%9C%E3%83%AB%E3%82%BF%E3%83%AF%E3%83%BC","Wikipedia・関連項目")</x:f>
      </x:c>
      <x:c r="Q2" s="27"/>
      <x:c r="R2" s="27" t="str">
        <x:v>25〜35km</x:v>
      </x:c>
      <x:c r="S2" s="27" t="str">
        <x:v>概ね25〜35km</x:v>
      </x:c>
      <x:c r="T2" s="27" t="str">
        <x:v>通常55〜90分</x:v>
      </x:c>
      <x:c r="U2" s="27" t="str">
        <x:v>海・港</x:v>
      </x:c>
      <x:c r="V2" s="27" t="str">
        <x:v>30〜60分</x:v>
      </x:c>
      <x:c r="W2" s="27" t="n">
        <x:v>2</x:v>
      </x:c>
      <x:c r="X2" s="27" t="n">
        <x:v>3</x:v>
      </x:c>
      <x:c r="Y2" s="27" t="str">
        <x:v>城南島海浜公園</x:v>
      </x:c>
      <x:c r="Z2" s="27" t="str">
        <x:v>潮風公園／晴海ふ頭公園</x:v>
      </x:c>
      <x:c r="AA2" s="22" t="str">
        <x:v>なし</x:v>
      </x:c>
      <x:c r="AB2" s="22" t="str">
        <x:v>-</x:v>
      </x:c>
      <x:c r="AC2" s="22" t="str"/>
      <x:c r="AD2" s="22" t="str">
        <x:v>専用・路外駐車を基本</x:v>
      </x:c>
      <x:c r="AE2" s="22" t="str"/>
    </x:row>
    <x:row r="3">
      <x:c r="A3" s="27" t="str">
        <x:v>D027</x:v>
      </x:c>
      <x:c r="B3" s="27" t="str">
        <x:v>本牧山頂公園</x:v>
      </x:c>
      <x:c r="C3" s="27" t="str">
        <x:v>横浜市・本牧</x:v>
      </x:c>
      <x:c r="D3" s="27" t="str">
        <x:v>高台・芝生・夜景</x:v>
      </x:c>
      <x:c r="E3" s="48" t="e">
        <x:f>HYPERLINK("https://www.google.com/maps/dir/?api=1&amp;destination=%E6%9C%AC%E7%89%A7%E5%B1%B1%E9%A0%82%E5%85%AC%E5%9C%92&amp;travelmode=driving","現在地からナビ開始")</x:f>
      </x:c>
      <x:c r="F3" s="27" t="str">
        <x:v>本牧の尾根上を歩き、港湾都市を静かな高台から眺められる。</x:v>
      </x:c>
      <x:c r="G3" s="27" t="str">
        <x:v>あり・有料</x:v>
      </x:c>
      <x:c r="H3" s="27" t="str">
        <x:v>駐車場 24時間</x:v>
      </x:c>
      <x:c r="I3" s="27" t="n">
        <x:v>4</x:v>
      </x:c>
      <x:c r="J3" s="27" t="n">
        <x:v>4</x:v>
      </x:c>
      <x:c r="K3" s="27" t="str">
        <x:v>園内が広く暗い区域もある。単独深夜は主要園路に限定。</x:v>
      </x:c>
      <x:c r="L3" s="28" t="n">
        <x:v>46232</x:v>
      </x:c>
      <x:c r="M3" s="27" t="str">
        <x:v>一次確認済</x:v>
      </x:c>
      <x:c r="N3" s="27" t="str">
        <x:v>https://sancho-yokohamaueki.com/guide/</x:v>
      </x:c>
      <x:c r="O3" s="27" t="str">
        <x:v>本牧は戦後長く米軍住宅地が置かれた地域で、返還後の再開発が現在の街並みを形作った。</x:v>
      </x:c>
      <x:c r="P3" s="84" t="e">
        <x:f>HYPERLINK("https://ja.wikipedia.org/wiki/Special:Search?search=%E6%9C%AC%E7%89%A7%E5%B1%B1%E9%A0%82%E5%85%AC%E5%9C%92","Wikipedia・関連項目")</x:f>
      </x:c>
      <x:c r="Q3" s="27"/>
      <x:c r="R3" s="27" t="str">
        <x:v>25〜35km</x:v>
      </x:c>
      <x:c r="S3" s="27" t="str">
        <x:v>概ね25〜35km</x:v>
      </x:c>
      <x:c r="T3" s="27" t="str">
        <x:v>通常55〜90分</x:v>
      </x:c>
      <x:c r="U3" s="27" t="str">
        <x:v>平日夜・深夜</x:v>
      </x:c>
      <x:c r="V3" s="27" t="str">
        <x:v>30〜60分</x:v>
      </x:c>
      <x:c r="W3" s="27" t="n">
        <x:v>1</x:v>
      </x:c>
      <x:c r="X3" s="27" t="n">
        <x:v>3</x:v>
      </x:c>
      <x:c r="Y3" s="27" t="str">
        <x:v>羽田空港 第3ターミナル展望デッキ</x:v>
      </x:c>
      <x:c r="Z3" s="27" t="str">
        <x:v>城南島海浜公園／潮風公園</x:v>
      </x:c>
      <x:c r="AA3" s="22" t="str">
        <x:v>なし</x:v>
      </x:c>
      <x:c r="AB3" s="22" t="str">
        <x:v>-</x:v>
      </x:c>
      <x:c r="AC3" s="22" t="str"/>
      <x:c r="AD3" s="22" t="str">
        <x:v>専用・路外駐車を基本</x:v>
      </x:c>
      <x:c r="AE3" s="22" t="str"/>
    </x:row>
    <x:row r="4">
      <x:c r="A4" s="27" t="str">
        <x:v>D028</x:v>
      </x:c>
      <x:c r="B4" s="27" t="str">
        <x:v>野島公園</x:v>
      </x:c>
      <x:c r="C4" s="27" t="str">
        <x:v>横浜市・金沢区</x:v>
      </x:c>
      <x:c r="D4" s="27" t="str">
        <x:v>海・展望台・島</x:v>
      </x:c>
      <x:c r="E4" s="48" t="e">
        <x:f>HYPERLINK("https://www.google.com/maps/dir/?api=1&amp;destination=%E9%87%8E%E5%B3%B6%E5%85%AC%E5%9C%92&amp;travelmode=driving","現在地からナビ開始")</x:f>
      </x:c>
      <x:c r="F4" s="27" t="str">
        <x:v>平潟湾、八景島、金沢の海を見渡し、島へ渡る小旅行感がある。</x:v>
      </x:c>
      <x:c r="G4" s="27" t="str">
        <x:v>あり・有料</x:v>
      </x:c>
      <x:c r="H4" s="27" t="str">
        <x:v>第1駐車場 7:00～23:00</x:v>
      </x:c>
      <x:c r="I4" s="27" t="n">
        <x:v>4</x:v>
      </x:c>
      <x:c r="J4" s="27" t="n">
        <x:v>4</x:v>
      </x:c>
      <x:c r="K4" s="27" t="str">
        <x:v>潮干狩り・夏休みは混雑。23時閉鎖前に出庫。</x:v>
      </x:c>
      <x:c r="L4" s="28" t="n">
        <x:v>46232</x:v>
      </x:c>
      <x:c r="M4" s="27" t="str">
        <x:v>一次確認済</x:v>
      </x:c>
      <x:c r="N4" s="27" t="str">
        <x:v>https://www.hama-midorinokyokai.or.jp/park/parking/nojima/nojima1/</x:v>
      </x:c>
      <x:c r="O4" s="27" t="str">
        <x:v>野島には横浜市内で数少ない自然海岸が残り、展望台周辺には旧軍施設の痕跡もある。</x:v>
      </x:c>
      <x:c r="P4" s="84" t="e">
        <x:f>HYPERLINK("https://ja.wikipedia.org/wiki/Special:Search?search=%E9%87%8E%E5%B3%B6%E5%85%AC%E5%9C%92","Wikipedia・関連項目")</x:f>
      </x:c>
      <x:c r="Q4" s="27"/>
      <x:c r="R4" s="27" t="str">
        <x:v>25〜35km</x:v>
      </x:c>
      <x:c r="S4" s="27" t="str">
        <x:v>概ね25〜35km</x:v>
      </x:c>
      <x:c r="T4" s="27" t="str">
        <x:v>通常55〜90分</x:v>
      </x:c>
      <x:c r="U4" s="27" t="str">
        <x:v>海・港</x:v>
      </x:c>
      <x:c r="V4" s="27" t="str">
        <x:v>30〜60分</x:v>
      </x:c>
      <x:c r="W4" s="27" t="n">
        <x:v>1</x:v>
      </x:c>
      <x:c r="X4" s="27" t="n">
        <x:v>3</x:v>
      </x:c>
      <x:c r="Y4" s="27" t="str">
        <x:v>城南島海浜公園</x:v>
      </x:c>
      <x:c r="Z4" s="27" t="str">
        <x:v>潮風公園／晴海ふ頭公園</x:v>
      </x:c>
      <x:c r="AA4" s="22" t="str">
        <x:v>なし</x:v>
      </x:c>
      <x:c r="AB4" s="22" t="str">
        <x:v>-</x:v>
      </x:c>
      <x:c r="AC4" s="22" t="str"/>
      <x:c r="AD4" s="22" t="str">
        <x:v>専用・路外駐車を基本</x:v>
      </x:c>
      <x:c r="AE4" s="22" t="str"/>
    </x:row>
    <x:row r="5">
      <x:c r="A5" s="27" t="str">
        <x:v>D029</x:v>
      </x:c>
      <x:c r="B5" s="27" t="str">
        <x:v>海の公園</x:v>
      </x:c>
      <x:c r="C5" s="27" t="str">
        <x:v>横浜市・金沢区</x:v>
      </x:c>
      <x:c r="D5" s="27" t="str">
        <x:v>人工海浜・静かな休憩</x:v>
      </x:c>
      <x:c r="E5" s="48" t="e">
        <x:f>HYPERLINK("https://www.google.com/maps/dir/?api=1&amp;destination=%E6%B5%B7%E3%81%AE%E5%85%AC%E5%9C%92&amp;travelmode=driving","現在地からナビ開始")</x:f>
      </x:c>
      <x:c r="F5" s="27" t="str">
        <x:v>横浜市内で砂浜に到達でき、夜の手前まで海辺でクールダウンできる。</x:v>
      </x:c>
      <x:c r="G5" s="27" t="str">
        <x:v>あり・大規模有料</x:v>
      </x:c>
      <x:c r="H5" s="27" t="str">
        <x:v>入庫 4:00～22:00／出庫 24時間</x:v>
      </x:c>
      <x:c r="I5" s="27" t="n">
        <x:v>3</x:v>
      </x:c>
      <x:c r="J5" s="27" t="n">
        <x:v>3</x:v>
      </x:c>
      <x:c r="K5" s="27" t="str">
        <x:v>潮干狩り・連休は大混雑。22時以降は新規入庫不可。</x:v>
      </x:c>
      <x:c r="L5" s="28" t="n">
        <x:v>46232</x:v>
      </x:c>
      <x:c r="M5" s="27" t="str">
        <x:v>一次確認済</x:v>
      </x:c>
      <x:c r="N5" s="27" t="str">
        <x:v>https://www.hama-midorinokyokai.or.jp/park/uminokouen/faq.php</x:v>
      </x:c>
      <x:c r="O5" s="27" t="str">
        <x:v>海の公園は横浜市内唯一の海水浴場で、砂浜は人工的に造成された。</x:v>
      </x:c>
      <x:c r="P5" s="84" t="e">
        <x:f>HYPERLINK("https://ja.wikipedia.org/wiki/Special:Search?search=%E6%B5%B7%E3%81%AE%E5%85%AC%E5%9C%92","Wikipedia・関連項目")</x:f>
      </x:c>
      <x:c r="Q5" s="27"/>
      <x:c r="R5" s="27" t="str">
        <x:v>25〜35km</x:v>
      </x:c>
      <x:c r="S5" s="27" t="str">
        <x:v>概ね25〜35km</x:v>
      </x:c>
      <x:c r="T5" s="27" t="str">
        <x:v>通常55〜90分</x:v>
      </x:c>
      <x:c r="U5" s="27" t="str">
        <x:v>海・港</x:v>
      </x:c>
      <x:c r="V5" s="27" t="str">
        <x:v>30〜60分</x:v>
      </x:c>
      <x:c r="W5" s="27" t="n">
        <x:v>1</x:v>
      </x:c>
      <x:c r="X5" s="27" t="n">
        <x:v>3</x:v>
      </x:c>
      <x:c r="Y5" s="27" t="str">
        <x:v>城南島海浜公園</x:v>
      </x:c>
      <x:c r="Z5" s="27" t="str">
        <x:v>潮風公園／晴海ふ頭公園</x:v>
      </x:c>
      <x:c r="AA5" s="22" t="str">
        <x:v>なし</x:v>
      </x:c>
      <x:c r="AB5" s="22" t="str">
        <x:v>-</x:v>
      </x:c>
      <x:c r="AC5" s="22" t="str"/>
      <x:c r="AD5" s="22" t="str">
        <x:v>専用・路外駐車を基本</x:v>
      </x:c>
      <x:c r="AE5" s="22" t="str"/>
    </x:row>
    <x:row r="6">
      <x:c r="A6" s="27" t="str">
        <x:v>D030</x:v>
      </x:c>
      <x:c r="B6" s="27" t="str">
        <x:v>舞岡公園</x:v>
      </x:c>
      <x:c r="C6" s="27" t="str">
        <x:v>横浜市・戸塚区</x:v>
      </x:c>
      <x:c r="D6" s="27" t="str">
        <x:v>谷戸・田園・静かな休憩</x:v>
      </x:c>
      <x:c r="E6" s="48" t="e">
        <x:f>HYPERLINK("https://www.google.com/maps/dir/?api=1&amp;destination=%E8%88%9E%E5%B2%A1%E5%85%AC%E5%9C%92&amp;travelmode=driving","現在地からナビ開始")</x:f>
      </x:c>
      <x:c r="F6" s="27" t="str">
        <x:v>都市圏で谷戸と田園風景に入り、走行後の気分を静かに落とせる。</x:v>
      </x:c>
      <x:c r="G6" s="27" t="str">
        <x:v>あり・有料</x:v>
      </x:c>
      <x:c r="H6" s="27" t="str">
        <x:v>駐車場 6:00～21:00</x:v>
      </x:c>
      <x:c r="I6" s="27" t="n">
        <x:v>2</x:v>
      </x:c>
      <x:c r="J6" s="27" t="n">
        <x:v>5</x:v>
      </x:c>
      <x:c r="K6" s="27" t="str">
        <x:v>夜は景観価値が下がる。自然観察と夕方Session向け。</x:v>
      </x:c>
      <x:c r="L6" s="28" t="n">
        <x:v>46232</x:v>
      </x:c>
      <x:c r="M6" s="27" t="str">
        <x:v>一次確認済</x:v>
      </x:c>
      <x:c r="N6" s="27" t="str">
        <x:v>https://www.hama-midorinokyokai.or.jp/park/parking/maioka/maioka/</x:v>
      </x:c>
      <x:c r="O6" s="27" t="str">
        <x:v>舞岡公園は横浜に残る『谷戸』の田園景観を保全し、水田・雑木林・古民家を一体で残している。</x:v>
      </x:c>
      <x:c r="P6" s="84" t="e">
        <x:f>HYPERLINK("https://ja.wikipedia.org/wiki/Special:Search?search=%E8%88%9E%E5%B2%A1%E5%85%AC%E5%9C%92","Wikipedia・関連項目")</x:f>
      </x:c>
      <x:c r="Q6" s="27"/>
      <x:c r="R6" s="27" t="str">
        <x:v>25〜35km</x:v>
      </x:c>
      <x:c r="S6" s="27" t="str">
        <x:v>概ね25〜35km</x:v>
      </x:c>
      <x:c r="T6" s="27" t="str">
        <x:v>通常55〜90分</x:v>
      </x:c>
      <x:c r="U6" s="27" t="str">
        <x:v>休日半日</x:v>
      </x:c>
      <x:c r="V6" s="27" t="str">
        <x:v>30〜60分</x:v>
      </x:c>
      <x:c r="W6" s="27" t="n">
        <x:v>2</x:v>
      </x:c>
      <x:c r="X6" s="27" t="n">
        <x:v>1</x:v>
      </x:c>
      <x:c r="Y6" s="27" t="str">
        <x:v>羽田空港 第3ターミナル展望デッキ</x:v>
      </x:c>
      <x:c r="Z6" s="27" t="str">
        <x:v>城南島海浜公園／潮風公園</x:v>
      </x:c>
      <x:c r="AA6" s="22" t="str">
        <x:v>なし</x:v>
      </x:c>
      <x:c r="AB6" s="22" t="str">
        <x:v>-</x:v>
      </x:c>
      <x:c r="AC6" s="22" t="str"/>
      <x:c r="AD6" s="22" t="str">
        <x:v>専用・路外駐車を基本</x:v>
      </x:c>
      <x:c r="AE6" s="22" t="str"/>
    </x:row>
    <x:row r="7">
      <x:c r="A7" s="27" t="str">
        <x:v>D059</x:v>
      </x:c>
      <x:c r="B7" s="27" t="str">
        <x:v>ふなばし三番瀬海浜公園</x:v>
      </x:c>
      <x:c r="C7" s="27" t="str">
        <x:v>船橋市・潮見町</x:v>
      </x:c>
      <x:c r="D7" s="27" t="str">
        <x:v>干潟・海・行き止まり</x:v>
      </x:c>
      <x:c r="E7" s="48" t="e">
        <x:f>HYPERLINK("https://www.google.com/maps/dir/?api=1&amp;destination=%E3%81%B5%E3%81%AA%E3%81%B0%E3%81%97%E4%B8%89%E7%95%AA%E7%80%AC%E6%B5%B7%E6%B5%9C%E5%85%AC%E5%9C%92&amp;travelmode=driving","現在地からナビ開始")</x:f>
      </x:c>
      <x:c r="F7" s="27" t="str">
        <x:v>工業地帯の先に広大な干潟が現れ、道の終端と海の開放感を同時に味わえる。</x:v>
      </x:c>
      <x:c r="G7" s="27" t="str">
        <x:v>あり・有料</x:v>
      </x:c>
      <x:c r="H7" s="27" t="str">
        <x:v>通常は概ね 9:00～19:00、潮干狩り日は変動</x:v>
      </x:c>
      <x:c r="I7" s="27" t="n">
        <x:v>2</x:v>
      </x:c>
      <x:c r="J7" s="27" t="n">
        <x:v>4</x:v>
      </x:c>
      <x:c r="K7" s="27" t="str">
        <x:v>潮干狩り期は大混雑。周辺道路は駐車禁止で、時間は当日公式確認。</x:v>
      </x:c>
      <x:c r="L7" s="28" t="n">
        <x:v>46232</x:v>
      </x:c>
      <x:c r="M7" s="27" t="str">
        <x:v>当日再確認</x:v>
      </x:c>
      <x:c r="N7" s="27" t="str">
        <x:v>https://www.sambanze.jp/information/access.html</x:v>
      </x:c>
      <x:c r="O7" s="27" t="str">
        <x:v>三番瀬は東京湾奥部に残る貴重な干潟・浅海域で、渡り鳥や魚介類の重要な生息地である。</x:v>
      </x:c>
      <x:c r="P7" s="84" t="e">
        <x:f>HYPERLINK("https://ja.wikipedia.org/wiki/Special:Search?search=%E3%81%B5%E3%81%AA%E3%81%B0%E3%81%97%E4%B8%89%E7%95%AA%E7%80%AC%E6%B5%B7%E6%B5%9C%E5%85%AC%E5%9C%92","Wikipedia・関連項目")</x:f>
      </x:c>
      <x:c r="Q7" s="27"/>
      <x:c r="R7" s="27" t="str">
        <x:v>25〜35km</x:v>
      </x:c>
      <x:c r="S7" s="27" t="str">
        <x:v>概ね25〜35km</x:v>
      </x:c>
      <x:c r="T7" s="27" t="str">
        <x:v>通常55〜90分</x:v>
      </x:c>
      <x:c r="U7" s="27" t="str">
        <x:v>海・港</x:v>
      </x:c>
      <x:c r="V7" s="27" t="str">
        <x:v>30〜60分</x:v>
      </x:c>
      <x:c r="W7" s="27" t="n">
        <x:v>1</x:v>
      </x:c>
      <x:c r="X7" s="27" t="n">
        <x:v>3</x:v>
      </x:c>
      <x:c r="Y7" s="27" t="str">
        <x:v>城南島海浜公園</x:v>
      </x:c>
      <x:c r="Z7" s="27" t="str">
        <x:v>潮風公園／晴海ふ頭公園</x:v>
      </x:c>
      <x:c r="AA7" s="22" t="str">
        <x:v>なし</x:v>
      </x:c>
      <x:c r="AB7" s="22" t="str">
        <x:v>-</x:v>
      </x:c>
      <x:c r="AC7" s="22" t="str"/>
      <x:c r="AD7" s="22" t="str">
        <x:v>専用・路外駐車を基本</x:v>
      </x:c>
      <x:c r="AE7" s="22" t="str"/>
    </x:row>
    <x:row r="8">
      <x:c r="A8" s="27" t="str">
        <x:v>D081</x:v>
      </x:c>
      <x:c r="B8" s="27" t="str">
        <x:v>道の駅 いちかわ</x:v>
      </x:c>
      <x:c r="C8" s="27" t="str">
        <x:v>市川市・国分</x:v>
      </x:c>
      <x:c r="D8" s="27" t="str">
        <x:v>道の駅・都市型休憩</x:v>
      </x:c>
      <x:c r="E8" s="48" t="e">
        <x:f>HYPERLINK("https://www.google.com/maps/dir/?api=1&amp;destination=%E9%81%93%E3%81%AE%E9%A7%85%20%E3%81%84%E3%81%A1%E3%81%8B%E3%82%8F&amp;travelmode=driving","現在地からナビ開始")</x:f>
      </x:c>
      <x:c r="F8" s="27" t="str">
        <x:v>外環道と都心近郊道路の節目で、食事・トイレ・短い休憩を確実に組み込める都市型Ending。</x:v>
      </x:c>
      <x:c r="G8" s="27" t="str">
        <x:v>あり・24時間利用可</x:v>
      </x:c>
      <x:c r="H8" s="27" t="str">
        <x:v>駐車場・トイレ 24時間／店舗は個別営業時間</x:v>
      </x:c>
      <x:c r="I8" s="27" t="n">
        <x:v>4</x:v>
      </x:c>
      <x:c r="J8" s="27" t="n">
        <x:v>3</x:v>
      </x:c>
      <x:c r="K8" s="27" t="str">
        <x:v>住宅地に近く夜間騒音が課題となっているため、アイドリング・長時間滞在を避ける。</x:v>
      </x:c>
      <x:c r="L8" s="28" t="n">
        <x:v>46232</x:v>
      </x:c>
      <x:c r="M8" s="27" t="str">
        <x:v>一次確認済</x:v>
      </x:c>
      <x:c r="N8" s="27" t="str">
        <x:v>https://www.michinoeki-ichikawa.jp/access/</x:v>
      </x:c>
      <x:c r="O8" s="27" t="str">
        <x:v>道の駅いちかわは農村部ではなく市街地に造られた『都市型道の駅』として珍しい。</x:v>
      </x:c>
      <x:c r="P8" s="84" t="e">
        <x:f>HYPERLINK("https://ja.wikipedia.org/wiki/Special:Search?search=%E9%81%93%E3%81%AE%E9%A7%85%20%E3%81%84%E3%81%A1%E3%81%8B%E3%82%8F","Wikipedia・関連項目")</x:f>
      </x:c>
      <x:c r="Q8" s="27"/>
      <x:c r="R8" s="27" t="str">
        <x:v>25〜35km</x:v>
      </x:c>
      <x:c r="S8" s="27" t="str">
        <x:v>概ね25〜35km</x:v>
      </x:c>
      <x:c r="T8" s="27" t="str">
        <x:v>通常55〜90分</x:v>
      </x:c>
      <x:c r="U8" s="27" t="str">
        <x:v>平日夜・深夜</x:v>
      </x:c>
      <x:c r="V8" s="27" t="str">
        <x:v>30〜60分</x:v>
      </x:c>
      <x:c r="W8" s="27" t="n">
        <x:v>4</x:v>
      </x:c>
      <x:c r="X8" s="27" t="n">
        <x:v>1</x:v>
      </x:c>
      <x:c r="Y8" s="27" t="str">
        <x:v>羽田空港 第3ターミナル展望デッキ</x:v>
      </x:c>
      <x:c r="Z8" s="27" t="str">
        <x:v>城南島海浜公園／潮風公園</x:v>
      </x:c>
      <x:c r="AA8" s="22" t="str">
        <x:v>なし</x:v>
      </x:c>
      <x:c r="AB8" s="22" t="str">
        <x:v>-</x:v>
      </x:c>
      <x:c r="AC8" s="22" t="str"/>
      <x:c r="AD8" s="22" t="str">
        <x:v>専用・路外駐車を基本</x:v>
      </x:c>
      <x:c r="AE8" s="22" t="str"/>
    </x:row>
    <x:row r="9">
      <x:c r="A9" s="27" t="str">
        <x:v>D113</x:v>
      </x:c>
      <x:c r="B9" s="27" t="str">
        <x:v>久良岐公園</x:v>
      </x:c>
      <x:c r="C9" s="27" t="str">
        <x:v>横浜市・港南区</x:v>
      </x:c>
      <x:c r="D9" s="27" t="str">
        <x:v>丘陵・池・静かな公園</x:v>
      </x:c>
      <x:c r="E9" s="48" t="e">
        <x:f>HYPERLINK("https://www.google.com/maps/dir/?api=1&amp;destination=%E4%B9%85%E8%89%AF%E5%B2%90%E5%85%AC%E5%9C%92&amp;travelmode=driving","現在地からナビ開始")</x:f>
      </x:c>
      <x:c r="F9" s="27" t="str">
        <x:v>起伏と樹林、池があり、横浜南部で静けさを得る昼～夕方Ending。</x:v>
      </x:c>
      <x:c r="G9" s="27" t="str">
        <x:v>あり・88台・有料</x:v>
      </x:c>
      <x:c r="H9" s="27" t="str">
        <x:v>駐車場時間は公式案内確認</x:v>
      </x:c>
      <x:c r="I9" s="27" t="n">
        <x:v>2</x:v>
      </x:c>
      <x:c r="J9" s="27" t="n">
        <x:v>4</x:v>
      </x:c>
      <x:c r="K9" s="27" t="str">
        <x:v>夜間より昼向き。大型バス不可。</x:v>
      </x:c>
      <x:c r="L9" s="28" t="n">
        <x:v>46232</x:v>
      </x:c>
      <x:c r="M9" s="27" t="str">
        <x:v>当日再確認</x:v>
      </x:c>
      <x:c r="N9" s="27" t="str">
        <x:v>https://www.city.yokohama.lg.jp/kurashi/machizukuri-kankyo/midori-koen/koen/koen/daihyoteki/kuraki/kuraki.html</x:v>
      </x:c>
      <x:c r="O9" s="27" t="str">
        <x:v>『久良岐』は武蔵国に置かれた古代の郡名で、現在の横浜南部にその地名の記憶が残る。</x:v>
      </x:c>
      <x:c r="P9" s="84" t="e">
        <x:f>HYPERLINK("https://ja.wikipedia.org/wiki/Special:Search?search=%E4%B9%85%E8%89%AF%E5%B2%90%E5%85%AC%E5%9C%92","Wikipedia・関連項目")</x:f>
      </x:c>
      <x:c r="Q9" s="27"/>
      <x:c r="R9" s="27" t="str">
        <x:v>25〜35km</x:v>
      </x:c>
      <x:c r="S9" s="27" t="str">
        <x:v>概ね25〜35km</x:v>
      </x:c>
      <x:c r="T9" s="27" t="str">
        <x:v>通常55〜90分</x:v>
      </x:c>
      <x:c r="U9" s="27" t="str">
        <x:v>水辺</x:v>
      </x:c>
      <x:c r="V9" s="27" t="str">
        <x:v>30〜90分</x:v>
      </x:c>
      <x:c r="W9" s="27" t="n">
        <x:v>1</x:v>
      </x:c>
      <x:c r="X9" s="27" t="n">
        <x:v>1</x:v>
      </x:c>
      <x:c r="Y9" s="27" t="str">
        <x:v>多摩川浅間神社</x:v>
      </x:c>
      <x:c r="Z9" s="27" t="str">
        <x:v>多摩川六郷橋緑地／多摩川ガス橋緑地</x:v>
      </x:c>
      <x:c r="AA9" s="22" t="str">
        <x:v>なし</x:v>
      </x:c>
      <x:c r="AB9" s="22" t="str">
        <x:v>-</x:v>
      </x:c>
      <x:c r="AC9" s="22" t="str"/>
      <x:c r="AD9" s="22" t="str">
        <x:v>専用・路外駐車を基本</x:v>
      </x:c>
      <x:c r="AE9" s="22" t="str"/>
    </x:row>
    <x:row r="10">
      <x:c r="A10" s="27" t="str">
        <x:v>D120</x:v>
      </x:c>
      <x:c r="B10" s="27" t="str">
        <x:v>根岸湾臨海部・久良岐公園連携地点</x:v>
      </x:c>
      <x:c r="C10" s="27" t="str">
        <x:v>横浜市・磯子区周辺</x:v>
      </x:c>
      <x:c r="D10" s="27" t="str">
        <x:v>工業湾岸・丘陵・中継</x:v>
      </x:c>
      <x:c r="E10" s="48" t="e">
        <x:f>HYPERLINK("https://www.google.com/maps/dir/?api=1&amp;destination=%E6%A0%B9%E5%B2%B8%E6%B9%BE%E8%87%A8%E6%B5%B7%E9%83%A8%E3%83%BB%E4%B9%85%E8%89%AF%E5%B2%90%E5%85%AC%E5%9C%92%E9%80%A3%E6%90%BA%E5%9C%B0%E7%82%B9&amp;travelmode=driving","現在地からナビ開始")</x:f>
      </x:c>
      <x:c r="F10" s="27" t="str">
        <x:v>臨海工業地帯の走行後に久良岐公園へ上がる地形変化があり、経由地として成立する。</x:v>
      </x:c>
      <x:c r="G10" s="27" t="str">
        <x:v>合法な時間貸し駐車場利用</x:v>
      </x:c>
      <x:c r="H10" s="27" t="str">
        <x:v>中継利用・当日確認</x:v>
      </x:c>
      <x:c r="I10" s="27" t="n">
        <x:v>2</x:v>
      </x:c>
      <x:c r="J10" s="27" t="n">
        <x:v>5</x:v>
      </x:c>
      <x:c r="K10" s="27" t="str">
        <x:v>工場敷地・岸壁・私道へ進入しない。単独最終目的地ではなく経由地専用。</x:v>
      </x:c>
      <x:c r="L10" s="28" t="n">
        <x:v>46232</x:v>
      </x:c>
      <x:c r="M10" s="27" t="str">
        <x:v>当日再確認</x:v>
      </x:c>
      <x:c r="N10" s="27" t="str">
        <x:v>https://www.city.yokohama.lg.jp/kurashi/machizukuri-kankyo/midori-koen/koen/koen/daihyoteki/kuraki/kuraki.html</x:v>
      </x:c>
      <x:c r="O10" s="27" t="str">
        <x:v>根岸湾は戦後の大規模埋立てで石油・化学工業地帯となり、横浜港南部の景観を大きく変えた。</x:v>
      </x:c>
      <x:c r="P10" s="84" t="e">
        <x:f>HYPERLINK("https://ja.wikipedia.org/wiki/Special:Search?search=%E6%A0%B9%E5%B2%B8%E6%B9%BE%E8%87%A8%E6%B5%B7%E9%83%A8%E3%83%BB%E4%B9%85%E8%89%AF%E5%B2%90%E5%85%AC%E5%9C%92%E9%80%A3%E6%90%BA%E5%9C%B0%E7%82%B9","Wikipedia・関連項目")</x:f>
      </x:c>
      <x:c r="Q10" s="27"/>
      <x:c r="R10" s="27" t="str">
        <x:v>25〜35km</x:v>
      </x:c>
      <x:c r="S10" s="27" t="str">
        <x:v>概ね25〜35km</x:v>
      </x:c>
      <x:c r="T10" s="27" t="str">
        <x:v>通常55〜90分</x:v>
      </x:c>
      <x:c r="U10" s="27" t="str">
        <x:v>休日半日</x:v>
      </x:c>
      <x:c r="V10" s="27" t="str">
        <x:v>30〜60分</x:v>
      </x:c>
      <x:c r="W10" s="27" t="n">
        <x:v>2</x:v>
      </x:c>
      <x:c r="X10" s="27" t="n">
        <x:v>1</x:v>
      </x:c>
      <x:c r="Y10" s="27" t="str">
        <x:v>羽田空港 第3ターミナル展望デッキ</x:v>
      </x:c>
      <x:c r="Z10" s="27" t="str">
        <x:v>城南島海浜公園／潮風公園</x:v>
      </x:c>
      <x:c r="AA10" s="22" t="str">
        <x:v>なし</x:v>
      </x:c>
      <x:c r="AB10" s="22" t="str">
        <x:v>-</x:v>
      </x:c>
      <x:c r="AC10" s="22" t="str"/>
      <x:c r="AD10" s="22" t="str">
        <x:v>専用・路外駐車を基本</x:v>
      </x:c>
      <x:c r="AE10" s="22" t="str"/>
    </x:row>
    <x:row r="11">
      <x:c r="A11" s="27" t="str">
        <x:v>D139</x:v>
      </x:c>
      <x:c r="B11" s="27" t="str">
        <x:v>東綾瀬公園</x:v>
      </x:c>
      <x:c r="C11" s="27" t="str">
        <x:v>東京都足立区</x:v>
      </x:c>
      <x:c r="D11" s="27" t="str">
        <x:v>水辺・都市公園・24時間駐車</x:v>
      </x:c>
      <x:c r="E11" s="48" t="e">
        <x:f>HYPERLINK("https://www.google.com/maps/dir/?api=1&amp;destination=%E6%9D%B1%E7%B6%BE%E7%80%AC%E5%85%AC%E5%9C%92&amp;travelmode=driving","現在地からナビ開始")</x:f>
      </x:c>
      <x:c r="F11" s="27" t="str">
        <x:v>曲線状に続く水辺と緑地があり、東京東部の夜間Sessionを安全な駐車場で締められる。</x:v>
      </x:c>
      <x:c r="G11" s="27" t="str">
        <x:v>あり・107台、有料</x:v>
      </x:c>
      <x:c r="H11" s="27" t="str">
        <x:v>駐車場 24時間</x:v>
      </x:c>
      <x:c r="I11" s="27" t="n">
        <x:v>4</x:v>
      </x:c>
      <x:c r="J11" s="27" t="n">
        <x:v>3</x:v>
      </x:c>
      <x:c r="K11" s="27" t="str">
        <x:v>住宅地に近い。夜間は照明のある主要区域に限定し、騒音・長時間滞在を避ける。</x:v>
      </x:c>
      <x:c r="L11" s="28" t="n">
        <x:v>46232</x:v>
      </x:c>
      <x:c r="M11" s="27" t="str">
        <x:v>一次確認済</x:v>
      </x:c>
      <x:c r="N11" s="27" t="str">
        <x:v>https://www.tokyo-park.or.jp/park/higashi-ayase/index.html</x:v>
      </x:c>
      <x:c r="O11" s="27" t="str">
        <x:v>東綾瀬公園は細長く湾曲した園地が水路沿いに続き、周辺住宅地を包む大きな緑の帯になっている。</x:v>
      </x:c>
      <x:c r="P11" s="84" t="e">
        <x:f>HYPERLINK("https://ja.wikipedia.org/wiki/Special:Search?search=%E6%9D%B1%E7%B6%BE%E7%80%AC%E5%85%AC%E5%9C%92","Wikipedia・関連項目")</x:f>
      </x:c>
      <x:c r="Q11" s="27"/>
      <x:c r="R11" s="27" t="str">
        <x:v>25〜35km</x:v>
      </x:c>
      <x:c r="S11" s="27" t="str">
        <x:v>概ね25〜35km</x:v>
      </x:c>
      <x:c r="T11" s="27" t="str">
        <x:v>通常55〜90分</x:v>
      </x:c>
      <x:c r="U11" s="27" t="str">
        <x:v>平日夜・深夜</x:v>
      </x:c>
      <x:c r="V11" s="27" t="str">
        <x:v>30〜90分</x:v>
      </x:c>
      <x:c r="W11" s="27" t="n">
        <x:v>1</x:v>
      </x:c>
      <x:c r="X11" s="27" t="n">
        <x:v>1</x:v>
      </x:c>
      <x:c r="Y11" s="27" t="str">
        <x:v>平和の森公園</x:v>
      </x:c>
      <x:c r="Z11" s="27" t="str">
        <x:v>大森ふるさとの浜辺公園／森ケ崎公園</x:v>
      </x:c>
      <x:c r="AA11" s="22" t="str">
        <x:v>なし</x:v>
      </x:c>
      <x:c r="AB11" s="22" t="str">
        <x:v>-</x:v>
      </x:c>
      <x:c r="AC11" s="22" t="str"/>
      <x:c r="AD11" s="22" t="str">
        <x:v>専用・路外駐車を基本</x:v>
      </x:c>
      <x:c r="AE11" s="22" t="str"/>
    </x:row>
    <x:row r="12">
      <x:c r="A12" s="27" t="str">
        <x:v>D161</x:v>
      </x:c>
      <x:c r="B12" s="27" t="str">
        <x:v>野島公園</x:v>
      </x:c>
      <x:c r="C12" s="27" t="str">
        <x:v>横浜市・金沢区</x:v>
      </x:c>
      <x:c r="D12" s="27" t="str">
        <x:v>海・高台・旧別邸・港</x:v>
      </x:c>
      <x:c r="E12" s="48" t="e">
        <x:f>HYPERLINK("https://www.google.com/maps/dir/?api=1&amp;destination=%E9%87%8E%E5%B3%B6%E5%85%AC%E5%9C%92&amp;travelmode=driving","現在地からナビ開始")</x:f>
      </x:c>
      <x:c r="F12" s="27" t="str">
        <x:v>標高約54mの展望台から平潟湾と八景島方面を見渡せ、海辺の静けさと近代史を同時に味わえる。</x:v>
      </x:c>
      <x:c r="G12" s="27" t="str">
        <x:v>あり・第1 104台、第2 52台、有料</x:v>
      </x:c>
      <x:c r="H12" s="27" t="str">
        <x:v>第1駐車場 7:00～23:00</x:v>
      </x:c>
      <x:c r="I12" s="27" t="n">
        <x:v>4</x:v>
      </x:c>
      <x:c r="J12" s="27" t="n">
        <x:v>4</x:v>
      </x:c>
      <x:c r="K12" s="27" t="str">
        <x:v>潮干狩り・行楽期は満車。閉場後は出庫不可となる可能性があるため23時前に退出。</x:v>
      </x:c>
      <x:c r="L12" s="28" t="n">
        <x:v>46232</x:v>
      </x:c>
      <x:c r="M12" s="27" t="str">
        <x:v>一次確認済</x:v>
      </x:c>
      <x:c r="N12" s="27" t="str">
        <x:v>https://www.hama-midorinokyokai.or.jp/park/parking/nojima/nojima1/</x:v>
      </x:c>
      <x:c r="O12" s="27" t="str">
        <x:v>園内には伊藤博文が憲法草案を検討した地として知られる旧別邸が残り、海辺の公園に明治政治史が重なる。</x:v>
      </x:c>
      <x:c r="P12" s="84" t="e">
        <x:f>HYPERLINK("https://ja.wikipedia.org/wiki/Special:Search?search=%E9%87%8E%E5%B3%B6%E5%85%AC%E5%9C%92","Wikipedia・関連項目")</x:f>
      </x:c>
      <x:c r="Q12" s="27"/>
      <x:c r="R12" s="27" t="str">
        <x:v>25〜35km</x:v>
      </x:c>
      <x:c r="S12" s="27" t="str">
        <x:v>概ね25〜35km</x:v>
      </x:c>
      <x:c r="T12" s="27" t="str">
        <x:v>通常55〜90分</x:v>
      </x:c>
      <x:c r="U12" s="27" t="str">
        <x:v>海・港</x:v>
      </x:c>
      <x:c r="V12" s="27" t="str">
        <x:v>30〜90分</x:v>
      </x:c>
      <x:c r="W12" s="27" t="n">
        <x:v>1</x:v>
      </x:c>
      <x:c r="X12" s="27" t="n">
        <x:v>3</x:v>
      </x:c>
      <x:c r="Y12" s="27" t="str">
        <x:v>城南島海浜公園</x:v>
      </x:c>
      <x:c r="Z12" s="27" t="str">
        <x:v>潮風公園／晴海ふ頭公園</x:v>
      </x:c>
      <x:c r="AA12" s="22" t="str">
        <x:v>なし</x:v>
      </x:c>
      <x:c r="AB12" s="22" t="str">
        <x:v>-</x:v>
      </x:c>
      <x:c r="AC12" s="22" t="str"/>
      <x:c r="AD12" s="22" t="str">
        <x:v>専用・路外駐車を基本</x:v>
      </x:c>
      <x:c r="AE12" s="22" t="str"/>
    </x:row>
    <x:row r="13">
      <x:c r="A13" s="27" t="str">
        <x:v>D165</x:v>
      </x:c>
      <x:c r="B13" s="27" t="str">
        <x:v>海の公園</x:v>
      </x:c>
      <x:c r="C13" s="27" t="str">
        <x:v>横浜市・金沢区</x:v>
      </x:c>
      <x:c r="D13" s="27" t="str">
        <x:v>人工海浜・八景島・海</x:v>
      </x:c>
      <x:c r="E13" s="48" t="e">
        <x:f>HYPERLINK("https://www.google.com/maps/dir/?api=1&amp;destination=%E6%B5%B7%E3%81%AE%E5%85%AC%E5%9C%92&amp;travelmode=driving","現在地からナビ開始")</x:f>
      </x:c>
      <x:c r="F13" s="27" t="str">
        <x:v>横浜市内唯一の海水浴場を持つ人工海浜で、砂浜越しに八景島を眺める穏やかな湾岸Ending。</x:v>
      </x:c>
      <x:c r="G13" s="27" t="str">
        <x:v>あり・柴口／磯浜／臨時駐車場、有料</x:v>
      </x:c>
      <x:c r="H13" s="27" t="str">
        <x:v>駐車場ごとの最新営業時間を公式確認</x:v>
      </x:c>
      <x:c r="I13" s="27" t="n">
        <x:v>3</x:v>
      </x:c>
      <x:c r="J13" s="27" t="n">
        <x:v>2</x:v>
      </x:c>
      <x:c r="K13" s="27" t="str">
        <x:v>潮干狩り・夏季は大混雑。閉鎖駐車場や満車時の路上待機は禁止。</x:v>
      </x:c>
      <x:c r="L13" s="28" t="n">
        <x:v>46232</x:v>
      </x:c>
      <x:c r="M13" s="27" t="str">
        <x:v>当日再確認</x:v>
      </x:c>
      <x:c r="N13" s="27" t="str">
        <x:v>https://www.city.yokohama.lg.jp/kurashi/machizukuri-kankyo/midori-koen/koen/koen/daihyoteki/umikouen.html</x:v>
      </x:c>
      <x:c r="O13" s="27" t="str">
        <x:v>海の公園の砂浜は人工的に造成されたが、アサリなどの生物が定着し都市型の海浜環境を形成している。</x:v>
      </x:c>
      <x:c r="P13" s="84" t="e">
        <x:f>HYPERLINK("https://ja.wikipedia.org/wiki/Special:Search?search=%E6%B5%B7%E3%81%AE%E5%85%AC%E5%9C%92","Wikipedia・関連項目")</x:f>
      </x:c>
      <x:c r="Q13" s="27"/>
      <x:c r="R13" s="27" t="str">
        <x:v>25〜35km</x:v>
      </x:c>
      <x:c r="S13" s="27" t="str">
        <x:v>概ね25〜35km</x:v>
      </x:c>
      <x:c r="T13" s="27" t="str">
        <x:v>通常55〜90分</x:v>
      </x:c>
      <x:c r="U13" s="27" t="str">
        <x:v>海・港</x:v>
      </x:c>
      <x:c r="V13" s="27" t="str">
        <x:v>30〜60分</x:v>
      </x:c>
      <x:c r="W13" s="27" t="n">
        <x:v>1</x:v>
      </x:c>
      <x:c r="X13" s="27" t="n">
        <x:v>3</x:v>
      </x:c>
      <x:c r="Y13" s="27" t="str">
        <x:v>城南島海浜公園</x:v>
      </x:c>
      <x:c r="Z13" s="27" t="str">
        <x:v>潮風公園／晴海ふ頭公園</x:v>
      </x:c>
      <x:c r="AA13" s="22" t="str">
        <x:v>なし</x:v>
      </x:c>
      <x:c r="AB13" s="22" t="str">
        <x:v>-</x:v>
      </x:c>
      <x:c r="AC13" s="22" t="str"/>
      <x:c r="AD13" s="22" t="str">
        <x:v>専用・路外駐車を基本</x:v>
      </x:c>
      <x:c r="AE13" s="22" t="str"/>
    </x:row>
    <x:row r="14">
      <x:c r="A14" s="27" t="str">
        <x:v>D166</x:v>
      </x:c>
      <x:c r="B14" s="27" t="str">
        <x:v>本牧海づり施設</x:v>
      </x:c>
      <x:c r="C14" s="27" t="str">
        <x:v>横浜市・本牧ふ頭</x:v>
      </x:c>
      <x:c r="D14" s="27" t="str">
        <x:v>港・釣り・大型船・行き止まり</x:v>
      </x:c>
      <x:c r="E14" s="48" t="e">
        <x:f>HYPERLINK("https://www.google.com/maps/dir/?api=1&amp;destination=%E6%9C%AC%E7%89%A7%E6%B5%B7%E3%81%A5%E3%82%8A%E6%96%BD%E8%A8%AD&amp;travelmode=driving","現在地からナビ開始")</x:f>
      </x:c>
      <x:c r="F14" s="27" t="str">
        <x:v>本牧ふ頭の先端近くまで走り、大型船とコンテナ港を間近に感じられる港湾最終目的地。</x:v>
      </x:c>
      <x:c r="G14" s="27" t="str">
        <x:v>あり・約230台</x:v>
      </x:c>
      <x:c r="H14" s="27" t="str">
        <x:v>通常6:00～19:00、季節延長あり</x:v>
      </x:c>
      <x:c r="I14" s="27" t="n">
        <x:v>2</x:v>
      </x:c>
      <x:c r="J14" s="27" t="n">
        <x:v>3</x:v>
      </x:c>
      <x:c r="K14" s="27" t="str">
        <x:v>営業日・入場制限・混雑を当日確認。釣りをしない場合も施設ルールと入場料に従う。</x:v>
      </x:c>
      <x:c r="L14" s="28" t="n">
        <x:v>46232</x:v>
      </x:c>
      <x:c r="M14" s="27" t="str">
        <x:v>一次確認済</x:v>
      </x:c>
      <x:c r="N14" s="27" t="str">
        <x:v>https://yokohama-fishingpiers.jp/honmoku</x:v>
      </x:c>
      <x:c r="O14" s="27" t="str">
        <x:v>本牧ふ頭は横浜港のコンテナ物流を支える埠頭群の一つで、戦後の港湾拡張を象徴する場所。</x:v>
      </x:c>
      <x:c r="P14" s="84" t="e">
        <x:f>HYPERLINK("https://ja.wikipedia.org/wiki/Special:Search?search=%E6%9C%AC%E7%89%A7%E6%B5%B7%E3%81%A5%E3%82%8A%E6%96%BD%E8%A8%AD","Wikipedia・関連項目")</x:f>
      </x:c>
      <x:c r="Q14" s="27"/>
      <x:c r="R14" s="27" t="str">
        <x:v>25〜35km</x:v>
      </x:c>
      <x:c r="S14" s="27" t="str">
        <x:v>概ね25〜35km</x:v>
      </x:c>
      <x:c r="T14" s="27" t="str">
        <x:v>通常55〜90分</x:v>
      </x:c>
      <x:c r="U14" s="27" t="str">
        <x:v>海・港</x:v>
      </x:c>
      <x:c r="V14" s="27" t="str">
        <x:v>30〜90分</x:v>
      </x:c>
      <x:c r="W14" s="27" t="n">
        <x:v>2</x:v>
      </x:c>
      <x:c r="X14" s="27" t="n">
        <x:v>3</x:v>
      </x:c>
      <x:c r="Y14" s="27" t="str">
        <x:v>城南島海浜公園</x:v>
      </x:c>
      <x:c r="Z14" s="27" t="str">
        <x:v>潮風公園／晴海ふ頭公園</x:v>
      </x:c>
      <x:c r="AA14" s="22" t="str">
        <x:v>なし</x:v>
      </x:c>
      <x:c r="AB14" s="22" t="str">
        <x:v>-</x:v>
      </x:c>
      <x:c r="AC14" s="22" t="str"/>
      <x:c r="AD14" s="22" t="str">
        <x:v>専用・路外駐車を基本</x:v>
      </x:c>
      <x:c r="AE14" s="22" t="str"/>
    </x:row>
    <x:row r="15">
      <x:c r="A15" s="27" t="str">
        <x:v>D168</x:v>
      </x:c>
      <x:c r="B15" s="27" t="str">
        <x:v>磯子海づり施設</x:v>
      </x:c>
      <x:c r="C15" s="27" t="str">
        <x:v>横浜市・磯子区</x:v>
      </x:c>
      <x:c r="D15" s="27" t="str">
        <x:v>工業湾岸・釣り・火力発電所</x:v>
      </x:c>
      <x:c r="E15" s="48" t="e">
        <x:f>HYPERLINK("https://www.google.com/maps/dir/?api=1&amp;destination=%E7%A3%AF%E5%AD%90%E6%B5%B7%E3%81%A5%E3%82%8A%E6%96%BD%E8%A8%AD&amp;travelmode=driving","現在地からナビ開始")</x:f>
      </x:c>
      <x:c r="F15" s="27" t="str">
        <x:v>根岸湾の工業景観を安全な公共施設から眺められ、工場夜景系ルートの昼～夕方Endingに向く。</x:v>
      </x:c>
      <x:c r="G15" s="27" t="str">
        <x:v>あり・85台</x:v>
      </x:c>
      <x:c r="H15" s="27" t="str">
        <x:v>通常8:00～19:00</x:v>
      </x:c>
      <x:c r="I15" s="27" t="n">
        <x:v>2</x:v>
      </x:c>
      <x:c r="J15" s="27" t="n">
        <x:v>4</x:v>
      </x:c>
      <x:c r="K15" s="27" t="str">
        <x:v>駐車場が先に満車になりやすい。周辺工場・岸壁への無断進入は禁止。</x:v>
      </x:c>
      <x:c r="L15" s="28" t="n">
        <x:v>46232</x:v>
      </x:c>
      <x:c r="M15" s="27" t="str">
        <x:v>一次確認済</x:v>
      </x:c>
      <x:c r="N15" s="27" t="str">
        <x:v>https://yokohama-fishingpiers.jp/isogo</x:v>
      </x:c>
      <x:c r="O15" s="27" t="str">
        <x:v>根岸湾沿岸は高度経済成長期に埋立てられ、製油所・発電所など京浜工業地帯の中核施設が集積した。</x:v>
      </x:c>
      <x:c r="P15" s="84" t="e">
        <x:f>HYPERLINK("https://ja.wikipedia.org/wiki/Special:Search?search=%E7%A3%AF%E5%AD%90%E6%B5%B7%E3%81%A5%E3%82%8A%E6%96%BD%E8%A8%AD","Wikipedia・関連項目")</x:f>
      </x:c>
      <x:c r="Q15" s="27"/>
      <x:c r="R15" s="27" t="str">
        <x:v>25〜35km</x:v>
      </x:c>
      <x:c r="S15" s="27" t="str">
        <x:v>概ね25〜35km</x:v>
      </x:c>
      <x:c r="T15" s="27" t="str">
        <x:v>通常55〜90分</x:v>
      </x:c>
      <x:c r="U15" s="27" t="str">
        <x:v>休日半日</x:v>
      </x:c>
      <x:c r="V15" s="27" t="str">
        <x:v>30〜60分</x:v>
      </x:c>
      <x:c r="W15" s="27" t="n">
        <x:v>2</x:v>
      </x:c>
      <x:c r="X15" s="27" t="n">
        <x:v>1</x:v>
      </x:c>
      <x:c r="Y15" s="27" t="str">
        <x:v>羽田空港 第3ターミナル展望デッキ</x:v>
      </x:c>
      <x:c r="Z15" s="27" t="str">
        <x:v>城南島海浜公園／潮風公園</x:v>
      </x:c>
      <x:c r="AA15" s="22" t="str">
        <x:v>なし</x:v>
      </x:c>
      <x:c r="AB15" s="22" t="str">
        <x:v>-</x:v>
      </x:c>
      <x:c r="AC15" s="22" t="str"/>
      <x:c r="AD15" s="22" t="str">
        <x:v>専用・路外駐車を基本</x:v>
      </x:c>
      <x:c r="AE15" s="22" t="str"/>
    </x:row>
    <x:row r="16">
      <x:c r="A16" s="27" t="str">
        <x:v>D171</x:v>
      </x:c>
      <x:c r="B16" s="27" t="str">
        <x:v>城北中央公園</x:v>
      </x:c>
      <x:c r="C16" s="27" t="str">
        <x:v>東京都板橋区・練馬区</x:v>
      </x:c>
      <x:c r="D16" s="27" t="str">
        <x:v>24時間駐車・遺跡・都市公園</x:v>
      </x:c>
      <x:c r="E16" s="48" t="e">
        <x:f>HYPERLINK("https://www.google.com/maps/dir/?api=1&amp;destination=%E5%9F%8E%E5%8C%97%E4%B8%AD%E5%A4%AE%E5%85%AC%E5%9C%92&amp;travelmode=driving","現在地からナビ開始")</x:f>
      </x:c>
      <x:c r="F16" s="27" t="str">
        <x:v>都心北西部で24時間駐車でき、古代遺跡と広い運動公園を短時間の夜間休憩に使える。</x:v>
      </x:c>
      <x:c r="G16" s="27" t="str">
        <x:v>あり・66台、有料</x:v>
      </x:c>
      <x:c r="H16" s="27" t="str">
        <x:v>駐車場24時間</x:v>
      </x:c>
      <x:c r="I16" s="27" t="n">
        <x:v>4</x:v>
      </x:c>
      <x:c r="J16" s="27" t="n">
        <x:v>3</x:v>
      </x:c>
      <x:c r="K16" s="27" t="str">
        <x:v>住宅地に囲まれるため深夜は短時間利用。競技・イベント時は満車。</x:v>
      </x:c>
      <x:c r="L16" s="28" t="n">
        <x:v>46232</x:v>
      </x:c>
      <x:c r="M16" s="27" t="str">
        <x:v>一次確認済</x:v>
      </x:c>
      <x:c r="N16" s="27" t="str">
        <x:v>https://www.tokyo-park.or.jp/park/johoku-chuo/index.html</x:v>
      </x:c>
      <x:c r="O16" s="27" t="str">
        <x:v>園内周辺には栗原遺跡など古代の住居跡があり、武蔵野台地の古い人々の暮らしを示す。</x:v>
      </x:c>
      <x:c r="P16" s="84" t="e">
        <x:f>HYPERLINK("https://ja.wikipedia.org/wiki/Special:Search?search=%E5%9F%8E%E5%8C%97%E4%B8%AD%E5%A4%AE%E5%85%AC%E5%9C%92","Wikipedia・関連項目")</x:f>
      </x:c>
      <x:c r="Q16" s="27"/>
      <x:c r="R16" s="27" t="str">
        <x:v>25〜35km</x:v>
      </x:c>
      <x:c r="S16" s="27" t="str">
        <x:v>概ね25〜35km</x:v>
      </x:c>
      <x:c r="T16" s="27" t="str">
        <x:v>通常55〜90分</x:v>
      </x:c>
      <x:c r="U16" s="27" t="str">
        <x:v>平日夜・深夜</x:v>
      </x:c>
      <x:c r="V16" s="27" t="str">
        <x:v>30〜90分</x:v>
      </x:c>
      <x:c r="W16" s="27" t="n">
        <x:v>1</x:v>
      </x:c>
      <x:c r="X16" s="27" t="n">
        <x:v>1</x:v>
      </x:c>
      <x:c r="Y16" s="27" t="str">
        <x:v>平和の森公園</x:v>
      </x:c>
      <x:c r="Z16" s="27" t="str">
        <x:v>大森ふるさとの浜辺公園／森ケ崎公園</x:v>
      </x:c>
      <x:c r="AA16" s="22" t="str">
        <x:v>なし</x:v>
      </x:c>
      <x:c r="AB16" s="22" t="str">
        <x:v>-</x:v>
      </x:c>
      <x:c r="AC16" s="22" t="str"/>
      <x:c r="AD16" s="22" t="str">
        <x:v>専用・路外駐車を基本</x:v>
      </x:c>
      <x:c r="AE16" s="22" t="str"/>
    </x:row>
    <x:row r="17">
      <x:c r="A17" s="27" t="str">
        <x:v>D172</x:v>
      </x:c>
      <x:c r="B17" s="27" t="str">
        <x:v>光が丘公園</x:v>
      </x:c>
      <x:c r="C17" s="27" t="str">
        <x:v>東京都練馬区</x:v>
      </x:c>
      <x:c r="D17" s="27" t="str">
        <x:v>24時間駐車・旧飛行場・大並木</x:v>
      </x:c>
      <x:c r="E17" s="48" t="e">
        <x:f>HYPERLINK("https://www.google.com/maps/dir/?api=1&amp;destination=%E5%85%89%E3%81%8C%E4%B8%98%E5%85%AC%E5%9C%92&amp;travelmode=driving","現在地からナビ開始")</x:f>
      </x:c>
      <x:c r="F17" s="27" t="str">
        <x:v>広い芝生とイチョウ並木があり、西東京方面の夜間ルートを確実な駐車場で締められる。</x:v>
      </x:c>
      <x:c r="G17" s="27" t="str">
        <x:v>あり・251台、有料</x:v>
      </x:c>
      <x:c r="H17" s="27" t="str">
        <x:v>駐車場24時間</x:v>
      </x:c>
      <x:c r="I17" s="27" t="n">
        <x:v>4</x:v>
      </x:c>
      <x:c r="J17" s="27" t="n">
        <x:v>2</x:v>
      </x:c>
      <x:c r="K17" s="27" t="str">
        <x:v>イベント日は混雑。深夜の長時間滞在や大音量は禁止。</x:v>
      </x:c>
      <x:c r="L17" s="28" t="n">
        <x:v>46232</x:v>
      </x:c>
      <x:c r="M17" s="27" t="str">
        <x:v>一次確認済</x:v>
      </x:c>
      <x:c r="N17" s="27" t="str">
        <x:v>https://www.tokyo-park.or.jp/park/hikarigaoka/index.html</x:v>
      </x:c>
      <x:c r="O17" s="27" t="str">
        <x:v>光が丘一帯は戦時中の成増飛行場、戦後の米軍住宅地を経て大規模団地と公園へ転換された。</x:v>
      </x:c>
      <x:c r="P17" s="84" t="e">
        <x:f>HYPERLINK("https://ja.wikipedia.org/wiki/Special:Search?search=%E5%85%89%E3%81%8C%E4%B8%98%E5%85%AC%E5%9C%92","Wikipedia・関連項目")</x:f>
      </x:c>
      <x:c r="Q17" s="27"/>
      <x:c r="R17" s="27" t="str">
        <x:v>25〜35km</x:v>
      </x:c>
      <x:c r="S17" s="27" t="str">
        <x:v>概ね25〜35km</x:v>
      </x:c>
      <x:c r="T17" s="27" t="str">
        <x:v>通常55〜90分</x:v>
      </x:c>
      <x:c r="U17" s="27" t="str">
        <x:v>平日夜・深夜</x:v>
      </x:c>
      <x:c r="V17" s="27" t="str">
        <x:v>30〜60分</x:v>
      </x:c>
      <x:c r="W17" s="27" t="n">
        <x:v>2</x:v>
      </x:c>
      <x:c r="X17" s="27" t="n">
        <x:v>1</x:v>
      </x:c>
      <x:c r="Y17" s="27" t="str">
        <x:v>羽田空港 第3ターミナル展望デッキ</x:v>
      </x:c>
      <x:c r="Z17" s="27" t="str">
        <x:v>城南島海浜公園／潮風公園</x:v>
      </x:c>
      <x:c r="AA17" s="22" t="str">
        <x:v>なし</x:v>
      </x:c>
      <x:c r="AB17" s="22" t="str">
        <x:v>-</x:v>
      </x:c>
      <x:c r="AC17" s="22" t="str"/>
      <x:c r="AD17" s="22" t="str">
        <x:v>専用・路外駐車を基本</x:v>
      </x:c>
      <x:c r="AE17" s="22" t="str"/>
    </x:row>
    <x:row r="18">
      <x:c r="A18" s="27" t="str">
        <x:v>D173</x:v>
      </x:c>
      <x:c r="B18" s="27" t="str">
        <x:v>舎人公園</x:v>
      </x:c>
      <x:c r="C18" s="27" t="str">
        <x:v>東京都足立区</x:v>
      </x:c>
      <x:c r="D18" s="27" t="str">
        <x:v>24時間駐車・池・高台・夜間</x:v>
      </x:c>
      <x:c r="E18" s="48" t="e">
        <x:f>HYPERLINK("https://www.google.com/maps/dir/?api=1&amp;destination=%E8%88%8E%E4%BA%BA%E5%85%AC%E5%9C%92&amp;travelmode=driving","現在地からナビ開始")</x:f>
      </x:c>
      <x:c r="F18" s="27" t="str">
        <x:v>大きな池と広場、少し高い丘があり、東京北東部の夜間Sessionを安定して終えられる。</x:v>
      </x:c>
      <x:c r="G18" s="27" t="str">
        <x:v>あり・146台、有料</x:v>
      </x:c>
      <x:c r="H18" s="27" t="str">
        <x:v>駐車場24時間</x:v>
      </x:c>
      <x:c r="I18" s="27" t="n">
        <x:v>4</x:v>
      </x:c>
      <x:c r="J18" s="27" t="n">
        <x:v>3</x:v>
      </x:c>
      <x:c r="K18" s="27" t="str">
        <x:v>深夜は照明のある主要区域のみ。休日はスポーツ利用で混雑。</x:v>
      </x:c>
      <x:c r="L18" s="28" t="n">
        <x:v>46232</x:v>
      </x:c>
      <x:c r="M18" s="27" t="str">
        <x:v>一次確認済</x:v>
      </x:c>
      <x:c r="N18" s="27" t="str">
        <x:v>https://www.tokyo-park.or.jp/park/toneri/index.html</x:v>
      </x:c>
      <x:c r="O18" s="27" t="str">
        <x:v>舎人という地名は古代の官職名『舎人』との関係が指摘され、足立北部の古い地域名として残る。</x:v>
      </x:c>
      <x:c r="P18" s="84" t="e">
        <x:f>HYPERLINK("https://ja.wikipedia.org/wiki/Special:Search?search=%E8%88%8E%E4%BA%BA%E5%85%AC%E5%9C%92","Wikipedia・関連項目")</x:f>
      </x:c>
      <x:c r="Q18" s="27"/>
      <x:c r="R18" s="27" t="str">
        <x:v>25〜35km</x:v>
      </x:c>
      <x:c r="S18" s="27" t="str">
        <x:v>概ね25〜35km</x:v>
      </x:c>
      <x:c r="T18" s="27" t="str">
        <x:v>通常55〜90分</x:v>
      </x:c>
      <x:c r="U18" s="27" t="str">
        <x:v>水辺</x:v>
      </x:c>
      <x:c r="V18" s="27" t="str">
        <x:v>30〜60分</x:v>
      </x:c>
      <x:c r="W18" s="27" t="n">
        <x:v>1</x:v>
      </x:c>
      <x:c r="X18" s="27" t="n">
        <x:v>1</x:v>
      </x:c>
      <x:c r="Y18" s="27" t="str">
        <x:v>多摩川浅間神社</x:v>
      </x:c>
      <x:c r="Z18" s="27" t="str">
        <x:v>多摩川六郷橋緑地／多摩川ガス橋緑地</x:v>
      </x:c>
      <x:c r="AA18" s="22" t="str">
        <x:v>なし</x:v>
      </x:c>
      <x:c r="AB18" s="22" t="str">
        <x:v>-</x:v>
      </x:c>
      <x:c r="AC18" s="22" t="str"/>
      <x:c r="AD18" s="22" t="str">
        <x:v>専用・路外駐車を基本</x:v>
      </x:c>
      <x:c r="AE18" s="22" t="str"/>
    </x:row>
    <x:row r="19">
      <x:c r="A19" s="27" t="str">
        <x:v>D174</x:v>
      </x:c>
      <x:c r="B19" s="27" t="str">
        <x:v>石神井公園</x:v>
      </x:c>
      <x:c r="C19" s="27" t="str">
        <x:v>東京都練馬区</x:v>
      </x:c>
      <x:c r="D19" s="27" t="str">
        <x:v>池・城址・24時間出庫</x:v>
      </x:c>
      <x:c r="E19" s="48" t="e">
        <x:f>HYPERLINK("https://www.google.com/maps/dir/?api=1&amp;destination=%E7%9F%B3%E7%A5%9E%E4%BA%95%E5%85%AC%E5%9C%92&amp;travelmode=driving","現在地からナビ開始")</x:f>
      </x:c>
      <x:c r="F19" s="27" t="str">
        <x:v>三宝寺池の自然と石神井城址のStoryがあり、住宅都市の中で水辺と歴史を感じるEnding。</x:v>
      </x:c>
      <x:c r="G19" s="27" t="str">
        <x:v>あり・73台、有料</x:v>
      </x:c>
      <x:c r="H19" s="27" t="str">
        <x:v>第1は24時間／第2は入庫7:00～20:00・出庫24時間可</x:v>
      </x:c>
      <x:c r="I19" s="27" t="n">
        <x:v>4</x:v>
      </x:c>
      <x:c r="J19" s="27" t="n">
        <x:v>3</x:v>
      </x:c>
      <x:c r="K19" s="27" t="str">
        <x:v>池周辺は夜間暗い。住宅地のため静粛にし、石神井城址の立入範囲を守る。</x:v>
      </x:c>
      <x:c r="L19" s="28" t="n">
        <x:v>46232</x:v>
      </x:c>
      <x:c r="M19" s="27" t="str">
        <x:v>一次確認済</x:v>
      </x:c>
      <x:c r="N19" s="27" t="str">
        <x:v>https://www.tokyo-park.or.jp/park/shakujii/index.html</x:v>
      </x:c>
      <x:c r="O19" s="27" t="str">
        <x:v>三宝寺池周辺には中世の石神井城跡があり、豊島氏の滅亡伝説と照姫伝説が残る。</x:v>
      </x:c>
      <x:c r="P19" s="84" t="e">
        <x:f>HYPERLINK("https://ja.wikipedia.org/wiki/Special:Search?search=%E7%9F%B3%E7%A5%9E%E4%BA%95%E5%85%AC%E5%9C%92","Wikipedia・関連項目")</x:f>
      </x:c>
      <x:c r="Q19" s="27"/>
      <x:c r="R19" s="27" t="str">
        <x:v>25〜35km</x:v>
      </x:c>
      <x:c r="S19" s="27" t="str">
        <x:v>概ね25〜35km</x:v>
      </x:c>
      <x:c r="T19" s="27" t="str">
        <x:v>通常55〜90分</x:v>
      </x:c>
      <x:c r="U19" s="27" t="str">
        <x:v>水辺</x:v>
      </x:c>
      <x:c r="V19" s="27" t="str">
        <x:v>30〜60分</x:v>
      </x:c>
      <x:c r="W19" s="27" t="n">
        <x:v>2</x:v>
      </x:c>
      <x:c r="X19" s="27" t="n">
        <x:v>1</x:v>
      </x:c>
      <x:c r="Y19" s="27" t="str">
        <x:v>多摩川浅間神社</x:v>
      </x:c>
      <x:c r="Z19" s="27" t="str">
        <x:v>多摩川六郷橋緑地／多摩川ガス橋緑地</x:v>
      </x:c>
      <x:c r="AA19" s="22" t="str">
        <x:v>なし</x:v>
      </x:c>
      <x:c r="AB19" s="22" t="str">
        <x:v>-</x:v>
      </x:c>
      <x:c r="AC19" s="22" t="str"/>
      <x:c r="AD19" s="22" t="str">
        <x:v>専用・路外駐車を基本</x:v>
      </x:c>
      <x:c r="AE19" s="22" t="str"/>
    </x:row>
    <x:row r="20">
      <x:c r="A20" s="27" t="str">
        <x:v>D206</x:v>
      </x:c>
      <x:c r="B20" s="27" t="str">
        <x:v>金沢自然公園</x:v>
      </x:c>
      <x:c r="C20" s="27" t="str">
        <x:v>横浜市・金沢区</x:v>
      </x:c>
      <x:c r="D20" s="27" t="str">
        <x:v>丘陵・動物園・円海山</x:v>
      </x:c>
      <x:c r="E20" s="48" t="e">
        <x:f>HYPERLINK("https://www.google.com/maps/dir/?api=1&amp;destination=%E9%87%91%E6%B2%A2%E8%87%AA%E7%84%B6%E5%85%AC%E5%9C%92&amp;travelmode=driving","現在地からナビ開始")</x:f>
      </x:c>
      <x:c r="F20" s="27" t="str">
        <x:v>横浜南部の丘陵から海側と市街地側へ視界が開き、動物園・自然観察・坂道走行を一体化できる。</x:v>
      </x:c>
      <x:c r="G20" s="27" t="str">
        <x:v>あり・正面口／高速側・有料</x:v>
      </x:c>
      <x:c r="H20" s="27" t="str">
        <x:v>正面口 9:00～17:00、最終入庫16:30</x:v>
      </x:c>
      <x:c r="I20" s="27" t="n">
        <x:v>1</x:v>
      </x:c>
      <x:c r="J20" s="27" t="n">
        <x:v>3</x:v>
      </x:c>
      <x:c r="K20" s="27" t="str">
        <x:v>正面口は動物園休園日に休業。ナビは利用する駐車場名を指定。閉門後は出庫不可。</x:v>
      </x:c>
      <x:c r="L20" s="28" t="n">
        <x:v>46232</x:v>
      </x:c>
      <x:c r="M20" s="27" t="str">
        <x:v>一次確認済</x:v>
      </x:c>
      <x:c r="N20" s="27" t="str">
        <x:v>https://www.hama-midorinokyokai.or.jp/zoo/kanazawa/access.php</x:v>
      </x:c>
      <x:c r="O20" s="27" t="str">
        <x:v>円海山周辺の丘陵緑地に位置し、横浜市南部の大規模な緑の回廊の一角を担う。</x:v>
      </x:c>
      <x:c r="P20" s="84" t="e">
        <x:f>HYPERLINK("https://ja.wikipedia.org/wiki/Special:Search?search=%E9%87%91%E6%B2%A2%E8%87%AA%E7%84%B6%E5%85%AC%E5%9C%92","Wikipedia・関連項目")</x:f>
      </x:c>
      <x:c r="Q20" s="27" t="str">
        <x:v>新規追加。既存の小柴自然公園と組み合わせると、丘陵から海へ地形が変化する。</x:v>
      </x:c>
      <x:c r="R20" s="27" t="str">
        <x:v>25〜35km</x:v>
      </x:c>
      <x:c r="S20" s="27" t="str">
        <x:v>概ね25〜35km</x:v>
      </x:c>
      <x:c r="T20" s="27" t="str">
        <x:v>通常55〜90分</x:v>
      </x:c>
      <x:c r="U20" s="27" t="str">
        <x:v>海・港</x:v>
      </x:c>
      <x:c r="V20" s="27" t="str">
        <x:v>60〜150分</x:v>
      </x:c>
      <x:c r="W20" s="27" t="n">
        <x:v>1</x:v>
      </x:c>
      <x:c r="X20" s="27" t="n">
        <x:v>3</x:v>
      </x:c>
      <x:c r="Y20" s="27" t="str">
        <x:v>城南島海浜公園</x:v>
      </x:c>
      <x:c r="Z20" s="27" t="str">
        <x:v>潮風公園／晴海ふ頭公園</x:v>
      </x:c>
      <x:c r="AA20" s="22" t="str">
        <x:v>なし</x:v>
      </x:c>
      <x:c r="AB20" s="22" t="str">
        <x:v>-</x:v>
      </x:c>
      <x:c r="AC20" s="22" t="str"/>
      <x:c r="AD20" s="22" t="str">
        <x:v>専用・路外駐車を基本</x:v>
      </x:c>
      <x:c r="AE20" s="22" t="str"/>
    </x:row>
    <x:row r="21">
      <x:c r="A21" s="27" t="str">
        <x:v>D209</x:v>
      </x:c>
      <x:c r="B21" s="27" t="str">
        <x:v>和光樹林公園</x:v>
      </x:c>
      <x:c r="C21" s="27" t="str">
        <x:v>埼玉県和光市</x:v>
      </x:c>
      <x:c r="D21" s="27" t="str">
        <x:v>樹林・旧軍用地・夜間公園</x:v>
      </x:c>
      <x:c r="E21" s="48" t="e">
        <x:f>HYPERLINK("https://www.google.com/maps/dir/?api=1&amp;destination=%E5%92%8C%E5%85%89%E6%A8%B9%E6%9E%97%E5%85%AC%E5%9C%92&amp;travelmode=driving","現在地からナビ開始")</x:f>
      </x:c>
      <x:c r="F21" s="27" t="str">
        <x:v>広い芝生と樹林、長い園路があり、東京北西側で夜まで使える回復系Endingになる。</x:v>
      </x:c>
      <x:c r="G21" s="27" t="str">
        <x:v>あり・北南182台、中央157台・有料</x:v>
      </x:c>
      <x:c r="H21" s="27" t="str">
        <x:v>公園終日／北南6:00～19:00、中央8:00～23:30</x:v>
      </x:c>
      <x:c r="I21" s="27" t="n">
        <x:v>4</x:v>
      </x:c>
      <x:c r="J21" s="27" t="n">
        <x:v>3</x:v>
      </x:c>
      <x:c r="K21" s="27" t="str">
        <x:v>中央駐車場は体育館管理で休館日は22:30まで。夜は明るい園路に限定。</x:v>
      </x:c>
      <x:c r="L21" s="28" t="n">
        <x:v>46232</x:v>
      </x:c>
      <x:c r="M21" s="27" t="str">
        <x:v>一次確認済</x:v>
      </x:c>
      <x:c r="N21" s="27" t="str">
        <x:v>https://www.seibu-green.co.jp/wako-jurin/facility.html</x:v>
      </x:c>
      <x:c r="O21" s="27" t="str">
        <x:v>周辺は戦後に米軍施設キャンプ・ドレイクとして使われた地域で、その返還地に公共施設と公園が整備された。</x:v>
      </x:c>
      <x:c r="P21" s="84" t="e">
        <x:f>HYPERLINK("https://ja.wikipedia.org/wiki/Special:Search?search=%E5%92%8C%E5%85%89%E6%A8%B9%E6%9E%97%E5%85%AC%E5%9C%92","Wikipedia・関連項目")</x:f>
      </x:c>
      <x:c r="Q21" s="27" t="str">
        <x:v>新規追加。埼玉南部で23時台まで合法駐車できる貴重な公園。</x:v>
      </x:c>
      <x:c r="R21" s="27" t="str">
        <x:v>25〜35km</x:v>
      </x:c>
      <x:c r="S21" s="27" t="str">
        <x:v>概ね25〜35km</x:v>
      </x:c>
      <x:c r="T21" s="27" t="str">
        <x:v>通常55〜90分</x:v>
      </x:c>
      <x:c r="U21" s="27" t="str">
        <x:v>平日夜・深夜</x:v>
      </x:c>
      <x:c r="V21" s="27" t="str">
        <x:v>30〜90分</x:v>
      </x:c>
      <x:c r="W21" s="27" t="n">
        <x:v>1</x:v>
      </x:c>
      <x:c r="X21" s="27" t="n">
        <x:v>1</x:v>
      </x:c>
      <x:c r="Y21" s="27" t="str">
        <x:v>平和の森公園</x:v>
      </x:c>
      <x:c r="Z21" s="27" t="str">
        <x:v>大森ふるさとの浜辺公園／森ケ崎公園</x:v>
      </x:c>
      <x:c r="AA21" s="22" t="str">
        <x:v>なし</x:v>
      </x:c>
      <x:c r="AB21" s="22" t="str">
        <x:v>-</x:v>
      </x:c>
      <x:c r="AC21" s="22" t="str"/>
      <x:c r="AD21" s="22" t="str">
        <x:v>専用・路外駐車を基本</x:v>
      </x:c>
      <x:c r="AE21" s="22" t="str"/>
    </x:row>
    <x:row r="22">
      <x:c r="A22" s="27" t="str">
        <x:v>D216</x:v>
      </x:c>
      <x:c r="B22" s="27" t="str">
        <x:v>俣野別邸庭園</x:v>
      </x:c>
      <x:c r="C22" s="27" t="str">
        <x:v>横浜市・戸塚区</x:v>
      </x:c>
      <x:c r="D22" s="27" t="str">
        <x:v>洋館・庭園・昭和建築</x:v>
      </x:c>
      <x:c r="E22" s="48" t="e">
        <x:f>HYPERLINK("https://www.google.com/maps/dir/?api=1&amp;destination=%E4%BF%A3%E9%87%8E%E5%88%A5%E9%82%B8%E5%BA%AD%E5%9C%92&amp;travelmode=driving","現在地からナビ開始")</x:f>
      </x:c>
      <x:c r="F22" s="27" t="str">
        <x:v>昭和初期の和洋折衷住宅と芝庭を巡り、湘南・戸塚方面の走行を静かな建築体験で締められる。</x:v>
      </x:c>
      <x:c r="G22" s="27" t="str">
        <x:v>あり・有料・小規模</x:v>
      </x:c>
      <x:c r="H22" s="27" t="str">
        <x:v>通常9:00～17:00／7～8月は延長日程あり</x:v>
      </x:c>
      <x:c r="I22" s="27" t="n">
        <x:v>1</x:v>
      </x:c>
      <x:c r="J22" s="27" t="n">
        <x:v>4</x:v>
      </x:c>
      <x:c r="K22" s="27" t="str">
        <x:v>第3木曜・年末年始休園を基本に当日確認。駐車場も閉園時刻で終了。</x:v>
      </x:c>
      <x:c r="L22" s="28" t="n">
        <x:v>46232</x:v>
      </x:c>
      <x:c r="M22" s="27" t="str">
        <x:v>一次確認済</x:v>
      </x:c>
      <x:c r="N22" s="27" t="str">
        <x:v>https://www.hama-midorinokyokai.or.jp/park/matanobettei/</x:v>
      </x:c>
      <x:c r="O22" s="27" t="str">
        <x:v>1939年築の和洋折衷住宅を復元した横浜市認定歴史的建造物で、昭和の郊外別邸文化を伝える。</x:v>
      </x:c>
      <x:c r="P22" s="84" t="e">
        <x:f>HYPERLINK("https://ja.wikipedia.org/wiki/Special:Search?search=%E4%BF%A3%E9%87%8E%E5%88%A5%E9%82%B8%E5%BA%AD%E5%9C%92","Wikipedia・関連項目")</x:f>
      </x:c>
      <x:c r="Q22" s="27" t="str">
        <x:v>新規追加。庭園と建築を同時に味わう昼Ending。</x:v>
      </x:c>
      <x:c r="R22" s="27" t="str">
        <x:v>25〜35km</x:v>
      </x:c>
      <x:c r="S22" s="27" t="str">
        <x:v>概ね25〜35km</x:v>
      </x:c>
      <x:c r="T22" s="27" t="str">
        <x:v>通常55〜90分</x:v>
      </x:c>
      <x:c r="U22" s="27" t="str">
        <x:v>休日半日</x:v>
      </x:c>
      <x:c r="V22" s="27" t="str">
        <x:v>30〜90分</x:v>
      </x:c>
      <x:c r="W22" s="27" t="n">
        <x:v>1</x:v>
      </x:c>
      <x:c r="X22" s="27" t="n">
        <x:v>1</x:v>
      </x:c>
      <x:c r="Y22" s="27" t="str">
        <x:v>羽田空港 第3ターミナル展望デッキ</x:v>
      </x:c>
      <x:c r="Z22" s="27" t="str">
        <x:v>城南島海浜公園／潮風公園</x:v>
      </x:c>
      <x:c r="AA22" s="22" t="str">
        <x:v>なし</x:v>
      </x:c>
      <x:c r="AB22" s="22" t="str">
        <x:v>-</x:v>
      </x:c>
      <x:c r="AC22" s="22" t="str"/>
      <x:c r="AD22" s="22" t="str">
        <x:v>専用・路外駐車を基本</x:v>
      </x:c>
      <x:c r="AE22" s="22" t="str"/>
    </x:row>
    <x:row r="23">
      <x:c r="A23" s="27" t="str">
        <x:v>D235</x:v>
      </x:c>
      <x:c r="B23" s="27" t="str">
        <x:v>道の駅 いちかわ</x:v>
      </x:c>
      <x:c r="C23" s="27" t="str">
        <x:v>千葉県市川市</x:v>
      </x:c>
      <x:c r="D23" s="27" t="str">
        <x:v>道の駅・外環・都市農業</x:v>
      </x:c>
      <x:c r="E23" s="48" t="e">
        <x:f>HYPERLINK("https://www.google.com/maps/dir/?api=1&amp;destination=%E9%81%93%E3%81%AE%E9%A7%85%20%E3%81%84%E3%81%A1%E3%81%8B%E3%82%8F&amp;travelmode=driving","現在地からナビ開始")</x:f>
      </x:c>
      <x:c r="F23" s="27" t="str">
        <x:v>東京外環沿いで食事、地元農産物、珈琲焙煎を楽しめ、近距離ドライブを目的地化できる。</x:v>
      </x:c>
      <x:c r="G23" s="27" t="str">
        <x:v>あり・小型69台ほか</x:v>
      </x:c>
      <x:c r="H23" s="27" t="str">
        <x:v>開館9:00～22:00／店舗別</x:v>
      </x:c>
      <x:c r="I23" s="27" t="n">
        <x:v>4</x:v>
      </x:c>
      <x:c r="J23" s="27" t="n">
        <x:v>2</x:v>
      </x:c>
      <x:c r="K23" s="27" t="str">
        <x:v>高速道路から直接入れない。混雑表示を確認。長時間休憩や車中泊前提の占有を避ける。</x:v>
      </x:c>
      <x:c r="L23" s="28" t="n">
        <x:v>46232</x:v>
      </x:c>
      <x:c r="M23" s="27" t="str">
        <x:v>一次確認済</x:v>
      </x:c>
      <x:c r="N23" s="27" t="str">
        <x:v>https://www.michinoeki-ichikawa.jp/access/</x:v>
      </x:c>
      <x:c r="O23" s="27" t="str">
        <x:v>都市化の進む市川で、梨など近郊農業と外環道路の交通結節を結びつける道の駅。</x:v>
      </x:c>
      <x:c r="P23" s="84" t="e">
        <x:f>HYPERLINK("https://ja.wikipedia.org/wiki/Special:Search?search=%E9%81%93%E3%81%AE%E9%A7%85%20%E3%81%84%E3%81%A1%E3%81%8B%E3%82%8F","Wikipedia・関連項目")</x:f>
      </x:c>
      <x:c r="Q23" s="27" t="str">
        <x:v>新規追加。大田区から短時間で到達する食・休憩Ending。</x:v>
      </x:c>
      <x:c r="R23" s="27" t="str">
        <x:v>25〜35km</x:v>
      </x:c>
      <x:c r="S23" s="27" t="str">
        <x:v>概ね25〜35km</x:v>
      </x:c>
      <x:c r="T23" s="27" t="str">
        <x:v>通常55〜90分</x:v>
      </x:c>
      <x:c r="U23" s="27" t="str">
        <x:v>平日夜・深夜</x:v>
      </x:c>
      <x:c r="V23" s="27" t="str">
        <x:v>30〜60分</x:v>
      </x:c>
      <x:c r="W23" s="27" t="n">
        <x:v>4</x:v>
      </x:c>
      <x:c r="X23" s="27" t="n">
        <x:v>1</x:v>
      </x:c>
      <x:c r="Y23" s="27" t="str">
        <x:v>羽田空港 第3ターミナル展望デッキ</x:v>
      </x:c>
      <x:c r="Z23" s="27" t="str">
        <x:v>城南島海浜公園／潮風公園</x:v>
      </x:c>
      <x:c r="AA23" s="22" t="str">
        <x:v>なし</x:v>
      </x:c>
      <x:c r="AB23" s="22" t="str">
        <x:v>-</x:v>
      </x:c>
      <x:c r="AC23" s="22" t="str"/>
      <x:c r="AD23" s="22" t="str">
        <x:v>専用・路外駐車を基本</x:v>
      </x:c>
      <x:c r="AE23" s="22" t="str"/>
    </x:row>
  </x:sheetData>
  <x:conditionalFormatting sqref="I2:J23">
    <x:cfRule type="colorScale" priority="1">
      <x:colorScale>
        <x:cfvo type="min"/>
        <x:cfvo type="percentile" val="50"/>
        <x:cfvo type="max"/>
        <x:color rgb="FFFEE2E2"/>
        <x:color rgb="FFFEF3C7"/>
        <x:color rgb="FFDCFCE7"/>
      </x:colorScale>
    </x:cfRule>
    <x:cfRule type="colorScale" priority="3">
      <x:colorScale>
        <x:cfvo type="min"/>
        <x:cfvo type="percentile" val="50"/>
        <x:cfvo type="max"/>
        <x:color rgb="FFFEE2E2"/>
        <x:color rgb="FFFEF3C7"/>
        <x:color rgb="FFDCFCE7"/>
      </x:colorScale>
    </x:cfRule>
  </x:conditionalFormatting>
  <x:conditionalFormatting sqref="W2:X23">
    <x:cfRule type="colorScale" priority="2">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b331f24806de4384"/>
  </x:tableParts>
</x:worksheet>
</file>

<file path=xl/worksheets/sheet8.xml><?xml version="1.0" encoding="utf-8"?>
<x:worksheet xmlns:x="http://schemas.openxmlformats.org/spreadsheetml/2006/main">
  <x:sheetFormatPr defaultRowHeight="15"/>
  <x:cols>
    <x:col min="1" max="1" width="9" hidden="0" customWidth="1"/>
    <x:col min="2" max="2" width="32" hidden="0" customWidth="1"/>
    <x:col min="3" max="3" width="22" hidden="0" customWidth="1"/>
    <x:col min="4" max="4" width="31" hidden="0" customWidth="1"/>
    <x:col min="5" max="5" width="21" hidden="0" customWidth="1"/>
    <x:col min="6" max="6" width="48" hidden="0" customWidth="1"/>
    <x:col min="7" max="7" width="44" hidden="0" customWidth="1"/>
    <x:col min="8" max="8" width="41" hidden="0" customWidth="1"/>
    <x:col min="9" max="9" width="10" hidden="0" customWidth="1"/>
    <x:col min="10" max="10" width="10" hidden="0" customWidth="1"/>
    <x:col min="11" max="11" width="52" hidden="0" customWidth="1"/>
    <x:col min="12" max="12" width="13" hidden="0" customWidth="1"/>
    <x:col min="13" max="13" width="14" hidden="0" customWidth="1"/>
    <x:col min="14" max="14" width="50" hidden="0" customWidth="1"/>
    <x:col min="15" max="15" width="50" hidden="0" customWidth="1"/>
    <x:col min="16" max="16" width="22" hidden="0" customWidth="1"/>
    <x:col min="17" max="17" width="46" hidden="0" customWidth="1"/>
    <x:col min="18" max="18" width="12" hidden="0" customWidth="1"/>
    <x:col min="19" max="19" width="19" hidden="0" customWidth="1"/>
    <x:col min="20" max="20" width="20" hidden="0" customWidth="1"/>
    <x:col min="21" max="21" width="24" hidden="0" customWidth="1"/>
    <x:col min="22" max="22" width="15" hidden="0" customWidth="1"/>
    <x:col min="23" max="23" width="10" hidden="0" customWidth="1"/>
    <x:col min="24" max="24" width="12" hidden="0" customWidth="1"/>
    <x:col min="25" max="25" width="30" hidden="0" customWidth="1"/>
    <x:col min="26" max="26" width="36" hidden="0" customWidth="1"/>
    <x:col min="27" max="27" width="30" hidden="0" customWidth="1"/>
    <x:col min="28" max="28" width="14" hidden="0" customWidth="1"/>
    <x:col min="29" max="29" width="45" hidden="0" customWidth="1"/>
    <x:col min="30" max="30" width="50" hidden="0" customWidth="1"/>
    <x:col min="31" max="31" width="48" hidden="0" customWidth="1"/>
  </x:cols>
  <x:sheetData>
    <x:row r="1">
      <x:c r="A1" s="406" t="str">
        <x:v>ID</x:v>
      </x:c>
      <x:c r="B1" s="406" t="str">
        <x:v>名称</x:v>
      </x:c>
      <x:c r="C1" s="406" t="str">
        <x:v>エリア</x:v>
      </x:c>
      <x:c r="D1" s="406" t="str">
        <x:v>カテゴリ</x:v>
      </x:c>
      <x:c r="E1" s="406" t="str">
        <x:v>現在地→目的地（クリック）</x:v>
      </x:c>
      <x:c r="F1" s="406" t="str">
        <x:v>経由地・最終目的地として成立する理由</x:v>
      </x:c>
      <x:c r="G1" s="406" t="str">
        <x:v>駐車場</x:v>
      </x:c>
      <x:c r="H1" s="406" t="str">
        <x:v>利用可能時間</x:v>
      </x:c>
      <x:c r="I1" s="406" t="str">
        <x:v>夜間適性（並べ替え可）</x:v>
      </x:c>
      <x:c r="J1" s="406" t="str">
        <x:v>穴場度(1-5)</x:v>
      </x:c>
      <x:c r="K1" s="406" t="str">
        <x:v>注意事項</x:v>
      </x:c>
      <x:c r="L1" s="406" t="str">
        <x:v>確認日</x:v>
      </x:c>
      <x:c r="M1" s="406" t="str">
        <x:v>確認状態</x:v>
      </x:c>
      <x:c r="N1" s="406" t="str">
        <x:v>情報源URL</x:v>
      </x:c>
      <x:c r="O1" s="406" t="str">
        <x:v>Wikipedia由来の豆知識</x:v>
      </x:c>
      <x:c r="P1" s="406" t="str">
        <x:v>Wikipedia・関連項目（クリック）</x:v>
      </x:c>
      <x:c r="Q1" s="406" t="str">
        <x:v>品質補足・ブラッシュアップ履歴</x:v>
      </x:c>
      <x:c r="R1" s="406" t="str">
        <x:v>距離帯</x:v>
      </x:c>
      <x:c r="S1" s="406" t="str">
        <x:v>蒲田からの概算距離</x:v>
      </x:c>
      <x:c r="T1" s="406" t="str">
        <x:v>通常時の概算所要時間</x:v>
      </x:c>
      <x:c r="U1" s="406" t="str">
        <x:v>主な使いどころ</x:v>
      </x:c>
      <x:c r="V1" s="406" t="str">
        <x:v>滞在目安</x:v>
      </x:c>
      <x:c r="W1" s="406" t="str">
        <x:v>雨天適性</x:v>
      </x:c>
      <x:c r="X1" s="406" t="str">
        <x:v>車内鑑賞適性</x:v>
      </x:c>
      <x:c r="Y1" s="406" t="str">
        <x:v>代替地点</x:v>
      </x:c>
      <x:c r="Z1" s="406" t="str">
        <x:v>組み合わせやすい経由地</x:v>
      </x:c>
      <x:c r="AA1" s="447" t="str">
        <x:v>路上短時間アクセス</x:v>
      </x:c>
      <x:c r="AB1" s="447" t="str">
        <x:v>路上合法性確度</x:v>
      </x:c>
      <x:c r="AC1" s="447" t="str">
        <x:v>路上利用条件</x:v>
      </x:c>
      <x:c r="AD1" s="447" t="str">
        <x:v>路上利用の適用範囲</x:v>
      </x:c>
      <x:c r="AE1" s="447" t="str">
        <x:v>現地確認必須</x:v>
      </x:c>
    </x:row>
    <x:row r="2">
      <x:c r="A2" s="27" t="str">
        <x:v>D011</x:v>
      </x:c>
      <x:c r="B2" s="27" t="str">
        <x:v>ちどり公園</x:v>
      </x:c>
      <x:c r="C2" s="27" t="str">
        <x:v>川崎市・千鳥町</x:v>
      </x:c>
      <x:c r="D2" s="27" t="str">
        <x:v>運河・港・穴場</x:v>
      </x:c>
      <x:c r="E2" s="48" t="e">
        <x:f>HYPERLINK("https://www.google.com/maps/dir/?api=1&amp;destination=%E3%81%A1%E3%81%A9%E3%82%8A%E5%85%AC%E5%9C%92&amp;travelmode=driving","現在地からナビ開始")</x:f>
      </x:c>
      <x:c r="F2" s="27" t="str">
        <x:v>京浜運河と大型船を低い展望台から眺める、港湾感の濃い穴場。</x:v>
      </x:c>
      <x:c r="G2" s="27" t="str">
        <x:v>あり・約30台</x:v>
      </x:c>
      <x:c r="H2" s="27" t="str">
        <x:v>駐車場 9:00～18:00</x:v>
      </x:c>
      <x:c r="I2" s="27" t="n">
        <x:v>1</x:v>
      </x:c>
      <x:c r="J2" s="27" t="n">
        <x:v>5</x:v>
      </x:c>
      <x:c r="K2" s="27" t="str">
        <x:v>公園利用時間と駐車時間を混同しない。夕方限定。</x:v>
      </x:c>
      <x:c r="L2" s="28" t="n">
        <x:v>46232</x:v>
      </x:c>
      <x:c r="M2" s="27" t="str">
        <x:v>一次確認済</x:v>
      </x:c>
      <x:c r="N2" s="27" t="str">
        <x:v>https://www.city.kawasaki.jp/</x:v>
      </x:c>
      <x:c r="O2" s="27" t="str">
        <x:v>千鳥町一帯は京浜工業地帯の埋立地で、運河越しに製油・化学・物流施設が連続する。</x:v>
      </x:c>
      <x:c r="P2" s="84" t="e">
        <x:f>HYPERLINK("https://ja.wikipedia.org/wiki/Special:Search?search=%E3%81%A1%E3%81%A9%E3%82%8A%E5%85%AC%E5%9C%92","Wikipedia・関連項目")</x:f>
      </x:c>
      <x:c r="Q2" s="27"/>
      <x:c r="R2" s="27" t="str">
        <x:v>35km超</x:v>
      </x:c>
      <x:c r="S2" s="27" t="str">
        <x:v>概ね35km超</x:v>
      </x:c>
      <x:c r="T2" s="27" t="str">
        <x:v>通常90分超</x:v>
      </x:c>
      <x:c r="U2" s="27" t="str">
        <x:v>海・港</x:v>
      </x:c>
      <x:c r="V2" s="27" t="str">
        <x:v>30〜90分</x:v>
      </x:c>
      <x:c r="W2" s="27" t="n">
        <x:v>2</x:v>
      </x:c>
      <x:c r="X2" s="27" t="n">
        <x:v>3</x:v>
      </x:c>
      <x:c r="Y2" s="27" t="str">
        <x:v>城南島海浜公園</x:v>
      </x:c>
      <x:c r="Z2" s="27" t="str">
        <x:v>潮風公園／晴海ふ頭公園</x:v>
      </x:c>
      <x:c r="AA2" s="22" t="str">
        <x:v>なし</x:v>
      </x:c>
      <x:c r="AB2" s="22" t="str">
        <x:v>-</x:v>
      </x:c>
      <x:c r="AC2" s="22" t="str"/>
      <x:c r="AD2" s="22" t="str">
        <x:v>専用・路外駐車を基本</x:v>
      </x:c>
      <x:c r="AE2" s="22" t="str"/>
    </x:row>
    <x:row r="3">
      <x:c r="A3" s="27" t="str">
        <x:v>D014</x:v>
      </x:c>
      <x:c r="B3" s="27" t="str">
        <x:v>うみかぜ公園</x:v>
      </x:c>
      <x:c r="C3" s="27" t="str">
        <x:v>横須賀市・平成町</x:v>
      </x:c>
      <x:c r="D3" s="27" t="str">
        <x:v>海・猿島・船</x:v>
      </x:c>
      <x:c r="E3" s="48" t="e">
        <x:f>HYPERLINK("https://www.google.com/maps/dir/?api=1&amp;destination=%E3%81%86%E3%81%BF%E3%81%8B%E3%81%9C%E5%85%AC%E5%9C%92&amp;travelmode=driving","現在地からナビ開始")</x:f>
      </x:c>
      <x:c r="F3" s="27" t="str">
        <x:v>猿島と東京湾航路を眺め、夜にも使える横須賀の安定Ending。</x:v>
      </x:c>
      <x:c r="G3" s="27" t="str">
        <x:v>あり・有料</x:v>
      </x:c>
      <x:c r="H3" s="27" t="str">
        <x:v>駐車場 24時間</x:v>
      </x:c>
      <x:c r="I3" s="27" t="n">
        <x:v>4</x:v>
      </x:c>
      <x:c r="J3" s="27" t="n">
        <x:v>3</x:v>
      </x:c>
      <x:c r="K3" s="27" t="str">
        <x:v>海風が強い。深夜は静粛にし、公園設備の利用範囲を守る。</x:v>
      </x:c>
      <x:c r="L3" s="28" t="n">
        <x:v>46232</x:v>
      </x:c>
      <x:c r="M3" s="27" t="str">
        <x:v>一次確認済</x:v>
      </x:c>
      <x:c r="N3" s="27" t="str">
        <x:v>https://www.city.yokosuka.kanagawa.jp/5820/sisetu/fc00000441.html</x:v>
      </x:c>
      <x:c r="O3" s="27" t="str">
        <x:v>正面に見える猿島は、東京湾に残る唯一の自然島とされ、旧軍の砲台跡も残る。</x:v>
      </x:c>
      <x:c r="P3" s="84" t="e">
        <x:f>HYPERLINK("https://ja.wikipedia.org/wiki/Special:Search?search=%E3%81%86%E3%81%BF%E3%81%8B%E3%81%9C%E5%85%AC%E5%9C%92","Wikipedia・関連項目")</x:f>
      </x:c>
      <x:c r="Q3" s="27"/>
      <x:c r="R3" s="27" t="str">
        <x:v>35km超</x:v>
      </x:c>
      <x:c r="S3" s="27" t="str">
        <x:v>概ね35km超</x:v>
      </x:c>
      <x:c r="T3" s="27" t="str">
        <x:v>通常90分超</x:v>
      </x:c>
      <x:c r="U3" s="27" t="str">
        <x:v>海・港</x:v>
      </x:c>
      <x:c r="V3" s="27" t="str">
        <x:v>30〜60分</x:v>
      </x:c>
      <x:c r="W3" s="27" t="n">
        <x:v>1</x:v>
      </x:c>
      <x:c r="X3" s="27" t="n">
        <x:v>3</x:v>
      </x:c>
      <x:c r="Y3" s="27" t="str">
        <x:v>城南島海浜公園</x:v>
      </x:c>
      <x:c r="Z3" s="27" t="str">
        <x:v>潮風公園／晴海ふ頭公園</x:v>
      </x:c>
      <x:c r="AA3" s="22" t="str">
        <x:v>なし</x:v>
      </x:c>
      <x:c r="AB3" s="22" t="str">
        <x:v>-</x:v>
      </x:c>
      <x:c r="AC3" s="22" t="str"/>
      <x:c r="AD3" s="22" t="str">
        <x:v>専用・路外駐車を基本</x:v>
      </x:c>
      <x:c r="AE3" s="22" t="str"/>
    </x:row>
    <x:row r="4">
      <x:c r="A4" s="27" t="str">
        <x:v>D015</x:v>
      </x:c>
      <x:c r="B4" s="27" t="str">
        <x:v>海辺つり公園</x:v>
      </x:c>
      <x:c r="C4" s="27" t="str">
        <x:v>横須賀市・平成町</x:v>
      </x:c>
      <x:c r="D4" s="27" t="str">
        <x:v>海・航路・釣り</x:v>
      </x:c>
      <x:c r="E4" s="48" t="e">
        <x:f>HYPERLINK("https://www.google.com/maps/dir/?api=1&amp;destination=%E6%B5%B7%E8%BE%BA%E3%81%A4%E3%82%8A%E5%85%AC%E5%9C%92&amp;travelmode=driving","現在地からナビ開始")</x:f>
      </x:c>
      <x:c r="F4" s="27" t="str">
        <x:v>長い海沿い空間から東京湾の船を眺める横須賀らしいEnding。</x:v>
      </x:c>
      <x:c r="G4" s="27" t="str">
        <x:v>あり・有料</x:v>
      </x:c>
      <x:c r="H4" s="27" t="str">
        <x:v>公園 5:00～22:00／駐車場 24時間</x:v>
      </x:c>
      <x:c r="I4" s="27" t="n">
        <x:v>3</x:v>
      </x:c>
      <x:c r="J4" s="27" t="n">
        <x:v>3</x:v>
      </x:c>
      <x:c r="K4" s="27" t="str">
        <x:v>釣り利用者の邪魔をしない。22時以降は公園利用不可。</x:v>
      </x:c>
      <x:c r="L4" s="28" t="n">
        <x:v>46232</x:v>
      </x:c>
      <x:c r="M4" s="27" t="str">
        <x:v>一次確認済</x:v>
      </x:c>
      <x:c r="N4" s="27" t="str">
        <x:v>https://www.nicspark.com/yokosuka/umibetsuri/</x:v>
      </x:c>
      <x:c r="O4" s="27" t="str">
        <x:v>海辺つり公園の沖は浦賀水道へ向かう大型船の航路で、東京湾の物流量を体感できる場所である。</x:v>
      </x:c>
      <x:c r="P4" s="84" t="e">
        <x:f>HYPERLINK("https://ja.wikipedia.org/wiki/Special:Search?search=%E6%B5%B7%E8%BE%BA%E3%81%A4%E3%82%8A%E5%85%AC%E5%9C%92","Wikipedia・関連項目")</x:f>
      </x:c>
      <x:c r="Q4" s="27"/>
      <x:c r="R4" s="27" t="str">
        <x:v>35km超</x:v>
      </x:c>
      <x:c r="S4" s="27" t="str">
        <x:v>概ね35km超</x:v>
      </x:c>
      <x:c r="T4" s="27" t="str">
        <x:v>通常90分超</x:v>
      </x:c>
      <x:c r="U4" s="27" t="str">
        <x:v>海・港</x:v>
      </x:c>
      <x:c r="V4" s="27" t="str">
        <x:v>30〜60分</x:v>
      </x:c>
      <x:c r="W4" s="27" t="n">
        <x:v>1</x:v>
      </x:c>
      <x:c r="X4" s="27" t="n">
        <x:v>3</x:v>
      </x:c>
      <x:c r="Y4" s="27" t="str">
        <x:v>城南島海浜公園</x:v>
      </x:c>
      <x:c r="Z4" s="27" t="str">
        <x:v>潮風公園／晴海ふ頭公園</x:v>
      </x:c>
      <x:c r="AA4" s="22" t="str">
        <x:v>なし</x:v>
      </x:c>
      <x:c r="AB4" s="22" t="str">
        <x:v>-</x:v>
      </x:c>
      <x:c r="AC4" s="22" t="str"/>
      <x:c r="AD4" s="22" t="str">
        <x:v>専用・路外駐車を基本</x:v>
      </x:c>
      <x:c r="AE4" s="22" t="str"/>
    </x:row>
    <x:row r="5">
      <x:c r="A5" s="27" t="str">
        <x:v>D016</x:v>
      </x:c>
      <x:c r="B5" s="27" t="str">
        <x:v>観音崎公園</x:v>
      </x:c>
      <x:c r="C5" s="27" t="str">
        <x:v>横須賀市・観音崎</x:v>
      </x:c>
      <x:c r="D5" s="27" t="str">
        <x:v>灯台・砲台跡・浦賀水道</x:v>
      </x:c>
      <x:c r="E5" s="48" t="e">
        <x:f>HYPERLINK("https://www.google.com/maps/dir/?api=1&amp;destination=%E8%A6%B3%E9%9F%B3%E5%B4%8E%E5%85%AC%E5%9C%92&amp;travelmode=driving","現在地からナビ開始")</x:f>
      </x:c>
      <x:c r="F5" s="27" t="str">
        <x:v>東京湾入口で大型船の往来、灯台、明治期砲台跡を一体で体験でき、歴史と海のスケールが強いEnding。</x:v>
      </x:c>
      <x:c r="G5" s="27" t="str">
        <x:v>あり・全277台・有料日あり</x:v>
      </x:c>
      <x:c r="H5" s="27" t="str">
        <x:v>主駐車場 5:00～19:00</x:v>
      </x:c>
      <x:c r="I5" s="27" t="n">
        <x:v>2</x:v>
      </x:c>
      <x:c r="J5" s="27" t="n">
        <x:v>3</x:v>
      </x:c>
      <x:c r="K5" s="27" t="str">
        <x:v>夜間不向き。灯台参観は季節により16:00または16:30まで。強風時は海際と灯台を避ける。</x:v>
      </x:c>
      <x:c r="L5" s="28" t="n">
        <x:v>46232</x:v>
      </x:c>
      <x:c r="M5" s="27" t="str">
        <x:v>一次確認済</x:v>
      </x:c>
      <x:c r="N5" s="27" t="str">
        <x:v>https://www.kanagawa-park.or.jp/kannonzaki/access.html</x:v>
      </x:c>
      <x:c r="O5" s="27" t="str">
        <x:v>観音埼灯台は1868年起工の日本初の洋式灯台で、現在の塔は1925年完成の3代目。公園には東京湾要塞の砲台跡も残る。</x:v>
      </x:c>
      <x:c r="P5" s="84" t="e">
        <x:f>HYPERLINK("https://ja.wikipedia.org/wiki/Special:Search?search=%E8%A6%B3%E9%9F%B3%E5%B4%8E%E5%85%AC%E5%9C%92","Wikipedia・関連項目")</x:f>
      </x:c>
      <x:c r="Q5" s="27" t="str">
        <x:v>2026-07-29更新：駐車場277台・5:00～19:00、灯台と公園の利用時間を分離。</x:v>
      </x:c>
      <x:c r="R5" s="27" t="str">
        <x:v>35km超</x:v>
      </x:c>
      <x:c r="S5" s="27" t="str">
        <x:v>概ね35km超</x:v>
      </x:c>
      <x:c r="T5" s="27" t="str">
        <x:v>通常90分超</x:v>
      </x:c>
      <x:c r="U5" s="27" t="str">
        <x:v>休日半日</x:v>
      </x:c>
      <x:c r="V5" s="27" t="str">
        <x:v>30〜60分</x:v>
      </x:c>
      <x:c r="W5" s="27" t="n">
        <x:v>2</x:v>
      </x:c>
      <x:c r="X5" s="27" t="n">
        <x:v>1</x:v>
      </x:c>
      <x:c r="Y5" s="27" t="str">
        <x:v>羽田空港 第3ターミナル展望デッキ</x:v>
      </x:c>
      <x:c r="Z5" s="27" t="str">
        <x:v>城南島海浜公園／潮風公園</x:v>
      </x:c>
      <x:c r="AA5" s="22" t="str">
        <x:v>なし</x:v>
      </x:c>
      <x:c r="AB5" s="22" t="str">
        <x:v>-</x:v>
      </x:c>
      <x:c r="AC5" s="22" t="str"/>
      <x:c r="AD5" s="22" t="str">
        <x:v>専用・路外駐車を基本</x:v>
      </x:c>
      <x:c r="AE5" s="22" t="str"/>
    </x:row>
    <x:row r="6">
      <x:c r="A6" s="27" t="str">
        <x:v>D017</x:v>
      </x:c>
      <x:c r="B6" s="27" t="str">
        <x:v>走水水源地公園</x:v>
      </x:c>
      <x:c r="C6" s="27" t="str">
        <x:v>横須賀市・走水</x:v>
      </x:c>
      <x:c r="D6" s="27" t="str">
        <x:v>海・船・静かな休憩</x:v>
      </x:c>
      <x:c r="E6" s="48" t="e">
        <x:f>HYPERLINK("https://www.google.com/maps/dir/?api=1&amp;destination=%E8%B5%B0%E6%B0%B4%E6%B0%B4%E6%BA%90%E5%9C%B0%E5%85%AC%E5%9C%92&amp;travelmode=driving","現在地からナビ開始")</x:f>
      </x:c>
      <x:c r="F6" s="27" t="str">
        <x:v>対岸と大型船を横方向に眺める、落ち着いた海辺の夕方Ending。</x:v>
      </x:c>
      <x:c r="G6" s="27" t="str">
        <x:v>あり</x:v>
      </x:c>
      <x:c r="H6" s="27" t="str">
        <x:v>入庫 7:00～20:00／出庫 5:00～21:00</x:v>
      </x:c>
      <x:c r="I6" s="27" t="n">
        <x:v>1</x:v>
      </x:c>
      <x:c r="J6" s="27" t="n">
        <x:v>4</x:v>
      </x:c>
      <x:c r="K6" s="27" t="str">
        <x:v>夜間利用不可。生活道路への進入を避ける。</x:v>
      </x:c>
      <x:c r="L6" s="28" t="n">
        <x:v>46232</x:v>
      </x:c>
      <x:c r="M6" s="27" t="str">
        <x:v>一次確認済</x:v>
      </x:c>
      <x:c r="N6" s="27" t="str">
        <x:v>https://www.city.yokosuka.kanagawa.jp/5560/sisetu/hashirimizusuigenchi.html</x:v>
      </x:c>
      <x:c r="O6" s="27" t="str">
        <x:v>走水の湧水は明治期に横須賀軍港へ水を送る水道の水源となり、軍港都市の発展を支えた。</x:v>
      </x:c>
      <x:c r="P6" s="84" t="e">
        <x:f>HYPERLINK("https://ja.wikipedia.org/wiki/Special:Search?search=%E8%B5%B0%E6%B0%B4%E6%B0%B4%E6%BA%90%E5%9C%B0%E5%85%AC%E5%9C%92","Wikipedia・関連項目")</x:f>
      </x:c>
      <x:c r="Q6" s="27"/>
      <x:c r="R6" s="27" t="str">
        <x:v>35km超</x:v>
      </x:c>
      <x:c r="S6" s="27" t="str">
        <x:v>概ね35km超</x:v>
      </x:c>
      <x:c r="T6" s="27" t="str">
        <x:v>通常90分超</x:v>
      </x:c>
      <x:c r="U6" s="27" t="str">
        <x:v>海・港</x:v>
      </x:c>
      <x:c r="V6" s="27" t="str">
        <x:v>30〜60分</x:v>
      </x:c>
      <x:c r="W6" s="27" t="n">
        <x:v>1</x:v>
      </x:c>
      <x:c r="X6" s="27" t="n">
        <x:v>3</x:v>
      </x:c>
      <x:c r="Y6" s="27" t="str">
        <x:v>城南島海浜公園</x:v>
      </x:c>
      <x:c r="Z6" s="27" t="str">
        <x:v>潮風公園／晴海ふ頭公園</x:v>
      </x:c>
      <x:c r="AA6" s="22" t="str">
        <x:v>なし</x:v>
      </x:c>
      <x:c r="AB6" s="22" t="str">
        <x:v>-</x:v>
      </x:c>
      <x:c r="AC6" s="22" t="str"/>
      <x:c r="AD6" s="22" t="str">
        <x:v>専用・路外駐車を基本</x:v>
      </x:c>
      <x:c r="AE6" s="22" t="str"/>
    </x:row>
    <x:row r="7">
      <x:c r="A7" s="27" t="str">
        <x:v>D018</x:v>
      </x:c>
      <x:c r="B7" s="27" t="str">
        <x:v>湘南平</x:v>
      </x:c>
      <x:c r="C7" s="27" t="str">
        <x:v>平塚市・万田</x:v>
      </x:c>
      <x:c r="D7" s="27" t="str">
        <x:v>高台・夜景・富士山</x:v>
      </x:c>
      <x:c r="E7" s="48" t="e">
        <x:f>HYPERLINK("https://www.google.com/maps/dir/?api=1&amp;destination=%E6%B9%98%E5%8D%97%E5%B9%B3&amp;travelmode=driving","現在地からナビ開始")</x:f>
      </x:c>
      <x:c r="F7" s="27" t="str">
        <x:v>湘南、相模湾、富士山、市街地を一望できる山系Endingの代表。</x:v>
      </x:c>
      <x:c r="G7" s="27" t="str">
        <x:v>あり・無料</x:v>
      </x:c>
      <x:c r="H7" s="27" t="str">
        <x:v>展望台エリアは概ね21:30まで</x:v>
      </x:c>
      <x:c r="I7" s="27" t="n">
        <x:v>5</x:v>
      </x:c>
      <x:c r="J7" s="27" t="n">
        <x:v>2</x:v>
      </x:c>
      <x:c r="K7" s="27" t="str">
        <x:v>山道・野生動物・濃霧に注意。駐車場の一部閉鎖確認。</x:v>
      </x:c>
      <x:c r="L7" s="28" t="n">
        <x:v>46232</x:v>
      </x:c>
      <x:c r="M7" s="27" t="str">
        <x:v>当日再確認</x:v>
      </x:c>
      <x:c r="N7" s="27" t="str">
        <x:v>https://www.city.hiratsuka.kanagawa.jp/kanko/page-c_02820.html</x:v>
      </x:c>
      <x:c r="O7" s="27" t="str">
        <x:v>湘南平は高麗山公園の一部で、テレビ塔と展望台から相模湾・富士山・丹沢を一望できる。</x:v>
      </x:c>
      <x:c r="P7" s="84" t="e">
        <x:f>HYPERLINK("https://ja.wikipedia.org/wiki/Special:Search?search=%E6%B9%98%E5%8D%97%E5%B9%B3","Wikipedia・関連項目")</x:f>
      </x:c>
      <x:c r="Q7" s="27"/>
      <x:c r="R7" s="27" t="str">
        <x:v>35km超</x:v>
      </x:c>
      <x:c r="S7" s="27" t="str">
        <x:v>概ね35km超</x:v>
      </x:c>
      <x:c r="T7" s="27" t="str">
        <x:v>通常90分超</x:v>
      </x:c>
      <x:c r="U7" s="27" t="str">
        <x:v>平日夜・深夜</x:v>
      </x:c>
      <x:c r="V7" s="27" t="str">
        <x:v>30〜60分</x:v>
      </x:c>
      <x:c r="W7" s="27" t="n">
        <x:v>1</x:v>
      </x:c>
      <x:c r="X7" s="27" t="n">
        <x:v>3</x:v>
      </x:c>
      <x:c r="Y7" s="27" t="str">
        <x:v>羽田空港 第3ターミナル展望デッキ</x:v>
      </x:c>
      <x:c r="Z7" s="27" t="str">
        <x:v>城南島海浜公園／潮風公園</x:v>
      </x:c>
      <x:c r="AA7" s="22" t="str">
        <x:v>なし</x:v>
      </x:c>
      <x:c r="AB7" s="22" t="str">
        <x:v>-</x:v>
      </x:c>
      <x:c r="AC7" s="22" t="str"/>
      <x:c r="AD7" s="22" t="str">
        <x:v>専用・路外駐車を基本</x:v>
      </x:c>
      <x:c r="AE7" s="22" t="str"/>
    </x:row>
    <x:row r="8">
      <x:c r="A8" s="27" t="str">
        <x:v>D019</x:v>
      </x:c>
      <x:c r="B8" s="27" t="str">
        <x:v>海ほたるPA</x:v>
      </x:c>
      <x:c r="C8" s="27" t="str">
        <x:v>東京湾アクアライン</x:v>
      </x:c>
      <x:c r="D8" s="27" t="str">
        <x:v>海上・夜景・非日常</x:v>
      </x:c>
      <x:c r="E8" s="48" t="e">
        <x:f>HYPERLINK("https://www.google.com/maps/dir/?api=1&amp;destination=%E6%B5%B7%E3%81%BB%E3%81%9F%E3%82%8BPA&amp;travelmode=driving","現在地からナビ開始")</x:f>
      </x:c>
      <x:c r="F8" s="27" t="str">
        <x:v>東京湾中央を最終地点にする非日常性が圧倒的で、深夜にも成立。</x:v>
      </x:c>
      <x:c r="G8" s="27" t="str">
        <x:v>あり・PA</x:v>
      </x:c>
      <x:c r="H8" s="27" t="str">
        <x:v>24時間</x:v>
      </x:c>
      <x:c r="I8" s="27" t="n">
        <x:v>5</x:v>
      </x:c>
      <x:c r="J8" s="27" t="n">
        <x:v>1</x:v>
      </x:c>
      <x:c r="K8" s="27" t="str">
        <x:v>強風・事故・アクアライン規制と通行料金を確認。</x:v>
      </x:c>
      <x:c r="L8" s="28" t="n">
        <x:v>46232</x:v>
      </x:c>
      <x:c r="M8" s="27" t="str">
        <x:v>一次確認済</x:v>
      </x:c>
      <x:c r="N8" s="27" t="str">
        <x:v>https://www.umihotaru.com/</x:v>
      </x:c>
      <x:c r="O8" s="27" t="str">
        <x:v>海ほたるは東京湾上の人工島に造られたPAで、名称は東京湾にも生息する発光性の甲殻類『ウミホタル』に由来する。</x:v>
      </x:c>
      <x:c r="P8" s="84" t="e">
        <x:f>HYPERLINK("https://ja.wikipedia.org/wiki/Special:Search?search=%E6%B5%B7%E3%81%BB%E3%81%9F%E3%82%8BPA","Wikipedia・関連項目")</x:f>
      </x:c>
      <x:c r="Q8" s="27"/>
      <x:c r="R8" s="27" t="str">
        <x:v>35km超</x:v>
      </x:c>
      <x:c r="S8" s="27" t="str">
        <x:v>概ね35km超</x:v>
      </x:c>
      <x:c r="T8" s="27" t="str">
        <x:v>通常90分超</x:v>
      </x:c>
      <x:c r="U8" s="27" t="str">
        <x:v>海・港</x:v>
      </x:c>
      <x:c r="V8" s="27" t="str">
        <x:v>30〜60分</x:v>
      </x:c>
      <x:c r="W8" s="27" t="n">
        <x:v>1</x:v>
      </x:c>
      <x:c r="X8" s="27" t="n">
        <x:v>3</x:v>
      </x:c>
      <x:c r="Y8" s="27" t="str">
        <x:v>城南島海浜公園</x:v>
      </x:c>
      <x:c r="Z8" s="27" t="str">
        <x:v>潮風公園／晴海ふ頭公園</x:v>
      </x:c>
      <x:c r="AA8" s="22" t="str">
        <x:v>なし</x:v>
      </x:c>
      <x:c r="AB8" s="22" t="str">
        <x:v>-</x:v>
      </x:c>
      <x:c r="AC8" s="22" t="str"/>
      <x:c r="AD8" s="22" t="str">
        <x:v>専用・路外駐車を基本</x:v>
      </x:c>
      <x:c r="AE8" s="22" t="str"/>
    </x:row>
    <x:row r="9">
      <x:c r="A9" s="27" t="str">
        <x:v>D020</x:v>
      </x:c>
      <x:c r="B9" s="27" t="str">
        <x:v>富津岬 明治百年記念展望塔</x:v>
      </x:c>
      <x:c r="C9" s="27" t="str">
        <x:v>千葉県・富津市</x:v>
      </x:c>
      <x:c r="D9" s="27" t="str">
        <x:v>岬・展望・富士山</x:v>
      </x:c>
      <x:c r="E9" s="48" t="e">
        <x:f>HYPERLINK("https://www.google.com/maps/dir/?api=1&amp;destination=%E5%AF%8C%E6%B4%A5%E5%B2%AC%20%E6%98%8E%E6%B2%BB%E7%99%BE%E5%B9%B4%E8%A8%98%E5%BF%B5%E5%B1%95%E6%9C%9B%E5%A1%94&amp;travelmode=driving","現在地からナビ開始")</x:f>
      </x:c>
      <x:c r="F9" s="27" t="str">
        <x:v>東京湾へ突き出す岬先端で、夕日・富士山・海堡を望める。</x:v>
      </x:c>
      <x:c r="G9" s="27" t="str">
        <x:v>あり・無料</x:v>
      </x:c>
      <x:c r="H9" s="27" t="str">
        <x:v>常時利用可能区域あり、現地掲示優先</x:v>
      </x:c>
      <x:c r="I9" s="27" t="n">
        <x:v>3</x:v>
      </x:c>
      <x:c r="J9" s="27" t="n">
        <x:v>3</x:v>
      </x:c>
      <x:c r="K9" s="27" t="str">
        <x:v>強風時と夜間の展望塔階段・足元に注意。</x:v>
      </x:c>
      <x:c r="L9" s="28" t="n">
        <x:v>46232</x:v>
      </x:c>
      <x:c r="M9" s="27" t="str">
        <x:v>一次確認済</x:v>
      </x:c>
      <x:c r="N9" s="27" t="str">
        <x:v>https://www.city.futtsu.lg.jp/</x:v>
      </x:c>
      <x:c r="O9" s="27" t="str">
        <x:v>明治百年記念展望塔は1971年に建設され、富津岬の最先端で東京湾防衛の歴史を感じられる。</x:v>
      </x:c>
      <x:c r="P9" s="84" t="e">
        <x:f>HYPERLINK("https://ja.wikipedia.org/wiki/Special:Search?search=%E5%AF%8C%E6%B4%A5%E5%B2%AC%20%E6%98%8E%E6%B2%BB%E7%99%BE%E5%B9%B4%E8%A8%98%E5%BF%B5%E5%B1%95%E6%9C%9B%E5%A1%94","Wikipedia・関連項目")</x:f>
      </x:c>
      <x:c r="Q9" s="27"/>
      <x:c r="R9" s="27" t="str">
        <x:v>35km超</x:v>
      </x:c>
      <x:c r="S9" s="27" t="str">
        <x:v>概ね35km超</x:v>
      </x:c>
      <x:c r="T9" s="27" t="str">
        <x:v>通常90分超</x:v>
      </x:c>
      <x:c r="U9" s="27" t="str">
        <x:v>休日半日</x:v>
      </x:c>
      <x:c r="V9" s="27" t="str">
        <x:v>30〜60分</x:v>
      </x:c>
      <x:c r="W9" s="27" t="n">
        <x:v>2</x:v>
      </x:c>
      <x:c r="X9" s="27" t="n">
        <x:v>1</x:v>
      </x:c>
      <x:c r="Y9" s="27" t="str">
        <x:v>羽田空港 第3ターミナル展望デッキ</x:v>
      </x:c>
      <x:c r="Z9" s="27" t="str">
        <x:v>城南島海浜公園／潮風公園</x:v>
      </x:c>
      <x:c r="AA9" s="22" t="str">
        <x:v>なし</x:v>
      </x:c>
      <x:c r="AB9" s="22" t="str">
        <x:v>-</x:v>
      </x:c>
      <x:c r="AC9" s="22" t="str"/>
      <x:c r="AD9" s="22" t="str">
        <x:v>専用・路外駐車を基本</x:v>
      </x:c>
      <x:c r="AE9" s="22" t="str"/>
    </x:row>
    <x:row r="10">
      <x:c r="A10" s="27" t="str">
        <x:v>D026</x:v>
      </x:c>
      <x:c r="B10" s="27" t="str">
        <x:v>港の見える丘公園</x:v>
      </x:c>
      <x:c r="C10" s="27" t="str">
        <x:v>横浜市・山手</x:v>
      </x:c>
      <x:c r="D10" s="27" t="str">
        <x:v>高台・港・都市夜景</x:v>
      </x:c>
      <x:c r="E10" s="48" t="e">
        <x:f>HYPERLINK("https://www.google.com/maps/dir/?api=1&amp;destination=%E6%B8%AF%E3%81%AE%E8%A6%8B%E3%81%88%E3%82%8B%E4%B8%98%E5%85%AC%E5%9C%92&amp;travelmode=driving","現在地からナビ開始")</x:f>
      </x:c>
      <x:c r="F10" s="27" t="str">
        <x:v>横浜港とベイブリッジを高台から眺め、街の物語性を残せる。</x:v>
      </x:c>
      <x:c r="G10" s="27" t="str">
        <x:v>あり・小規模有料</x:v>
      </x:c>
      <x:c r="H10" s="27" t="str">
        <x:v>駐車場 24時間</x:v>
      </x:c>
      <x:c r="I10" s="27" t="n">
        <x:v>5</x:v>
      </x:c>
      <x:c r="J10" s="27" t="n">
        <x:v>2</x:v>
      </x:c>
      <x:c r="K10" s="27" t="str">
        <x:v>台数が少ない。周辺住宅地で騒音を出さない。</x:v>
      </x:c>
      <x:c r="L10" s="28" t="n">
        <x:v>46232</x:v>
      </x:c>
      <x:c r="M10" s="27" t="str">
        <x:v>一次確認済</x:v>
      </x:c>
      <x:c r="N10" s="27" t="str">
        <x:v>https://www.hama-midorinokyokai.or.jp/park/parking/minato/minato/</x:v>
      </x:c>
      <x:c r="O10" s="27" t="str">
        <x:v>港の見える丘公園一帯は開港後に英仏軍が駐屯した高台で、横浜の外国人居留地史と深く結び付く。</x:v>
      </x:c>
      <x:c r="P10" s="84" t="e">
        <x:f>HYPERLINK("https://ja.wikipedia.org/wiki/Special:Search?search=%E6%B8%AF%E3%81%AE%E8%A6%8B%E3%81%88%E3%82%8B%E4%B8%98%E5%85%AC%E5%9C%92","Wikipedia・関連項目")</x:f>
      </x:c>
      <x:c r="Q10" s="27"/>
      <x:c r="R10" s="27" t="str">
        <x:v>35km超</x:v>
      </x:c>
      <x:c r="S10" s="27" t="str">
        <x:v>概ね35km超</x:v>
      </x:c>
      <x:c r="T10" s="27" t="str">
        <x:v>通常90分超</x:v>
      </x:c>
      <x:c r="U10" s="27" t="str">
        <x:v>海・港</x:v>
      </x:c>
      <x:c r="V10" s="27" t="str">
        <x:v>30〜60分</x:v>
      </x:c>
      <x:c r="W10" s="27" t="n">
        <x:v>1</x:v>
      </x:c>
      <x:c r="X10" s="27" t="n">
        <x:v>3</x:v>
      </x:c>
      <x:c r="Y10" s="27" t="str">
        <x:v>城南島海浜公園</x:v>
      </x:c>
      <x:c r="Z10" s="27" t="str">
        <x:v>潮風公園／晴海ふ頭公園</x:v>
      </x:c>
      <x:c r="AA10" s="22" t="str">
        <x:v>なし</x:v>
      </x:c>
      <x:c r="AB10" s="22" t="str">
        <x:v>-</x:v>
      </x:c>
      <x:c r="AC10" s="22" t="str"/>
      <x:c r="AD10" s="22" t="str">
        <x:v>専用・路外駐車を基本</x:v>
      </x:c>
      <x:c r="AE10" s="22" t="str"/>
    </x:row>
    <x:row r="11">
      <x:c r="A11" s="27" t="str">
        <x:v>D031</x:v>
      </x:c>
      <x:c r="B11" s="27" t="str">
        <x:v>披露山公園</x:v>
      </x:c>
      <x:c r="C11" s="27" t="str">
        <x:v>逗子市・新宿</x:v>
      </x:c>
      <x:c r="D11" s="27" t="str">
        <x:v>高台・海・富士山</x:v>
      </x:c>
      <x:c r="E11" s="48" t="e">
        <x:f>HYPERLINK("https://www.google.com/maps/dir/?api=1&amp;destination=%E6%8A%AB%E9%9C%B2%E5%B1%B1%E5%85%AC%E5%9C%92&amp;travelmode=driving","現在地からナビ開始")</x:f>
      </x:c>
      <x:c r="F11" s="27" t="str">
        <x:v>逗子湾、江の島、富士山を高台から眺める昼の展望Ending。</x:v>
      </x:c>
      <x:c r="G11" s="27" t="str">
        <x:v>あり・無料</x:v>
      </x:c>
      <x:c r="H11" s="27" t="str">
        <x:v>駐車場 8:30～16:30</x:v>
      </x:c>
      <x:c r="I11" s="27" t="n">
        <x:v>1</x:v>
      </x:c>
      <x:c r="J11" s="27" t="n">
        <x:v>3</x:v>
      </x:c>
      <x:c r="K11" s="27" t="str">
        <x:v>時間外は閉鎖。夕暮れ前に必ず退出。</x:v>
      </x:c>
      <x:c r="L11" s="28" t="n">
        <x:v>46232</x:v>
      </x:c>
      <x:c r="M11" s="27" t="str">
        <x:v>一次確認済</x:v>
      </x:c>
      <x:c r="N11" s="27" t="str">
        <x:v>https://www.city.zushi.kanagawa.jp/kurashi/sumai/1002174/1002178/1002179/1002181.html</x:v>
      </x:c>
      <x:c r="O11" s="27" t="str">
        <x:v>披露山は明治以降に別荘地として発展した逗子の高台文化を象徴し、湾と富士山を同時に望める。</x:v>
      </x:c>
      <x:c r="P11" s="84" t="e">
        <x:f>HYPERLINK("https://ja.wikipedia.org/wiki/Special:Search?search=%E6%8A%AB%E9%9C%B2%E5%B1%B1%E5%85%AC%E5%9C%92","Wikipedia・関連項目")</x:f>
      </x:c>
      <x:c r="Q11" s="27"/>
      <x:c r="R11" s="27" t="str">
        <x:v>35km超</x:v>
      </x:c>
      <x:c r="S11" s="27" t="str">
        <x:v>概ね35km超</x:v>
      </x:c>
      <x:c r="T11" s="27" t="str">
        <x:v>通常90分超</x:v>
      </x:c>
      <x:c r="U11" s="27" t="str">
        <x:v>海・港</x:v>
      </x:c>
      <x:c r="V11" s="27" t="str">
        <x:v>30〜60分</x:v>
      </x:c>
      <x:c r="W11" s="27" t="n">
        <x:v>1</x:v>
      </x:c>
      <x:c r="X11" s="27" t="n">
        <x:v>3</x:v>
      </x:c>
      <x:c r="Y11" s="27" t="str">
        <x:v>城南島海浜公園</x:v>
      </x:c>
      <x:c r="Z11" s="27" t="str">
        <x:v>潮風公園／晴海ふ頭公園</x:v>
      </x:c>
      <x:c r="AA11" s="22" t="str">
        <x:v>なし</x:v>
      </x:c>
      <x:c r="AB11" s="22" t="str">
        <x:v>-</x:v>
      </x:c>
      <x:c r="AC11" s="22" t="str"/>
      <x:c r="AD11" s="22" t="str">
        <x:v>専用・路外駐車を基本</x:v>
      </x:c>
      <x:c r="AE11" s="22" t="str"/>
    </x:row>
    <x:row r="12">
      <x:c r="A12" s="27" t="str">
        <x:v>D032</x:v>
      </x:c>
      <x:c r="B12" s="27" t="str">
        <x:v>立石公園・県立立石駐車場</x:v>
      </x:c>
      <x:c r="C12" s="27" t="str">
        <x:v>横須賀市・秋谷</x:v>
      </x:c>
      <x:c r="D12" s="27" t="str">
        <x:v>海岸・夕日・富士山</x:v>
      </x:c>
      <x:c r="E12" s="48" t="e">
        <x:f>HYPERLINK("https://www.google.com/maps/dir/?api=1&amp;destination=%E7%AB%8B%E7%9F%B3%E5%85%AC%E5%9C%92%E3%83%BB%E7%9C%8C%E7%AB%8B%E7%AB%8B%E7%9F%B3%E9%A7%90%E8%BB%8A%E5%A0%B4&amp;travelmode=driving","現在地からナビ開始")</x:f>
      </x:c>
      <x:c r="F12" s="27" t="str">
        <x:v>立石、相模湾、夕日、富士山が一枚に収まる西岸ドライブの象徴。</x:v>
      </x:c>
      <x:c r="G12" s="27" t="str">
        <x:v>あり・無料</x:v>
      </x:c>
      <x:c r="H12" s="27" t="str">
        <x:v>原則24時間／7～8月は6:00～20:00</x:v>
      </x:c>
      <x:c r="I12" s="27" t="n">
        <x:v>4</x:v>
      </x:c>
      <x:c r="J12" s="27" t="n">
        <x:v>4</x:v>
      </x:c>
      <x:c r="K12" s="27" t="str">
        <x:v>夏季時間制限。満車時の路上待機は禁止。</x:v>
      </x:c>
      <x:c r="L12" s="28" t="n">
        <x:v>46232</x:v>
      </x:c>
      <x:c r="M12" s="27" t="str">
        <x:v>一次確認済</x:v>
      </x:c>
      <x:c r="N12" s="27" t="str">
        <x:v>https://www.city.yokosuka.kanagawa.jp/5560/sisetu/fc00000486.html</x:v>
      </x:c>
      <x:c r="O12" s="27" t="str">
        <x:v>秋谷の立石は江戸時代から名勝として知られ、歌川広重も相模湾越しの富士山とともに描いた。</x:v>
      </x:c>
      <x:c r="P12" s="84" t="e">
        <x:f>HYPERLINK("https://ja.wikipedia.org/wiki/Special:Search?search=%E7%AB%8B%E7%9F%B3%E5%85%AC%E5%9C%92%E3%83%BB%E7%9C%8C%E7%AB%8B%E7%AB%8B%E7%9F%B3%E9%A7%90%E8%BB%8A%E5%A0%B4","Wikipedia・関連項目")</x:f>
      </x:c>
      <x:c r="Q12" s="27"/>
      <x:c r="R12" s="27" t="str">
        <x:v>35km超</x:v>
      </x:c>
      <x:c r="S12" s="27" t="str">
        <x:v>概ね35km超</x:v>
      </x:c>
      <x:c r="T12" s="27" t="str">
        <x:v>通常90分超</x:v>
      </x:c>
      <x:c r="U12" s="27" t="str">
        <x:v>海・港</x:v>
      </x:c>
      <x:c r="V12" s="27" t="str">
        <x:v>30〜90分</x:v>
      </x:c>
      <x:c r="W12" s="27" t="n">
        <x:v>1</x:v>
      </x:c>
      <x:c r="X12" s="27" t="n">
        <x:v>3</x:v>
      </x:c>
      <x:c r="Y12" s="27" t="str">
        <x:v>城南島海浜公園</x:v>
      </x:c>
      <x:c r="Z12" s="27" t="str">
        <x:v>潮風公園／晴海ふ頭公園</x:v>
      </x:c>
      <x:c r="AA12" s="22" t="str">
        <x:v>なし</x:v>
      </x:c>
      <x:c r="AB12" s="22" t="str">
        <x:v>-</x:v>
      </x:c>
      <x:c r="AC12" s="22" t="str"/>
      <x:c r="AD12" s="22" t="str">
        <x:v>専用・路外駐車を基本</x:v>
      </x:c>
      <x:c r="AE12" s="22" t="str"/>
    </x:row>
    <x:row r="13">
      <x:c r="A13" s="27" t="str">
        <x:v>D033</x:v>
      </x:c>
      <x:c r="B13" s="27" t="str">
        <x:v>荒崎公園</x:v>
      </x:c>
      <x:c r="C13" s="27" t="str">
        <x:v>横須賀市・長井</x:v>
      </x:c>
      <x:c r="D13" s="27" t="str">
        <x:v>岩礁・海岸・行き止まり</x:v>
      </x:c>
      <x:c r="E13" s="48" t="e">
        <x:f>HYPERLINK("https://www.google.com/maps/dir/?api=1&amp;destination=%E8%8D%92%E5%B4%8E%E5%85%AC%E5%9C%92&amp;travelmode=driving","現在地からナビ開始")</x:f>
      </x:c>
      <x:c r="F13" s="27" t="str">
        <x:v>三浦半島西岸の岩礁と水平線に到達し、道の終わり感が強い。</x:v>
      </x:c>
      <x:c r="G13" s="27" t="str">
        <x:v>あり・季節により有料</x:v>
      </x:c>
      <x:c r="H13" s="27" t="str">
        <x:v>季節により夕方閉鎖</x:v>
      </x:c>
      <x:c r="I13" s="27" t="n">
        <x:v>1</x:v>
      </x:c>
      <x:c r="J13" s="27" t="n">
        <x:v>5</x:v>
      </x:c>
      <x:c r="K13" s="27" t="str">
        <x:v>夜間不可。岩場は滑りやすく、強風・高波時は避ける。</x:v>
      </x:c>
      <x:c r="L13" s="28" t="n">
        <x:v>46232</x:v>
      </x:c>
      <x:c r="M13" s="27" t="str">
        <x:v>当日再確認</x:v>
      </x:c>
      <x:c r="N13" s="27" t="str">
        <x:v>https://www.city.yokosuka.kanagawa.jp/5560/sisetu/fc00000433.html</x:v>
      </x:c>
      <x:c r="O13" s="27" t="str">
        <x:v>荒崎の複雑な岩礁は三浦半島の堆積岩が波に削られて生まれた海食地形である。</x:v>
      </x:c>
      <x:c r="P13" s="84" t="e">
        <x:f>HYPERLINK("https://ja.wikipedia.org/wiki/Special:Search?search=%E8%8D%92%E5%B4%8E%E5%85%AC%E5%9C%92","Wikipedia・関連項目")</x:f>
      </x:c>
      <x:c r="Q13" s="27"/>
      <x:c r="R13" s="27" t="str">
        <x:v>35km超</x:v>
      </x:c>
      <x:c r="S13" s="27" t="str">
        <x:v>概ね35km超</x:v>
      </x:c>
      <x:c r="T13" s="27" t="str">
        <x:v>通常90分超</x:v>
      </x:c>
      <x:c r="U13" s="27" t="str">
        <x:v>海・港</x:v>
      </x:c>
      <x:c r="V13" s="27" t="str">
        <x:v>30〜90分</x:v>
      </x:c>
      <x:c r="W13" s="27" t="n">
        <x:v>1</x:v>
      </x:c>
      <x:c r="X13" s="27" t="n">
        <x:v>3</x:v>
      </x:c>
      <x:c r="Y13" s="27" t="str">
        <x:v>城南島海浜公園</x:v>
      </x:c>
      <x:c r="Z13" s="27" t="str">
        <x:v>潮風公園／晴海ふ頭公園</x:v>
      </x:c>
      <x:c r="AA13" s="22" t="str">
        <x:v>なし</x:v>
      </x:c>
      <x:c r="AB13" s="22" t="str">
        <x:v>-</x:v>
      </x:c>
      <x:c r="AC13" s="22" t="str"/>
      <x:c r="AD13" s="22" t="str">
        <x:v>専用・路外駐車を基本</x:v>
      </x:c>
      <x:c r="AE13" s="22" t="str"/>
    </x:row>
    <x:row r="14">
      <x:c r="A14" s="27" t="str">
        <x:v>D034</x:v>
      </x:c>
      <x:c r="B14" s="27" t="str">
        <x:v>燈明堂緑地</x:v>
      </x:c>
      <x:c r="C14" s="27" t="str">
        <x:v>横須賀市・浦賀</x:v>
      </x:c>
      <x:c r="D14" s="27" t="str">
        <x:v>入り江・歴史・穴場</x:v>
      </x:c>
      <x:c r="E14" s="48" t="e">
        <x:f>HYPERLINK("https://www.google.com/maps/dir/?api=1&amp;destination=%E7%87%88%E6%98%8E%E5%A0%82%E7%B7%91%E5%9C%B0&amp;travelmode=driving","現在地からナビ開始")</x:f>
      </x:c>
      <x:c r="F14" s="27" t="str">
        <x:v>小さな入り江と復元燈明堂が、静かな秘密基地感を作る。</x:v>
      </x:c>
      <x:c r="G14" s="27" t="str">
        <x:v>あり・有料</x:v>
      </x:c>
      <x:c r="H14" s="27" t="str">
        <x:v>入庫 5:00～21:30／以後は出庫のみ</x:v>
      </x:c>
      <x:c r="I14" s="27" t="n">
        <x:v>4</x:v>
      </x:c>
      <x:c r="J14" s="27" t="n">
        <x:v>5</x:v>
      </x:c>
      <x:c r="K14" s="27" t="str">
        <x:v>夜は照明が少ない。生活地域に近いため静粛に。</x:v>
      </x:c>
      <x:c r="L14" s="28" t="n">
        <x:v>46232</x:v>
      </x:c>
      <x:c r="M14" s="27" t="str">
        <x:v>一次確認済</x:v>
      </x:c>
      <x:c r="N14" s="27" t="str">
        <x:v>https://www.city.yokosuka.kanagawa.jp/5560/toumyoudouryokuchi.html</x:v>
      </x:c>
      <x:c r="O14" s="27" t="str">
        <x:v>燈明堂は江戸幕府が1648年に建てた灯台で、菜種油の灯火で浦賀へ入る船を導いた。</x:v>
      </x:c>
      <x:c r="P14" s="84" t="e">
        <x:f>HYPERLINK("https://ja.wikipedia.org/wiki/Special:Search?search=%E7%87%88%E6%98%8E%E5%A0%82%E7%B7%91%E5%9C%B0","Wikipedia・関連項目")</x:f>
      </x:c>
      <x:c r="Q14" s="27"/>
      <x:c r="R14" s="27" t="str">
        <x:v>35km超</x:v>
      </x:c>
      <x:c r="S14" s="27" t="str">
        <x:v>概ね35km超</x:v>
      </x:c>
      <x:c r="T14" s="27" t="str">
        <x:v>通常90分超</x:v>
      </x:c>
      <x:c r="U14" s="27" t="str">
        <x:v>Story</x:v>
      </x:c>
      <x:c r="V14" s="27" t="str">
        <x:v>30〜60分</x:v>
      </x:c>
      <x:c r="W14" s="27" t="n">
        <x:v>2</x:v>
      </x:c>
      <x:c r="X14" s="27" t="n">
        <x:v>1</x:v>
      </x:c>
      <x:c r="Y14" s="27" t="str">
        <x:v>羽田空港 第3ターミナル展望デッキ</x:v>
      </x:c>
      <x:c r="Z14" s="27" t="str">
        <x:v>城南島海浜公園／潮風公園</x:v>
      </x:c>
      <x:c r="AA14" s="22" t="str">
        <x:v>なし</x:v>
      </x:c>
      <x:c r="AB14" s="22" t="str">
        <x:v>-</x:v>
      </x:c>
      <x:c r="AC14" s="22" t="str"/>
      <x:c r="AD14" s="22" t="str">
        <x:v>専用・路外駐車を基本</x:v>
      </x:c>
      <x:c r="AE14" s="22" t="str"/>
    </x:row>
    <x:row r="15">
      <x:c r="A15" s="27" t="str">
        <x:v>D035</x:v>
      </x:c>
      <x:c r="B15" s="27" t="str">
        <x:v>ヴェルニー公園</x:v>
      </x:c>
      <x:c r="C15" s="27" t="str">
        <x:v>横須賀市・汐入</x:v>
      </x:c>
      <x:c r="D15" s="27" t="str">
        <x:v>軍港・船・都市夜景</x:v>
      </x:c>
      <x:c r="E15" s="48" t="e">
        <x:f>HYPERLINK("https://www.google.com/maps/dir/?api=1&amp;destination=%E3%83%B4%E3%82%A7%E3%83%AB%E3%83%8B%E3%83%BC%E5%85%AC%E5%9C%92&amp;travelmode=driving","現在地からナビ開始")</x:f>
      </x:c>
      <x:c r="F15" s="27" t="str">
        <x:v>潜水艦や艦船、造船所の灯りを安全な公園から眺められる。</x:v>
      </x:c>
      <x:c r="G15" s="27" t="str">
        <x:v>あり・小規模有料</x:v>
      </x:c>
      <x:c r="H15" s="27" t="str">
        <x:v>普通車駐車場 24時間</x:v>
      </x:c>
      <x:c r="I15" s="27" t="n">
        <x:v>5</x:v>
      </x:c>
      <x:c r="J15" s="27" t="n">
        <x:v>3</x:v>
      </x:c>
      <x:c r="K15" s="27" t="str">
        <x:v>駐車台数が少ない。撮影時は通行を妨げない。</x:v>
      </x:c>
      <x:c r="L15" s="28" t="n">
        <x:v>46232</x:v>
      </x:c>
      <x:c r="M15" s="27" t="str">
        <x:v>一次確認済</x:v>
      </x:c>
      <x:c r="N15" s="27" t="str">
        <x:v>https://www.city.yokosuka.kanagawa.jp/faq/shisei/gaiyo/shisetsu/0744.html</x:v>
      </x:c>
      <x:c r="O15" s="27" t="str">
        <x:v>ヴェルニー公園の名は、横須賀製鉄所建設を指導したフランス人技師レオンス・ヴェルニーに由来する。</x:v>
      </x:c>
      <x:c r="P15" s="84" t="e">
        <x:f>HYPERLINK("https://ja.wikipedia.org/wiki/Special:Search?search=%E3%83%B4%E3%82%A7%E3%83%AB%E3%83%8B%E3%83%BC%E5%85%AC%E5%9C%92","Wikipedia・関連項目")</x:f>
      </x:c>
      <x:c r="Q15" s="27"/>
      <x:c r="R15" s="27" t="str">
        <x:v>35km超</x:v>
      </x:c>
      <x:c r="S15" s="27" t="str">
        <x:v>概ね35km超</x:v>
      </x:c>
      <x:c r="T15" s="27" t="str">
        <x:v>通常90分超</x:v>
      </x:c>
      <x:c r="U15" s="27" t="str">
        <x:v>海・港</x:v>
      </x:c>
      <x:c r="V15" s="27" t="str">
        <x:v>30〜60分</x:v>
      </x:c>
      <x:c r="W15" s="27" t="n">
        <x:v>2</x:v>
      </x:c>
      <x:c r="X15" s="27" t="n">
        <x:v>3</x:v>
      </x:c>
      <x:c r="Y15" s="27" t="str">
        <x:v>城南島海浜公園</x:v>
      </x:c>
      <x:c r="Z15" s="27" t="str">
        <x:v>潮風公園／晴海ふ頭公園</x:v>
      </x:c>
      <x:c r="AA15" s="22" t="str">
        <x:v>なし</x:v>
      </x:c>
      <x:c r="AB15" s="22" t="str">
        <x:v>-</x:v>
      </x:c>
      <x:c r="AC15" s="22" t="str"/>
      <x:c r="AD15" s="22" t="str">
        <x:v>専用・路外駐車を基本</x:v>
      </x:c>
      <x:c r="AE15" s="22" t="str"/>
    </x:row>
    <x:row r="16">
      <x:c r="A16" s="27" t="str">
        <x:v>D036</x:v>
      </x:c>
      <x:c r="B16" s="27" t="str">
        <x:v>衣笠山公園</x:v>
      </x:c>
      <x:c r="C16" s="27" t="str">
        <x:v>横須賀市・小矢部</x:v>
      </x:c>
      <x:c r="D16" s="27" t="str">
        <x:v>高台・桜・森</x:v>
      </x:c>
      <x:c r="E16" s="48" t="e">
        <x:f>HYPERLINK("https://www.google.com/maps/dir/?api=1&amp;destination=%E8%A1%A3%E7%AC%A0%E5%B1%B1%E5%85%AC%E5%9C%92&amp;travelmode=driving","現在地からナビ開始")</x:f>
      </x:c>
      <x:c r="F16" s="27" t="str">
        <x:v>横須賀市街を見下ろす森の高台で、短い山道の到達感がある。</x:v>
      </x:c>
      <x:c r="G16" s="27" t="str">
        <x:v>あり・小規模無料</x:v>
      </x:c>
      <x:c r="H16" s="27" t="str">
        <x:v>駐車場 8:30～17:00</x:v>
      </x:c>
      <x:c r="I16" s="27" t="n">
        <x:v>1</x:v>
      </x:c>
      <x:c r="J16" s="27" t="n">
        <x:v>5</x:v>
      </x:c>
      <x:c r="K16" s="27" t="str">
        <x:v>17時以降は翌日まで出庫不可。桜祭り期間は利用不可。</x:v>
      </x:c>
      <x:c r="L16" s="28" t="n">
        <x:v>46232</x:v>
      </x:c>
      <x:c r="M16" s="27" t="str">
        <x:v>一次確認済</x:v>
      </x:c>
      <x:c r="N16" s="27" t="str">
        <x:v>https://www.city.yokosuka.kanagawa.jp/5560/sisetu/fc00000432.html</x:v>
      </x:c>
      <x:c r="O16" s="27" t="str">
        <x:v>衣笠山公園は明治末期から桜の名所として整備され、『日本さくら名所100選』にも選ばれている。</x:v>
      </x:c>
      <x:c r="P16" s="84" t="e">
        <x:f>HYPERLINK("https://ja.wikipedia.org/wiki/Special:Search?search=%E8%A1%A3%E7%AC%A0%E5%B1%B1%E5%85%AC%E5%9C%92","Wikipedia・関連項目")</x:f>
      </x:c>
      <x:c r="Q16" s="27"/>
      <x:c r="R16" s="27" t="str">
        <x:v>35km超</x:v>
      </x:c>
      <x:c r="S16" s="27" t="str">
        <x:v>概ね35km超</x:v>
      </x:c>
      <x:c r="T16" s="27" t="str">
        <x:v>通常90分超</x:v>
      </x:c>
      <x:c r="U16" s="27" t="str">
        <x:v>休日半日</x:v>
      </x:c>
      <x:c r="V16" s="27" t="str">
        <x:v>30〜60分</x:v>
      </x:c>
      <x:c r="W16" s="27" t="n">
        <x:v>1</x:v>
      </x:c>
      <x:c r="X16" s="27" t="n">
        <x:v>1</x:v>
      </x:c>
      <x:c r="Y16" s="27" t="str">
        <x:v>羽田空港 第3ターミナル展望デッキ</x:v>
      </x:c>
      <x:c r="Z16" s="27" t="str">
        <x:v>城南島海浜公園／潮風公園</x:v>
      </x:c>
      <x:c r="AA16" s="22" t="str">
        <x:v>なし</x:v>
      </x:c>
      <x:c r="AB16" s="22" t="str">
        <x:v>-</x:v>
      </x:c>
      <x:c r="AC16" s="22" t="str"/>
      <x:c r="AD16" s="22" t="str">
        <x:v>専用・路外駐車を基本</x:v>
      </x:c>
      <x:c r="AE16" s="22" t="str"/>
    </x:row>
    <x:row r="17">
      <x:c r="A17" s="27" t="str">
        <x:v>D037</x:v>
      </x:c>
      <x:c r="B17" s="27" t="str">
        <x:v>県立城ヶ島公園</x:v>
      </x:c>
      <x:c r="C17" s="27" t="str">
        <x:v>三浦市・城ヶ島</x:v>
      </x:c>
      <x:c r="D17" s="27" t="str">
        <x:v>島・草原・海食崖</x:v>
      </x:c>
      <x:c r="E17" s="48" t="e">
        <x:f>HYPERLINK("https://www.google.com/maps/dir/?api=1&amp;destination=%E7%9C%8C%E7%AB%8B%E5%9F%8E%E3%83%B6%E5%B3%B6%E5%85%AC%E5%9C%92&amp;travelmode=driving","現在地からナビ開始")</x:f>
      </x:c>
      <x:c r="F17" s="27" t="str">
        <x:v>橋を渡り半島最南端の島へ入り、草原と太平洋で旅の終着感が最大化。</x:v>
      </x:c>
      <x:c r="G17" s="27" t="str">
        <x:v>あり・島内複数有料</x:v>
      </x:c>
      <x:c r="H17" s="27" t="str">
        <x:v>公園駐車場は季節別閉場</x:v>
      </x:c>
      <x:c r="I17" s="27" t="n">
        <x:v>3</x:v>
      </x:c>
      <x:c r="J17" s="27" t="n">
        <x:v>3</x:v>
      </x:c>
      <x:c r="K17" s="27" t="str">
        <x:v>強風・高波に注意。24時間駐車場との違いを確認。</x:v>
      </x:c>
      <x:c r="L17" s="28" t="n">
        <x:v>46232</x:v>
      </x:c>
      <x:c r="M17" s="27" t="str">
        <x:v>当日再確認</x:v>
      </x:c>
      <x:c r="N17" s="27" t="str">
        <x:v>https://www.pref.kanagawa.jp/docs/d2t/chiki/jyogashima1daypass.html</x:v>
      </x:c>
      <x:c r="O17" s="27" t="str">
        <x:v>城ヶ島は北原白秋作詞の『城ヶ島の雨』で広く知られ、三浦半島南端の文化的象徴でもある。</x:v>
      </x:c>
      <x:c r="P17" s="84" t="e">
        <x:f>HYPERLINK("https://ja.wikipedia.org/wiki/Special:Search?search=%E7%9C%8C%E7%AB%8B%E5%9F%8E%E3%83%B6%E5%B3%B6%E5%85%AC%E5%9C%92","Wikipedia・関連項目")</x:f>
      </x:c>
      <x:c r="Q17" s="27"/>
      <x:c r="R17" s="27" t="str">
        <x:v>35km超</x:v>
      </x:c>
      <x:c r="S17" s="27" t="str">
        <x:v>概ね35km超</x:v>
      </x:c>
      <x:c r="T17" s="27" t="str">
        <x:v>通常90分超</x:v>
      </x:c>
      <x:c r="U17" s="27" t="str">
        <x:v>海・港</x:v>
      </x:c>
      <x:c r="V17" s="27" t="str">
        <x:v>30〜60分</x:v>
      </x:c>
      <x:c r="W17" s="27" t="n">
        <x:v>1</x:v>
      </x:c>
      <x:c r="X17" s="27" t="n">
        <x:v>3</x:v>
      </x:c>
      <x:c r="Y17" s="27" t="str">
        <x:v>城南島海浜公園</x:v>
      </x:c>
      <x:c r="Z17" s="27" t="str">
        <x:v>潮風公園／晴海ふ頭公園</x:v>
      </x:c>
      <x:c r="AA17" s="22" t="str">
        <x:v>なし</x:v>
      </x:c>
      <x:c r="AB17" s="22" t="str">
        <x:v>-</x:v>
      </x:c>
      <x:c r="AC17" s="22" t="str"/>
      <x:c r="AD17" s="22" t="str">
        <x:v>専用・路外駐車を基本</x:v>
      </x:c>
      <x:c r="AE17" s="22" t="str"/>
    </x:row>
    <x:row r="18">
      <x:c r="A18" s="27" t="str">
        <x:v>D038</x:v>
      </x:c>
      <x:c r="B18" s="27" t="str">
        <x:v>宮川公園</x:v>
      </x:c>
      <x:c r="C18" s="27" t="str">
        <x:v>三浦市・宮川</x:v>
      </x:c>
      <x:c r="D18" s="27" t="str">
        <x:v>風車・漁港・高台</x:v>
      </x:c>
      <x:c r="E18" s="48" t="e">
        <x:f>HYPERLINK("https://www.google.com/maps/dir/?api=1&amp;destination=%E5%AE%AE%E5%B7%9D%E5%85%AC%E5%9C%92&amp;travelmode=driving","現在地からナビ開始")</x:f>
      </x:c>
      <x:c r="F18" s="27" t="str">
        <x:v>風力発電機と宮川湾を見下ろし、三浦の農漁村景観を象徴する。</x:v>
      </x:c>
      <x:c r="G18" s="27" t="str">
        <x:v>あり・無料</x:v>
      </x:c>
      <x:c r="H18" s="27" t="str">
        <x:v>公式明記が乏しいため昼～夕方推奨</x:v>
      </x:c>
      <x:c r="I18" s="27" t="n">
        <x:v>2</x:v>
      </x:c>
      <x:c r="J18" s="27" t="n">
        <x:v>5</x:v>
      </x:c>
      <x:c r="K18" s="27" t="str">
        <x:v>夜は暗く風が強い。現地掲示と閉鎖状況を確認。</x:v>
      </x:c>
      <x:c r="L18" s="28" t="n">
        <x:v>46232</x:v>
      </x:c>
      <x:c r="M18" s="27" t="str">
        <x:v>当日再確認</x:v>
      </x:c>
      <x:c r="N18" s="27" t="str">
        <x:v>https://www.city.miura.kanagawa.jp/soshiki/toshikeikakuka/6/2/2256.html</x:v>
      </x:c>
      <x:c r="O18" s="27" t="str">
        <x:v>宮川公園周辺は三浦半島特有の台地農業地帯で、ダイコンやキャベツ畑と漁港が近接する。</x:v>
      </x:c>
      <x:c r="P18" s="84" t="e">
        <x:f>HYPERLINK("https://ja.wikipedia.org/wiki/Special:Search?search=%E5%AE%AE%E5%B7%9D%E5%85%AC%E5%9C%92","Wikipedia・関連項目")</x:f>
      </x:c>
      <x:c r="Q18" s="27"/>
      <x:c r="R18" s="27" t="str">
        <x:v>35km超</x:v>
      </x:c>
      <x:c r="S18" s="27" t="str">
        <x:v>概ね35km超</x:v>
      </x:c>
      <x:c r="T18" s="27" t="str">
        <x:v>通常90分超</x:v>
      </x:c>
      <x:c r="U18" s="27" t="str">
        <x:v>海・港</x:v>
      </x:c>
      <x:c r="V18" s="27" t="str">
        <x:v>30〜90分</x:v>
      </x:c>
      <x:c r="W18" s="27" t="n">
        <x:v>1</x:v>
      </x:c>
      <x:c r="X18" s="27" t="n">
        <x:v>3</x:v>
      </x:c>
      <x:c r="Y18" s="27" t="str">
        <x:v>城南島海浜公園</x:v>
      </x:c>
      <x:c r="Z18" s="27" t="str">
        <x:v>潮風公園／晴海ふ頭公園</x:v>
      </x:c>
      <x:c r="AA18" s="22" t="str">
        <x:v>なし</x:v>
      </x:c>
      <x:c r="AB18" s="22" t="str">
        <x:v>-</x:v>
      </x:c>
      <x:c r="AC18" s="22" t="str"/>
      <x:c r="AD18" s="22" t="str">
        <x:v>専用・路外駐車を基本</x:v>
      </x:c>
      <x:c r="AE18" s="22" t="str"/>
    </x:row>
    <x:row r="19">
      <x:c r="A19" s="27" t="str">
        <x:v>D039</x:v>
      </x:c>
      <x:c r="B19" s="27" t="str">
        <x:v>三崎港 うらり駐車場周辺</x:v>
      </x:c>
      <x:c r="C19" s="27" t="str">
        <x:v>三浦市・三崎</x:v>
      </x:c>
      <x:c r="D19" s="27" t="str">
        <x:v>漁港・市場・夜の港</x:v>
      </x:c>
      <x:c r="E19" s="48" t="e">
        <x:f>HYPERLINK("https://www.google.com/maps/dir/?api=1&amp;destination=%E4%B8%89%E5%B4%8E%E6%B8%AF%20%E3%81%86%E3%82%89%E3%82%8A%E9%A7%90%E8%BB%8A%E5%A0%B4%E5%91%A8%E8%BE%BA&amp;travelmode=driving","現在地からナビ開始")</x:f>
      </x:c>
      <x:c r="F19" s="27" t="str">
        <x:v>マグロの港と停泊船を眺め、港町Endingとして使える。</x:v>
      </x:c>
      <x:c r="G19" s="27" t="str">
        <x:v>あり・有料</x:v>
      </x:c>
      <x:c r="H19" s="27" t="str">
        <x:v>駐車場 24時間</x:v>
      </x:c>
      <x:c r="I19" s="27" t="n">
        <x:v>4</x:v>
      </x:c>
      <x:c r="J19" s="27" t="n">
        <x:v>3</x:v>
      </x:c>
      <x:c r="K19" s="27" t="str">
        <x:v>漁業作業区域や岸壁へ立ち入らない。</x:v>
      </x:c>
      <x:c r="L19" s="28" t="n">
        <x:v>46232</x:v>
      </x:c>
      <x:c r="M19" s="27" t="str">
        <x:v>一次確認済</x:v>
      </x:c>
      <x:c r="N19" s="27" t="str">
        <x:v>https://miura-info.ne.jp/access/parking/</x:v>
      </x:c>
      <x:c r="O19" s="27" t="str">
        <x:v>三崎港は遠洋マグロ漁業の基地として発展し、冷凍マグロ流通の中心地の一つとなった。</x:v>
      </x:c>
      <x:c r="P19" s="84" t="e">
        <x:f>HYPERLINK("https://ja.wikipedia.org/wiki/Special:Search?search=%E4%B8%89%E5%B4%8E%E6%B8%AF%20%E3%81%86%E3%82%89%E3%82%8A%E9%A7%90%E8%BB%8A%E5%A0%B4%E5%91%A8%E8%BE%BA","Wikipedia・関連項目")</x:f>
      </x:c>
      <x:c r="Q19" s="27"/>
      <x:c r="R19" s="27" t="str">
        <x:v>35km超</x:v>
      </x:c>
      <x:c r="S19" s="27" t="str">
        <x:v>概ね35km超</x:v>
      </x:c>
      <x:c r="T19" s="27" t="str">
        <x:v>通常90分超</x:v>
      </x:c>
      <x:c r="U19" s="27" t="str">
        <x:v>海・港</x:v>
      </x:c>
      <x:c r="V19" s="27" t="str">
        <x:v>30〜90分</x:v>
      </x:c>
      <x:c r="W19" s="27" t="n">
        <x:v>4</x:v>
      </x:c>
      <x:c r="X19" s="27" t="n">
        <x:v>3</x:v>
      </x:c>
      <x:c r="Y19" s="27" t="str">
        <x:v>城南島海浜公園</x:v>
      </x:c>
      <x:c r="Z19" s="27" t="str">
        <x:v>潮風公園／晴海ふ頭公園</x:v>
      </x:c>
      <x:c r="AA19" s="22" t="str">
        <x:v>なし</x:v>
      </x:c>
      <x:c r="AB19" s="22" t="str">
        <x:v>-</x:v>
      </x:c>
      <x:c r="AC19" s="22" t="str"/>
      <x:c r="AD19" s="22" t="str">
        <x:v>専用・路外駐車を基本</x:v>
      </x:c>
      <x:c r="AE19" s="22" t="str"/>
    </x:row>
    <x:row r="20">
      <x:c r="A20" s="27" t="str">
        <x:v>D040</x:v>
      </x:c>
      <x:c r="B20" s="27" t="str">
        <x:v>湘南港・江の島ヨットハーバー</x:v>
      </x:c>
      <x:c r="C20" s="27" t="str">
        <x:v>藤沢市・江の島</x:v>
      </x:c>
      <x:c r="D20" s="27" t="str">
        <x:v>港・島・海</x:v>
      </x:c>
      <x:c r="E20" s="48" t="e">
        <x:f>HYPERLINK("https://www.google.com/maps/dir/?api=1&amp;destination=%E6%B9%98%E5%8D%97%E6%B8%AF%E3%83%BB%E6%B1%9F%E3%81%AE%E5%B3%B6%E3%83%A8%E3%83%83%E3%83%88%E3%83%8F%E3%83%BC%E3%83%90%E3%83%BC&amp;travelmode=driving","現在地からナビ開始")</x:f>
      </x:c>
      <x:c r="F20" s="27" t="str">
        <x:v>橋を渡って島の奥へ入り、ヨットと相模湾を見て終える到達感がある。</x:v>
      </x:c>
      <x:c r="G20" s="27" t="str">
        <x:v>あり・有料</x:v>
      </x:c>
      <x:c r="H20" s="27" t="str">
        <x:v>駐車場 5:00～21:30</x:v>
      </x:c>
      <x:c r="I20" s="27" t="n">
        <x:v>4</x:v>
      </x:c>
      <x:c r="J20" s="27" t="n">
        <x:v>2</x:v>
      </x:c>
      <x:c r="K20" s="27" t="str">
        <x:v>休日・夏季は渋滞。閉場前に余裕を持って出庫。</x:v>
      </x:c>
      <x:c r="L20" s="28" t="n">
        <x:v>46232</x:v>
      </x:c>
      <x:c r="M20" s="27" t="str">
        <x:v>一次確認済</x:v>
      </x:c>
      <x:c r="N20" s="27" t="str">
        <x:v>https://www.pref.kanagawa.jp/docs/f4i/cnt/f7377/siteikanri.html</x:v>
      </x:c>
      <x:c r="O20" s="27" t="str">
        <x:v>江の島は弁才天信仰の島として栄え、源頼朝や北条氏にまつわる伝承も多い。</x:v>
      </x:c>
      <x:c r="P20" s="84" t="e">
        <x:f>HYPERLINK("https://ja.wikipedia.org/wiki/Special:Search?search=%E6%B9%98%E5%8D%97%E6%B8%AF%E3%83%BB%E6%B1%9F%E3%81%AE%E5%B3%B6%E3%83%A8%E3%83%83%E3%83%88%E3%83%8F%E3%83%BC%E3%83%90%E3%83%BC","Wikipedia・関連項目")</x:f>
      </x:c>
      <x:c r="Q20" s="27"/>
      <x:c r="R20" s="27" t="str">
        <x:v>35km超</x:v>
      </x:c>
      <x:c r="S20" s="27" t="str">
        <x:v>概ね35km超</x:v>
      </x:c>
      <x:c r="T20" s="27" t="str">
        <x:v>通常90分超</x:v>
      </x:c>
      <x:c r="U20" s="27" t="str">
        <x:v>海・港</x:v>
      </x:c>
      <x:c r="V20" s="27" t="str">
        <x:v>30〜90分</x:v>
      </x:c>
      <x:c r="W20" s="27" t="n">
        <x:v>1</x:v>
      </x:c>
      <x:c r="X20" s="27" t="n">
        <x:v>3</x:v>
      </x:c>
      <x:c r="Y20" s="27" t="str">
        <x:v>城南島海浜公園</x:v>
      </x:c>
      <x:c r="Z20" s="27" t="str">
        <x:v>潮風公園／晴海ふ頭公園</x:v>
      </x:c>
      <x:c r="AA20" s="22" t="str">
        <x:v>なし</x:v>
      </x:c>
      <x:c r="AB20" s="22" t="str">
        <x:v>-</x:v>
      </x:c>
      <x:c r="AC20" s="22" t="str"/>
      <x:c r="AD20" s="22" t="str">
        <x:v>専用・路外駐車を基本</x:v>
      </x:c>
      <x:c r="AE20" s="22" t="str"/>
    </x:row>
    <x:row r="21">
      <x:c r="A21" s="27" t="str">
        <x:v>D041</x:v>
      </x:c>
      <x:c r="B21" s="27" t="str">
        <x:v>水元公園</x:v>
      </x:c>
      <x:c r="C21" s="27" t="str">
        <x:v>葛飾区・水元</x:v>
      </x:c>
      <x:c r="D21" s="27" t="str">
        <x:v>湖沼・水辺・公園</x:v>
      </x:c>
      <x:c r="E21" s="48" t="e">
        <x:f>HYPERLINK("https://www.google.com/maps/dir/?api=1&amp;destination=%E6%B0%B4%E5%85%83%E5%85%AC%E5%9C%92&amp;travelmode=driving","現在地からナビ開始")</x:f>
      </x:c>
      <x:c r="F21" s="27" t="str">
        <x:v>都内最大級の水郷景観と広い水面があり、都市ドライブの最後を静かに落とせる。</x:v>
      </x:c>
      <x:c r="G21" s="27" t="str">
        <x:v>あり・有料</x:v>
      </x:c>
      <x:c r="H21" s="27" t="str">
        <x:v>駐車場 24時間</x:v>
      </x:c>
      <x:c r="I21" s="27" t="n">
        <x:v>4</x:v>
      </x:c>
      <x:c r="J21" s="27" t="n">
        <x:v>3</x:v>
      </x:c>
      <x:c r="K21" s="27" t="str">
        <x:v>夜は園内が広く暗い。駐車場周辺と主要園路に限定し、夏季の虫にも注意。</x:v>
      </x:c>
      <x:c r="L21" s="28" t="n">
        <x:v>46232</x:v>
      </x:c>
      <x:c r="M21" s="27" t="str">
        <x:v>一次確認済</x:v>
      </x:c>
      <x:c r="N21" s="27" t="str">
        <x:v>https://www.tokyo-park.or.jp/park/mizumoto/index.html</x:v>
      </x:c>
      <x:c r="O21" s="27" t="str">
        <x:v>水元公園は都内では珍しい水郷景観を持ち、かつての遊水地・ため池の環境を生かしている。</x:v>
      </x:c>
      <x:c r="P21" s="84" t="e">
        <x:f>HYPERLINK("https://ja.wikipedia.org/wiki/Special:Search?search=%E6%B0%B4%E5%85%83%E5%85%AC%E5%9C%92","Wikipedia・関連項目")</x:f>
      </x:c>
      <x:c r="Q21" s="27"/>
      <x:c r="R21" s="27" t="str">
        <x:v>35km超</x:v>
      </x:c>
      <x:c r="S21" s="27" t="str">
        <x:v>概ね35km超</x:v>
      </x:c>
      <x:c r="T21" s="27" t="str">
        <x:v>通常90分超</x:v>
      </x:c>
      <x:c r="U21" s="27" t="str">
        <x:v>水辺</x:v>
      </x:c>
      <x:c r="V21" s="27" t="str">
        <x:v>30〜90分</x:v>
      </x:c>
      <x:c r="W21" s="27" t="n">
        <x:v>1</x:v>
      </x:c>
      <x:c r="X21" s="27" t="n">
        <x:v>1</x:v>
      </x:c>
      <x:c r="Y21" s="27" t="str">
        <x:v>多摩川浅間神社</x:v>
      </x:c>
      <x:c r="Z21" s="27" t="str">
        <x:v>多摩川六郷橋緑地／多摩川ガス橋緑地</x:v>
      </x:c>
      <x:c r="AA21" s="22" t="str">
        <x:v>なし</x:v>
      </x:c>
      <x:c r="AB21" s="22" t="str">
        <x:v>-</x:v>
      </x:c>
      <x:c r="AC21" s="22" t="str"/>
      <x:c r="AD21" s="22" t="str">
        <x:v>専用・路外駐車を基本</x:v>
      </x:c>
      <x:c r="AE21" s="22" t="str"/>
    </x:row>
    <x:row r="22">
      <x:c r="A22" s="27" t="str">
        <x:v>D042</x:v>
      </x:c>
      <x:c r="B22" s="27" t="str">
        <x:v>舎人公園</x:v>
      </x:c>
      <x:c r="C22" s="27" t="str">
        <x:v>足立区・舎人</x:v>
      </x:c>
      <x:c r="D22" s="27" t="str">
        <x:v>池・公園・夜間休憩</x:v>
      </x:c>
      <x:c r="E22" s="48" t="e">
        <x:f>HYPERLINK("https://www.google.com/maps/dir/?api=1&amp;destination=%E8%88%8E%E4%BA%BA%E5%85%AC%E5%9C%92&amp;travelmode=driving","現在地からナビ開始")</x:f>
      </x:c>
      <x:c r="F22" s="27" t="str">
        <x:v>広い公園と池、複数の24時間駐車場があり、北東京方面の夜間Endingとして安定する。</x:v>
      </x:c>
      <x:c r="G22" s="27" t="str">
        <x:v>あり・有料</x:v>
      </x:c>
      <x:c r="H22" s="27" t="str">
        <x:v>第一～第三駐車場 24時間</x:v>
      </x:c>
      <x:c r="I22" s="27" t="n">
        <x:v>4</x:v>
      </x:c>
      <x:c r="J22" s="27" t="n">
        <x:v>3</x:v>
      </x:c>
      <x:c r="K22" s="27" t="str">
        <x:v>イベント時と週末は混雑。満車時の路上入庫待ちは不可。</x:v>
      </x:c>
      <x:c r="L22" s="28" t="n">
        <x:v>46232</x:v>
      </x:c>
      <x:c r="M22" s="27" t="str">
        <x:v>一次確認済</x:v>
      </x:c>
      <x:c r="N22" s="27" t="str">
        <x:v>https://www.tokyo-park.or.jp/park/toneri/index.html</x:v>
      </x:c>
      <x:c r="O22" s="27" t="str">
        <x:v>舎人公園は大規模な防災公園として計画され、震災時には避難・救援活動の拠点となる。</x:v>
      </x:c>
      <x:c r="P22" s="84" t="e">
        <x:f>HYPERLINK("https://ja.wikipedia.org/wiki/Special:Search?search=%E8%88%8E%E4%BA%BA%E5%85%AC%E5%9C%92","Wikipedia・関連項目")</x:f>
      </x:c>
      <x:c r="Q22" s="27"/>
      <x:c r="R22" s="27" t="str">
        <x:v>35km超</x:v>
      </x:c>
      <x:c r="S22" s="27" t="str">
        <x:v>概ね35km超</x:v>
      </x:c>
      <x:c r="T22" s="27" t="str">
        <x:v>通常90分超</x:v>
      </x:c>
      <x:c r="U22" s="27" t="str">
        <x:v>水辺</x:v>
      </x:c>
      <x:c r="V22" s="27" t="str">
        <x:v>30〜90分</x:v>
      </x:c>
      <x:c r="W22" s="27" t="n">
        <x:v>1</x:v>
      </x:c>
      <x:c r="X22" s="27" t="n">
        <x:v>1</x:v>
      </x:c>
      <x:c r="Y22" s="27" t="str">
        <x:v>多摩川浅間神社</x:v>
      </x:c>
      <x:c r="Z22" s="27" t="str">
        <x:v>多摩川六郷橋緑地／多摩川ガス橋緑地</x:v>
      </x:c>
      <x:c r="AA22" s="22" t="str">
        <x:v>なし</x:v>
      </x:c>
      <x:c r="AB22" s="22" t="str">
        <x:v>-</x:v>
      </x:c>
      <x:c r="AC22" s="22" t="str"/>
      <x:c r="AD22" s="22" t="str">
        <x:v>専用・路外駐車を基本</x:v>
      </x:c>
      <x:c r="AE22" s="22" t="str"/>
    </x:row>
    <x:row r="23">
      <x:c r="A23" s="27" t="str">
        <x:v>D043</x:v>
      </x:c>
      <x:c r="B23" s="27" t="str">
        <x:v>浮間公園</x:v>
      </x:c>
      <x:c r="C23" s="27" t="str">
        <x:v>板橋区・北区</x:v>
      </x:c>
      <x:c r="D23" s="27" t="str">
        <x:v>池・風車・夜間休憩</x:v>
      </x:c>
      <x:c r="E23" s="48" t="e">
        <x:f>HYPERLINK("https://www.google.com/maps/dir/?api=1&amp;destination=%E6%B5%AE%E9%96%93%E5%85%AC%E5%9C%92&amp;travelmode=driving","現在地からナビ開始")</x:f>
      </x:c>
      <x:c r="F23" s="27" t="str">
        <x:v>大きな池と風車のある景観がコンパクトにまとまり、短時間の静かな終点に向く。</x:v>
      </x:c>
      <x:c r="G23" s="27" t="str">
        <x:v>あり・35台・有料</x:v>
      </x:c>
      <x:c r="H23" s="27" t="str">
        <x:v>駐車場 24時間</x:v>
      </x:c>
      <x:c r="I23" s="27" t="n">
        <x:v>4</x:v>
      </x:c>
      <x:c r="J23" s="27" t="n">
        <x:v>4</x:v>
      </x:c>
      <x:c r="K23" s="27" t="str">
        <x:v>駐車台数が少ない。大型車不可。住宅地に近いため静粛に。</x:v>
      </x:c>
      <x:c r="L23" s="28" t="n">
        <x:v>46232</x:v>
      </x:c>
      <x:c r="M23" s="27" t="str">
        <x:v>一次確認済</x:v>
      </x:c>
      <x:c r="N23" s="27" t="str">
        <x:v>https://www.tokyo-park.or.jp/park/ukima/index.html</x:v>
      </x:c>
      <x:c r="O23" s="27" t="str">
        <x:v>浮間ヶ池は荒川の旧流路の一部で、公園の風車はオランダ風の景観をつくる象徴になっている。</x:v>
      </x:c>
      <x:c r="P23" s="84" t="e">
        <x:f>HYPERLINK("https://ja.wikipedia.org/wiki/Special:Search?search=%E6%B5%AE%E9%96%93%E5%85%AC%E5%9C%92","Wikipedia・関連項目")</x:f>
      </x:c>
      <x:c r="Q23" s="27"/>
      <x:c r="R23" s="27" t="str">
        <x:v>35km超</x:v>
      </x:c>
      <x:c r="S23" s="27" t="str">
        <x:v>概ね35km超</x:v>
      </x:c>
      <x:c r="T23" s="27" t="str">
        <x:v>通常90分超</x:v>
      </x:c>
      <x:c r="U23" s="27" t="str">
        <x:v>水辺</x:v>
      </x:c>
      <x:c r="V23" s="27" t="str">
        <x:v>30〜60分</x:v>
      </x:c>
      <x:c r="W23" s="27" t="n">
        <x:v>2</x:v>
      </x:c>
      <x:c r="X23" s="27" t="n">
        <x:v>1</x:v>
      </x:c>
      <x:c r="Y23" s="27" t="str">
        <x:v>多摩川浅間神社</x:v>
      </x:c>
      <x:c r="Z23" s="27" t="str">
        <x:v>多摩川六郷橋緑地／多摩川ガス橋緑地</x:v>
      </x:c>
      <x:c r="AA23" s="22" t="str">
        <x:v>なし</x:v>
      </x:c>
      <x:c r="AB23" s="22" t="str">
        <x:v>-</x:v>
      </x:c>
      <x:c r="AC23" s="22" t="str"/>
      <x:c r="AD23" s="22" t="str">
        <x:v>専用・路外駐車を基本</x:v>
      </x:c>
      <x:c r="AE23" s="22" t="str"/>
    </x:row>
    <x:row r="24">
      <x:c r="A24" s="27" t="str">
        <x:v>D045</x:v>
      </x:c>
      <x:c r="B24" s="27" t="str">
        <x:v>汐入公園</x:v>
      </x:c>
      <x:c r="C24" s="27" t="str">
        <x:v>荒川区・南千住</x:v>
      </x:c>
      <x:c r="D24" s="27" t="str">
        <x:v>河川・橋・都市夜景</x:v>
      </x:c>
      <x:c r="E24" s="48" t="e">
        <x:f>HYPERLINK("https://www.google.com/maps/dir/?api=1&amp;destination=%E6%B1%90%E5%85%A5%E5%85%AC%E5%9C%92&amp;travelmode=driving","現在地からナビ開始")</x:f>
      </x:c>
      <x:c r="F24" s="27" t="str">
        <x:v>隅田川沿いの開放感と橋・高層住宅の灯りがあり、都心北東側の河川Endingになる。</x:v>
      </x:c>
      <x:c r="G24" s="27" t="str">
        <x:v>あり・有料</x:v>
      </x:c>
      <x:c r="H24" s="27" t="str">
        <x:v>第二駐車場 24時間</x:v>
      </x:c>
      <x:c r="I24" s="27" t="n">
        <x:v>4</x:v>
      </x:c>
      <x:c r="J24" s="27" t="n">
        <x:v>4</x:v>
      </x:c>
      <x:c r="K24" s="27" t="str">
        <x:v>住宅地に近い。深夜の騒音や長時間滞在を避ける。</x:v>
      </x:c>
      <x:c r="L24" s="28" t="n">
        <x:v>46232</x:v>
      </x:c>
      <x:c r="M24" s="27" t="str">
        <x:v>一次確認済</x:v>
      </x:c>
      <x:c r="N24" s="27" t="str">
        <x:v>https://www.tokyo-park.or.jp/park/shioiri/index.html</x:v>
      </x:c>
      <x:c r="O24" s="27" t="str">
        <x:v>汐入地区は隅田川沿いの工場地帯から大規模住宅地・公園へ再開発された地域である。</x:v>
      </x:c>
      <x:c r="P24" s="84" t="e">
        <x:f>HYPERLINK("https://ja.wikipedia.org/wiki/Special:Search?search=%E6%B1%90%E5%85%A5%E5%85%AC%E5%9C%92","Wikipedia・関連項目")</x:f>
      </x:c>
      <x:c r="Q24" s="27"/>
      <x:c r="R24" s="27" t="str">
        <x:v>35km超</x:v>
      </x:c>
      <x:c r="S24" s="27" t="str">
        <x:v>概ね35km超</x:v>
      </x:c>
      <x:c r="T24" s="27" t="str">
        <x:v>通常90分超</x:v>
      </x:c>
      <x:c r="U24" s="27" t="str">
        <x:v>水辺</x:v>
      </x:c>
      <x:c r="V24" s="27" t="str">
        <x:v>30〜60分</x:v>
      </x:c>
      <x:c r="W24" s="27" t="n">
        <x:v>1</x:v>
      </x:c>
      <x:c r="X24" s="27" t="n">
        <x:v>3</x:v>
      </x:c>
      <x:c r="Y24" s="27" t="str">
        <x:v>多摩川浅間神社</x:v>
      </x:c>
      <x:c r="Z24" s="27" t="str">
        <x:v>多摩川六郷橋緑地／多摩川ガス橋緑地</x:v>
      </x:c>
      <x:c r="AA24" s="22" t="str">
        <x:v>なし</x:v>
      </x:c>
      <x:c r="AB24" s="22" t="str">
        <x:v>-</x:v>
      </x:c>
      <x:c r="AC24" s="22" t="str"/>
      <x:c r="AD24" s="22" t="str">
        <x:v>専用・路外駐車を基本</x:v>
      </x:c>
      <x:c r="AE24" s="22" t="str"/>
    </x:row>
    <x:row r="25">
      <x:c r="A25" s="27" t="str">
        <x:v>D046</x:v>
      </x:c>
      <x:c r="B25" s="27" t="str">
        <x:v>彩湖・道満グリーンパーク</x:v>
      </x:c>
      <x:c r="C25" s="27" t="str">
        <x:v>戸田市・彩湖</x:v>
      </x:c>
      <x:c r="D25" s="27" t="str">
        <x:v>湖・河川敷・空の広さ</x:v>
      </x:c>
      <x:c r="E25" s="48" t="e">
        <x:f>HYPERLINK("https://www.google.com/maps/dir/?api=1&amp;destination=%E5%BD%A9%E6%B9%96%E3%83%BB%E9%81%93%E6%BA%80%E3%82%B0%E3%83%AA%E3%83%BC%E3%83%B3%E3%83%91%E3%83%BC%E3%82%AF&amp;travelmode=driving","現在地からナビ開始")</x:f>
      </x:c>
      <x:c r="F25" s="27" t="str">
        <x:v>荒川調節池の大きな水面と空の広さがあり、首都圏で非都市的な余白を味わえる。</x:v>
      </x:c>
      <x:c r="G25" s="27" t="str">
        <x:v>あり・有料</x:v>
      </x:c>
      <x:c r="H25" s="27" t="str">
        <x:v>4～10月 7:30～18:30／11～3月 7:30～17:30</x:v>
      </x:c>
      <x:c r="I25" s="27" t="n">
        <x:v>2</x:v>
      </x:c>
      <x:c r="J25" s="27" t="n">
        <x:v>4</x:v>
      </x:c>
      <x:c r="K25" s="27" t="str">
        <x:v>閉門後は出庫できない可能性がある。洪水・強風・イベント時の閉鎖に注意。</x:v>
      </x:c>
      <x:c r="L25" s="28" t="n">
        <x:v>46232</x:v>
      </x:c>
      <x:c r="M25" s="27" t="str">
        <x:v>一次確認済</x:v>
      </x:c>
      <x:c r="N25" s="27" t="str">
        <x:v>https://saikobase.com/park/</x:v>
      </x:c>
      <x:c r="O25" s="27" t="str">
        <x:v>彩湖は荒川第一調節池の中に造られた人工湖で、洪水時には首都圏を守る治水施設として働く。</x:v>
      </x:c>
      <x:c r="P25" s="84" t="e">
        <x:f>HYPERLINK("https://ja.wikipedia.org/wiki/Special:Search?search=%E5%BD%A9%E6%B9%96%E3%83%BB%E9%81%93%E6%BA%80%E3%82%B0%E3%83%AA%E3%83%BC%E3%83%B3%E3%83%91%E3%83%BC%E3%82%AF","Wikipedia・関連項目")</x:f>
      </x:c>
      <x:c r="Q25" s="27"/>
      <x:c r="R25" s="27" t="str">
        <x:v>35km超</x:v>
      </x:c>
      <x:c r="S25" s="27" t="str">
        <x:v>概ね35km超</x:v>
      </x:c>
      <x:c r="T25" s="27" t="str">
        <x:v>通常90分超</x:v>
      </x:c>
      <x:c r="U25" s="27" t="str">
        <x:v>水辺</x:v>
      </x:c>
      <x:c r="V25" s="27" t="str">
        <x:v>30〜90分</x:v>
      </x:c>
      <x:c r="W25" s="27" t="n">
        <x:v>1</x:v>
      </x:c>
      <x:c r="X25" s="27" t="n">
        <x:v>1</x:v>
      </x:c>
      <x:c r="Y25" s="27" t="str">
        <x:v>多摩川浅間神社</x:v>
      </x:c>
      <x:c r="Z25" s="27" t="str">
        <x:v>多摩川六郷橋緑地／多摩川ガス橋緑地</x:v>
      </x:c>
      <x:c r="AA25" s="22" t="str">
        <x:v>なし</x:v>
      </x:c>
      <x:c r="AB25" s="22" t="str">
        <x:v>-</x:v>
      </x:c>
      <x:c r="AC25" s="22" t="str"/>
      <x:c r="AD25" s="22" t="str">
        <x:v>専用・路外駐車を基本</x:v>
      </x:c>
      <x:c r="AE25" s="22" t="str"/>
    </x:row>
    <x:row r="26">
      <x:c r="A26" s="27" t="str">
        <x:v>D047</x:v>
      </x:c>
      <x:c r="B26" s="27" t="str">
        <x:v>秋ヶ瀬公園</x:v>
      </x:c>
      <x:c r="C26" s="27" t="str">
        <x:v>さいたま市・桜区</x:v>
      </x:c>
      <x:c r="D26" s="27" t="str">
        <x:v>河川敷・森林・広大公園</x:v>
      </x:c>
      <x:c r="E26" s="48" t="e">
        <x:f>HYPERLINK("https://www.google.com/maps/dir/?api=1&amp;destination=%E7%A7%8B%E3%83%B6%E7%80%AC%E5%85%AC%E5%9C%92&amp;travelmode=driving","現在地からナビ開始")</x:f>
      </x:c>
      <x:c r="F26" s="27" t="str">
        <x:v>荒川河川敷の広大な平地と林があり、昼のロングドライブを静かに終えられる。</x:v>
      </x:c>
      <x:c r="G26" s="27" t="str">
        <x:v>あり・977台・無料</x:v>
      </x:c>
      <x:c r="H26" s="27" t="str">
        <x:v>開園 5:00～19:00</x:v>
      </x:c>
      <x:c r="I26" s="27" t="n">
        <x:v>2</x:v>
      </x:c>
      <x:c r="J26" s="27" t="n">
        <x:v>4</x:v>
      </x:c>
      <x:c r="K26" s="27" t="str">
        <x:v>洪水・積雪等で閉鎖あり。19時閉門。車の撮影・整備目的での占有は不可。</x:v>
      </x:c>
      <x:c r="L26" s="28" t="n">
        <x:v>46232</x:v>
      </x:c>
      <x:c r="M26" s="27" t="str">
        <x:v>一次確認済</x:v>
      </x:c>
      <x:c r="N26" s="27" t="str">
        <x:v>https://www.parks.or.jp/akigase/guide/002/002868.html</x:v>
      </x:c>
      <x:c r="O26" s="27" t="str">
        <x:v>秋ヶ瀬公園は荒川の広大な河川敷に造られ、普段は公園、増水時は洪水を受け止める空間になる。</x:v>
      </x:c>
      <x:c r="P26" s="84" t="e">
        <x:f>HYPERLINK("https://ja.wikipedia.org/wiki/Special:Search?search=%E7%A7%8B%E3%83%B6%E7%80%AC%E5%85%AC%E5%9C%92","Wikipedia・関連項目")</x:f>
      </x:c>
      <x:c r="Q26" s="27"/>
      <x:c r="R26" s="27" t="str">
        <x:v>35km超</x:v>
      </x:c>
      <x:c r="S26" s="27" t="str">
        <x:v>概ね35km超</x:v>
      </x:c>
      <x:c r="T26" s="27" t="str">
        <x:v>通常90分超</x:v>
      </x:c>
      <x:c r="U26" s="27" t="str">
        <x:v>水辺</x:v>
      </x:c>
      <x:c r="V26" s="27" t="str">
        <x:v>30〜90分</x:v>
      </x:c>
      <x:c r="W26" s="27" t="n">
        <x:v>1</x:v>
      </x:c>
      <x:c r="X26" s="27" t="n">
        <x:v>1</x:v>
      </x:c>
      <x:c r="Y26" s="27" t="str">
        <x:v>多摩川浅間神社</x:v>
      </x:c>
      <x:c r="Z26" s="27" t="str">
        <x:v>多摩川六郷橋緑地／多摩川ガス橋緑地</x:v>
      </x:c>
      <x:c r="AA26" s="22" t="str">
        <x:v>なし</x:v>
      </x:c>
      <x:c r="AB26" s="22" t="str">
        <x:v>-</x:v>
      </x:c>
      <x:c r="AC26" s="22" t="str"/>
      <x:c r="AD26" s="22" t="str">
        <x:v>専用・路外駐車を基本</x:v>
      </x:c>
      <x:c r="AE26" s="22" t="str"/>
    </x:row>
    <x:row r="27">
      <x:c r="A27" s="27" t="str">
        <x:v>D048</x:v>
      </x:c>
      <x:c r="B27" s="27" t="str">
        <x:v>みさと公園</x:v>
      </x:c>
      <x:c r="C27" s="27" t="str">
        <x:v>三郷市・高州</x:v>
      </x:c>
      <x:c r="D27" s="27" t="str">
        <x:v>水辺・公園・展望</x:v>
      </x:c>
      <x:c r="E27" s="48" t="e">
        <x:f>HYPERLINK("https://www.google.com/maps/dir/?api=1&amp;destination=%E3%81%BF%E3%81%95%E3%81%A8%E5%85%AC%E5%9C%92&amp;travelmode=driving","現在地からナビ開始")</x:f>
      </x:c>
      <x:c r="F27" s="27" t="str">
        <x:v>水元公園と向かい合う水辺空間で、池越しの緑と展望台を楽しめる。</x:v>
      </x:c>
      <x:c r="G27" s="27" t="str">
        <x:v>あり・有料</x:v>
      </x:c>
      <x:c r="H27" s="27" t="str">
        <x:v>第2駐車場 24時間</x:v>
      </x:c>
      <x:c r="I27" s="27" t="n">
        <x:v>4</x:v>
      </x:c>
      <x:c r="J27" s="27" t="n">
        <x:v>4</x:v>
      </x:c>
      <x:c r="K27" s="27" t="str">
        <x:v>第1駐車場は季節時間制。夜は第2駐車場利用を前提にする。</x:v>
      </x:c>
      <x:c r="L27" s="28" t="n">
        <x:v>46232</x:v>
      </x:c>
      <x:c r="M27" s="27" t="str">
        <x:v>一次確認済</x:v>
      </x:c>
      <x:c r="N27" s="27" t="str">
        <x:v>https://www.seibu-la.co.jp/misato-yoshikawa/facility/misato.html</x:v>
      </x:c>
      <x:c r="O27" s="27" t="str">
        <x:v>みさと公園と水元公園は小合溜を挟んで向かい合い、県境を越えて一つの水郷景観を形成する。</x:v>
      </x:c>
      <x:c r="P27" s="84" t="e">
        <x:f>HYPERLINK("https://ja.wikipedia.org/wiki/Special:Search?search=%E3%81%BF%E3%81%95%E3%81%A8%E5%85%AC%E5%9C%92","Wikipedia・関連項目")</x:f>
      </x:c>
      <x:c r="Q27" s="27"/>
      <x:c r="R27" s="27" t="str">
        <x:v>35km超</x:v>
      </x:c>
      <x:c r="S27" s="27" t="str">
        <x:v>概ね35km超</x:v>
      </x:c>
      <x:c r="T27" s="27" t="str">
        <x:v>通常90分超</x:v>
      </x:c>
      <x:c r="U27" s="27" t="str">
        <x:v>平日夜・深夜</x:v>
      </x:c>
      <x:c r="V27" s="27" t="str">
        <x:v>30〜60分</x:v>
      </x:c>
      <x:c r="W27" s="27" t="n">
        <x:v>1</x:v>
      </x:c>
      <x:c r="X27" s="27" t="n">
        <x:v>1</x:v>
      </x:c>
      <x:c r="Y27" s="27" t="str">
        <x:v>平和の森公園</x:v>
      </x:c>
      <x:c r="Z27" s="27" t="str">
        <x:v>大森ふるさとの浜辺公園／森ケ崎公園</x:v>
      </x:c>
      <x:c r="AA27" s="22" t="str">
        <x:v>なし</x:v>
      </x:c>
      <x:c r="AB27" s="22" t="str">
        <x:v>-</x:v>
      </x:c>
      <x:c r="AC27" s="22" t="str"/>
      <x:c r="AD27" s="22" t="str">
        <x:v>専用・路外駐車を基本</x:v>
      </x:c>
      <x:c r="AE27" s="22" t="str"/>
    </x:row>
    <x:row r="28">
      <x:c r="A28" s="27" t="str">
        <x:v>D049</x:v>
      </x:c>
      <x:c r="B28" s="27" t="str">
        <x:v>県営権現堂公園・権現堂桜堤</x:v>
      </x:c>
      <x:c r="C28" s="27" t="str">
        <x:v>幸手市・内国府間</x:v>
      </x:c>
      <x:c r="D28" s="27" t="str">
        <x:v>堤・花・河川景観</x:v>
      </x:c>
      <x:c r="E28" s="48" t="e">
        <x:f>HYPERLINK("https://www.google.com/maps/dir/?api=1&amp;destination=%E7%9C%8C%E5%96%B6%E6%A8%A9%E7%8F%BE%E5%A0%82%E5%85%AC%E5%9C%92%E3%83%BB%E6%A8%A9%E7%8F%BE%E5%A0%82%E6%A1%9C%E5%A0%A4&amp;travelmode=driving","現在地からナビ開始")</x:f>
      </x:c>
      <x:c r="F28" s="27" t="str">
        <x:v>長い堤と季節の花が作る明確な到達景観があり、春以外も河川沿いの終点になる。</x:v>
      </x:c>
      <x:c r="G28" s="27" t="str">
        <x:v>あり・通常無料</x:v>
      </x:c>
      <x:c r="H28" s="27" t="str">
        <x:v>4～8月 8:30～19:00／3・9月 ～18:00／10～2月 ～17:00</x:v>
      </x:c>
      <x:c r="I28" s="27" t="n">
        <x:v>1</x:v>
      </x:c>
      <x:c r="J28" s="27" t="n">
        <x:v>3</x:v>
      </x:c>
      <x:c r="K28" s="27" t="str">
        <x:v>桜まつり時は有料・大混雑。季節別閉鎖時刻を厳守。</x:v>
      </x:c>
      <x:c r="L28" s="28" t="n">
        <x:v>46232</x:v>
      </x:c>
      <x:c r="M28" s="27" t="str">
        <x:v>一次確認済</x:v>
      </x:c>
      <x:c r="N28" s="27" t="str">
        <x:v>https://gongendo.jp/access/</x:v>
      </x:c>
      <x:c r="O28" s="27" t="str">
        <x:v>権現堂堤は利根川水系の治水史と結び付く堤防で、現在は桜と菜の花の名所として知られる。</x:v>
      </x:c>
      <x:c r="P28" s="84" t="e">
        <x:f>HYPERLINK("https://ja.wikipedia.org/wiki/Special:Search?search=%E7%9C%8C%E5%96%B6%E6%A8%A9%E7%8F%BE%E5%A0%82%E5%85%AC%E5%9C%92%E3%83%BB%E6%A8%A9%E7%8F%BE%E5%A0%82%E6%A1%9C%E5%A0%A4","Wikipedia・関連項目")</x:f>
      </x:c>
      <x:c r="Q28" s="27"/>
      <x:c r="R28" s="27" t="str">
        <x:v>35km超</x:v>
      </x:c>
      <x:c r="S28" s="27" t="str">
        <x:v>概ね35km超</x:v>
      </x:c>
      <x:c r="T28" s="27" t="str">
        <x:v>通常90分超</x:v>
      </x:c>
      <x:c r="U28" s="27" t="str">
        <x:v>水辺</x:v>
      </x:c>
      <x:c r="V28" s="27" t="str">
        <x:v>30〜90分</x:v>
      </x:c>
      <x:c r="W28" s="27" t="n">
        <x:v>1</x:v>
      </x:c>
      <x:c r="X28" s="27" t="n">
        <x:v>1</x:v>
      </x:c>
      <x:c r="Y28" s="27" t="str">
        <x:v>多摩川浅間神社</x:v>
      </x:c>
      <x:c r="Z28" s="27" t="str">
        <x:v>多摩川六郷橋緑地／多摩川ガス橋緑地</x:v>
      </x:c>
      <x:c r="AA28" s="22" t="str">
        <x:v>なし</x:v>
      </x:c>
      <x:c r="AB28" s="22" t="str">
        <x:v>-</x:v>
      </x:c>
      <x:c r="AC28" s="22" t="str"/>
      <x:c r="AD28" s="22" t="str">
        <x:v>専用・路外駐車を基本</x:v>
      </x:c>
      <x:c r="AE28" s="22" t="str"/>
    </x:row>
    <x:row r="29">
      <x:c r="A29" s="27" t="str">
        <x:v>D050</x:v>
      </x:c>
      <x:c r="B29" s="27" t="str">
        <x:v>千葉ポートパーク</x:v>
      </x:c>
      <x:c r="C29" s="27" t="str">
        <x:v>千葉市・中央港</x:v>
      </x:c>
      <x:c r="D29" s="27" t="str">
        <x:v>港・人工海浜・展望塔</x:v>
      </x:c>
      <x:c r="E29" s="48" t="e">
        <x:f>HYPERLINK("https://www.google.com/maps/dir/?api=1&amp;destination=%E5%8D%83%E8%91%89%E3%83%9D%E3%83%BC%E3%83%88%E3%83%91%E3%83%BC%E3%82%AF&amp;travelmode=driving","現在地からナビ開始")</x:f>
      </x:c>
      <x:c r="F29" s="27" t="str">
        <x:v>人工海浜と港、ポートタワーを組み合わせ、千葉湾岸の象徴的Endingになる。</x:v>
      </x:c>
      <x:c r="G29" s="27" t="str">
        <x:v>あり・約250台・無料</x:v>
      </x:c>
      <x:c r="H29" s="27" t="str">
        <x:v>6～9月 9:00～21:00／10～5月 9:00～19:00</x:v>
      </x:c>
      <x:c r="I29" s="27" t="n">
        <x:v>4</x:v>
      </x:c>
      <x:c r="J29" s="27" t="n">
        <x:v>2</x:v>
      </x:c>
      <x:c r="K29" s="27" t="str">
        <x:v>施錠30分前が入場目安。イベント時は時間変更や規制あり。</x:v>
      </x:c>
      <x:c r="L29" s="28" t="n">
        <x:v>46232</x:v>
      </x:c>
      <x:c r="M29" s="27" t="str">
        <x:v>一次確認済</x:v>
      </x:c>
      <x:c r="N29" s="27" t="str">
        <x:v>https://www.pref.chiba.lg.jp/cs-chiba-k/kankou/chiba.html</x:v>
      </x:c>
      <x:c r="O29" s="27" t="str">
        <x:v>千葉ポートタワーは千葉県人口500万人突破を記念して1986年に建設された。</x:v>
      </x:c>
      <x:c r="P29" s="84" t="e">
        <x:f>HYPERLINK("https://ja.wikipedia.org/wiki/Special:Search?search=%E5%8D%83%E8%91%89%E3%83%9D%E3%83%BC%E3%83%88%E3%83%91%E3%83%BC%E3%82%AF","Wikipedia・関連項目")</x:f>
      </x:c>
      <x:c r="Q29" s="27"/>
      <x:c r="R29" s="27" t="str">
        <x:v>35km超</x:v>
      </x:c>
      <x:c r="S29" s="27" t="str">
        <x:v>概ね35km超</x:v>
      </x:c>
      <x:c r="T29" s="27" t="str">
        <x:v>通常90分超</x:v>
      </x:c>
      <x:c r="U29" s="27" t="str">
        <x:v>海・港</x:v>
      </x:c>
      <x:c r="V29" s="27" t="str">
        <x:v>30〜60分</x:v>
      </x:c>
      <x:c r="W29" s="27" t="n">
        <x:v>1</x:v>
      </x:c>
      <x:c r="X29" s="27" t="n">
        <x:v>3</x:v>
      </x:c>
      <x:c r="Y29" s="27" t="str">
        <x:v>城南島海浜公園</x:v>
      </x:c>
      <x:c r="Z29" s="27" t="str">
        <x:v>潮風公園／晴海ふ頭公園</x:v>
      </x:c>
      <x:c r="AA29" s="22" t="str">
        <x:v>なし</x:v>
      </x:c>
      <x:c r="AB29" s="22" t="str">
        <x:v>-</x:v>
      </x:c>
      <x:c r="AC29" s="22" t="str"/>
      <x:c r="AD29" s="22" t="str">
        <x:v>専用・路外駐車を基本</x:v>
      </x:c>
      <x:c r="AE29" s="22" t="str"/>
    </x:row>
    <x:row r="30">
      <x:c r="A30" s="27" t="str">
        <x:v>D051</x:v>
      </x:c>
      <x:c r="B30" s="27" t="str">
        <x:v>稲毛海浜公園・いなげの浜</x:v>
      </x:c>
      <x:c r="C30" s="27" t="str">
        <x:v>千葉市・美浜区</x:v>
      </x:c>
      <x:c r="D30" s="27" t="str">
        <x:v>人工海浜・夕日・都市海岸</x:v>
      </x:c>
      <x:c r="E30" s="48" t="e">
        <x:f>HYPERLINK("https://www.google.com/maps/dir/?api=1&amp;destination=%E7%A8%B2%E6%AF%9B%E6%B5%B7%E6%B5%9C%E5%85%AC%E5%9C%92%E3%83%BB%E3%81%84%E3%81%AA%E3%81%92%E3%81%AE%E6%B5%9C&amp;travelmode=driving","現在地からナビ開始")</x:f>
      </x:c>
      <x:c r="F30" s="27" t="str">
        <x:v>白い砂浜と東京湾の夕日があり、湾岸道路の先に海辺へ抜ける体験を作れる。</x:v>
      </x:c>
      <x:c r="G30" s="27" t="str">
        <x:v>あり・大規模有料</x:v>
      </x:c>
      <x:c r="H30" s="27" t="str">
        <x:v>第1・第2駐車場 6:00～23:00</x:v>
      </x:c>
      <x:c r="I30" s="27" t="n">
        <x:v>4</x:v>
      </x:c>
      <x:c r="J30" s="27" t="n">
        <x:v>2</x:v>
      </x:c>
      <x:c r="K30" s="27" t="str">
        <x:v>夏季・イベント日は料金体系と混雑が変わる。23時閉鎖。</x:v>
      </x:c>
      <x:c r="L30" s="28" t="n">
        <x:v>46232</x:v>
      </x:c>
      <x:c r="M30" s="27" t="str">
        <x:v>一次確認済</x:v>
      </x:c>
      <x:c r="N30" s="27" t="str">
        <x:v>https://sunsetbeachpark.jp/access/</x:v>
      </x:c>
      <x:c r="O30" s="27" t="str">
        <x:v>いなげの浜は1976年に開設された、日本初の人工海浜とされる。</x:v>
      </x:c>
      <x:c r="P30" s="84" t="e">
        <x:f>HYPERLINK("https://ja.wikipedia.org/wiki/Special:Search?search=%E7%A8%B2%E6%AF%9B%E6%B5%B7%E6%B5%9C%E5%85%AC%E5%9C%92%E3%83%BB%E3%81%84%E3%81%AA%E3%81%92%E3%81%AE%E6%B5%9C","Wikipedia・関連項目")</x:f>
      </x:c>
      <x:c r="Q30" s="27"/>
      <x:c r="R30" s="27" t="str">
        <x:v>35km超</x:v>
      </x:c>
      <x:c r="S30" s="27" t="str">
        <x:v>概ね35km超</x:v>
      </x:c>
      <x:c r="T30" s="27" t="str">
        <x:v>通常90分超</x:v>
      </x:c>
      <x:c r="U30" s="27" t="str">
        <x:v>海・港</x:v>
      </x:c>
      <x:c r="V30" s="27" t="str">
        <x:v>30〜90分</x:v>
      </x:c>
      <x:c r="W30" s="27" t="n">
        <x:v>1</x:v>
      </x:c>
      <x:c r="X30" s="27" t="n">
        <x:v>3</x:v>
      </x:c>
      <x:c r="Y30" s="27" t="str">
        <x:v>城南島海浜公園</x:v>
      </x:c>
      <x:c r="Z30" s="27" t="str">
        <x:v>潮風公園／晴海ふ頭公園</x:v>
      </x:c>
      <x:c r="AA30" s="22" t="str">
        <x:v>なし</x:v>
      </x:c>
      <x:c r="AB30" s="22" t="str">
        <x:v>-</x:v>
      </x:c>
      <x:c r="AC30" s="22" t="str"/>
      <x:c r="AD30" s="22" t="str">
        <x:v>専用・路外駐車を基本</x:v>
      </x:c>
      <x:c r="AE30" s="22" t="str"/>
    </x:row>
    <x:row r="31">
      <x:c r="A31" s="27" t="str">
        <x:v>D052</x:v>
      </x:c>
      <x:c r="B31" s="27" t="str">
        <x:v>袖ケ浦海浜公園</x:v>
      </x:c>
      <x:c r="C31" s="27" t="str">
        <x:v>袖ケ浦市・南袖</x:v>
      </x:c>
      <x:c r="D31" s="27" t="str">
        <x:v>工場夜景・海・展望塔</x:v>
      </x:c>
      <x:c r="E31" s="48" t="e">
        <x:f>HYPERLINK("https://www.google.com/maps/dir/?api=1&amp;destination=%E8%A2%96%E3%82%B1%E6%B5%A6%E6%B5%B7%E6%B5%9C%E5%85%AC%E5%9C%92&amp;travelmode=driving","現在地からナビ開始")</x:f>
      </x:c>
      <x:c r="F31" s="27" t="str">
        <x:v>海沿いの展望塔から東京湾と対岸、工業地帯を見渡せる房総側の工場夜景Ending。</x:v>
      </x:c>
      <x:c r="G31" s="27" t="str">
        <x:v>あり・無料</x:v>
      </x:c>
      <x:c r="H31" s="27" t="str">
        <x:v>駐車場利用時間は当日公式・現地掲示で確認</x:v>
      </x:c>
      <x:c r="I31" s="27" t="n">
        <x:v>4</x:v>
      </x:c>
      <x:c r="J31" s="27" t="n">
        <x:v>5</x:v>
      </x:c>
      <x:c r="K31" s="27" t="str">
        <x:v>公式ページで恒常的な駐車時間が明瞭でない。強風時と夜間の展望塔に注意。</x:v>
      </x:c>
      <x:c r="L31" s="28" t="n">
        <x:v>46232</x:v>
      </x:c>
      <x:c r="M31" s="27" t="str">
        <x:v>当日再確認</x:v>
      </x:c>
      <x:c r="N31" s="27" t="str">
        <x:v>https://www.city.sodegaura.lg.jp/soshiki/toshi/kaihinkouen.html</x:v>
      </x:c>
      <x:c r="O31" s="27" t="str">
        <x:v>袖ケ浦の海岸部は京葉工業地域の一角で、石油・化学・エネルギー施設が東京湾岸に連続する。</x:v>
      </x:c>
      <x:c r="P31" s="84" t="e">
        <x:f>HYPERLINK("https://ja.wikipedia.org/wiki/Special:Search?search=%E8%A2%96%E3%82%B1%E6%B5%A6%E6%B5%B7%E6%B5%9C%E5%85%AC%E5%9C%92","Wikipedia・関連項目")</x:f>
      </x:c>
      <x:c r="Q31" s="27"/>
      <x:c r="R31" s="27" t="str">
        <x:v>35km超</x:v>
      </x:c>
      <x:c r="S31" s="27" t="str">
        <x:v>概ね35km超</x:v>
      </x:c>
      <x:c r="T31" s="27" t="str">
        <x:v>通常90分超</x:v>
      </x:c>
      <x:c r="U31" s="27" t="str">
        <x:v>工場夜景</x:v>
      </x:c>
      <x:c r="V31" s="27" t="str">
        <x:v>30〜60分</x:v>
      </x:c>
      <x:c r="W31" s="27" t="n">
        <x:v>1</x:v>
      </x:c>
      <x:c r="X31" s="27" t="n">
        <x:v>4</x:v>
      </x:c>
      <x:c r="Y31" s="27" t="str">
        <x:v>川崎マリエン</x:v>
      </x:c>
      <x:c r="Z31" s="27" t="str">
        <x:v>東扇島東公園／ちどり公園</x:v>
      </x:c>
      <x:c r="AA31" s="22" t="str">
        <x:v>なし</x:v>
      </x:c>
      <x:c r="AB31" s="22" t="str">
        <x:v>-</x:v>
      </x:c>
      <x:c r="AC31" s="22" t="str"/>
      <x:c r="AD31" s="22" t="str">
        <x:v>専用・路外駐車を基本</x:v>
      </x:c>
      <x:c r="AE31" s="22" t="str"/>
    </x:row>
    <x:row r="32">
      <x:c r="A32" s="27" t="str">
        <x:v>D053</x:v>
      </x:c>
      <x:c r="B32" s="27" t="str">
        <x:v>袖ケ浦公園</x:v>
      </x:c>
      <x:c r="C32" s="27" t="str">
        <x:v>袖ケ浦市・飯富</x:v>
      </x:c>
      <x:c r="D32" s="27" t="str">
        <x:v>池・高台・静かな公園</x:v>
      </x:c>
      <x:c r="E32" s="48" t="e">
        <x:f>HYPERLINK("https://www.google.com/maps/dir/?api=1&amp;destination=%E8%A2%96%E3%82%B1%E6%B5%A6%E5%85%AC%E5%9C%92&amp;travelmode=driving","現在地からナビ開始")</x:f>
      </x:c>
      <x:c r="F32" s="27" t="str">
        <x:v>池と高台、花木があり、アクアライン後の興奮を静かに落とす内陸Endingになる。</x:v>
      </x:c>
      <x:c r="G32" s="27" t="str">
        <x:v>あり・無料</x:v>
      </x:c>
      <x:c r="H32" s="27" t="str">
        <x:v>第1・第2駐車場 24時間</x:v>
      </x:c>
      <x:c r="I32" s="27" t="n">
        <x:v>4</x:v>
      </x:c>
      <x:c r="J32" s="27" t="n">
        <x:v>4</x:v>
      </x:c>
      <x:c r="K32" s="27" t="str">
        <x:v>夜は暗い区域を避ける。駐車場ではアイドリング・騒音禁止。</x:v>
      </x:c>
      <x:c r="L32" s="28" t="n">
        <x:v>46232</x:v>
      </x:c>
      <x:c r="M32" s="27" t="str">
        <x:v>一次確認済</x:v>
      </x:c>
      <x:c r="N32" s="27" t="str">
        <x:v>https://www.park-sodegaura.or.jp/faq_category/faq_category4/</x:v>
      </x:c>
      <x:c r="O32" s="27" t="str">
        <x:v>袖ケ浦公園周辺には郷土博物館や復元住居があり、縄文時代からの地域史に触れられる。</x:v>
      </x:c>
      <x:c r="P32" s="84" t="e">
        <x:f>HYPERLINK("https://ja.wikipedia.org/wiki/Special:Search?search=%E8%A2%96%E3%82%B1%E6%B5%A6%E5%85%AC%E5%9C%92","Wikipedia・関連項目")</x:f>
      </x:c>
      <x:c r="Q32" s="27"/>
      <x:c r="R32" s="27" t="str">
        <x:v>35km超</x:v>
      </x:c>
      <x:c r="S32" s="27" t="str">
        <x:v>概ね35km超</x:v>
      </x:c>
      <x:c r="T32" s="27" t="str">
        <x:v>通常90分超</x:v>
      </x:c>
      <x:c r="U32" s="27" t="str">
        <x:v>水辺</x:v>
      </x:c>
      <x:c r="V32" s="27" t="str">
        <x:v>30〜90分</x:v>
      </x:c>
      <x:c r="W32" s="27" t="n">
        <x:v>1</x:v>
      </x:c>
      <x:c r="X32" s="27" t="n">
        <x:v>1</x:v>
      </x:c>
      <x:c r="Y32" s="27" t="str">
        <x:v>多摩川浅間神社</x:v>
      </x:c>
      <x:c r="Z32" s="27" t="str">
        <x:v>多摩川六郷橋緑地／多摩川ガス橋緑地</x:v>
      </x:c>
      <x:c r="AA32" s="22" t="str">
        <x:v>なし</x:v>
      </x:c>
      <x:c r="AB32" s="22" t="str">
        <x:v>-</x:v>
      </x:c>
      <x:c r="AC32" s="22" t="str"/>
      <x:c r="AD32" s="22" t="str">
        <x:v>専用・路外駐車を基本</x:v>
      </x:c>
      <x:c r="AE32" s="22" t="str"/>
    </x:row>
    <x:row r="33">
      <x:c r="A33" s="27" t="str">
        <x:v>D054</x:v>
      </x:c>
      <x:c r="B33" s="27" t="str">
        <x:v>津久井湖城山公園 水の苑地</x:v>
      </x:c>
      <x:c r="C33" s="27" t="str">
        <x:v>相模原市・緑区</x:v>
      </x:c>
      <x:c r="D33" s="27" t="str">
        <x:v>湖・ダム・高台</x:v>
      </x:c>
      <x:c r="E33" s="48" t="e">
        <x:f>HYPERLINK("https://www.google.com/maps/dir/?api=1&amp;destination=%E6%B4%A5%E4%B9%85%E4%BA%95%E6%B9%96%E5%9F%8E%E5%B1%B1%E5%85%AC%E5%9C%92%20%E6%B0%B4%E3%81%AE%E8%8B%91%E5%9C%B0&amp;travelmode=driving","現在地からナビ開始")</x:f>
      </x:c>
      <x:c r="F33" s="27" t="str">
        <x:v>湖面と山並み、ダム湖沿いの道が一体になり、西側の水辺Endingとして完成度が高い。</x:v>
      </x:c>
      <x:c r="G33" s="27" t="str">
        <x:v>あり・無料</x:v>
      </x:c>
      <x:c r="H33" s="27" t="str">
        <x:v>駐車場 8:00～19:00</x:v>
      </x:c>
      <x:c r="I33" s="27" t="n">
        <x:v>2</x:v>
      </x:c>
      <x:c r="J33" s="27" t="n">
        <x:v>4</x:v>
      </x:c>
      <x:c r="K33" s="27" t="str">
        <x:v>19時閉門。夕方到着では滞在時間を短く見積もる。</x:v>
      </x:c>
      <x:c r="L33" s="28" t="n">
        <x:v>46232</x:v>
      </x:c>
      <x:c r="M33" s="27" t="str">
        <x:v>一次確認済</x:v>
      </x:c>
      <x:c r="N33" s="27" t="str">
        <x:v>https://www.kanagawa-park.or.jp/tsukuikoshiroyama/access.html</x:v>
      </x:c>
      <x:c r="O33" s="27" t="str">
        <x:v>津久井湖は城山ダムの建設で生まれた人造湖で、1965年の完成後、横浜・川崎方面の水源も担ってきた。</x:v>
      </x:c>
      <x:c r="P33" s="84" t="e">
        <x:f>HYPERLINK("https://ja.wikipedia.org/wiki/Special:Search?search=%E6%B4%A5%E4%B9%85%E4%BA%95%E6%B9%96%E5%9F%8E%E5%B1%B1%E5%85%AC%E5%9C%92%20%E6%B0%B4%E3%81%AE%E8%8B%91%E5%9C%B0","Wikipedia・関連項目")</x:f>
      </x:c>
      <x:c r="Q33" s="27"/>
      <x:c r="R33" s="27" t="str">
        <x:v>35km超</x:v>
      </x:c>
      <x:c r="S33" s="27" t="str">
        <x:v>概ね35km超</x:v>
      </x:c>
      <x:c r="T33" s="27" t="str">
        <x:v>通常90分超</x:v>
      </x:c>
      <x:c r="U33" s="27" t="str">
        <x:v>水辺</x:v>
      </x:c>
      <x:c r="V33" s="27" t="str">
        <x:v>30〜60分</x:v>
      </x:c>
      <x:c r="W33" s="27" t="n">
        <x:v>1</x:v>
      </x:c>
      <x:c r="X33" s="27" t="n">
        <x:v>1</x:v>
      </x:c>
      <x:c r="Y33" s="27" t="str">
        <x:v>多摩川浅間神社</x:v>
      </x:c>
      <x:c r="Z33" s="27" t="str">
        <x:v>多摩川六郷橋緑地／多摩川ガス橋緑地</x:v>
      </x:c>
      <x:c r="AA33" s="22" t="str">
        <x:v>なし</x:v>
      </x:c>
      <x:c r="AB33" s="22" t="str">
        <x:v>-</x:v>
      </x:c>
      <x:c r="AC33" s="22" t="str"/>
      <x:c r="AD33" s="22" t="str">
        <x:v>専用・路外駐車を基本</x:v>
      </x:c>
      <x:c r="AE33" s="22" t="str"/>
    </x:row>
    <x:row r="34">
      <x:c r="A34" s="27" t="str">
        <x:v>D055</x:v>
      </x:c>
      <x:c r="B34" s="27" t="str">
        <x:v>七沢森林公園</x:v>
      </x:c>
      <x:c r="C34" s="27" t="str">
        <x:v>厚木市・七沢</x:v>
      </x:c>
      <x:c r="D34" s="27" t="str">
        <x:v>森林・丘陵・橋</x:v>
      </x:c>
      <x:c r="E34" s="48" t="e">
        <x:f>HYPERLINK("https://www.google.com/maps/dir/?api=1&amp;destination=%E4%B8%83%E6%B2%A2%E6%A3%AE%E6%9E%97%E5%85%AC%E5%9C%92&amp;travelmode=driving","現在地からナビ開始")</x:f>
      </x:c>
      <x:c r="F34" s="27" t="str">
        <x:v>都市圏から近いのに深い森と起伏があり、昼のリカバリー系Endingに向く。</x:v>
      </x:c>
      <x:c r="G34" s="27" t="str">
        <x:v>あり・複数</x:v>
      </x:c>
      <x:c r="H34" s="27" t="str">
        <x:v>3～11月 8:30～18:00／12～2月 8:30～17:00</x:v>
      </x:c>
      <x:c r="I34" s="27" t="n">
        <x:v>1</x:v>
      </x:c>
      <x:c r="J34" s="27" t="n">
        <x:v>4</x:v>
      </x:c>
      <x:c r="K34" s="27" t="str">
        <x:v>季節により有料。閉場後は出庫不可。夜間向けではない。</x:v>
      </x:c>
      <x:c r="L34" s="28" t="n">
        <x:v>46232</x:v>
      </x:c>
      <x:c r="M34" s="27" t="str">
        <x:v>一次確認済</x:v>
      </x:c>
      <x:c r="N34" s="27" t="str">
        <x:v>https://www.kanagawa-park.or.jp/nanasawa/access.html</x:v>
      </x:c>
      <x:c r="O34" s="27" t="str">
        <x:v>七沢森林公園の『森のかけはし』は谷を跨ぐ長大なアーチ橋で、公園の象徴になっている。</x:v>
      </x:c>
      <x:c r="P34" s="84" t="e">
        <x:f>HYPERLINK("https://ja.wikipedia.org/wiki/Special:Search?search=%E4%B8%83%E6%B2%A2%E6%A3%AE%E6%9E%97%E5%85%AC%E5%9C%92","Wikipedia・関連項目")</x:f>
      </x:c>
      <x:c r="Q34" s="27"/>
      <x:c r="R34" s="27" t="str">
        <x:v>35km超</x:v>
      </x:c>
      <x:c r="S34" s="27" t="str">
        <x:v>概ね35km超</x:v>
      </x:c>
      <x:c r="T34" s="27" t="str">
        <x:v>通常90分超</x:v>
      </x:c>
      <x:c r="U34" s="27" t="str">
        <x:v>休日半日</x:v>
      </x:c>
      <x:c r="V34" s="27" t="str">
        <x:v>30〜90分</x:v>
      </x:c>
      <x:c r="W34" s="27" t="n">
        <x:v>1</x:v>
      </x:c>
      <x:c r="X34" s="27" t="n">
        <x:v>1</x:v>
      </x:c>
      <x:c r="Y34" s="27" t="str">
        <x:v>平和の森公園</x:v>
      </x:c>
      <x:c r="Z34" s="27" t="str">
        <x:v>大森ふるさとの浜辺公園／森ケ崎公園</x:v>
      </x:c>
      <x:c r="AA34" s="22" t="str">
        <x:v>なし</x:v>
      </x:c>
      <x:c r="AB34" s="22" t="str">
        <x:v>-</x:v>
      </x:c>
      <x:c r="AC34" s="22" t="str"/>
      <x:c r="AD34" s="22" t="str">
        <x:v>専用・路外駐車を基本</x:v>
      </x:c>
      <x:c r="AE34" s="22" t="str"/>
    </x:row>
    <x:row r="35">
      <x:c r="A35" s="27" t="str">
        <x:v>D056</x:v>
      </x:c>
      <x:c r="B35" s="27" t="str">
        <x:v>宮ヶ瀬湖畔園地</x:v>
      </x:c>
      <x:c r="C35" s="27" t="str">
        <x:v>清川村・宮ヶ瀬</x:v>
      </x:c>
      <x:c r="D35" s="27" t="str">
        <x:v>湖・吊り橋・山</x:v>
      </x:c>
      <x:c r="E35" s="48" t="e">
        <x:f>HYPERLINK("https://www.google.com/maps/dir/?api=1&amp;destination=%E5%AE%AE%E3%83%B6%E7%80%AC%E6%B9%96%E7%95%94%E5%9C%92%E5%9C%B0&amp;travelmode=driving","現在地からナビ開始")</x:f>
      </x:c>
      <x:c r="F35" s="27" t="str">
        <x:v>湖、山、吊り橋が揃い、近郊ながら明確な旅行感を得られる。</x:v>
      </x:c>
      <x:c r="G35" s="27" t="str">
        <x:v>あり・普通車334台</x:v>
      </x:c>
      <x:c r="H35" s="27" t="str">
        <x:v>施設・駐車場は概ね 9:00～17:00</x:v>
      </x:c>
      <x:c r="I35" s="27" t="n">
        <x:v>2</x:v>
      </x:c>
      <x:c r="J35" s="27" t="n">
        <x:v>2</x:v>
      </x:c>
      <x:c r="K35" s="27" t="str">
        <x:v>休日・繁忙期は有料。17時前に余裕を持って退出。</x:v>
      </x:c>
      <x:c r="L35" s="28" t="n">
        <x:v>46232</x:v>
      </x:c>
      <x:c r="M35" s="27" t="str">
        <x:v>一次確認済</x:v>
      </x:c>
      <x:c r="N35" s="27" t="str">
        <x:v>https://www.kanagawa-kankou.or.jp/kanagawayokohamadc/spot/7387</x:v>
      </x:c>
      <x:c r="O35" s="27" t="str">
        <x:v>宮ヶ瀬湖は宮ヶ瀬ダムの建設で誕生した人造湖で、首都圏の水道・洪水調節・発電を担う。</x:v>
      </x:c>
      <x:c r="P35" s="84" t="e">
        <x:f>HYPERLINK("https://ja.wikipedia.org/wiki/Special:Search?search=%E5%AE%AE%E3%83%B6%E7%80%AC%E6%B9%96%E7%95%94%E5%9C%92%E5%9C%B0","Wikipedia・関連項目")</x:f>
      </x:c>
      <x:c r="Q35" s="27"/>
      <x:c r="R35" s="27" t="str">
        <x:v>35km超</x:v>
      </x:c>
      <x:c r="S35" s="27" t="str">
        <x:v>概ね35km超</x:v>
      </x:c>
      <x:c r="T35" s="27" t="str">
        <x:v>通常90分超</x:v>
      </x:c>
      <x:c r="U35" s="27" t="str">
        <x:v>水辺</x:v>
      </x:c>
      <x:c r="V35" s="27" t="str">
        <x:v>30〜60分</x:v>
      </x:c>
      <x:c r="W35" s="27" t="n">
        <x:v>2</x:v>
      </x:c>
      <x:c r="X35" s="27" t="n">
        <x:v>1</x:v>
      </x:c>
      <x:c r="Y35" s="27" t="str">
        <x:v>多摩川浅間神社</x:v>
      </x:c>
      <x:c r="Z35" s="27" t="str">
        <x:v>多摩川六郷橋緑地／多摩川ガス橋緑地</x:v>
      </x:c>
      <x:c r="AA35" s="22" t="str">
        <x:v>なし</x:v>
      </x:c>
      <x:c r="AB35" s="22" t="str">
        <x:v>-</x:v>
      </x:c>
      <x:c r="AC35" s="22" t="str"/>
      <x:c r="AD35" s="22" t="str">
        <x:v>専用・路外駐車を基本</x:v>
      </x:c>
      <x:c r="AE35" s="22" t="str"/>
    </x:row>
    <x:row r="36">
      <x:c r="A36" s="27" t="str">
        <x:v>D057</x:v>
      </x:c>
      <x:c r="B36" s="27" t="str">
        <x:v>鳥居原園地</x:v>
      </x:c>
      <x:c r="C36" s="27" t="str">
        <x:v>相模原市・鳥屋</x:v>
      </x:c>
      <x:c r="D36" s="27" t="str">
        <x:v>湖・高台・ワインディング</x:v>
      </x:c>
      <x:c r="E36" s="48" t="e">
        <x:f>HYPERLINK("https://www.google.com/maps/dir/?api=1&amp;destination=%E9%B3%A5%E5%B1%85%E5%8E%9F%E5%9C%92%E5%9C%B0&amp;travelmode=driving","現在地からナビ開始")</x:f>
      </x:c>
      <x:c r="F36" s="27" t="str">
        <x:v>宮ヶ瀬湖と虹の大橋を高台から望み、山道ドライブの最終地点として強い。</x:v>
      </x:c>
      <x:c r="G36" s="27" t="str">
        <x:v>あり・無料</x:v>
      </x:c>
      <x:c r="H36" s="27" t="str">
        <x:v>駐車場 9:00～17:00</x:v>
      </x:c>
      <x:c r="I36" s="27" t="n">
        <x:v>2</x:v>
      </x:c>
      <x:c r="J36" s="27" t="n">
        <x:v>3</x:v>
      </x:c>
      <x:c r="K36" s="27" t="str">
        <x:v>17時閉鎖。二輪・車の集まりで混雑することがあり、騒音に注意。</x:v>
      </x:c>
      <x:c r="L36" s="28" t="n">
        <x:v>46232</x:v>
      </x:c>
      <x:c r="M36" s="27" t="str">
        <x:v>一次確認済</x:v>
      </x:c>
      <x:c r="N36" s="27" t="str">
        <x:v>https://www.kanagawa-kankou.or.jp/kanagawayokohamadc/spot/6337</x:v>
      </x:c>
      <x:c r="O36" s="27" t="str">
        <x:v>鳥居原園地から見える虹の大橋は宮ヶ瀬湖の代表的景観で、湖誕生後に新たに造られた道路橋である。</x:v>
      </x:c>
      <x:c r="P36" s="84" t="e">
        <x:f>HYPERLINK("https://ja.wikipedia.org/wiki/Special:Search?search=%E9%B3%A5%E5%B1%85%E5%8E%9F%E5%9C%92%E5%9C%B0","Wikipedia・関連項目")</x:f>
      </x:c>
      <x:c r="Q36" s="27"/>
      <x:c r="R36" s="27" t="str">
        <x:v>35km超</x:v>
      </x:c>
      <x:c r="S36" s="27" t="str">
        <x:v>概ね35km超</x:v>
      </x:c>
      <x:c r="T36" s="27" t="str">
        <x:v>通常90分超</x:v>
      </x:c>
      <x:c r="U36" s="27" t="str">
        <x:v>水辺</x:v>
      </x:c>
      <x:c r="V36" s="27" t="str">
        <x:v>30〜60分</x:v>
      </x:c>
      <x:c r="W36" s="27" t="n">
        <x:v>1</x:v>
      </x:c>
      <x:c r="X36" s="27" t="n">
        <x:v>1</x:v>
      </x:c>
      <x:c r="Y36" s="27" t="str">
        <x:v>多摩川浅間神社</x:v>
      </x:c>
      <x:c r="Z36" s="27" t="str">
        <x:v>多摩川六郷橋緑地／多摩川ガス橋緑地</x:v>
      </x:c>
      <x:c r="AA36" s="22" t="str">
        <x:v>なし</x:v>
      </x:c>
      <x:c r="AB36" s="22" t="str">
        <x:v>-</x:v>
      </x:c>
      <x:c r="AC36" s="22" t="str"/>
      <x:c r="AD36" s="22" t="str">
        <x:v>専用・路外駐車を基本</x:v>
      </x:c>
      <x:c r="AE36" s="22" t="str"/>
    </x:row>
    <x:row r="37">
      <x:c r="A37" s="27" t="str">
        <x:v>D060</x:v>
      </x:c>
      <x:c r="B37" s="27" t="str">
        <x:v>幕張海浜公園 Cブロック</x:v>
      </x:c>
      <x:c r="C37" s="27" t="str">
        <x:v>千葉市・美浜区</x:v>
      </x:c>
      <x:c r="D37" s="27" t="str">
        <x:v>都市海岸・日本庭園・夜間公園</x:v>
      </x:c>
      <x:c r="E37" s="48" t="e">
        <x:f>HYPERLINK("https://www.google.com/maps/dir/?api=1&amp;destination=%E5%B9%95%E5%BC%B5%E6%B5%B7%E6%B5%9C%E5%85%AC%E5%9C%92%20C%E3%83%96%E3%83%AD%E3%83%83%E3%82%AF&amp;travelmode=driving","現在地からナビ開始")</x:f>
      </x:c>
      <x:c r="F37" s="27" t="str">
        <x:v>幕張の都市景観と広い公園を組み合わせ、千葉湾岸の夜間中継・Endingに使える。</x:v>
      </x:c>
      <x:c r="G37" s="27" t="str">
        <x:v>あり・46台・有料</x:v>
      </x:c>
      <x:c r="H37" s="27" t="str">
        <x:v>Cブロック駐車場 24時間</x:v>
      </x:c>
      <x:c r="I37" s="27" t="n">
        <x:v>4</x:v>
      </x:c>
      <x:c r="J37" s="27" t="n">
        <x:v>3</x:v>
      </x:c>
      <x:c r="K37" s="27" t="str">
        <x:v>大規模イベント・花火・野球開催日は規制と混雑を確認。</x:v>
      </x:c>
      <x:c r="L37" s="28" t="n">
        <x:v>46232</x:v>
      </x:c>
      <x:c r="M37" s="27" t="str">
        <x:v>一次確認済</x:v>
      </x:c>
      <x:c r="N37" s="27" t="str">
        <x:v>https://www.seibu-la.co.jp/makuhari/news/202506111502328159.html</x:v>
      </x:c>
      <x:c r="O37" s="27" t="str">
        <x:v>幕張海浜公園は幕張新都心の都市計画と一体で整備され、日本庭園『見浜園』は山・川・海を凝縮して表現する。</x:v>
      </x:c>
      <x:c r="P37" s="84" t="e">
        <x:f>HYPERLINK("https://ja.wikipedia.org/wiki/Special:Search?search=%E5%B9%95%E5%BC%B5%E6%B5%B7%E6%B5%9C%E5%85%AC%E5%9C%92%20C%E3%83%96%E3%83%AD%E3%83%83%E3%82%AF","Wikipedia・関連項目")</x:f>
      </x:c>
      <x:c r="Q37" s="27"/>
      <x:c r="R37" s="27" t="str">
        <x:v>35km超</x:v>
      </x:c>
      <x:c r="S37" s="27" t="str">
        <x:v>概ね35km超</x:v>
      </x:c>
      <x:c r="T37" s="27" t="str">
        <x:v>通常90分超</x:v>
      </x:c>
      <x:c r="U37" s="27" t="str">
        <x:v>海・港</x:v>
      </x:c>
      <x:c r="V37" s="27" t="str">
        <x:v>30〜90分</x:v>
      </x:c>
      <x:c r="W37" s="27" t="n">
        <x:v>1</x:v>
      </x:c>
      <x:c r="X37" s="27" t="n">
        <x:v>3</x:v>
      </x:c>
      <x:c r="Y37" s="27" t="str">
        <x:v>城南島海浜公園</x:v>
      </x:c>
      <x:c r="Z37" s="27" t="str">
        <x:v>潮風公園／晴海ふ頭公園</x:v>
      </x:c>
      <x:c r="AA37" s="22" t="str">
        <x:v>なし</x:v>
      </x:c>
      <x:c r="AB37" s="22" t="str">
        <x:v>-</x:v>
      </x:c>
      <x:c r="AC37" s="22" t="str"/>
      <x:c r="AD37" s="22" t="str">
        <x:v>専用・路外駐車を基本</x:v>
      </x:c>
      <x:c r="AE37" s="22" t="str"/>
    </x:row>
    <x:row r="38">
      <x:c r="A38" s="27" t="str">
        <x:v>D061</x:v>
      </x:c>
      <x:c r="B38" s="27" t="str">
        <x:v>大黒PA</x:v>
      </x:c>
      <x:c r="C38" s="27" t="str">
        <x:v>横浜市・大黒ふ頭</x:v>
      </x:c>
      <x:c r="D38" s="27" t="str">
        <x:v>PA・湾岸・車文化</x:v>
      </x:c>
      <x:c r="E38" s="48" t="e">
        <x:f>HYPERLINK("https://www.google.com/maps/dir/?api=1&amp;destination=%E5%A4%A7%E9%BB%92PA&amp;travelmode=driving","現在地からナビ開始")</x:f>
      </x:c>
      <x:c r="F38" s="27" t="str">
        <x:v>湾岸線とベイブリッジの走行後に到達し、車で来た実感そのものが最終体験になる。</x:v>
      </x:c>
      <x:c r="G38" s="27" t="str">
        <x:v>あり・普通車335台</x:v>
      </x:c>
      <x:c r="H38" s="27" t="str">
        <x:v>原則24時間、工事・混雑対策で臨時閉鎖あり</x:v>
      </x:c>
      <x:c r="I38" s="27" t="n">
        <x:v>5</x:v>
      </x:c>
      <x:c r="J38" s="27" t="n">
        <x:v>2</x:v>
      </x:c>
      <x:c r="K38" s="27" t="str">
        <x:v>閉鎖情報を出発直前に確認。集会・空ぶかし・長時間占有は禁止。</x:v>
      </x:c>
      <x:c r="L38" s="28" t="n">
        <x:v>46232</x:v>
      </x:c>
      <x:c r="M38" s="27" t="str">
        <x:v>当日再確認</x:v>
      </x:c>
      <x:c r="N38" s="27" t="str">
        <x:v>https://www.shutoko-sv.jp/pa/daikoku</x:v>
      </x:c>
      <x:c r="O38" s="27" t="str">
        <x:v>大黒PAは大黒ふ頭の巨大なループ状ランプに囲まれ、首都高の立体構造を間近に感じられる。</x:v>
      </x:c>
      <x:c r="P38" s="84" t="e">
        <x:f>HYPERLINK("https://ja.wikipedia.org/wiki/Special:Search?search=%E5%A4%A7%E9%BB%92PA","Wikipedia・関連項目")</x:f>
      </x:c>
      <x:c r="Q38" s="27"/>
      <x:c r="R38" s="27" t="str">
        <x:v>35km超</x:v>
      </x:c>
      <x:c r="S38" s="27" t="str">
        <x:v>概ね35km超</x:v>
      </x:c>
      <x:c r="T38" s="27" t="str">
        <x:v>通常90分超</x:v>
      </x:c>
      <x:c r="U38" s="27" t="str">
        <x:v>平日夜・深夜</x:v>
      </x:c>
      <x:c r="V38" s="27" t="str">
        <x:v>15〜30分</x:v>
      </x:c>
      <x:c r="W38" s="27" t="n">
        <x:v>4</x:v>
      </x:c>
      <x:c r="X38" s="27" t="n">
        <x:v>4</x:v>
      </x:c>
      <x:c r="Y38" s="27" t="str">
        <x:v>羽田空港 第3ターミナル展望デッキ</x:v>
      </x:c>
      <x:c r="Z38" s="27" t="str">
        <x:v>城南島海浜公園／潮風公園</x:v>
      </x:c>
      <x:c r="AA38" s="22" t="str">
        <x:v>なし</x:v>
      </x:c>
      <x:c r="AB38" s="22" t="str">
        <x:v>-</x:v>
      </x:c>
      <x:c r="AC38" s="22" t="str"/>
      <x:c r="AD38" s="22" t="str">
        <x:v>専用・路外駐車を基本</x:v>
      </x:c>
      <x:c r="AE38" s="22" t="str"/>
    </x:row>
    <x:row r="39">
      <x:c r="A39" s="27" t="str">
        <x:v>D066</x:v>
      </x:c>
      <x:c r="B39" s="27" t="str">
        <x:v>太田山公園</x:v>
      </x:c>
      <x:c r="C39" s="27" t="str">
        <x:v>木更津市・太田</x:v>
      </x:c>
      <x:c r="D39" s="27" t="str">
        <x:v>高台・港町・展望塔</x:v>
      </x:c>
      <x:c r="E39" s="48" t="e">
        <x:f>HYPERLINK("https://www.google.com/maps/dir/?api=1&amp;destination=%E5%A4%AA%E7%94%B0%E5%B1%B1%E5%85%AC%E5%9C%92&amp;travelmode=driving","現在地からナビ開始")</x:f>
      </x:c>
      <x:c r="F39" s="27" t="str">
        <x:v>きみさらずタワーから木更津市街と東京湾方向を見渡し、アクアライン後の高台Endingになる。</x:v>
      </x:c>
      <x:c r="G39" s="27" t="str">
        <x:v>あり・68台</x:v>
      </x:c>
      <x:c r="H39" s="27" t="str">
        <x:v>公園 常時開設</x:v>
      </x:c>
      <x:c r="I39" s="27" t="n">
        <x:v>4</x:v>
      </x:c>
      <x:c r="J39" s="27" t="n">
        <x:v>4</x:v>
      </x:c>
      <x:c r="K39" s="27" t="str">
        <x:v>夜は園内照明と展望塔利用状況を現地確認。住宅地に配慮。</x:v>
      </x:c>
      <x:c r="L39" s="28" t="n">
        <x:v>46232</x:v>
      </x:c>
      <x:c r="M39" s="27" t="str">
        <x:v>一次確認済</x:v>
      </x:c>
      <x:c r="N39" s="27" t="str">
        <x:v>https://www.city.kisarazu.lg.jp/soshiki/toshiseibi/shigaichiseibi/1/park/2596.html</x:v>
      </x:c>
      <x:c r="O39" s="27" t="str">
        <x:v>太田山の『きみさらずタワー』は日本武尊と弟橘媛の伝説を表し、木更津の地名伝承にもつながる。</x:v>
      </x:c>
      <x:c r="P39" s="84" t="e">
        <x:f>HYPERLINK("https://ja.wikipedia.org/wiki/Special:Search?search=%E5%A4%AA%E7%94%B0%E5%B1%B1%E5%85%AC%E5%9C%92","Wikipedia・関連項目")</x:f>
      </x:c>
      <x:c r="Q39" s="27"/>
      <x:c r="R39" s="27" t="str">
        <x:v>35km超</x:v>
      </x:c>
      <x:c r="S39" s="27" t="str">
        <x:v>概ね35km超</x:v>
      </x:c>
      <x:c r="T39" s="27" t="str">
        <x:v>通常90分超</x:v>
      </x:c>
      <x:c r="U39" s="27" t="str">
        <x:v>海・港</x:v>
      </x:c>
      <x:c r="V39" s="27" t="str">
        <x:v>30〜60分</x:v>
      </x:c>
      <x:c r="W39" s="27" t="n">
        <x:v>1</x:v>
      </x:c>
      <x:c r="X39" s="27" t="n">
        <x:v>3</x:v>
      </x:c>
      <x:c r="Y39" s="27" t="str">
        <x:v>城南島海浜公園</x:v>
      </x:c>
      <x:c r="Z39" s="27" t="str">
        <x:v>潮風公園／晴海ふ頭公園</x:v>
      </x:c>
      <x:c r="AA39" s="22" t="str">
        <x:v>なし</x:v>
      </x:c>
      <x:c r="AB39" s="22" t="str">
        <x:v>-</x:v>
      </x:c>
      <x:c r="AC39" s="22" t="str"/>
      <x:c r="AD39" s="22" t="str">
        <x:v>専用・路外駐車を基本</x:v>
      </x:c>
      <x:c r="AE39" s="22" t="str"/>
    </x:row>
    <x:row r="40">
      <x:c r="A40" s="27" t="str">
        <x:v>D067</x:v>
      </x:c>
      <x:c r="B40" s="27" t="str">
        <x:v>鳥居崎海浜公園</x:v>
      </x:c>
      <x:c r="C40" s="27" t="str">
        <x:v>木更津市・富士見</x:v>
      </x:c>
      <x:c r="D40" s="27" t="str">
        <x:v>港・海浜・橋</x:v>
      </x:c>
      <x:c r="E40" s="48" t="e">
        <x:f>HYPERLINK("https://www.google.com/maps/dir/?api=1&amp;destination=%E9%B3%A5%E5%B1%85%E5%B4%8E%E6%B5%B7%E6%B5%9C%E5%85%AC%E5%9C%92&amp;travelmode=driving","現在地からナビ開始")</x:f>
      </x:c>
      <x:c r="F40" s="27" t="str">
        <x:v>木更津港と中の島大橋を近くに感じ、港町らしい海辺のEndingを作れる。</x:v>
      </x:c>
      <x:c r="G40" s="27" t="str">
        <x:v>あり・215台</x:v>
      </x:c>
      <x:c r="H40" s="27" t="str">
        <x:v>公園利用時間は現地掲示、駐車場は当日確認</x:v>
      </x:c>
      <x:c r="I40" s="27" t="n">
        <x:v>4</x:v>
      </x:c>
      <x:c r="J40" s="27" t="n">
        <x:v>3</x:v>
      </x:c>
      <x:c r="K40" s="27" t="str">
        <x:v>イベント時は駐車規制あり。岸壁・作業区域へ入らない。</x:v>
      </x:c>
      <x:c r="L40" s="28" t="n">
        <x:v>46232</x:v>
      </x:c>
      <x:c r="M40" s="27" t="str">
        <x:v>当日再確認</x:v>
      </x:c>
      <x:c r="N40" s="27" t="str">
        <x:v>https://www.city.kisarazu.lg.jp/soshiki/toshiseibi/shigaichiseibi/1/park/2599.html</x:v>
      </x:c>
      <x:c r="O40" s="27" t="str">
        <x:v>木更津という地名は、日本武尊が弟橘媛を偲んで『君去らず』と言ったという伝説に結び付けられる。</x:v>
      </x:c>
      <x:c r="P40" s="84" t="e">
        <x:f>HYPERLINK("https://ja.wikipedia.org/wiki/Special:Search?search=%E9%B3%A5%E5%B1%85%E5%B4%8E%E6%B5%B7%E6%B5%9C%E5%85%AC%E5%9C%92","Wikipedia・関連項目")</x:f>
      </x:c>
      <x:c r="Q40" s="27"/>
      <x:c r="R40" s="27" t="str">
        <x:v>35km超</x:v>
      </x:c>
      <x:c r="S40" s="27" t="str">
        <x:v>概ね35km超</x:v>
      </x:c>
      <x:c r="T40" s="27" t="str">
        <x:v>通常90分超</x:v>
      </x:c>
      <x:c r="U40" s="27" t="str">
        <x:v>海・港</x:v>
      </x:c>
      <x:c r="V40" s="27" t="str">
        <x:v>30〜90分</x:v>
      </x:c>
      <x:c r="W40" s="27" t="n">
        <x:v>1</x:v>
      </x:c>
      <x:c r="X40" s="27" t="n">
        <x:v>3</x:v>
      </x:c>
      <x:c r="Y40" s="27" t="str">
        <x:v>城南島海浜公園</x:v>
      </x:c>
      <x:c r="Z40" s="27" t="str">
        <x:v>潮風公園／晴海ふ頭公園</x:v>
      </x:c>
      <x:c r="AA40" s="22" t="str">
        <x:v>なし</x:v>
      </x:c>
      <x:c r="AB40" s="22" t="str">
        <x:v>-</x:v>
      </x:c>
      <x:c r="AC40" s="22" t="str"/>
      <x:c r="AD40" s="22" t="str">
        <x:v>専用・路外駐車を基本</x:v>
      </x:c>
      <x:c r="AE40" s="22" t="str"/>
    </x:row>
    <x:row r="41">
      <x:c r="A41" s="27" t="str">
        <x:v>D068</x:v>
      </x:c>
      <x:c r="B41" s="27" t="str">
        <x:v>中の島公園</x:v>
      </x:c>
      <x:c r="C41" s="27" t="str">
        <x:v>木更津市・中の島</x:v>
      </x:c>
      <x:c r="D41" s="27" t="str">
        <x:v>橋・港・夕景</x:v>
      </x:c>
      <x:c r="E41" s="48" t="e">
        <x:f>HYPERLINK("https://www.google.com/maps/dir/?api=1&amp;destination=%E4%B8%AD%E3%81%AE%E5%B3%B6%E5%85%AC%E5%9C%92&amp;travelmode=driving","現在地からナビ開始")</x:f>
      </x:c>
      <x:c r="F41" s="27" t="str">
        <x:v>中の島大橋を徒歩で渡った先にあり、車を降りて短い冒険を加えられる。</x:v>
      </x:c>
      <x:c r="G41" s="27" t="str">
        <x:v>鳥居崎海浜公園駐車場を利用・約100台案内</x:v>
      </x:c>
      <x:c r="H41" s="27" t="str">
        <x:v>公園 常時利用、駐車場は当日確認</x:v>
      </x:c>
      <x:c r="I41" s="27" t="n">
        <x:v>3</x:v>
      </x:c>
      <x:c r="J41" s="27" t="n">
        <x:v>4</x:v>
      </x:c>
      <x:c r="K41" s="27" t="str">
        <x:v>橋は徒歩移動。転落防止柵を越えない。強風時は避ける。</x:v>
      </x:c>
      <x:c r="L41" s="28" t="n">
        <x:v>46232</x:v>
      </x:c>
      <x:c r="M41" s="27" t="str">
        <x:v>当日再確認</x:v>
      </x:c>
      <x:c r="N41" s="27" t="str">
        <x:v>https://www.city.kisarazu.lg.jp/soshiki/toshiseibi/shigaichiseibi/1/park/2597.html</x:v>
      </x:c>
      <x:c r="O41" s="27" t="str">
        <x:v>中の島大橋は日本有数の高さを持つ歩道橋で、ドラマ『木更津キャッツアイ』の舞台として有名になった。</x:v>
      </x:c>
      <x:c r="P41" s="84" t="e">
        <x:f>HYPERLINK("https://ja.wikipedia.org/wiki/Special:Search?search=%E4%B8%AD%E3%81%AE%E5%B3%B6%E5%85%AC%E5%9C%92","Wikipedia・関連項目")</x:f>
      </x:c>
      <x:c r="Q41" s="27"/>
      <x:c r="R41" s="27" t="str">
        <x:v>35km超</x:v>
      </x:c>
      <x:c r="S41" s="27" t="str">
        <x:v>概ね35km超</x:v>
      </x:c>
      <x:c r="T41" s="27" t="str">
        <x:v>通常90分超</x:v>
      </x:c>
      <x:c r="U41" s="27" t="str">
        <x:v>海・港</x:v>
      </x:c>
      <x:c r="V41" s="27" t="str">
        <x:v>30〜90分</x:v>
      </x:c>
      <x:c r="W41" s="27" t="n">
        <x:v>2</x:v>
      </x:c>
      <x:c r="X41" s="27" t="n">
        <x:v>3</x:v>
      </x:c>
      <x:c r="Y41" s="27" t="str">
        <x:v>城南島海浜公園</x:v>
      </x:c>
      <x:c r="Z41" s="27" t="str">
        <x:v>潮風公園／晴海ふ頭公園</x:v>
      </x:c>
      <x:c r="AA41" s="22" t="str">
        <x:v>なし</x:v>
      </x:c>
      <x:c r="AB41" s="22" t="str">
        <x:v>-</x:v>
      </x:c>
      <x:c r="AC41" s="22" t="str"/>
      <x:c r="AD41" s="22" t="str">
        <x:v>専用・路外駐車を基本</x:v>
      </x:c>
      <x:c r="AE41" s="22" t="str"/>
    </x:row>
    <x:row r="42">
      <x:c r="A42" s="27" t="str">
        <x:v>D069</x:v>
      </x:c>
      <x:c r="B42" s="27" t="str">
        <x:v>小櫃堰公園</x:v>
      </x:c>
      <x:c r="C42" s="27" t="str">
        <x:v>木更津市・祇園</x:v>
      </x:c>
      <x:c r="D42" s="27" t="str">
        <x:v>川・桜並木・静かな公園</x:v>
      </x:c>
      <x:c r="E42" s="48" t="e">
        <x:f>HYPERLINK("https://www.google.com/maps/dir/?api=1&amp;destination=%E5%B0%8F%E6%AB%83%E5%A0%B0%E5%85%AC%E5%9C%92&amp;travelmode=driving","現在地からナビ開始")</x:f>
      </x:c>
      <x:c r="F42" s="27" t="str">
        <x:v>小櫃川沿いの緑と桜並木があり、海側ルートの最後を落ち着かせる内陸Endingになる。</x:v>
      </x:c>
      <x:c r="G42" s="27" t="str">
        <x:v>あり・69台</x:v>
      </x:c>
      <x:c r="H42" s="27" t="str">
        <x:v>公園 常時開設、駐車場は現地掲示優先</x:v>
      </x:c>
      <x:c r="I42" s="27" t="n">
        <x:v>3</x:v>
      </x:c>
      <x:c r="J42" s="27" t="n">
        <x:v>4</x:v>
      </x:c>
      <x:c r="K42" s="27" t="str">
        <x:v>夜間は景観価値が下がる。春・夕方向け。</x:v>
      </x:c>
      <x:c r="L42" s="28" t="n">
        <x:v>46232</x:v>
      </x:c>
      <x:c r="M42" s="27" t="str">
        <x:v>一次確認済</x:v>
      </x:c>
      <x:c r="N42" s="27" t="str">
        <x:v>https://www.city.kisarazu.lg.jp/soshiki/toshiseibi/shigaichiseibi/1/park/3025.html</x:v>
      </x:c>
      <x:c r="O42" s="27" t="str">
        <x:v>小櫃川は房総丘陵から東京湾へ流れる千葉県有数の河川で、流域には水田地帯が広がる。</x:v>
      </x:c>
      <x:c r="P42" s="84" t="e">
        <x:f>HYPERLINK("https://ja.wikipedia.org/wiki/Special:Search?search=%E5%B0%8F%E6%AB%83%E5%A0%B0%E5%85%AC%E5%9C%92","Wikipedia・関連項目")</x:f>
      </x:c>
      <x:c r="Q42" s="27"/>
      <x:c r="R42" s="27" t="str">
        <x:v>35km超</x:v>
      </x:c>
      <x:c r="S42" s="27" t="str">
        <x:v>概ね35km超</x:v>
      </x:c>
      <x:c r="T42" s="27" t="str">
        <x:v>通常90分超</x:v>
      </x:c>
      <x:c r="U42" s="27" t="str">
        <x:v>休日半日</x:v>
      </x:c>
      <x:c r="V42" s="27" t="str">
        <x:v>30〜90分</x:v>
      </x:c>
      <x:c r="W42" s="27" t="n">
        <x:v>1</x:v>
      </x:c>
      <x:c r="X42" s="27" t="n">
        <x:v>1</x:v>
      </x:c>
      <x:c r="Y42" s="27" t="str">
        <x:v>平和の森公園</x:v>
      </x:c>
      <x:c r="Z42" s="27" t="str">
        <x:v>大森ふるさとの浜辺公園／森ケ崎公園</x:v>
      </x:c>
      <x:c r="AA42" s="22" t="str">
        <x:v>なし</x:v>
      </x:c>
      <x:c r="AB42" s="22" t="str">
        <x:v>-</x:v>
      </x:c>
      <x:c r="AC42" s="22" t="str"/>
      <x:c r="AD42" s="22" t="str">
        <x:v>専用・路外駐車を基本</x:v>
      </x:c>
      <x:c r="AE42" s="22" t="str"/>
    </x:row>
    <x:row r="43">
      <x:c r="A43" s="27" t="str">
        <x:v>D070</x:v>
      </x:c>
      <x:c r="B43" s="27" t="str">
        <x:v>鹿野山 九十九谷展望公園</x:v>
      </x:c>
      <x:c r="C43" s="27" t="str">
        <x:v>君津市・鹿野山</x:v>
      </x:c>
      <x:c r="D43" s="27" t="str">
        <x:v>高台・山並み・雲海</x:v>
      </x:c>
      <x:c r="E43" s="48" t="e">
        <x:f>HYPERLINK("https://www.google.com/maps/dir/?api=1&amp;destination=%E9%B9%BF%E9%87%8E%E5%B1%B1%20%E4%B9%9D%E5%8D%81%E4%B9%9D%E8%B0%B7%E5%B1%95%E6%9C%9B%E5%85%AC%E5%9C%92&amp;travelmode=driving","現在地からナビ開始")</x:f>
      </x:c>
      <x:c r="F43" s="27" t="str">
        <x:v>房総丘陵の幾重もの尾根を見渡し、海とは別種の遠景Endingを作れる。</x:v>
      </x:c>
      <x:c r="G43" s="27" t="str">
        <x:v>あり・無料</x:v>
      </x:c>
      <x:c r="H43" s="27" t="str">
        <x:v>常時利用可能の案内あり、現地掲示優先</x:v>
      </x:c>
      <x:c r="I43" s="27" t="n">
        <x:v>3</x:v>
      </x:c>
      <x:c r="J43" s="27" t="n">
        <x:v>5</x:v>
      </x:c>
      <x:c r="K43" s="27" t="str">
        <x:v>濃霧・夜間の山道・野生動物に注意。単独深夜は推奨しない。</x:v>
      </x:c>
      <x:c r="L43" s="28" t="n">
        <x:v>46232</x:v>
      </x:c>
      <x:c r="M43" s="27" t="str">
        <x:v>当日再確認</x:v>
      </x:c>
      <x:c r="N43" s="27" t="str">
        <x:v>https://maruchiba.jp/spot/detail_10352.html</x:v>
      </x:c>
      <x:c r="O43" s="27" t="str">
        <x:v>九十九谷の眺望は日本画家・東山魁夷の代表作『残照』の着想地として知られる。</x:v>
      </x:c>
      <x:c r="P43" s="84" t="e">
        <x:f>HYPERLINK("https://ja.wikipedia.org/wiki/Special:Search?search=%E9%B9%BF%E9%87%8E%E5%B1%B1%20%E4%B9%9D%E5%8D%81%E4%B9%9D%E8%B0%B7%E5%B1%95%E6%9C%9B%E5%85%AC%E5%9C%92","Wikipedia・関連項目")</x:f>
      </x:c>
      <x:c r="Q43" s="27"/>
      <x:c r="R43" s="27" t="str">
        <x:v>35km超</x:v>
      </x:c>
      <x:c r="S43" s="27" t="str">
        <x:v>概ね35km超</x:v>
      </x:c>
      <x:c r="T43" s="27" t="str">
        <x:v>通常90分超</x:v>
      </x:c>
      <x:c r="U43" s="27" t="str">
        <x:v>海・港</x:v>
      </x:c>
      <x:c r="V43" s="27" t="str">
        <x:v>30〜60分</x:v>
      </x:c>
      <x:c r="W43" s="27" t="n">
        <x:v>1</x:v>
      </x:c>
      <x:c r="X43" s="27" t="n">
        <x:v>3</x:v>
      </x:c>
      <x:c r="Y43" s="27" t="str">
        <x:v>城南島海浜公園</x:v>
      </x:c>
      <x:c r="Z43" s="27" t="str">
        <x:v>潮風公園／晴海ふ頭公園</x:v>
      </x:c>
      <x:c r="AA43" s="22" t="str">
        <x:v>なし</x:v>
      </x:c>
      <x:c r="AB43" s="22" t="str">
        <x:v>-</x:v>
      </x:c>
      <x:c r="AC43" s="22" t="str"/>
      <x:c r="AD43" s="22" t="str">
        <x:v>専用・路外駐車を基本</x:v>
      </x:c>
      <x:c r="AE43" s="22" t="str"/>
    </x:row>
    <x:row r="44">
      <x:c r="A44" s="27" t="str">
        <x:v>D071</x:v>
      </x:c>
      <x:c r="B44" s="27" t="str">
        <x:v>亀山湖・亀山ダム周辺</x:v>
      </x:c>
      <x:c r="C44" s="27" t="str">
        <x:v>君津市・川俣</x:v>
      </x:c>
      <x:c r="D44" s="27" t="str">
        <x:v>湖・ダム・橋</x:v>
      </x:c>
      <x:c r="E44" s="48" t="e">
        <x:f>HYPERLINK("https://www.google.com/maps/dir/?api=1&amp;destination=%E4%BA%80%E5%B1%B1%E6%B9%96%E3%83%BB%E4%BA%80%E5%B1%B1%E3%83%80%E3%83%A0%E5%91%A8%E8%BE%BA&amp;travelmode=driving","現在地からナビ開始")</x:f>
      </x:c>
      <x:c r="F44" s="27" t="str">
        <x:v>湖面、橋、房総の山道が一体になり、内陸ロングドライブの終着感が強い。</x:v>
      </x:c>
      <x:c r="G44" s="27" t="str">
        <x:v>観光用駐車場あり・地点ごとに異なる</x:v>
      </x:c>
      <x:c r="H44" s="27" t="str">
        <x:v>施設・駐車場は地点ごとに異なる</x:v>
      </x:c>
      <x:c r="I44" s="27" t="n">
        <x:v>2</x:v>
      </x:c>
      <x:c r="J44" s="27" t="n">
        <x:v>4</x:v>
      </x:c>
      <x:c r="K44" s="27" t="str">
        <x:v>一括した24時間駐車場ではない。利用地点と閉鎖時刻を当日確認。</x:v>
      </x:c>
      <x:c r="L44" s="28" t="n">
        <x:v>46232</x:v>
      </x:c>
      <x:c r="M44" s="27" t="str">
        <x:v>当日再確認</x:v>
      </x:c>
      <x:c r="N44" s="27" t="str">
        <x:v>https://maruchiba.jp/spot/detail_10378.html</x:v>
      </x:c>
      <x:c r="O44" s="27" t="str">
        <x:v>亀山ダムは千葉県初の多目的ダムで、完成によって県内最大級の人造湖が生まれた。</x:v>
      </x:c>
      <x:c r="P44" s="84" t="e">
        <x:f>HYPERLINK("https://ja.wikipedia.org/wiki/Special:Search?search=%E4%BA%80%E5%B1%B1%E6%B9%96%E3%83%BB%E4%BA%80%E5%B1%B1%E3%83%80%E3%83%A0%E5%91%A8%E8%BE%BA","Wikipedia・関連項目")</x:f>
      </x:c>
      <x:c r="Q44" s="27"/>
      <x:c r="R44" s="27" t="str">
        <x:v>35km超</x:v>
      </x:c>
      <x:c r="S44" s="27" t="str">
        <x:v>概ね35km超</x:v>
      </x:c>
      <x:c r="T44" s="27" t="str">
        <x:v>通常90分超</x:v>
      </x:c>
      <x:c r="U44" s="27" t="str">
        <x:v>水辺</x:v>
      </x:c>
      <x:c r="V44" s="27" t="str">
        <x:v>30〜60分</x:v>
      </x:c>
      <x:c r="W44" s="27" t="n">
        <x:v>2</x:v>
      </x:c>
      <x:c r="X44" s="27" t="n">
        <x:v>1</x:v>
      </x:c>
      <x:c r="Y44" s="27" t="str">
        <x:v>多摩川浅間神社</x:v>
      </x:c>
      <x:c r="Z44" s="27" t="str">
        <x:v>多摩川六郷橋緑地／多摩川ガス橋緑地</x:v>
      </x:c>
      <x:c r="AA44" s="22" t="str">
        <x:v>なし</x:v>
      </x:c>
      <x:c r="AB44" s="22" t="str">
        <x:v>-</x:v>
      </x:c>
      <x:c r="AC44" s="22" t="str"/>
      <x:c r="AD44" s="22" t="str">
        <x:v>専用・路外駐車を基本</x:v>
      </x:c>
      <x:c r="AE44" s="22" t="str"/>
    </x:row>
    <x:row r="45">
      <x:c r="A45" s="27" t="str">
        <x:v>D072</x:v>
      </x:c>
      <x:c r="B45" s="27" t="str">
        <x:v>濃溝の滝・亀岩の洞窟</x:v>
      </x:c>
      <x:c r="C45" s="27" t="str">
        <x:v>君津市・笹</x:v>
      </x:c>
      <x:c r="D45" s="27" t="str">
        <x:v>渓谷・洞窟・森林</x:v>
      </x:c>
      <x:c r="E45" s="48" t="e">
        <x:f>HYPERLINK("https://www.google.com/maps/dir/?api=1&amp;destination=%E6%BF%83%E6%BA%9D%E3%81%AE%E6%BB%9D%E3%83%BB%E4%BA%80%E5%B2%A9%E3%81%AE%E6%B4%9E%E7%AA%9F&amp;travelmode=driving","現在地からナビ開始")</x:f>
      </x:c>
      <x:c r="F45" s="27" t="str">
        <x:v>短い散策で洞窟と渓流へ到達し、房総内陸の非日常Endingになる。</x:v>
      </x:c>
      <x:c r="G45" s="27" t="str">
        <x:v>あり・無料駐車場</x:v>
      </x:c>
      <x:c r="H45" s="27" t="str">
        <x:v>遊歩道は日中利用推奨</x:v>
      </x:c>
      <x:c r="I45" s="27" t="n">
        <x:v>1</x:v>
      </x:c>
      <x:c r="J45" s="27" t="n">
        <x:v>3</x:v>
      </x:c>
      <x:c r="K45" s="27" t="str">
        <x:v>夜間不可。雨後の滑りやすい遊歩道と混雑に注意。</x:v>
      </x:c>
      <x:c r="L45" s="28" t="n">
        <x:v>46232</x:v>
      </x:c>
      <x:c r="M45" s="27" t="str">
        <x:v>一次確認済</x:v>
      </x:c>
      <x:c r="N45" s="27" t="str">
        <x:v>https://maruchiba.jp/spot/detail_10394.html</x:v>
      </x:c>
      <x:c r="O45" s="27" t="str">
        <x:v>亀岩の洞窟は自然洞窟ではなく、江戸時代に川の流れを変えるため掘られた人工の川廻しトンネルである。</x:v>
      </x:c>
      <x:c r="P45" s="84" t="e">
        <x:f>HYPERLINK("https://ja.wikipedia.org/wiki/Special:Search?search=%E6%BF%83%E6%BA%9D%E3%81%AE%E6%BB%9D%E3%83%BB%E4%BA%80%E5%B2%A9%E3%81%AE%E6%B4%9E%E7%AA%9F","Wikipedia・関連項目")</x:f>
      </x:c>
      <x:c r="Q45" s="27"/>
      <x:c r="R45" s="27" t="str">
        <x:v>35km超</x:v>
      </x:c>
      <x:c r="S45" s="27" t="str">
        <x:v>概ね35km超</x:v>
      </x:c>
      <x:c r="T45" s="27" t="str">
        <x:v>通常90分超</x:v>
      </x:c>
      <x:c r="U45" s="27" t="str">
        <x:v>休日半日</x:v>
      </x:c>
      <x:c r="V45" s="27" t="str">
        <x:v>30〜90分</x:v>
      </x:c>
      <x:c r="W45" s="27" t="n">
        <x:v>1</x:v>
      </x:c>
      <x:c r="X45" s="27" t="n">
        <x:v>1</x:v>
      </x:c>
      <x:c r="Y45" s="27" t="str">
        <x:v>平和の森公園</x:v>
      </x:c>
      <x:c r="Z45" s="27" t="str">
        <x:v>大森ふるさとの浜辺公園／森ケ崎公園</x:v>
      </x:c>
      <x:c r="AA45" s="22" t="str">
        <x:v>なし</x:v>
      </x:c>
      <x:c r="AB45" s="22" t="str">
        <x:v>-</x:v>
      </x:c>
      <x:c r="AC45" s="22" t="str"/>
      <x:c r="AD45" s="22" t="str">
        <x:v>専用・路外駐車を基本</x:v>
      </x:c>
      <x:c r="AE45" s="22" t="str"/>
    </x:row>
    <x:row r="46">
      <x:c r="A46" s="27" t="str">
        <x:v>D073</x:v>
      </x:c>
      <x:c r="B46" s="27" t="str">
        <x:v>昭和の森</x:v>
      </x:c>
      <x:c r="C46" s="27" t="str">
        <x:v>千葉市・緑区</x:v>
      </x:c>
      <x:c r="D46" s="27" t="str">
        <x:v>高台・森林・展望</x:v>
      </x:c>
      <x:c r="E46" s="48" t="e">
        <x:f>HYPERLINK("https://www.google.com/maps/dir/?api=1&amp;destination=%E6%98%AD%E5%92%8C%E3%81%AE%E6%A3%AE&amp;travelmode=driving","現在地からナビ開始")</x:f>
      </x:c>
      <x:c r="F46" s="27" t="str">
        <x:v>広大な森と展望地点があり、千葉内陸の空の広さを感じる昼Endingになる。</x:v>
      </x:c>
      <x:c r="G46" s="27" t="str">
        <x:v>あり・有料</x:v>
      </x:c>
      <x:c r="H46" s="27" t="str">
        <x:v>駐車場は季節・区域別、当日公式確認</x:v>
      </x:c>
      <x:c r="I46" s="27" t="n">
        <x:v>2</x:v>
      </x:c>
      <x:c r="J46" s="27" t="n">
        <x:v>4</x:v>
      </x:c>
      <x:c r="K46" s="27" t="str">
        <x:v>路上駐車禁止。閉場時刻を確認し、夜間利用は避ける。</x:v>
      </x:c>
      <x:c r="L46" s="28" t="n">
        <x:v>46232</x:v>
      </x:c>
      <x:c r="M46" s="27" t="str">
        <x:v>当日再確認</x:v>
      </x:c>
      <x:c r="N46" s="27" t="str">
        <x:v>https://www.city.chiba.jp/toshi/koenryokuchi/kanri/midori/top.html</x:v>
      </x:c>
      <x:c r="O46" s="27" t="str">
        <x:v>昭和の森は下総台地の高所に位置し、千葉市内でも特に標高差の大きい展望公園である。</x:v>
      </x:c>
      <x:c r="P46" s="84" t="e">
        <x:f>HYPERLINK("https://ja.wikipedia.org/wiki/Special:Search?search=%E6%98%AD%E5%92%8C%E3%81%AE%E6%A3%AE","Wikipedia・関連項目")</x:f>
      </x:c>
      <x:c r="Q46" s="27"/>
      <x:c r="R46" s="27" t="str">
        <x:v>35km超</x:v>
      </x:c>
      <x:c r="S46" s="27" t="str">
        <x:v>概ね35km超</x:v>
      </x:c>
      <x:c r="T46" s="27" t="str">
        <x:v>通常90分超</x:v>
      </x:c>
      <x:c r="U46" s="27" t="str">
        <x:v>休日半日</x:v>
      </x:c>
      <x:c r="V46" s="27" t="str">
        <x:v>30〜60分</x:v>
      </x:c>
      <x:c r="W46" s="27" t="n">
        <x:v>1</x:v>
      </x:c>
      <x:c r="X46" s="27" t="n">
        <x:v>1</x:v>
      </x:c>
      <x:c r="Y46" s="27" t="str">
        <x:v>平和の森公園</x:v>
      </x:c>
      <x:c r="Z46" s="27" t="str">
        <x:v>大森ふるさとの浜辺公園／森ケ崎公園</x:v>
      </x:c>
      <x:c r="AA46" s="22" t="str">
        <x:v>なし</x:v>
      </x:c>
      <x:c r="AB46" s="22" t="str">
        <x:v>-</x:v>
      </x:c>
      <x:c r="AC46" s="22" t="str"/>
      <x:c r="AD46" s="22" t="str">
        <x:v>専用・路外駐車を基本</x:v>
      </x:c>
      <x:c r="AE46" s="22" t="str"/>
    </x:row>
    <x:row r="47">
      <x:c r="A47" s="27" t="str">
        <x:v>D074</x:v>
      </x:c>
      <x:c r="B47" s="27" t="str">
        <x:v>泉自然公園</x:v>
      </x:c>
      <x:c r="C47" s="27" t="str">
        <x:v>千葉市・若葉区</x:v>
      </x:c>
      <x:c r="D47" s="27" t="str">
        <x:v>森林・池・谷津</x:v>
      </x:c>
      <x:c r="E47" s="48" t="e">
        <x:f>HYPERLINK("https://www.google.com/maps/dir/?api=1&amp;destination=%E6%B3%89%E8%87%AA%E7%84%B6%E5%85%AC%E5%9C%92&amp;travelmode=driving","現在地からナビ開始")</x:f>
      </x:c>
      <x:c r="F47" s="27" t="str">
        <x:v>池と谷津地形、深い森があり、都市圏から自然へ切り替わる終点になる。</x:v>
      </x:c>
      <x:c r="G47" s="27" t="str">
        <x:v>あり・有料</x:v>
      </x:c>
      <x:c r="H47" s="27" t="str">
        <x:v>駐車場利用時間は公式案内で当日確認</x:v>
      </x:c>
      <x:c r="I47" s="27" t="n">
        <x:v>1</x:v>
      </x:c>
      <x:c r="J47" s="27" t="n">
        <x:v>4</x:v>
      </x:c>
      <x:c r="K47" s="27" t="str">
        <x:v>夜間不可。季節によって虫・落枝・ぬかるみに注意。</x:v>
      </x:c>
      <x:c r="L47" s="28" t="n">
        <x:v>46232</x:v>
      </x:c>
      <x:c r="M47" s="27" t="str">
        <x:v>当日再確認</x:v>
      </x:c>
      <x:c r="N47" s="27" t="str">
        <x:v>https://izumi-park.city.chiba.jp/</x:v>
      </x:c>
      <x:c r="O47" s="27" t="str">
        <x:v>泉自然公園には湧水で刻まれた『谷津』地形が残り、台地と湿地が近接する房総らしい環境を見られる。</x:v>
      </x:c>
      <x:c r="P47" s="84" t="e">
        <x:f>HYPERLINK("https://ja.wikipedia.org/wiki/Special:Search?search=%E6%B3%89%E8%87%AA%E7%84%B6%E5%85%AC%E5%9C%92","Wikipedia・関連項目")</x:f>
      </x:c>
      <x:c r="Q47" s="27"/>
      <x:c r="R47" s="27" t="str">
        <x:v>35km超</x:v>
      </x:c>
      <x:c r="S47" s="27" t="str">
        <x:v>概ね35km超</x:v>
      </x:c>
      <x:c r="T47" s="27" t="str">
        <x:v>通常90分超</x:v>
      </x:c>
      <x:c r="U47" s="27" t="str">
        <x:v>水辺</x:v>
      </x:c>
      <x:c r="V47" s="27" t="str">
        <x:v>30〜90分</x:v>
      </x:c>
      <x:c r="W47" s="27" t="n">
        <x:v>1</x:v>
      </x:c>
      <x:c r="X47" s="27" t="n">
        <x:v>1</x:v>
      </x:c>
      <x:c r="Y47" s="27" t="str">
        <x:v>多摩川浅間神社</x:v>
      </x:c>
      <x:c r="Z47" s="27" t="str">
        <x:v>多摩川六郷橋緑地／多摩川ガス橋緑地</x:v>
      </x:c>
      <x:c r="AA47" s="22" t="str">
        <x:v>なし</x:v>
      </x:c>
      <x:c r="AB47" s="22" t="str">
        <x:v>-</x:v>
      </x:c>
      <x:c r="AC47" s="22" t="str"/>
      <x:c r="AD47" s="22" t="str">
        <x:v>専用・路外駐車を基本</x:v>
      </x:c>
      <x:c r="AE47" s="22" t="str"/>
    </x:row>
    <x:row r="48">
      <x:c r="A48" s="27" t="str">
        <x:v>D076</x:v>
      </x:c>
      <x:c r="B48" s="27" t="str">
        <x:v>県立秦野戸川公園</x:v>
      </x:c>
      <x:c r="C48" s="27" t="str">
        <x:v>秦野市・堀山下</x:v>
      </x:c>
      <x:c r="D48" s="27" t="str">
        <x:v>吊り橋・丹沢・河川</x:v>
      </x:c>
      <x:c r="E48" s="48" t="e">
        <x:f>HYPERLINK("https://www.google.com/maps/dir/?api=1&amp;destination=%E7%9C%8C%E7%AB%8B%E7%A7%A6%E9%87%8E%E6%88%B8%E5%B7%9D%E5%85%AC%E5%9C%92&amp;travelmode=driving","現在地からナビ開始")</x:f>
      </x:c>
      <x:c r="F48" s="27" t="str">
        <x:v>丹沢の山並みと大きな吊り橋、河川敷が揃い、西側ロングドライブの強い終点になる。</x:v>
      </x:c>
      <x:c r="G48" s="27" t="str">
        <x:v>あり・複数有料</x:v>
      </x:c>
      <x:c r="H48" s="27" t="str">
        <x:v>駐車場は季節・区域別、当日公式確認</x:v>
      </x:c>
      <x:c r="I48" s="27" t="n">
        <x:v>2</x:v>
      </x:c>
      <x:c r="J48" s="27" t="n">
        <x:v>3</x:v>
      </x:c>
      <x:c r="K48" s="27" t="str">
        <x:v>休日は混雑。夕方の閉場と山間部の天候変化に注意。</x:v>
      </x:c>
      <x:c r="L48" s="28" t="n">
        <x:v>46232</x:v>
      </x:c>
      <x:c r="M48" s="27" t="str">
        <x:v>当日再確認</x:v>
      </x:c>
      <x:c r="N48" s="27" t="str">
        <x:v>https://www.kanagawa-park.or.jp/hadanotokawa/</x:v>
      </x:c>
      <x:c r="O48" s="27" t="str">
        <x:v>秦野戸川公園の『風の吊り橋』は全長267mで、丹沢の山並みを背景にした公園の象徴である。</x:v>
      </x:c>
      <x:c r="P48" s="84" t="e">
        <x:f>HYPERLINK("https://ja.wikipedia.org/wiki/Special:Search?search=%E7%9C%8C%E7%AB%8B%E7%A7%A6%E9%87%8E%E6%88%B8%E5%B7%9D%E5%85%AC%E5%9C%92","Wikipedia・関連項目")</x:f>
      </x:c>
      <x:c r="Q48" s="27"/>
      <x:c r="R48" s="27" t="str">
        <x:v>35km超</x:v>
      </x:c>
      <x:c r="S48" s="27" t="str">
        <x:v>概ね35km超</x:v>
      </x:c>
      <x:c r="T48" s="27" t="str">
        <x:v>通常90分超</x:v>
      </x:c>
      <x:c r="U48" s="27" t="str">
        <x:v>水辺</x:v>
      </x:c>
      <x:c r="V48" s="27" t="str">
        <x:v>30〜90分</x:v>
      </x:c>
      <x:c r="W48" s="27" t="n">
        <x:v>1</x:v>
      </x:c>
      <x:c r="X48" s="27" t="n">
        <x:v>1</x:v>
      </x:c>
      <x:c r="Y48" s="27" t="str">
        <x:v>多摩川浅間神社</x:v>
      </x:c>
      <x:c r="Z48" s="27" t="str">
        <x:v>多摩川六郷橋緑地／多摩川ガス橋緑地</x:v>
      </x:c>
      <x:c r="AA48" s="22" t="str">
        <x:v>なし</x:v>
      </x:c>
      <x:c r="AB48" s="22" t="str">
        <x:v>-</x:v>
      </x:c>
      <x:c r="AC48" s="22" t="str"/>
      <x:c r="AD48" s="22" t="str">
        <x:v>専用・路外駐車を基本</x:v>
      </x:c>
      <x:c r="AE48" s="22" t="str"/>
    </x:row>
    <x:row r="49">
      <x:c r="A49" s="27" t="str">
        <x:v>D077</x:v>
      </x:c>
      <x:c r="B49" s="27" t="str">
        <x:v>茅ケ崎里山公園</x:v>
      </x:c>
      <x:c r="C49" s="27" t="str">
        <x:v>茅ヶ崎市・芹沢</x:v>
      </x:c>
      <x:c r="D49" s="27" t="str">
        <x:v>里山・高台・田園</x:v>
      </x:c>
      <x:c r="E49" s="48" t="e">
        <x:f>HYPERLINK("https://www.google.com/maps/dir/?api=1&amp;destination=%E8%8C%85%E3%82%B1%E5%B4%8E%E9%87%8C%E5%B1%B1%E5%85%AC%E5%9C%92&amp;travelmode=driving","現在地からナビ開始")</x:f>
      </x:c>
      <x:c r="F49" s="27" t="str">
        <x:v>湘南海岸とは逆方向の里山景観で、静かな昼Endingを作れる。</x:v>
      </x:c>
      <x:c r="G49" s="27" t="str">
        <x:v>あり・北駐車場無料、他有料</x:v>
      </x:c>
      <x:c r="H49" s="27" t="str">
        <x:v>駐車場時間は公式案内を確認</x:v>
      </x:c>
      <x:c r="I49" s="27" t="n">
        <x:v>2</x:v>
      </x:c>
      <x:c r="J49" s="27" t="n">
        <x:v>4</x:v>
      </x:c>
      <x:c r="K49" s="27" t="str">
        <x:v>夜間向きではない。農地・生活道路へ入り込まない。</x:v>
      </x:c>
      <x:c r="L49" s="28" t="n">
        <x:v>46232</x:v>
      </x:c>
      <x:c r="M49" s="27" t="str">
        <x:v>当日再確認</x:v>
      </x:c>
      <x:c r="N49" s="27" t="str">
        <x:v>https://kanagawa-park.or.jp/satoyama/</x:v>
      </x:c>
      <x:c r="O49" s="27" t="str">
        <x:v>茅ケ崎里山公園は湘南の海側イメージとは対照的に、谷戸田・雑木林・農村景観を再現している。</x:v>
      </x:c>
      <x:c r="P49" s="84" t="e">
        <x:f>HYPERLINK("https://ja.wikipedia.org/wiki/Special:Search?search=%E8%8C%85%E3%82%B1%E5%B4%8E%E9%87%8C%E5%B1%B1%E5%85%AC%E5%9C%92","Wikipedia・関連項目")</x:f>
      </x:c>
      <x:c r="Q49" s="27"/>
      <x:c r="R49" s="27" t="str">
        <x:v>35km超</x:v>
      </x:c>
      <x:c r="S49" s="27" t="str">
        <x:v>概ね35km超</x:v>
      </x:c>
      <x:c r="T49" s="27" t="str">
        <x:v>通常90分超</x:v>
      </x:c>
      <x:c r="U49" s="27" t="str">
        <x:v>休日半日</x:v>
      </x:c>
      <x:c r="V49" s="27" t="str">
        <x:v>30〜60分</x:v>
      </x:c>
      <x:c r="W49" s="27" t="n">
        <x:v>1</x:v>
      </x:c>
      <x:c r="X49" s="27" t="n">
        <x:v>1</x:v>
      </x:c>
      <x:c r="Y49" s="27" t="str">
        <x:v>羽田空港 第3ターミナル展望デッキ</x:v>
      </x:c>
      <x:c r="Z49" s="27" t="str">
        <x:v>城南島海浜公園／潮風公園</x:v>
      </x:c>
      <x:c r="AA49" s="22" t="str">
        <x:v>なし</x:v>
      </x:c>
      <x:c r="AB49" s="22" t="str">
        <x:v>-</x:v>
      </x:c>
      <x:c r="AC49" s="22" t="str"/>
      <x:c r="AD49" s="22" t="str">
        <x:v>専用・路外駐車を基本</x:v>
      </x:c>
      <x:c r="AE49" s="22" t="str"/>
    </x:row>
    <x:row r="50">
      <x:c r="A50" s="27" t="str">
        <x:v>D078</x:v>
      </x:c>
      <x:c r="B50" s="27" t="str">
        <x:v>狭山公園</x:v>
      </x:c>
      <x:c r="C50" s="27" t="str">
        <x:v>東村山市・多摩湖町</x:v>
      </x:c>
      <x:c r="D50" s="27" t="str">
        <x:v>湖・堤防・夕景</x:v>
      </x:c>
      <x:c r="E50" s="48" t="e">
        <x:f>HYPERLINK("https://www.google.com/maps/dir/?api=1&amp;destination=%E7%8B%AD%E5%B1%B1%E5%85%AC%E5%9C%92&amp;travelmode=driving","現在地からナビ開始")</x:f>
      </x:c>
      <x:c r="F50" s="27" t="str">
        <x:v>多摩湖の堤防と広い空があり、西東京方面の水辺Endingとして使える。</x:v>
      </x:c>
      <x:c r="G50" s="27" t="str">
        <x:v>あり・無料</x:v>
      </x:c>
      <x:c r="H50" s="27" t="str">
        <x:v>駐車場 9:00～17:00目安、季節確認</x:v>
      </x:c>
      <x:c r="I50" s="27" t="n">
        <x:v>2</x:v>
      </x:c>
      <x:c r="J50" s="27" t="n">
        <x:v>3</x:v>
      </x:c>
      <x:c r="K50" s="27" t="str">
        <x:v>閉場が早い。湖周辺道路の通行規制と自転車に注意。</x:v>
      </x:c>
      <x:c r="L50" s="28" t="n">
        <x:v>46232</x:v>
      </x:c>
      <x:c r="M50" s="27" t="str">
        <x:v>当日再確認</x:v>
      </x:c>
      <x:c r="N50" s="27" t="str">
        <x:v>https://www.sayamaparks.com/sayama/</x:v>
      </x:c>
      <x:c r="O50" s="27" t="str">
        <x:v>多摩湖を囲む狭山丘陵は『トトロの森』の活動で知られ、武蔵野の雑木林景観を残している。</x:v>
      </x:c>
      <x:c r="P50" s="84" t="e">
        <x:f>HYPERLINK("https://ja.wikipedia.org/wiki/Special:Search?search=%E7%8B%AD%E5%B1%B1%E5%85%AC%E5%9C%92","Wikipedia・関連項目")</x:f>
      </x:c>
      <x:c r="Q50" s="27"/>
      <x:c r="R50" s="27" t="str">
        <x:v>35km超</x:v>
      </x:c>
      <x:c r="S50" s="27" t="str">
        <x:v>概ね35km超</x:v>
      </x:c>
      <x:c r="T50" s="27" t="str">
        <x:v>通常90分超</x:v>
      </x:c>
      <x:c r="U50" s="27" t="str">
        <x:v>水辺</x:v>
      </x:c>
      <x:c r="V50" s="27" t="str">
        <x:v>30〜60分</x:v>
      </x:c>
      <x:c r="W50" s="27" t="n">
        <x:v>2</x:v>
      </x:c>
      <x:c r="X50" s="27" t="n">
        <x:v>1</x:v>
      </x:c>
      <x:c r="Y50" s="27" t="str">
        <x:v>多摩川浅間神社</x:v>
      </x:c>
      <x:c r="Z50" s="27" t="str">
        <x:v>多摩川六郷橋緑地／多摩川ガス橋緑地</x:v>
      </x:c>
      <x:c r="AA50" s="22" t="str">
        <x:v>なし</x:v>
      </x:c>
      <x:c r="AB50" s="22" t="str">
        <x:v>-</x:v>
      </x:c>
      <x:c r="AC50" s="22" t="str"/>
      <x:c r="AD50" s="22" t="str">
        <x:v>専用・路外駐車を基本</x:v>
      </x:c>
      <x:c r="AE50" s="22" t="str"/>
    </x:row>
    <x:row r="51">
      <x:c r="A51" s="27" t="str">
        <x:v>D079</x:v>
      </x:c>
      <x:c r="B51" s="27" t="str">
        <x:v>野山北・六道山公園</x:v>
      </x:c>
      <x:c r="C51" s="27" t="str">
        <x:v>武蔵村山市・瑞穂町</x:v>
      </x:c>
      <x:c r="D51" s="27" t="str">
        <x:v>丘陵・展望・里山</x:v>
      </x:c>
      <x:c r="E51" s="48" t="e">
        <x:f>HYPERLINK("https://www.google.com/maps/dir/?api=1&amp;destination=%E9%87%8E%E5%B1%B1%E5%8C%97%E3%83%BB%E5%85%AD%E9%81%93%E5%B1%B1%E5%85%AC%E5%9C%92&amp;travelmode=driving","現在地からナビ開始")</x:f>
      </x:c>
      <x:c r="F51" s="27" t="str">
        <x:v>狭山丘陵の尾根と里山景観があり、都市部から森へ抜ける到達感がある。</x:v>
      </x:c>
      <x:c r="G51" s="27" t="str">
        <x:v>あり・複数無料</x:v>
      </x:c>
      <x:c r="H51" s="27" t="str">
        <x:v>駐車場は区域別・夕方閉鎖</x:v>
      </x:c>
      <x:c r="I51" s="27" t="n">
        <x:v>1</x:v>
      </x:c>
      <x:c r="J51" s="27" t="n">
        <x:v>5</x:v>
      </x:c>
      <x:c r="K51" s="27" t="str">
        <x:v>夜間不可。駐車場ごとの閉鎖時刻と歩行距離を確認。</x:v>
      </x:c>
      <x:c r="L51" s="28" t="n">
        <x:v>46232</x:v>
      </x:c>
      <x:c r="M51" s="27" t="str">
        <x:v>当日再確認</x:v>
      </x:c>
      <x:c r="N51" s="27" t="str">
        <x:v>https://www.sayamaparks.com/noyama/</x:v>
      </x:c>
      <x:c r="O51" s="27" t="str">
        <x:v>野山北・六道山公園は狭山丘陵の里山を広く保全し、東京都立公園でも最大級の面積を持つ。</x:v>
      </x:c>
      <x:c r="P51" s="84" t="e">
        <x:f>HYPERLINK("https://ja.wikipedia.org/wiki/Special:Search?search=%E9%87%8E%E5%B1%B1%E5%8C%97%E3%83%BB%E5%85%AD%E9%81%93%E5%B1%B1%E5%85%AC%E5%9C%92","Wikipedia・関連項目")</x:f>
      </x:c>
      <x:c r="Q51" s="27"/>
      <x:c r="R51" s="27" t="str">
        <x:v>35km超</x:v>
      </x:c>
      <x:c r="S51" s="27" t="str">
        <x:v>概ね35km超</x:v>
      </x:c>
      <x:c r="T51" s="27" t="str">
        <x:v>通常90分超</x:v>
      </x:c>
      <x:c r="U51" s="27" t="str">
        <x:v>休日半日</x:v>
      </x:c>
      <x:c r="V51" s="27" t="str">
        <x:v>30〜60分</x:v>
      </x:c>
      <x:c r="W51" s="27" t="n">
        <x:v>2</x:v>
      </x:c>
      <x:c r="X51" s="27" t="n">
        <x:v>1</x:v>
      </x:c>
      <x:c r="Y51" s="27" t="str">
        <x:v>羽田空港 第3ターミナル展望デッキ</x:v>
      </x:c>
      <x:c r="Z51" s="27" t="str">
        <x:v>城南島海浜公園／潮風公園</x:v>
      </x:c>
      <x:c r="AA51" s="22" t="str">
        <x:v>なし</x:v>
      </x:c>
      <x:c r="AB51" s="22" t="str">
        <x:v>-</x:v>
      </x:c>
      <x:c r="AC51" s="22" t="str"/>
      <x:c r="AD51" s="22" t="str">
        <x:v>専用・路外駐車を基本</x:v>
      </x:c>
      <x:c r="AE51" s="22" t="str"/>
    </x:row>
    <x:row r="52">
      <x:c r="A52" s="27" t="str">
        <x:v>D082</x:v>
      </x:c>
      <x:c r="B52" s="27" t="str">
        <x:v>道の駅 しょうなん</x:v>
      </x:c>
      <x:c r="C52" s="27" t="str">
        <x:v>柏市・箕輪新田</x:v>
      </x:c>
      <x:c r="D52" s="27" t="str">
        <x:v>道の駅・湖・農地</x:v>
      </x:c>
      <x:c r="E52" s="48" t="e">
        <x:f>HYPERLINK("https://www.google.com/maps/dir/?api=1&amp;destination=%E9%81%93%E3%81%AE%E9%A7%85%20%E3%81%97%E3%82%87%E3%81%86%E3%81%AA%E3%82%93&amp;travelmode=driving","現在地からナビ開始")</x:f>
      </x:c>
      <x:c r="F52" s="27" t="str">
        <x:v>手賀沼と農地の広がりに接し、東葛方面のドライブを安全な休憩拠点で締められる。</x:v>
      </x:c>
      <x:c r="G52" s="27" t="str">
        <x:v>あり・第1・第2は24時間</x:v>
      </x:c>
      <x:c r="H52" s="27" t="str">
        <x:v>駐車場 24時間／店舗 9:00～18:00</x:v>
      </x:c>
      <x:c r="I52" s="27" t="n">
        <x:v>4</x:v>
      </x:c>
      <x:c r="J52" s="27" t="n">
        <x:v>3</x:v>
      </x:c>
      <x:c r="K52" s="27" t="str">
        <x:v>花火・マラソン等で交通規制や出庫制限がある。イベント日を当日確認。</x:v>
      </x:c>
      <x:c r="L52" s="28" t="n">
        <x:v>46232</x:v>
      </x:c>
      <x:c r="M52" s="27" t="str">
        <x:v>一次確認済</x:v>
      </x:c>
      <x:c r="N52" s="27" t="str">
        <x:v>https://www.michinoeki-shonan.jp/access/</x:v>
      </x:c>
      <x:c r="O52" s="27" t="str">
        <x:v>『しょうなん』は神奈川の湘南ではなく、合併前の千葉県沼南町という地名に由来する。</x:v>
      </x:c>
      <x:c r="P52" s="84" t="e">
        <x:f>HYPERLINK("https://ja.wikipedia.org/wiki/Special:Search?search=%E9%81%93%E3%81%AE%E9%A7%85%20%E3%81%97%E3%82%87%E3%81%86%E3%81%AA%E3%82%93","Wikipedia・関連項目")</x:f>
      </x:c>
      <x:c r="Q52" s="27"/>
      <x:c r="R52" s="27" t="str">
        <x:v>35km超</x:v>
      </x:c>
      <x:c r="S52" s="27" t="str">
        <x:v>概ね35km超</x:v>
      </x:c>
      <x:c r="T52" s="27" t="str">
        <x:v>通常90分超</x:v>
      </x:c>
      <x:c r="U52" s="27" t="str">
        <x:v>水辺</x:v>
      </x:c>
      <x:c r="V52" s="27" t="str">
        <x:v>30〜60分</x:v>
      </x:c>
      <x:c r="W52" s="27" t="n">
        <x:v>4</x:v>
      </x:c>
      <x:c r="X52" s="27" t="n">
        <x:v>1</x:v>
      </x:c>
      <x:c r="Y52" s="27" t="str">
        <x:v>多摩川浅間神社</x:v>
      </x:c>
      <x:c r="Z52" s="27" t="str">
        <x:v>多摩川六郷橋緑地／多摩川ガス橋緑地</x:v>
      </x:c>
      <x:c r="AA52" s="22" t="str">
        <x:v>なし</x:v>
      </x:c>
      <x:c r="AB52" s="22" t="str">
        <x:v>-</x:v>
      </x:c>
      <x:c r="AC52" s="22" t="str"/>
      <x:c r="AD52" s="22" t="str">
        <x:v>専用・路外駐車を基本</x:v>
      </x:c>
      <x:c r="AE52" s="22" t="str"/>
    </x:row>
    <x:row r="53">
      <x:c r="A53" s="27" t="str">
        <x:v>D083</x:v>
      </x:c>
      <x:c r="B53" s="27" t="str">
        <x:v>手賀沼公園</x:v>
      </x:c>
      <x:c r="C53" s="27" t="str">
        <x:v>我孫子市・若松</x:v>
      </x:c>
      <x:c r="D53" s="27" t="str">
        <x:v>湖・水辺・夕景</x:v>
      </x:c>
      <x:c r="E53" s="48" t="e">
        <x:f>HYPERLINK("https://www.google.com/maps/dir/?api=1&amp;destination=%E6%89%8B%E8%B3%80%E6%B2%BC%E5%85%AC%E5%9C%92&amp;travelmode=driving","現在地からナビ開始")</x:f>
      </x:c>
      <x:c r="F53" s="27" t="str">
        <x:v>手賀沼の大きな水面と遊歩道があり、湖畔を眺めながら静かに終われる。</x:v>
      </x:c>
      <x:c r="G53" s="27" t="str">
        <x:v>あり・50台・有料</x:v>
      </x:c>
      <x:c r="H53" s="27" t="str">
        <x:v>入庫 6:00～21:30／出庫24時間</x:v>
      </x:c>
      <x:c r="I53" s="27" t="n">
        <x:v>4</x:v>
      </x:c>
      <x:c r="J53" s="27" t="n">
        <x:v>3</x:v>
      </x:c>
      <x:c r="K53" s="27" t="str">
        <x:v>花火大会等は周辺規制あり。21時30分以降は新規入庫不可。</x:v>
      </x:c>
      <x:c r="L53" s="28" t="n">
        <x:v>46232</x:v>
      </x:c>
      <x:c r="M53" s="27" t="str">
        <x:v>一次確認済</x:v>
      </x:c>
      <x:c r="N53" s="27" t="str">
        <x:v>https://www.city.abiko.chiba.jp/event/shizennonaka/kouenryokuchi/park/citypark/teganuma.html</x:v>
      </x:c>
      <x:c r="O53" s="27" t="str">
        <x:v>手賀沼周辺には志賀直哉・武者小路実篤ら白樺派の文人が暮らし、我孫子は文学の町として知られる。</x:v>
      </x:c>
      <x:c r="P53" s="84" t="e">
        <x:f>HYPERLINK("https://ja.wikipedia.org/wiki/Special:Search?search=%E6%89%8B%E8%B3%80%E6%B2%BC%E5%85%AC%E5%9C%92","Wikipedia・関連項目")</x:f>
      </x:c>
      <x:c r="Q53" s="27"/>
      <x:c r="R53" s="27" t="str">
        <x:v>35km超</x:v>
      </x:c>
      <x:c r="S53" s="27" t="str">
        <x:v>概ね35km超</x:v>
      </x:c>
      <x:c r="T53" s="27" t="str">
        <x:v>通常90分超</x:v>
      </x:c>
      <x:c r="U53" s="27" t="str">
        <x:v>水辺</x:v>
      </x:c>
      <x:c r="V53" s="27" t="str">
        <x:v>30〜60分</x:v>
      </x:c>
      <x:c r="W53" s="27" t="n">
        <x:v>2</x:v>
      </x:c>
      <x:c r="X53" s="27" t="n">
        <x:v>1</x:v>
      </x:c>
      <x:c r="Y53" s="27" t="str">
        <x:v>多摩川浅間神社</x:v>
      </x:c>
      <x:c r="Z53" s="27" t="str">
        <x:v>多摩川六郷橋緑地／多摩川ガス橋緑地</x:v>
      </x:c>
      <x:c r="AA53" s="22" t="str">
        <x:v>なし</x:v>
      </x:c>
      <x:c r="AB53" s="22" t="str">
        <x:v>-</x:v>
      </x:c>
      <x:c r="AC53" s="22" t="str"/>
      <x:c r="AD53" s="22" t="str">
        <x:v>専用・路外駐車を基本</x:v>
      </x:c>
      <x:c r="AE53" s="22" t="str"/>
    </x:row>
    <x:row r="54">
      <x:c r="A54" s="27" t="str">
        <x:v>D084</x:v>
      </x:c>
      <x:c r="B54" s="27" t="str">
        <x:v>佐倉ふるさと広場</x:v>
      </x:c>
      <x:c r="C54" s="27" t="str">
        <x:v>佐倉市・臼井田</x:v>
      </x:c>
      <x:c r="D54" s="27" t="str">
        <x:v>風車・印旛沼・季節景観</x:v>
      </x:c>
      <x:c r="E54" s="48" t="e">
        <x:f>HYPERLINK("https://www.google.com/maps/dir/?api=1&amp;destination=%E4%BD%90%E5%80%89%E3%81%B5%E3%82%8B%E3%81%95%E3%81%A8%E5%BA%83%E5%A0%B4&amp;travelmode=driving","現在地からナビ開始")</x:f>
      </x:c>
      <x:c r="F54" s="27" t="str">
        <x:v>オランダ風車、印旛沼、広い空が揃い、都市圏とは異なる農水辺Endingになる。</x:v>
      </x:c>
      <x:c r="G54" s="27" t="str">
        <x:v>あり・約20台</x:v>
      </x:c>
      <x:c r="H54" s="27" t="str">
        <x:v>公園利用時間は現地掲示優先</x:v>
      </x:c>
      <x:c r="I54" s="27" t="n">
        <x:v>2</x:v>
      </x:c>
      <x:c r="J54" s="27" t="n">
        <x:v>4</x:v>
      </x:c>
      <x:c r="K54" s="27" t="str">
        <x:v>拡張整備事業中。花イベントは休止・変更の可能性があり、駐車場と工事を当日確認。</x:v>
      </x:c>
      <x:c r="L54" s="28" t="n">
        <x:v>46232</x:v>
      </x:c>
      <x:c r="M54" s="27" t="str">
        <x:v>当日再確認</x:v>
      </x:c>
      <x:c r="N54" s="27" t="str">
        <x:v>https://www.city.sakura.lg.jp/tourism/2/15396.html</x:v>
      </x:c>
      <x:c r="O54" s="27" t="str">
        <x:v>広場の本格風車『リーフデ』は、佐倉とオランダの歴史的交流を象徴している。</x:v>
      </x:c>
      <x:c r="P54" s="84" t="e">
        <x:f>HYPERLINK("https://ja.wikipedia.org/wiki/Special:Search?search=%E4%BD%90%E5%80%89%E3%81%B5%E3%82%8B%E3%81%95%E3%81%A8%E5%BA%83%E5%A0%B4","Wikipedia・関連項目")</x:f>
      </x:c>
      <x:c r="Q54" s="27" t="str">
        <x:v>2026-07-29再点検：拡張整備中のため、駐車場・イベント・立入範囲は引き続き当日確認。</x:v>
      </x:c>
      <x:c r="R54" s="27" t="str">
        <x:v>35km超</x:v>
      </x:c>
      <x:c r="S54" s="27" t="str">
        <x:v>概ね35km超</x:v>
      </x:c>
      <x:c r="T54" s="27" t="str">
        <x:v>通常90分超</x:v>
      </x:c>
      <x:c r="U54" s="27" t="str">
        <x:v>休日半日</x:v>
      </x:c>
      <x:c r="V54" s="27" t="str">
        <x:v>30〜60分</x:v>
      </x:c>
      <x:c r="W54" s="27" t="n">
        <x:v>2</x:v>
      </x:c>
      <x:c r="X54" s="27" t="n">
        <x:v>1</x:v>
      </x:c>
      <x:c r="Y54" s="27" t="str">
        <x:v>羽田空港 第3ターミナル展望デッキ</x:v>
      </x:c>
      <x:c r="Z54" s="27" t="str">
        <x:v>城南島海浜公園／潮風公園</x:v>
      </x:c>
      <x:c r="AA54" s="22" t="str">
        <x:v>なし</x:v>
      </x:c>
      <x:c r="AB54" s="22" t="str">
        <x:v>-</x:v>
      </x:c>
      <x:c r="AC54" s="22" t="str"/>
      <x:c r="AD54" s="22" t="str">
        <x:v>専用・路外駐車を基本</x:v>
      </x:c>
      <x:c r="AE54" s="22" t="str"/>
    </x:row>
    <x:row r="55">
      <x:c r="A55" s="27" t="str">
        <x:v>D085</x:v>
      </x:c>
      <x:c r="B55" s="27" t="str">
        <x:v>成田市さくらの山</x:v>
      </x:c>
      <x:c r="C55" s="27" t="str">
        <x:v>成田市・駒井野</x:v>
      </x:c>
      <x:c r="D55" s="27" t="str">
        <x:v>飛行機・高台・桜</x:v>
      </x:c>
      <x:c r="E55" s="48" t="e">
        <x:f>HYPERLINK("https://www.google.com/maps/dir/?api=1&amp;destination=%E6%88%90%E7%94%B0%E5%B8%82%E3%81%95%E3%81%8F%E3%82%89%E3%81%AE%E5%B1%B1&amp;travelmode=driving","現在地からナビ開始")</x:f>
      </x:c>
      <x:c r="F55" s="27" t="str">
        <x:v>成田空港の離着陸機を小高い丘から望み、羽田とは異なる航空機Endingを作れる。</x:v>
      </x:c>
      <x:c r="G55" s="27" t="str">
        <x:v>あり・無料</x:v>
      </x:c>
      <x:c r="H55" s="27" t="str">
        <x:v>6:00～23:00</x:v>
      </x:c>
      <x:c r="I55" s="27" t="n">
        <x:v>4</x:v>
      </x:c>
      <x:c r="J55" s="27" t="n">
        <x:v>3</x:v>
      </x:c>
      <x:c r="K55" s="27" t="str">
        <x:v>桜期は大混雑。脚立・騒音・指定外への車両進入は禁止。</x:v>
      </x:c>
      <x:c r="L55" s="28" t="n">
        <x:v>46232</x:v>
      </x:c>
      <x:c r="M55" s="27" t="str">
        <x:v>一次確認済</x:v>
      </x:c>
      <x:c r="N55" s="27" t="str">
        <x:v>https://www.city.narita.chiba.jp/kanko/page151300.html</x:v>
      </x:c>
      <x:c r="O55" s="27" t="str">
        <x:v>さくらの山は成田空港A滑走路北側の代表的な航空機観賞地で、風向きにより着陸・離陸の表情が変わる。</x:v>
      </x:c>
      <x:c r="P55" s="84" t="e">
        <x:f>HYPERLINK("https://ja.wikipedia.org/wiki/Special:Search?search=%E6%88%90%E7%94%B0%E5%B8%82%E3%81%95%E3%81%8F%E3%82%89%E3%81%AE%E5%B1%B1","Wikipedia・関連項目")</x:f>
      </x:c>
      <x:c r="Q55" s="27" t="str">
        <x:v>2026-07-29品質補足：風向きで離着陸方向が変わるため、当日の滑走路運用で価値が変動。</x:v>
      </x:c>
      <x:c r="R55" s="27" t="str">
        <x:v>35km超</x:v>
      </x:c>
      <x:c r="S55" s="27" t="str">
        <x:v>概ね35km超</x:v>
      </x:c>
      <x:c r="T55" s="27" t="str">
        <x:v>通常90分超</x:v>
      </x:c>
      <x:c r="U55" s="27" t="str">
        <x:v>飛行機</x:v>
      </x:c>
      <x:c r="V55" s="27" t="str">
        <x:v>30〜60分</x:v>
      </x:c>
      <x:c r="W55" s="27" t="n">
        <x:v>1</x:v>
      </x:c>
      <x:c r="X55" s="27" t="n">
        <x:v>4</x:v>
      </x:c>
      <x:c r="Y55" s="27" t="str">
        <x:v>城南島海浜公園</x:v>
      </x:c>
      <x:c r="Z55" s="27" t="str">
        <x:v>京浜島つばさ公園／羽田空港 第3ターミナル展望デッキ</x:v>
      </x:c>
      <x:c r="AA55" s="22" t="str">
        <x:v>なし</x:v>
      </x:c>
      <x:c r="AB55" s="22" t="str">
        <x:v>-</x:v>
      </x:c>
      <x:c r="AC55" s="22" t="str"/>
      <x:c r="AD55" s="22" t="str">
        <x:v>専用・路外駐車を基本</x:v>
      </x:c>
      <x:c r="AE55" s="22" t="str"/>
    </x:row>
    <x:row r="56">
      <x:c r="A56" s="27" t="str">
        <x:v>D086</x:v>
      </x:c>
      <x:c r="B56" s="27" t="str">
        <x:v>道の駅 木更津うまくたの里</x:v>
      </x:c>
      <x:c r="C56" s="27" t="str">
        <x:v>木更津市・下郡</x:v>
      </x:c>
      <x:c r="D56" s="27" t="str">
        <x:v>道の駅・房総内陸</x:v>
      </x:c>
      <x:c r="E56" s="48" t="e">
        <x:f>HYPERLINK("https://www.google.com/maps/dir/?api=1&amp;destination=%E9%81%93%E3%81%AE%E9%A7%85%20%E6%9C%A8%E6%9B%B4%E6%B4%A5%E3%81%86%E3%81%BE%E3%81%8F%E3%81%9F%E3%81%AE%E9%87%8C&amp;travelmode=driving","現在地からナビ開始")</x:f>
      </x:c>
      <x:c r="F56" s="27" t="str">
        <x:v>アクアラインから房総内陸へ入った実感があり、食と里山を伴う休憩型Endingになる。</x:v>
      </x:c>
      <x:c r="G56" s="27" t="str">
        <x:v>あり・24時間利用可</x:v>
      </x:c>
      <x:c r="H56" s="27" t="str">
        <x:v>駐車場 24時間／店舗は個別営業時間</x:v>
      </x:c>
      <x:c r="I56" s="27" t="n">
        <x:v>4</x:v>
      </x:c>
      <x:c r="J56" s="27" t="n">
        <x:v>3</x:v>
      </x:c>
      <x:c r="K56" s="27" t="str">
        <x:v>夜間は休憩目的に限定し、車中泊・長時間占有と騒音を避ける。</x:v>
      </x:c>
      <x:c r="L56" s="28" t="n">
        <x:v>46232</x:v>
      </x:c>
      <x:c r="M56" s="27" t="str">
        <x:v>一次確認済</x:v>
      </x:c>
      <x:c r="N56" s="27" t="str">
        <x:v>https://chiba-kisarazu.com/access/</x:v>
      </x:c>
      <x:c r="O56" s="27" t="str">
        <x:v>『うまくた』は木更津周辺の古い地域名・馬来田に由来し、古代の地名を現代の施設名に残している。</x:v>
      </x:c>
      <x:c r="P56" s="84" t="e">
        <x:f>HYPERLINK("https://ja.wikipedia.org/wiki/Special:Search?search=%E9%81%93%E3%81%AE%E9%A7%85%20%E6%9C%A8%E6%9B%B4%E6%B4%A5%E3%81%86%E3%81%BE%E3%81%8F%E3%81%9F%E3%81%AE%E9%87%8C","Wikipedia・関連項目")</x:f>
      </x:c>
      <x:c r="Q56" s="27"/>
      <x:c r="R56" s="27" t="str">
        <x:v>35km超</x:v>
      </x:c>
      <x:c r="S56" s="27" t="str">
        <x:v>概ね35km超</x:v>
      </x:c>
      <x:c r="T56" s="27" t="str">
        <x:v>通常90分超</x:v>
      </x:c>
      <x:c r="U56" s="27" t="str">
        <x:v>平日夜・深夜</x:v>
      </x:c>
      <x:c r="V56" s="27" t="str">
        <x:v>30〜60分</x:v>
      </x:c>
      <x:c r="W56" s="27" t="n">
        <x:v>4</x:v>
      </x:c>
      <x:c r="X56" s="27" t="n">
        <x:v>1</x:v>
      </x:c>
      <x:c r="Y56" s="27" t="str">
        <x:v>羽田空港 第3ターミナル展望デッキ</x:v>
      </x:c>
      <x:c r="Z56" s="27" t="str">
        <x:v>城南島海浜公園／潮風公園</x:v>
      </x:c>
      <x:c r="AA56" s="22" t="str">
        <x:v>なし</x:v>
      </x:c>
      <x:c r="AB56" s="22" t="str">
        <x:v>-</x:v>
      </x:c>
      <x:c r="AC56" s="22" t="str"/>
      <x:c r="AD56" s="22" t="str">
        <x:v>専用・路外駐車を基本</x:v>
      </x:c>
      <x:c r="AE56" s="22" t="str"/>
    </x:row>
    <x:row r="57">
      <x:c r="A57" s="27" t="str">
        <x:v>D087</x:v>
      </x:c>
      <x:c r="B57" s="27" t="str">
        <x:v>中の島公園・中の島大橋</x:v>
      </x:c>
      <x:c r="C57" s="27" t="str">
        <x:v>木更津市・中の島</x:v>
      </x:c>
      <x:c r="D57" s="27" t="str">
        <x:v>港・橋・夕景</x:v>
      </x:c>
      <x:c r="E57" s="48" t="e">
        <x:f>HYPERLINK("https://www.google.com/maps/dir/?api=1&amp;destination=%E4%B8%AD%E3%81%AE%E5%B3%B6%E5%85%AC%E5%9C%92%E3%83%BB%E4%B8%AD%E3%81%AE%E5%B3%B6%E5%A4%A7%E6%A9%8B&amp;travelmode=driving","現在地からナビ開始")</x:f>
      </x:c>
      <x:c r="F57" s="27" t="str">
        <x:v>木更津港の歩道橋を渡る到達感があり、夕焼けと港を眺める海辺Endingになる。</x:v>
      </x:c>
      <x:c r="G57" s="27" t="str">
        <x:v>あり・海浜公園約100台</x:v>
      </x:c>
      <x:c r="H57" s="27" t="str">
        <x:v>公園 常時開設／橋は工事による期間閉鎖あり</x:v>
      </x:c>
      <x:c r="I57" s="27" t="n">
        <x:v>4</x:v>
      </x:c>
      <x:c r="J57" s="27" t="n">
        <x:v>4</x:v>
      </x:c>
      <x:c r="K57" s="27" t="str">
        <x:v>中の島大橋は2026-02-21に通行再開。2026年10月頃～2027年2月頃に再度通行止め予定。出発前に確認。</x:v>
      </x:c>
      <x:c r="L57" s="28" t="n">
        <x:v>46232</x:v>
      </x:c>
      <x:c r="M57" s="27" t="str">
        <x:v>当日再確認</x:v>
      </x:c>
      <x:c r="N57" s="27" t="str">
        <x:v>https://www.city.kisarazu.lg.jp/kurashi/shisetsuannai/koen/6616.html</x:v>
      </x:c>
      <x:c r="O57" s="27" t="str">
        <x:v>中の島大橋は高さ27m・長さ236mの歩道橋で、木更津港の象徴。恋人を背負って渡る物語も地域観光に定着した。</x:v>
      </x:c>
      <x:c r="P57" s="84" t="e">
        <x:f>HYPERLINK("https://ja.wikipedia.org/wiki/Special:Search?search=%E4%B8%AD%E3%81%AE%E5%B3%B6%E5%85%AC%E5%9C%92%E3%83%BB%E4%B8%AD%E3%81%AE%E5%B3%B6%E5%A4%A7%E6%A9%8B","Wikipedia・関連項目")</x:f>
      </x:c>
      <x:c r="Q57" s="27" t="str">
        <x:v>2026-07-29更新：橋の再開と次期工事予定を反映。</x:v>
      </x:c>
      <x:c r="R57" s="27" t="str">
        <x:v>35km超</x:v>
      </x:c>
      <x:c r="S57" s="27" t="str">
        <x:v>概ね35km超</x:v>
      </x:c>
      <x:c r="T57" s="27" t="str">
        <x:v>通常90分超</x:v>
      </x:c>
      <x:c r="U57" s="27" t="str">
        <x:v>海・港</x:v>
      </x:c>
      <x:c r="V57" s="27" t="str">
        <x:v>30〜90分</x:v>
      </x:c>
      <x:c r="W57" s="27" t="n">
        <x:v>2</x:v>
      </x:c>
      <x:c r="X57" s="27" t="n">
        <x:v>3</x:v>
      </x:c>
      <x:c r="Y57" s="27" t="str">
        <x:v>城南島海浜公園</x:v>
      </x:c>
      <x:c r="Z57" s="27" t="str">
        <x:v>潮風公園／晴海ふ頭公園</x:v>
      </x:c>
      <x:c r="AA57" s="22" t="str">
        <x:v>なし</x:v>
      </x:c>
      <x:c r="AB57" s="22" t="str">
        <x:v>-</x:v>
      </x:c>
      <x:c r="AC57" s="22" t="str"/>
      <x:c r="AD57" s="22" t="str">
        <x:v>専用・路外駐車を基本</x:v>
      </x:c>
      <x:c r="AE57" s="22" t="str"/>
    </x:row>
    <x:row r="58">
      <x:c r="A58" s="27" t="str">
        <x:v>D088</x:v>
      </x:c>
      <x:c r="B58" s="27" t="str">
        <x:v>東京ドイツ村</x:v>
      </x:c>
      <x:c r="C58" s="27" t="str">
        <x:v>袖ケ浦市・永吉</x:v>
      </x:c>
      <x:c r="D58" s="27" t="str">
        <x:v>丘陵・花・イルミネーション</x:v>
      </x:c>
      <x:c r="E58" s="48" t="e">
        <x:f>HYPERLINK("https://www.google.com/maps/dir/?api=1&amp;destination=%E6%9D%B1%E4%BA%AC%E3%83%89%E3%82%A4%E3%83%84%E6%9D%91&amp;travelmode=driving","現在地からナビ開始")</x:f>
      </x:c>
      <x:c r="F58" s="27" t="str">
        <x:v>車で園内を移動でき、季節の花やイルミネーションを明確な特別日Endingにできる。</x:v>
      </x:c>
      <x:c r="G58" s="27" t="str">
        <x:v>あり・約3,000台・有料</x:v>
      </x:c>
      <x:c r="H58" s="27" t="str">
        <x:v>2026年7月確認時 9:30～17:00、最終入園16:00／季節変動</x:v>
      </x:c>
      <x:c r="I58" s="27" t="n">
        <x:v>3</x:v>
      </x:c>
      <x:c r="J58" s="27" t="n">
        <x:v>1</x:v>
      </x:c>
      <x:c r="K58" s="27" t="str">
        <x:v>入園料・駐車料金あり。季節・天候で営業時間変更。イルミネーション期は渋滞。</x:v>
      </x:c>
      <x:c r="L58" s="28" t="n">
        <x:v>46232</x:v>
      </x:c>
      <x:c r="M58" s="27" t="str">
        <x:v>一次確認済</x:v>
      </x:c>
      <x:c r="N58" s="27" t="str">
        <x:v>https://t-doitsumura.co.jp/hour-fee/</x:v>
      </x:c>
      <x:c r="O58" s="27" t="str">
        <x:v>東京ドイツ村は実際には千葉県袖ケ浦市にあり、『東京』は首都圏向け観光施設としての名称である。</x:v>
      </x:c>
      <x:c r="P58" s="84" t="e">
        <x:f>HYPERLINK("https://ja.wikipedia.org/wiki/Special:Search?search=%E6%9D%B1%E4%BA%AC%E3%83%89%E3%82%A4%E3%83%84%E6%9D%91","Wikipedia・関連項目")</x:f>
      </x:c>
      <x:c r="Q58" s="27"/>
      <x:c r="R58" s="27" t="str">
        <x:v>35km超</x:v>
      </x:c>
      <x:c r="S58" s="27" t="str">
        <x:v>概ね35km超</x:v>
      </x:c>
      <x:c r="T58" s="27" t="str">
        <x:v>通常90分超</x:v>
      </x:c>
      <x:c r="U58" s="27" t="str">
        <x:v>休日半日</x:v>
      </x:c>
      <x:c r="V58" s="27" t="str">
        <x:v>30〜60分</x:v>
      </x:c>
      <x:c r="W58" s="27" t="n">
        <x:v>2</x:v>
      </x:c>
      <x:c r="X58" s="27" t="n">
        <x:v>1</x:v>
      </x:c>
      <x:c r="Y58" s="27" t="str">
        <x:v>羽田空港 第3ターミナル展望デッキ</x:v>
      </x:c>
      <x:c r="Z58" s="27" t="str">
        <x:v>城南島海浜公園／潮風公園</x:v>
      </x:c>
      <x:c r="AA58" s="22" t="str">
        <x:v>なし</x:v>
      </x:c>
      <x:c r="AB58" s="22" t="str">
        <x:v>-</x:v>
      </x:c>
      <x:c r="AC58" s="22" t="str"/>
      <x:c r="AD58" s="22" t="str">
        <x:v>専用・路外駐車を基本</x:v>
      </x:c>
      <x:c r="AE58" s="22" t="str"/>
    </x:row>
    <x:row r="59">
      <x:c r="A59" s="27" t="str">
        <x:v>D089</x:v>
      </x:c>
      <x:c r="B59" s="27" t="str">
        <x:v>大磯港</x:v>
      </x:c>
      <x:c r="C59" s="27" t="str">
        <x:v>大磯町・大磯</x:v>
      </x:c>
      <x:c r="D59" s="27" t="str">
        <x:v>港・防波堤・相模湾</x:v>
      </x:c>
      <x:c r="E59" s="48" t="e">
        <x:f>HYPERLINK("https://www.google.com/maps/dir/?api=1&amp;destination=%E5%A4%A7%E7%A3%AF%E6%B8%AF&amp;travelmode=driving","現在地からナビ開始")</x:f>
      </x:c>
      <x:c r="F59" s="27" t="str">
        <x:v>港、遊歩道、防波堤から富士山・湘南平方面を望み、海沿いドライブを締められる。</x:v>
      </x:c>
      <x:c r="G59" s="27" t="str">
        <x:v>あり・最大約353台・有料</x:v>
      </x:c>
      <x:c r="H59" s="27" t="str">
        <x:v>入庫時間は季節・イベントで変動／出庫24時間の運用情報あり</x:v>
      </x:c>
      <x:c r="I59" s="27" t="n">
        <x:v>4</x:v>
      </x:c>
      <x:c r="J59" s="27" t="n">
        <x:v>3</x:v>
      </x:c>
      <x:c r="K59" s="27" t="str">
        <x:v>漁業区域へ立ち入らない。荒天時や利用時間外は防波堤門扉が施錠される。</x:v>
      </x:c>
      <x:c r="L59" s="28" t="n">
        <x:v>46232</x:v>
      </x:c>
      <x:c r="M59" s="27" t="str">
        <x:v>当日再確認</x:v>
      </x:c>
      <x:c r="N59" s="27" t="str">
        <x:v>https://www.town.oiso.kanagawa.jp/sangyo/doro/1359443393477.html</x:v>
      </x:c>
      <x:c r="O59" s="27" t="str">
        <x:v>大磯は明治期に海水浴場と政財界人の別荘地として発展し、日本の近代リゾート文化の先駆けとなった。</x:v>
      </x:c>
      <x:c r="P59" s="84" t="e">
        <x:f>HYPERLINK("https://ja.wikipedia.org/wiki/Special:Search?search=%E5%A4%A7%E7%A3%AF%E6%B8%AF","Wikipedia・関連項目")</x:f>
      </x:c>
      <x:c r="Q59" s="27"/>
      <x:c r="R59" s="27" t="str">
        <x:v>35km超</x:v>
      </x:c>
      <x:c r="S59" s="27" t="str">
        <x:v>概ね35km超</x:v>
      </x:c>
      <x:c r="T59" s="27" t="str">
        <x:v>通常90分超</x:v>
      </x:c>
      <x:c r="U59" s="27" t="str">
        <x:v>海・港</x:v>
      </x:c>
      <x:c r="V59" s="27" t="str">
        <x:v>30〜90分</x:v>
      </x:c>
      <x:c r="W59" s="27" t="n">
        <x:v>2</x:v>
      </x:c>
      <x:c r="X59" s="27" t="n">
        <x:v>3</x:v>
      </x:c>
      <x:c r="Y59" s="27" t="str">
        <x:v>城南島海浜公園</x:v>
      </x:c>
      <x:c r="Z59" s="27" t="str">
        <x:v>潮風公園／晴海ふ頭公園</x:v>
      </x:c>
      <x:c r="AA59" s="22" t="str">
        <x:v>なし</x:v>
      </x:c>
      <x:c r="AB59" s="22" t="str">
        <x:v>-</x:v>
      </x:c>
      <x:c r="AC59" s="22" t="str"/>
      <x:c r="AD59" s="22" t="str">
        <x:v>専用・路外駐車を基本</x:v>
      </x:c>
      <x:c r="AE59" s="22" t="str"/>
    </x:row>
    <x:row r="60">
      <x:c r="A60" s="27" t="str">
        <x:v>D090</x:v>
      </x:c>
      <x:c r="B60" s="27" t="str">
        <x:v>菜の花台展望台</x:v>
      </x:c>
      <x:c r="C60" s="27" t="str">
        <x:v>秦野市・羽根</x:v>
      </x:c>
      <x:c r="D60" s="27" t="str">
        <x:v>高台・富士山・ワインディング</x:v>
      </x:c>
      <x:c r="E60" s="48" t="e">
        <x:f>HYPERLINK("https://www.google.com/maps/dir/?api=1&amp;destination=%E8%8F%9C%E3%81%AE%E8%8A%B1%E5%8F%B0%E5%B1%95%E6%9C%9B%E5%8F%B0&amp;travelmode=driving","現在地からナビ開始")</x:f>
      </x:c>
      <x:c r="F60" s="27" t="str">
        <x:v>ヤビツ峠へ向かう山道の途中で秦野盆地・相模湾・富士山を望め、道路型Endingとして強い。</x:v>
      </x:c>
      <x:c r="G60" s="27" t="str">
        <x:v>あり・無料・小規模</x:v>
      </x:c>
      <x:c r="H60" s="27" t="str">
        <x:v>利用時間の明記なし／現地掲示優先</x:v>
      </x:c>
      <x:c r="I60" s="27" t="n">
        <x:v>4</x:v>
      </x:c>
      <x:c r="J60" s="27" t="n">
        <x:v>4</x:v>
      </x:c>
      <x:c r="K60" s="27" t="str">
        <x:v>夜は暗く、霧・凍結・野生動物に注意。満車時の路上駐車は禁止。</x:v>
      </x:c>
      <x:c r="L60" s="28" t="n">
        <x:v>46232</x:v>
      </x:c>
      <x:c r="M60" s="27" t="str">
        <x:v>当日再確認</x:v>
      </x:c>
      <x:c r="N60" s="27" t="str">
        <x:v>https://www.city.hadano.kanagawa.jp/soshiki/7/1051/2/2204.html</x:v>
      </x:c>
      <x:c r="O60" s="27" t="str">
        <x:v>ヤビツ峠の『ヤビツ』は、戦国期の矢を入れる櫃が見つかったという伝承に由来するとされる。</x:v>
      </x:c>
      <x:c r="P60" s="84" t="e">
        <x:f>HYPERLINK("https://ja.wikipedia.org/wiki/Special:Search?search=%E8%8F%9C%E3%81%AE%E8%8A%B1%E5%8F%B0%E5%B1%95%E6%9C%9B%E5%8F%B0","Wikipedia・関連項目")</x:f>
      </x:c>
      <x:c r="Q60" s="27"/>
      <x:c r="R60" s="27" t="str">
        <x:v>35km超</x:v>
      </x:c>
      <x:c r="S60" s="27" t="str">
        <x:v>概ね35km超</x:v>
      </x:c>
      <x:c r="T60" s="27" t="str">
        <x:v>通常90分超</x:v>
      </x:c>
      <x:c r="U60" s="27" t="str">
        <x:v>平日夜・深夜</x:v>
      </x:c>
      <x:c r="V60" s="27" t="str">
        <x:v>30〜60分</x:v>
      </x:c>
      <x:c r="W60" s="27" t="n">
        <x:v>1</x:v>
      </x:c>
      <x:c r="X60" s="27" t="n">
        <x:v>1</x:v>
      </x:c>
      <x:c r="Y60" s="27" t="str">
        <x:v>羽田空港 第3ターミナル展望デッキ</x:v>
      </x:c>
      <x:c r="Z60" s="27" t="str">
        <x:v>城南島海浜公園／潮風公園</x:v>
      </x:c>
      <x:c r="AA60" s="22" t="str">
        <x:v>なし</x:v>
      </x:c>
      <x:c r="AB60" s="22" t="str">
        <x:v>-</x:v>
      </x:c>
      <x:c r="AC60" s="22" t="str"/>
      <x:c r="AD60" s="22" t="str">
        <x:v>専用・路外駐車を基本</x:v>
      </x:c>
      <x:c r="AE60" s="22" t="str"/>
    </x:row>
    <x:row r="61">
      <x:c r="A61" s="27" t="str">
        <x:v>D091</x:v>
      </x:c>
      <x:c r="B61" s="27" t="str">
        <x:v>道の駅 清川</x:v>
      </x:c>
      <x:c r="C61" s="27" t="str">
        <x:v>清川村・煤ヶ谷</x:v>
      </x:c>
      <x:c r="D61" s="27" t="str">
        <x:v>道の駅・山・静かな休憩</x:v>
      </x:c>
      <x:c r="E61" s="48" t="e">
        <x:f>HYPERLINK("https://www.google.com/maps/dir/?api=1&amp;destination=%E9%81%93%E3%81%AE%E9%A7%85%20%E6%B8%85%E5%B7%9D&amp;travelmode=driving","現在地からナビ開始")</x:f>
      </x:c>
      <x:c r="F61" s="27" t="str">
        <x:v>丹沢・宮ヶ瀬方面から戻る際、山間の静けさを保ったまま安全に休憩できる。</x:v>
      </x:c>
      <x:c r="G61" s="27" t="str">
        <x:v>あり・24時間利用可</x:v>
      </x:c>
      <x:c r="H61" s="27" t="str">
        <x:v>駐車場・トイレ 24時間／店舗 10:00～18:00</x:v>
      </x:c>
      <x:c r="I61" s="27" t="n">
        <x:v>4</x:v>
      </x:c>
      <x:c r="J61" s="27" t="n">
        <x:v>3</x:v>
      </x:c>
      <x:c r="K61" s="27" t="str">
        <x:v>村中心部に位置するため深夜の騒音・長時間占有を避ける。</x:v>
      </x:c>
      <x:c r="L61" s="28" t="n">
        <x:v>46232</x:v>
      </x:c>
      <x:c r="M61" s="27" t="str">
        <x:v>一次確認済</x:v>
      </x:c>
      <x:c r="N61" s="27" t="str">
        <x:v>https://michinoeki-kiyokawa.jp/</x:v>
      </x:c>
      <x:c r="O61" s="27" t="str">
        <x:v>清川村は神奈川県で唯一の『村』で、丹沢山地と宮ヶ瀬湖に囲まれている。</x:v>
      </x:c>
      <x:c r="P61" s="84" t="e">
        <x:f>HYPERLINK("https://ja.wikipedia.org/wiki/Special:Search?search=%E9%81%93%E3%81%AE%E9%A7%85%20%E6%B8%85%E5%B7%9D","Wikipedia・関連項目")</x:f>
      </x:c>
      <x:c r="Q61" s="27"/>
      <x:c r="R61" s="27" t="str">
        <x:v>35km超</x:v>
      </x:c>
      <x:c r="S61" s="27" t="str">
        <x:v>概ね35km超</x:v>
      </x:c>
      <x:c r="T61" s="27" t="str">
        <x:v>通常90分超</x:v>
      </x:c>
      <x:c r="U61" s="27" t="str">
        <x:v>平日夜・深夜</x:v>
      </x:c>
      <x:c r="V61" s="27" t="str">
        <x:v>30〜60分</x:v>
      </x:c>
      <x:c r="W61" s="27" t="n">
        <x:v>4</x:v>
      </x:c>
      <x:c r="X61" s="27" t="n">
        <x:v>1</x:v>
      </x:c>
      <x:c r="Y61" s="27" t="str">
        <x:v>羽田空港 第3ターミナル展望デッキ</x:v>
      </x:c>
      <x:c r="Z61" s="27" t="str">
        <x:v>城南島海浜公園／潮風公園</x:v>
      </x:c>
      <x:c r="AA61" s="22" t="str">
        <x:v>なし</x:v>
      </x:c>
      <x:c r="AB61" s="22" t="str">
        <x:v>-</x:v>
      </x:c>
      <x:c r="AC61" s="22" t="str"/>
      <x:c r="AD61" s="22" t="str">
        <x:v>専用・路外駐車を基本</x:v>
      </x:c>
      <x:c r="AE61" s="22" t="str"/>
    </x:row>
    <x:row r="62">
      <x:c r="A62" s="27" t="str">
        <x:v>D092</x:v>
      </x:c>
      <x:c r="B62" s="27" t="str">
        <x:v>道の駅 八王子滝山</x:v>
      </x:c>
      <x:c r="C62" s="27" t="str">
        <x:v>八王子市・滝山町</x:v>
      </x:c>
      <x:c r="D62" s="27" t="str">
        <x:v>道の駅・東京西部・夜間休憩</x:v>
      </x:c>
      <x:c r="E62" s="48" t="e">
        <x:f>HYPERLINK("https://www.google.com/maps/dir/?api=1&amp;destination=%E9%81%93%E3%81%AE%E9%A7%85%20%E5%85%AB%E7%8E%8B%E5%AD%90%E6%BB%9D%E5%B1%B1&amp;travelmode=driving","現在地からナビ開始")</x:f>
      </x:c>
      <x:c r="F62" s="27" t="str">
        <x:v>東京西部の山・城址Sessionの帰路に、24時間の駐車とトイレで確実なEndingを作れる。</x:v>
      </x:c>
      <x:c r="G62" s="27" t="str">
        <x:v>あり・P1普通車55台ほか</x:v>
      </x:c>
      <x:c r="H62" s="27" t="str">
        <x:v>P1 24時間／P2 8:00～18:00</x:v>
      </x:c>
      <x:c r="I62" s="27" t="n">
        <x:v>4</x:v>
      </x:c>
      <x:c r="J62" s="27" t="n">
        <x:v>3</x:v>
      </x:c>
      <x:c r="K62" s="27" t="str">
        <x:v>北側道路は狭く通り抜け非推奨。繁忙時は誘導に従う。</x:v>
      </x:c>
      <x:c r="L62" s="28" t="n">
        <x:v>46232</x:v>
      </x:c>
      <x:c r="M62" s="27" t="str">
        <x:v>一次確認済</x:v>
      </x:c>
      <x:c r="N62" s="27" t="str">
        <x:v>https://www.michinoeki-hachioji.net/</x:v>
      </x:c>
      <x:c r="O62" s="27" t="str">
        <x:v>道の駅八王子滝山は東京都で最初に登録され、現在も都内唯一の道の駅として知られる。</x:v>
      </x:c>
      <x:c r="P62" s="84" t="e">
        <x:f>HYPERLINK("https://ja.wikipedia.org/wiki/Special:Search?search=%E9%81%93%E3%81%AE%E9%A7%85%20%E5%85%AB%E7%8E%8B%E5%AD%90%E6%BB%9D%E5%B1%B1","Wikipedia・関連項目")</x:f>
      </x:c>
      <x:c r="Q62" s="27"/>
      <x:c r="R62" s="27" t="str">
        <x:v>35km超</x:v>
      </x:c>
      <x:c r="S62" s="27" t="str">
        <x:v>概ね35km超</x:v>
      </x:c>
      <x:c r="T62" s="27" t="str">
        <x:v>通常90分超</x:v>
      </x:c>
      <x:c r="U62" s="27" t="str">
        <x:v>平日夜・深夜</x:v>
      </x:c>
      <x:c r="V62" s="27" t="str">
        <x:v>30〜60分</x:v>
      </x:c>
      <x:c r="W62" s="27" t="n">
        <x:v>4</x:v>
      </x:c>
      <x:c r="X62" s="27" t="n">
        <x:v>1</x:v>
      </x:c>
      <x:c r="Y62" s="27" t="str">
        <x:v>羽田空港 第3ターミナル展望デッキ</x:v>
      </x:c>
      <x:c r="Z62" s="27" t="str">
        <x:v>城南島海浜公園／潮風公園</x:v>
      </x:c>
      <x:c r="AA62" s="22" t="str">
        <x:v>なし</x:v>
      </x:c>
      <x:c r="AB62" s="22" t="str">
        <x:v>-</x:v>
      </x:c>
      <x:c r="AC62" s="22" t="str"/>
      <x:c r="AD62" s="22" t="str">
        <x:v>専用・路外駐車を基本</x:v>
      </x:c>
      <x:c r="AE62" s="22" t="str"/>
    </x:row>
    <x:row r="63">
      <x:c r="A63" s="27" t="str">
        <x:v>D093</x:v>
      </x:c>
      <x:c r="B63" s="27" t="str">
        <x:v>八王子城跡</x:v>
      </x:c>
      <x:c r="C63" s="27" t="str">
        <x:v>八王子市・元八王子町</x:v>
      </x:c>
      <x:c r="D63" s="27" t="str">
        <x:v>城跡・山・歴史</x:v>
      </x:c>
      <x:c r="E63" s="48" t="e">
        <x:f>HYPERLINK("https://www.google.com/maps/dir/?api=1&amp;destination=%E5%85%AB%E7%8E%8B%E5%AD%90%E5%9F%8E%E8%B7%A1&amp;travelmode=driving","現在地からナビ開始")</x:f>
      </x:c>
      <x:c r="F63" s="27" t="str">
        <x:v>山城の地形と深い森があり、歴史を伴う昼の到達型Endingとして成立する。</x:v>
      </x:c>
      <x:c r="G63" s="27" t="str">
        <x:v>あり・無料</x:v>
      </x:c>
      <x:c r="H63" s="27" t="str">
        <x:v>駐車場 9:00～17:00</x:v>
      </x:c>
      <x:c r="I63" s="27" t="n">
        <x:v>1</x:v>
      </x:c>
      <x:c r="J63" s="27" t="n">
        <x:v>4</x:v>
      </x:c>
      <x:c r="K63" s="27" t="str">
        <x:v>夜間不可。山道・遺構で足元注意。年末年始の施設閉鎖を確認。</x:v>
      </x:c>
      <x:c r="L63" s="28" t="n">
        <x:v>46232</x:v>
      </x:c>
      <x:c r="M63" s="27" t="str">
        <x:v>一次確認済</x:v>
      </x:c>
      <x:c r="N63" s="27" t="str">
        <x:v>https://www.city.hachioji.tokyo.jp/kurashi/kyoiku/005/bunkazaikanrenshisetsu/p005201.html</x:v>
      </x:c>
      <x:c r="O63" s="27" t="str">
        <x:v>八王子城は北条氏照が築いた山城で、1590年の豊臣秀吉による小田原攻めの中で落城した。</x:v>
      </x:c>
      <x:c r="P63" s="84" t="e">
        <x:f>HYPERLINK("https://ja.wikipedia.org/wiki/Special:Search?search=%E5%85%AB%E7%8E%8B%E5%AD%90%E5%9F%8E%E8%B7%A1","Wikipedia・関連項目")</x:f>
      </x:c>
      <x:c r="Q63" s="27"/>
      <x:c r="R63" s="27" t="str">
        <x:v>35km超</x:v>
      </x:c>
      <x:c r="S63" s="27" t="str">
        <x:v>概ね35km超</x:v>
      </x:c>
      <x:c r="T63" s="27" t="str">
        <x:v>通常90分超</x:v>
      </x:c>
      <x:c r="U63" s="27" t="str">
        <x:v>Story</x:v>
      </x:c>
      <x:c r="V63" s="27" t="str">
        <x:v>30〜60分</x:v>
      </x:c>
      <x:c r="W63" s="27" t="n">
        <x:v>2</x:v>
      </x:c>
      <x:c r="X63" s="27" t="n">
        <x:v>1</x:v>
      </x:c>
      <x:c r="Y63" s="27" t="str">
        <x:v>羽田空港 第3ターミナル展望デッキ</x:v>
      </x:c>
      <x:c r="Z63" s="27" t="str">
        <x:v>城南島海浜公園／潮風公園</x:v>
      </x:c>
      <x:c r="AA63" s="22" t="str">
        <x:v>なし</x:v>
      </x:c>
      <x:c r="AB63" s="22" t="str">
        <x:v>-</x:v>
      </x:c>
      <x:c r="AC63" s="22" t="str"/>
      <x:c r="AD63" s="22" t="str">
        <x:v>専用・路外駐車を基本</x:v>
      </x:c>
      <x:c r="AE63" s="22" t="str"/>
    </x:row>
    <x:row r="64">
      <x:c r="A64" s="27" t="str">
        <x:v>D094</x:v>
      </x:c>
      <x:c r="B64" s="27" t="str">
        <x:v>秋川渓谷 瀬音の湯</x:v>
      </x:c>
      <x:c r="C64" s="27" t="str">
        <x:v>あきる野市・乙津</x:v>
      </x:c>
      <x:c r="D64" s="27" t="str">
        <x:v>温泉・渓谷・夜間休憩</x:v>
      </x:c>
      <x:c r="E64" s="48" t="e">
        <x:f>HYPERLINK("https://www.google.com/maps/dir/?api=1&amp;destination=%E7%A7%8B%E5%B7%9D%E6%B8%93%E8%B0%B7%20%E7%80%AC%E9%9F%B3%E3%81%AE%E6%B9%AF&amp;travelmode=driving","現在地からナビ開始")</x:f>
      </x:c>
      <x:c r="F64" s="27" t="str">
        <x:v>秋川渓谷の山道を走った後、温泉と森の静けさで体験を完結できる。</x:v>
      </x:c>
      <x:c r="G64" s="27" t="str">
        <x:v>あり</x:v>
      </x:c>
      <x:c r="H64" s="27" t="str">
        <x:v>通常 10:00～22:00／季節短縮・休館あり</x:v>
      </x:c>
      <x:c r="I64" s="27" t="n">
        <x:v>4</x:v>
      </x:c>
      <x:c r="J64" s="27" t="n">
        <x:v>2</x:v>
      </x:c>
      <x:c r="K64" s="27" t="str">
        <x:v>最終受付・休館日を当日確認。疲労・飲酒後の運転は禁止。</x:v>
      </x:c>
      <x:c r="L64" s="28" t="n">
        <x:v>46232</x:v>
      </x:c>
      <x:c r="M64" s="27" t="str">
        <x:v>当日再確認</x:v>
      </x:c>
      <x:c r="N64" s="27" t="str">
        <x:v>https://www.city.akiruno.tokyo.jp/kanko/0000008755.html</x:v>
      </x:c>
      <x:c r="O64" s="27" t="str">
        <x:v>秋川渓谷は多摩川支流・秋川が刻んだ渓谷で、東京とは思えない岩場と清流景観が続く。</x:v>
      </x:c>
      <x:c r="P64" s="84" t="e">
        <x:f>HYPERLINK("https://ja.wikipedia.org/wiki/Special:Search?search=%E7%A7%8B%E5%B7%9D%E6%B8%93%E8%B0%B7%20%E7%80%AC%E9%9F%B3%E3%81%AE%E6%B9%AF","Wikipedia・関連項目")</x:f>
      </x:c>
      <x:c r="Q64" s="27"/>
      <x:c r="R64" s="27" t="str">
        <x:v>35km超</x:v>
      </x:c>
      <x:c r="S64" s="27" t="str">
        <x:v>概ね35km超</x:v>
      </x:c>
      <x:c r="T64" s="27" t="str">
        <x:v>通常90分超</x:v>
      </x:c>
      <x:c r="U64" s="27" t="str">
        <x:v>平日夜・深夜</x:v>
      </x:c>
      <x:c r="V64" s="27" t="str">
        <x:v>30〜60分</x:v>
      </x:c>
      <x:c r="W64" s="27" t="n">
        <x:v>2</x:v>
      </x:c>
      <x:c r="X64" s="27" t="n">
        <x:v>1</x:v>
      </x:c>
      <x:c r="Y64" s="27" t="str">
        <x:v>羽田空港 第3ターミナル展望デッキ</x:v>
      </x:c>
      <x:c r="Z64" s="27" t="str">
        <x:v>城南島海浜公園／潮風公園</x:v>
      </x:c>
      <x:c r="AA64" s="22" t="str">
        <x:v>なし</x:v>
      </x:c>
      <x:c r="AB64" s="22" t="str">
        <x:v>-</x:v>
      </x:c>
      <x:c r="AC64" s="22" t="str"/>
      <x:c r="AD64" s="22" t="str">
        <x:v>専用・路外駐車を基本</x:v>
      </x:c>
      <x:c r="AE64" s="22" t="str"/>
    </x:row>
    <x:row r="65">
      <x:c r="A65" s="27" t="str">
        <x:v>D095</x:v>
      </x:c>
      <x:c r="B65" s="27" t="str">
        <x:v>払沢の滝</x:v>
      </x:c>
      <x:c r="C65" s="27" t="str">
        <x:v>檜原村・本宿</x:v>
      </x:c>
      <x:c r="D65" s="27" t="str">
        <x:v>滝・森林・行き止まり</x:v>
      </x:c>
      <x:c r="E65" s="48" t="e">
        <x:f>HYPERLINK("https://www.google.com/maps/dir/?api=1&amp;destination=%E6%89%95%E6%B2%A2%E3%81%AE%E6%BB%9D&amp;travelmode=driving","現在地からナビ開始")</x:f>
      </x:c>
      <x:c r="F65" s="27" t="str">
        <x:v>駐車場から森を歩き、東京唯一の日本の滝百選へ到達する明確な終着体験がある。</x:v>
      </x:c>
      <x:c r="G65" s="27" t="str">
        <x:v>あり・約28台・無料</x:v>
      </x:c>
      <x:c r="H65" s="27" t="str">
        <x:v>駐車場時間の明記なし／昼間利用推奨</x:v>
      </x:c>
      <x:c r="I65" s="27" t="n">
        <x:v>1</x:v>
      </x:c>
      <x:c r="J65" s="27" t="n">
        <x:v>4</x:v>
      </x:c>
      <x:c r="K65" s="27" t="str">
        <x:v>徒歩約15分。夜間・凍結・大雨時は不向き。繁忙期は早朝から満車。</x:v>
      </x:c>
      <x:c r="L65" s="28" t="n">
        <x:v>46232</x:v>
      </x:c>
      <x:c r="M65" s="27" t="str">
        <x:v>当日再確認</x:v>
      </x:c>
      <x:c r="N65" s="27" t="str">
        <x:v>https://www.vill.hinohara.tokyo.jp/0000000023.html</x:v>
      </x:c>
      <x:c r="O65" s="27" t="str">
        <x:v>払沢の滝は東京都で唯一『日本の滝百選』に選ばれた滝で、冬には氷瀑となることがある。</x:v>
      </x:c>
      <x:c r="P65" s="84" t="e">
        <x:f>HYPERLINK("https://ja.wikipedia.org/wiki/Special:Search?search=%E6%89%95%E6%B2%A2%E3%81%AE%E6%BB%9D","Wikipedia・関連項目")</x:f>
      </x:c>
      <x:c r="Q65" s="27"/>
      <x:c r="R65" s="27" t="str">
        <x:v>35km超</x:v>
      </x:c>
      <x:c r="S65" s="27" t="str">
        <x:v>概ね35km超</x:v>
      </x:c>
      <x:c r="T65" s="27" t="str">
        <x:v>通常90分超</x:v>
      </x:c>
      <x:c r="U65" s="27" t="str">
        <x:v>休日半日</x:v>
      </x:c>
      <x:c r="V65" s="27" t="str">
        <x:v>30〜90分</x:v>
      </x:c>
      <x:c r="W65" s="27" t="n">
        <x:v>1</x:v>
      </x:c>
      <x:c r="X65" s="27" t="n">
        <x:v>1</x:v>
      </x:c>
      <x:c r="Y65" s="27" t="str">
        <x:v>平和の森公園</x:v>
      </x:c>
      <x:c r="Z65" s="27" t="str">
        <x:v>大森ふるさとの浜辺公園／森ケ崎公園</x:v>
      </x:c>
      <x:c r="AA65" s="22" t="str">
        <x:v>なし</x:v>
      </x:c>
      <x:c r="AB65" s="22" t="str">
        <x:v>-</x:v>
      </x:c>
      <x:c r="AC65" s="22" t="str"/>
      <x:c r="AD65" s="22" t="str">
        <x:v>専用・路外駐車を基本</x:v>
      </x:c>
      <x:c r="AE65" s="22" t="str"/>
    </x:row>
    <x:row r="66">
      <x:c r="A66" s="27" t="str">
        <x:v>D099</x:v>
      </x:c>
      <x:c r="B66" s="27" t="str">
        <x:v>小金井公園</x:v>
      </x:c>
      <x:c r="C66" s="27" t="str">
        <x:v>小金井市・関野町</x:v>
      </x:c>
      <x:c r="D66" s="27" t="str">
        <x:v>大規模公園・並木・夜間休憩</x:v>
      </x:c>
      <x:c r="E66" s="48" t="e">
        <x:f>HYPERLINK("https://www.google.com/maps/dir/?api=1&amp;destination=%E5%B0%8F%E9%87%91%E4%BA%95%E5%85%AC%E5%9C%92&amp;travelmode=driving","現在地からナビ開始")</x:f>
      </x:c>
      <x:c r="F66" s="27" t="str">
        <x:v>東京西部で広い公園と並木に到達し、夜間でも安全な駐車場を利用できる。</x:v>
      </x:c>
      <x:c r="G66" s="27" t="str">
        <x:v>あり・557台・有料</x:v>
      </x:c>
      <x:c r="H66" s="27" t="str">
        <x:v>第一・第二駐車場 24時間</x:v>
      </x:c>
      <x:c r="I66" s="27" t="n">
        <x:v>4</x:v>
      </x:c>
      <x:c r="J66" s="27" t="n">
        <x:v>3</x:v>
      </x:c>
      <x:c r="K66" s="27" t="str">
        <x:v>休日は五日市街道が渋滞。入庫規制時の路上待機は禁止。</x:v>
      </x:c>
      <x:c r="L66" s="28" t="n">
        <x:v>46232</x:v>
      </x:c>
      <x:c r="M66" s="27" t="str">
        <x:v>一次確認済</x:v>
      </x:c>
      <x:c r="N66" s="27" t="str">
        <x:v>https://www.tokyo-park.or.jp/park/koganei/</x:v>
      </x:c>
      <x:c r="O66" s="27" t="str">
        <x:v>小金井公園内には江戸東京たてもの園があり、江戸から昭和の建築を移築保存している。</x:v>
      </x:c>
      <x:c r="P66" s="84" t="e">
        <x:f>HYPERLINK("https://ja.wikipedia.org/wiki/Special:Search?search=%E5%B0%8F%E9%87%91%E4%BA%95%E5%85%AC%E5%9C%92","Wikipedia・関連項目")</x:f>
      </x:c>
      <x:c r="Q66" s="27"/>
      <x:c r="R66" s="27" t="str">
        <x:v>35km超</x:v>
      </x:c>
      <x:c r="S66" s="27" t="str">
        <x:v>概ね35km超</x:v>
      </x:c>
      <x:c r="T66" s="27" t="str">
        <x:v>通常90分超</x:v>
      </x:c>
      <x:c r="U66" s="27" t="str">
        <x:v>平日夜・深夜</x:v>
      </x:c>
      <x:c r="V66" s="27" t="str">
        <x:v>30〜90分</x:v>
      </x:c>
      <x:c r="W66" s="27" t="n">
        <x:v>1</x:v>
      </x:c>
      <x:c r="X66" s="27" t="n">
        <x:v>1</x:v>
      </x:c>
      <x:c r="Y66" s="27" t="str">
        <x:v>平和の森公園</x:v>
      </x:c>
      <x:c r="Z66" s="27" t="str">
        <x:v>大森ふるさとの浜辺公園／森ケ崎公園</x:v>
      </x:c>
      <x:c r="AA66" s="22" t="str">
        <x:v>なし</x:v>
      </x:c>
      <x:c r="AB66" s="22" t="str">
        <x:v>-</x:v>
      </x:c>
      <x:c r="AC66" s="22" t="str"/>
      <x:c r="AD66" s="22" t="str">
        <x:v>専用・路外駐車を基本</x:v>
      </x:c>
      <x:c r="AE66" s="22" t="str"/>
    </x:row>
    <x:row r="67">
      <x:c r="A67" s="27" t="str">
        <x:v>D100</x:v>
      </x:c>
      <x:c r="B67" s="27" t="str">
        <x:v>石垣山一夜城歴史公園</x:v>
      </x:c>
      <x:c r="C67" s="27" t="str">
        <x:v>小田原市・早川</x:v>
      </x:c>
      <x:c r="D67" s="27" t="str">
        <x:v>城跡・高台・相模湾</x:v>
      </x:c>
      <x:c r="E67" s="48" t="e">
        <x:f>HYPERLINK("https://www.google.com/maps/dir/?api=1&amp;destination=%E7%9F%B3%E5%9E%A3%E5%B1%B1%E4%B8%80%E5%A4%9C%E5%9F%8E%E6%AD%B4%E5%8F%B2%E5%85%AC%E5%9C%92&amp;travelmode=driving","現在地からナビ開始")</x:f>
      </x:c>
      <x:c r="F67" s="27" t="str">
        <x:v>相模湾と小田原市街を見下ろす歴史的高台で、遠出した日の強い昼Endingになる。</x:v>
      </x:c>
      <x:c r="G67" s="27" t="str">
        <x:v>あり・無料</x:v>
      </x:c>
      <x:c r="H67" s="27" t="str">
        <x:v>駐車場・公園利用時間は当日現地掲示を確認</x:v>
      </x:c>
      <x:c r="I67" s="27" t="n">
        <x:v>1</x:v>
      </x:c>
      <x:c r="J67" s="27" t="n">
        <x:v>4</x:v>
      </x:c>
      <x:c r="K67" s="27" t="str">
        <x:v>農道が狭い区間あり。冬季凍結、イベント時の混雑、営業時間外の進入に注意。</x:v>
      </x:c>
      <x:c r="L67" s="28" t="n">
        <x:v>46232</x:v>
      </x:c>
      <x:c r="M67" s="27" t="str">
        <x:v>当日再確認</x:v>
      </x:c>
      <x:c r="N67" s="27" t="str">
        <x:v>https://www.city.odawara.kanagawa.jp/kanko/spot/ishigakiyama.html</x:v>
      </x:c>
      <x:c r="O67" s="27" t="str">
        <x:v>石垣山城は豊臣秀吉が小田原攻めの際に築き、周囲の木を一斉に伐って突然城が現れたように見せたため『一夜城』と呼ばれる。</x:v>
      </x:c>
      <x:c r="P67" s="84" t="e">
        <x:f>HYPERLINK("https://ja.wikipedia.org/wiki/Special:Search?search=%E7%9F%B3%E5%9E%A3%E5%B1%B1%E4%B8%80%E5%A4%9C%E5%9F%8E%E6%AD%B4%E5%8F%B2%E5%85%AC%E5%9C%92","Wikipedia・関連項目")</x:f>
      </x:c>
      <x:c r="Q67" s="27"/>
      <x:c r="R67" s="27" t="str">
        <x:v>35km超</x:v>
      </x:c>
      <x:c r="S67" s="27" t="str">
        <x:v>概ね35km超</x:v>
      </x:c>
      <x:c r="T67" s="27" t="str">
        <x:v>通常90分超</x:v>
      </x:c>
      <x:c r="U67" s="27" t="str">
        <x:v>Story</x:v>
      </x:c>
      <x:c r="V67" s="27" t="str">
        <x:v>30〜60分</x:v>
      </x:c>
      <x:c r="W67" s="27" t="n">
        <x:v>1</x:v>
      </x:c>
      <x:c r="X67" s="27" t="n">
        <x:v>1</x:v>
      </x:c>
      <x:c r="Y67" s="27" t="str">
        <x:v>羽田空港 第3ターミナル展望デッキ</x:v>
      </x:c>
      <x:c r="Z67" s="27" t="str">
        <x:v>城南島海浜公園／潮風公園</x:v>
      </x:c>
      <x:c r="AA67" s="22" t="str">
        <x:v>なし</x:v>
      </x:c>
      <x:c r="AB67" s="22" t="str">
        <x:v>-</x:v>
      </x:c>
      <x:c r="AC67" s="22" t="str"/>
      <x:c r="AD67" s="22" t="str">
        <x:v>専用・路外駐車を基本</x:v>
      </x:c>
      <x:c r="AE67" s="22" t="str"/>
    </x:row>
    <x:row r="68">
      <x:c r="A68" s="27" t="str">
        <x:v>D107</x:v>
      </x:c>
      <x:c r="B68" s="27" t="str">
        <x:v>海浜大通り展望駐車場</x:v>
      </x:c>
      <x:c r="C68" s="27" t="str">
        <x:v>千葉市・美浜区</x:v>
      </x:c>
      <x:c r="D68" s="27" t="str">
        <x:v>海・展望駐車場・車内鑑賞</x:v>
      </x:c>
      <x:c r="E68" s="48" t="e">
        <x:f>HYPERLINK("https://www.google.com/maps/dir/?api=1&amp;destination=%E6%B5%B7%E6%B5%9C%E5%A4%A7%E9%80%9A%E3%82%8A%E5%B1%95%E6%9C%9B%E9%A7%90%E8%BB%8A%E5%A0%B4&amp;travelmode=driving","現在地からナビ開始")</x:f>
      </x:c>
      <x:c r="F68" s="27" t="str">
        <x:v>車に乗ったまま東京湾、富士山、スカイツリー方面を眺められる希少な車中心Ending。</x:v>
      </x:c>
      <x:c r="G68" s="27" t="str">
        <x:v>あり・13台・有料</x:v>
      </x:c>
      <x:c r="H68" s="27" t="str">
        <x:v>利用時間は公式ページの最新案内確認</x:v>
      </x:c>
      <x:c r="I68" s="27" t="n">
        <x:v>5</x:v>
      </x:c>
      <x:c r="J68" s="27" t="n">
        <x:v>5</x:v>
      </x:c>
      <x:c r="K68" s="27" t="str">
        <x:v>台数が少ない。満車時の路上待機禁止。強風時は短時間利用。</x:v>
      </x:c>
      <x:c r="L68" s="28" t="n">
        <x:v>46232</x:v>
      </x:c>
      <x:c r="M68" s="27" t="str">
        <x:v>当日再確認</x:v>
      </x:c>
      <x:c r="N68" s="27" t="str">
        <x:v>https://www.city.chiba.jp/toshi/koenryokuchi/kanri/chuo-mihama/tennbou-chuushajou.html</x:v>
      </x:c>
      <x:c r="O68" s="27" t="str">
        <x:v>海浜大通り一帯は幕張新都心の埋立地で、直線道路と人工海岸は戦後の大規模都市計画の産物である。</x:v>
      </x:c>
      <x:c r="P68" s="84" t="e">
        <x:f>HYPERLINK("https://ja.wikipedia.org/wiki/Special:Search?search=%E6%B5%B7%E6%B5%9C%E5%A4%A7%E9%80%9A%E3%82%8A%E5%B1%95%E6%9C%9B%E9%A7%90%E8%BB%8A%E5%A0%B4","Wikipedia・関連項目")</x:f>
      </x:c>
      <x:c r="Q68" s="27" t="str">
        <x:v>2026-07-29品質補足：13台のみ。満車時は稲毛海浜公園・検見川の浜へ差替え。</x:v>
      </x:c>
      <x:c r="R68" s="27" t="str">
        <x:v>35km超</x:v>
      </x:c>
      <x:c r="S68" s="27" t="str">
        <x:v>概ね35km超</x:v>
      </x:c>
      <x:c r="T68" s="27" t="str">
        <x:v>通常90分超</x:v>
      </x:c>
      <x:c r="U68" s="27" t="str">
        <x:v>海・港</x:v>
      </x:c>
      <x:c r="V68" s="27" t="str">
        <x:v>30〜60分</x:v>
      </x:c>
      <x:c r="W68" s="27" t="n">
        <x:v>1</x:v>
      </x:c>
      <x:c r="X68" s="27" t="n">
        <x:v>4</x:v>
      </x:c>
      <x:c r="Y68" s="27" t="str">
        <x:v>城南島海浜公園</x:v>
      </x:c>
      <x:c r="Z68" s="27" t="str">
        <x:v>潮風公園／晴海ふ頭公園</x:v>
      </x:c>
      <x:c r="AA68" s="22" t="str">
        <x:v>なし</x:v>
      </x:c>
      <x:c r="AB68" s="22" t="str">
        <x:v>-</x:v>
      </x:c>
      <x:c r="AC68" s="22" t="str"/>
      <x:c r="AD68" s="22" t="str">
        <x:v>専用・路外駐車を基本</x:v>
      </x:c>
      <x:c r="AE68" s="22" t="str"/>
    </x:row>
    <x:row r="69">
      <x:c r="A69" s="27" t="str">
        <x:v>D110</x:v>
      </x:c>
      <x:c r="B69" s="27" t="str">
        <x:v>千葉ポートタワー</x:v>
      </x:c>
      <x:c r="C69" s="27" t="str">
        <x:v>千葉市・中央港</x:v>
      </x:c>
      <x:c r="D69" s="27" t="str">
        <x:v>展望塔・港・都市夜景</x:v>
      </x:c>
      <x:c r="E69" s="48" t="e">
        <x:f>HYPERLINK("https://www.google.com/maps/dir/?api=1&amp;destination=%E5%8D%83%E8%91%89%E3%83%9D%E3%83%BC%E3%83%88%E3%82%BF%E3%83%AF%E3%83%BC&amp;travelmode=driving","現在地からナビ開始")</x:f>
      </x:c>
      <x:c r="F69" s="27" t="str">
        <x:v>高さ113mの展望室から千葉港、幕張、東京湾を一望できる夜景Ending。</x:v>
      </x:c>
      <x:c r="G69" s="27" t="str">
        <x:v>あり・ポートパーク駐車場</x:v>
      </x:c>
      <x:c r="H69" s="27" t="str">
        <x:v>6～9月 9:00～21:00／10～5月は曜日で19～20時</x:v>
      </x:c>
      <x:c r="I69" s="27" t="n">
        <x:v>5</x:v>
      </x:c>
      <x:c r="J69" s="27" t="n">
        <x:v>2</x:v>
      </x:c>
      <x:c r="K69" s="27" t="str">
        <x:v>休館日・最終入館・イベント延長を当日確認。</x:v>
      </x:c>
      <x:c r="L69" s="28" t="n">
        <x:v>46232</x:v>
      </x:c>
      <x:c r="M69" s="27" t="str">
        <x:v>一次確認済</x:v>
      </x:c>
      <x:c r="N69" s="27" t="str">
        <x:v>https://www.city.chiba.jp/keizainosei/keizai/promotion/baria_kanko.html</x:v>
      </x:c>
      <x:c r="O69" s="27" t="str">
        <x:v>千葉ポートタワーは千葉県人口500万人突破を記念して建設された、高さ125mのガラス張り展望塔である。</x:v>
      </x:c>
      <x:c r="P69" s="84" t="e">
        <x:f>HYPERLINK("https://ja.wikipedia.org/wiki/Special:Search?search=%E5%8D%83%E8%91%89%E3%83%9D%E3%83%BC%E3%83%88%E3%82%BF%E3%83%AF%E3%83%BC","Wikipedia・関連項目")</x:f>
      </x:c>
      <x:c r="Q69" s="27"/>
      <x:c r="R69" s="27" t="str">
        <x:v>35km超</x:v>
      </x:c>
      <x:c r="S69" s="27" t="str">
        <x:v>概ね35km超</x:v>
      </x:c>
      <x:c r="T69" s="27" t="str">
        <x:v>通常90分超</x:v>
      </x:c>
      <x:c r="U69" s="27" t="str">
        <x:v>海・港</x:v>
      </x:c>
      <x:c r="V69" s="27" t="str">
        <x:v>30〜60分</x:v>
      </x:c>
      <x:c r="W69" s="27" t="n">
        <x:v>2</x:v>
      </x:c>
      <x:c r="X69" s="27" t="n">
        <x:v>3</x:v>
      </x:c>
      <x:c r="Y69" s="27" t="str">
        <x:v>城南島海浜公園</x:v>
      </x:c>
      <x:c r="Z69" s="27" t="str">
        <x:v>潮風公園／晴海ふ頭公園</x:v>
      </x:c>
      <x:c r="AA69" s="22" t="str">
        <x:v>なし</x:v>
      </x:c>
      <x:c r="AB69" s="22" t="str">
        <x:v>-</x:v>
      </x:c>
      <x:c r="AC69" s="22" t="str"/>
      <x:c r="AD69" s="22" t="str">
        <x:v>専用・路外駐車を基本</x:v>
      </x:c>
      <x:c r="AE69" s="22" t="str"/>
    </x:row>
    <x:row r="70">
      <x:c r="A70" s="27" t="str">
        <x:v>D111</x:v>
      </x:c>
      <x:c r="B70" s="27" t="str">
        <x:v>太田山公園</x:v>
      </x:c>
      <x:c r="C70" s="27" t="str">
        <x:v>木更津市・太田</x:v>
      </x:c>
      <x:c r="D70" s="27" t="str">
        <x:v>高台・展望塔・Story</x:v>
      </x:c>
      <x:c r="E70" s="48" t="e">
        <x:f>HYPERLINK("https://www.google.com/maps/dir/?api=1&amp;destination=%E5%A4%AA%E7%94%B0%E5%B1%B1%E5%85%AC%E5%9C%92&amp;travelmode=driving","現在地からナビ開始")</x:f>
      </x:c>
      <x:c r="F70" s="27" t="str">
        <x:v>木更津市街と東京湾を望む高台で、きみさらずタワーの物語性もある。</x:v>
      </x:c>
      <x:c r="G70" s="27" t="str">
        <x:v>あり・68台</x:v>
      </x:c>
      <x:c r="H70" s="27" t="str">
        <x:v>公園 常時開設</x:v>
      </x:c>
      <x:c r="I70" s="27" t="n">
        <x:v>4</x:v>
      </x:c>
      <x:c r="J70" s="27" t="n">
        <x:v>4</x:v>
      </x:c>
      <x:c r="K70" s="27" t="str">
        <x:v>夜間は展望塔周辺の足元に注意。桜期は混雑。</x:v>
      </x:c>
      <x:c r="L70" s="28" t="n">
        <x:v>46232</x:v>
      </x:c>
      <x:c r="M70" s="27" t="str">
        <x:v>一次確認済</x:v>
      </x:c>
      <x:c r="N70" s="27" t="str">
        <x:v>https://www.city.kisarazu.lg.jp/soshiki/toshiseibi/shigaichiseibi/1/park/2596.html</x:v>
      </x:c>
      <x:c r="O70" s="27" t="str">
        <x:v>太田山公園の名称と塔は、日本武尊が弟橘媛を偲んだ『君去らず』伝説を物語化している。</x:v>
      </x:c>
      <x:c r="P70" s="84" t="e">
        <x:f>HYPERLINK("https://ja.wikipedia.org/wiki/Special:Search?search=%E5%A4%AA%E7%94%B0%E5%B1%B1%E5%85%AC%E5%9C%92","Wikipedia・関連項目")</x:f>
      </x:c>
      <x:c r="Q70" s="27"/>
      <x:c r="R70" s="27" t="str">
        <x:v>35km超</x:v>
      </x:c>
      <x:c r="S70" s="27" t="str">
        <x:v>概ね35km超</x:v>
      </x:c>
      <x:c r="T70" s="27" t="str">
        <x:v>通常90分超</x:v>
      </x:c>
      <x:c r="U70" s="27" t="str">
        <x:v>Story</x:v>
      </x:c>
      <x:c r="V70" s="27" t="str">
        <x:v>30〜60分</x:v>
      </x:c>
      <x:c r="W70" s="27" t="n">
        <x:v>1</x:v>
      </x:c>
      <x:c r="X70" s="27" t="n">
        <x:v>1</x:v>
      </x:c>
      <x:c r="Y70" s="27" t="str">
        <x:v>羽田空港 第3ターミナル展望デッキ</x:v>
      </x:c>
      <x:c r="Z70" s="27" t="str">
        <x:v>城南島海浜公園／潮風公園</x:v>
      </x:c>
      <x:c r="AA70" s="22" t="str">
        <x:v>なし</x:v>
      </x:c>
      <x:c r="AB70" s="22" t="str">
        <x:v>-</x:v>
      </x:c>
      <x:c r="AC70" s="22" t="str"/>
      <x:c r="AD70" s="22" t="str">
        <x:v>専用・路外駐車を基本</x:v>
      </x:c>
      <x:c r="AE70" s="22" t="str"/>
    </x:row>
    <x:row r="71">
      <x:c r="A71" s="27" t="str">
        <x:v>D114</x:v>
      </x:c>
      <x:c r="B71" s="27" t="str">
        <x:v>まつぶし緑の丘公園</x:v>
      </x:c>
      <x:c r="C71" s="27" t="str">
        <x:v>松伏町・大川戸</x:v>
      </x:c>
      <x:c r="D71" s="27" t="str">
        <x:v>里山・360度展望</x:v>
      </x:c>
      <x:c r="E71" s="48" t="e">
        <x:f>HYPERLINK("https://www.google.com/maps/dir/?api=1&amp;destination=%E3%81%BE%E3%81%A4%E3%81%B6%E3%81%97%E7%B7%91%E3%81%AE%E4%B8%98%E5%85%AC%E5%9C%92&amp;travelmode=driving","現在地からナビ開始")</x:f>
      </x:c>
      <x:c r="F71" s="27" t="str">
        <x:v>人工の里山山頂から360度を望め、埼玉東部で空の広さを体験できる。</x:v>
      </x:c>
      <x:c r="G71" s="27" t="str">
        <x:v>あり</x:v>
      </x:c>
      <x:c r="H71" s="27" t="str">
        <x:v>駐車場時間は公園案内確認</x:v>
      </x:c>
      <x:c r="I71" s="27" t="n">
        <x:v>2</x:v>
      </x:c>
      <x:c r="J71" s="27" t="n">
        <x:v>4</x:v>
      </x:c>
      <x:c r="K71" s="27" t="str">
        <x:v>夜間不向き。初日の出や花イベント時は混雑。</x:v>
      </x:c>
      <x:c r="L71" s="28" t="n">
        <x:v>46232</x:v>
      </x:c>
      <x:c r="M71" s="27" t="str">
        <x:v>当日再確認</x:v>
      </x:c>
      <x:c r="N71" s="27" t="str">
        <x:v>https://www.pref.saitama.lg.jp/b0104/sityougaiyou/matubushigaiyou.html</x:v>
      </x:c>
      <x:c r="O71" s="27" t="str">
        <x:v>まつぶし緑の丘公園の大きな里山は、公共工事で生じた土を活用して造られた人工の丘である。</x:v>
      </x:c>
      <x:c r="P71" s="84" t="e">
        <x:f>HYPERLINK("https://ja.wikipedia.org/wiki/Special:Search?search=%E3%81%BE%E3%81%A4%E3%81%B6%E3%81%97%E7%B7%91%E3%81%AE%E4%B8%98%E5%85%AC%E5%9C%92","Wikipedia・関連項目")</x:f>
      </x:c>
      <x:c r="Q71" s="27"/>
      <x:c r="R71" s="27" t="str">
        <x:v>35km超</x:v>
      </x:c>
      <x:c r="S71" s="27" t="str">
        <x:v>概ね35km超</x:v>
      </x:c>
      <x:c r="T71" s="27" t="str">
        <x:v>通常90分超</x:v>
      </x:c>
      <x:c r="U71" s="27" t="str">
        <x:v>休日半日</x:v>
      </x:c>
      <x:c r="V71" s="27" t="str">
        <x:v>30〜60分</x:v>
      </x:c>
      <x:c r="W71" s="27" t="n">
        <x:v>2</x:v>
      </x:c>
      <x:c r="X71" s="27" t="n">
        <x:v>1</x:v>
      </x:c>
      <x:c r="Y71" s="27" t="str">
        <x:v>羽田空港 第3ターミナル展望デッキ</x:v>
      </x:c>
      <x:c r="Z71" s="27" t="str">
        <x:v>城南島海浜公園／潮風公園</x:v>
      </x:c>
      <x:c r="AA71" s="22" t="str">
        <x:v>なし</x:v>
      </x:c>
      <x:c r="AB71" s="22" t="str">
        <x:v>-</x:v>
      </x:c>
      <x:c r="AC71" s="22" t="str"/>
      <x:c r="AD71" s="22" t="str">
        <x:v>専用・路外駐車を基本</x:v>
      </x:c>
      <x:c r="AE71" s="22" t="str"/>
    </x:row>
    <x:row r="72">
      <x:c r="A72" s="27" t="str">
        <x:v>D115</x:v>
      </x:c>
      <x:c r="B72" s="27" t="str">
        <x:v>見沼自然公園</x:v>
      </x:c>
      <x:c r="C72" s="27" t="str">
        <x:v>さいたま市・緑区</x:v>
      </x:c>
      <x:c r="D72" s="27" t="str">
        <x:v>池・湿地・自然公園</x:v>
      </x:c>
      <x:c r="E72" s="48" t="e">
        <x:f>HYPERLINK("https://www.google.com/maps/dir/?api=1&amp;destination=%E8%A6%8B%E6%B2%BC%E8%87%AA%E7%84%B6%E5%85%AC%E5%9C%92&amp;travelmode=driving","現在地からナビ開始")</x:f>
      </x:c>
      <x:c r="F72" s="27" t="str">
        <x:v>見沼田圃の水辺と自然を感じられ、都市北側の昼間リカバリー地点になる。</x:v>
      </x:c>
      <x:c r="G72" s="27" t="str">
        <x:v>あり</x:v>
      </x:c>
      <x:c r="H72" s="27" t="str">
        <x:v>利用時間は現地掲示優先</x:v>
      </x:c>
      <x:c r="I72" s="27" t="n">
        <x:v>2</x:v>
      </x:c>
      <x:c r="J72" s="27" t="n">
        <x:v>4</x:v>
      </x:c>
      <x:c r="K72" s="27" t="str">
        <x:v>夜間不向き。雨後の園路と虫に注意。</x:v>
      </x:c>
      <x:c r="L72" s="28" t="n">
        <x:v>46232</x:v>
      </x:c>
      <x:c r="M72" s="27" t="str">
        <x:v>当日再確認</x:v>
      </x:c>
      <x:c r="N72" s="27" t="str">
        <x:v>https://saitama-riversupporters.pref.saitama.lg.jp/magazine/feature-suiren-hasu/</x:v>
      </x:c>
      <x:c r="O72" s="27" t="str">
        <x:v>見沼田圃は江戸時代に干拓された旧見沼の跡で、現在も首都圏有数の大規模緑地空間を形成する。</x:v>
      </x:c>
      <x:c r="P72" s="84" t="e">
        <x:f>HYPERLINK("https://ja.wikipedia.org/wiki/Special:Search?search=%E8%A6%8B%E6%B2%BC%E8%87%AA%E7%84%B6%E5%85%AC%E5%9C%92","Wikipedia・関連項目")</x:f>
      </x:c>
      <x:c r="Q72" s="27"/>
      <x:c r="R72" s="27" t="str">
        <x:v>35km超</x:v>
      </x:c>
      <x:c r="S72" s="27" t="str">
        <x:v>概ね35km超</x:v>
      </x:c>
      <x:c r="T72" s="27" t="str">
        <x:v>通常90分超</x:v>
      </x:c>
      <x:c r="U72" s="27" t="str">
        <x:v>水辺</x:v>
      </x:c>
      <x:c r="V72" s="27" t="str">
        <x:v>30〜90分</x:v>
      </x:c>
      <x:c r="W72" s="27" t="n">
        <x:v>1</x:v>
      </x:c>
      <x:c r="X72" s="27" t="n">
        <x:v>1</x:v>
      </x:c>
      <x:c r="Y72" s="27" t="str">
        <x:v>多摩川浅間神社</x:v>
      </x:c>
      <x:c r="Z72" s="27" t="str">
        <x:v>多摩川六郷橋緑地／多摩川ガス橋緑地</x:v>
      </x:c>
      <x:c r="AA72" s="22" t="str">
        <x:v>なし</x:v>
      </x:c>
      <x:c r="AB72" s="22" t="str">
        <x:v>-</x:v>
      </x:c>
      <x:c r="AC72" s="22" t="str"/>
      <x:c r="AD72" s="22" t="str">
        <x:v>専用・路外駐車を基本</x:v>
      </x:c>
      <x:c r="AE72" s="22" t="str"/>
    </x:row>
    <x:row r="73">
      <x:c r="A73" s="27" t="str">
        <x:v>D121</x:v>
      </x:c>
      <x:c r="B73" s="27" t="str">
        <x:v>所沢航空記念公園</x:v>
      </x:c>
      <x:c r="C73" s="27" t="str">
        <x:v>埼玉県所沢市</x:v>
      </x:c>
      <x:c r="D73" s="27" t="str">
        <x:v>飛行機・航空史・24時間駐車</x:v>
      </x:c>
      <x:c r="E73" s="48" t="e">
        <x:f>HYPERLINK("https://www.google.com/maps/dir/?api=1&amp;destination=%E6%89%80%E6%B2%A2%E8%88%AA%E7%A9%BA%E8%A8%98%E5%BF%B5%E5%85%AC%E5%9C%92&amp;travelmode=driving","現在地からナビ開始")</x:f>
      </x:c>
      <x:c r="F73" s="27" t="str">
        <x:v>日本の航空発祥地というStory Layerと実機展示があり、昼は展示、夜は広い空と公園の余韻を楽しめる。</x:v>
      </x:c>
      <x:c r="G73" s="27" t="str">
        <x:v>あり・計580台、記念館横は工事閉鎖中</x:v>
      </x:c>
      <x:c r="H73" s="27" t="str">
        <x:v>南・東・北駐車場 24時間</x:v>
      </x:c>
      <x:c r="I73" s="27" t="n">
        <x:v>4</x:v>
      </x:c>
      <x:c r="J73" s="27" t="n">
        <x:v>3</x:v>
      </x:c>
      <x:c r="K73" s="27" t="str">
        <x:v>航空発祥記念館は2027年3月末予定まで改修中。夜は園路の明るい区域に限定。</x:v>
      </x:c>
      <x:c r="L73" s="28" t="n">
        <x:v>46232</x:v>
      </x:c>
      <x:c r="M73" s="27" t="str">
        <x:v>一次確認済</x:v>
      </x:c>
      <x:c r="N73" s="27" t="str">
        <x:v>https://www.parks.or.jp/tokorozawa-kokuu/guide/001/001581.html</x:v>
      </x:c>
      <x:c r="O73" s="27" t="str">
        <x:v>所沢には1911年、日本初の飛行場が開設され、『日本の航空発祥の地』とされている。</x:v>
      </x:c>
      <x:c r="P73" s="84" t="e">
        <x:f>HYPERLINK("https://ja.wikipedia.org/wiki/Special:Search?search=%E6%89%80%E6%B2%A2%E8%88%AA%E7%A9%BA%E8%A8%98%E5%BF%B5%E5%85%AC%E5%9C%92","Wikipedia・関連項目")</x:f>
      </x:c>
      <x:c r="Q73" s="27" t="str">
        <x:v>2026-07-29再点検：記念館改修中と24時間駐車場の役割分離を維持。</x:v>
      </x:c>
      <x:c r="R73" s="27" t="str">
        <x:v>35km超</x:v>
      </x:c>
      <x:c r="S73" s="27" t="str">
        <x:v>概ね35km超</x:v>
      </x:c>
      <x:c r="T73" s="27" t="str">
        <x:v>通常90分超</x:v>
      </x:c>
      <x:c r="U73" s="27" t="str">
        <x:v>飛行機</x:v>
      </x:c>
      <x:c r="V73" s="27" t="str">
        <x:v>30〜60分</x:v>
      </x:c>
      <x:c r="W73" s="27" t="n">
        <x:v>2</x:v>
      </x:c>
      <x:c r="X73" s="27" t="n">
        <x:v>4</x:v>
      </x:c>
      <x:c r="Y73" s="27" t="str">
        <x:v>城南島海浜公園</x:v>
      </x:c>
      <x:c r="Z73" s="27" t="str">
        <x:v>京浜島つばさ公園／羽田空港 第3ターミナル展望デッキ</x:v>
      </x:c>
      <x:c r="AA73" s="22" t="str">
        <x:v>なし</x:v>
      </x:c>
      <x:c r="AB73" s="22" t="str">
        <x:v>-</x:v>
      </x:c>
      <x:c r="AC73" s="22" t="str"/>
      <x:c r="AD73" s="22" t="str">
        <x:v>専用・路外駐車を基本</x:v>
      </x:c>
      <x:c r="AE73" s="22" t="str"/>
    </x:row>
    <x:row r="74">
      <x:c r="A74" s="27" t="str">
        <x:v>D122</x:v>
      </x:c>
      <x:c r="B74" s="27" t="str">
        <x:v>国営昭和記念公園</x:v>
      </x:c>
      <x:c r="C74" s="27" t="str">
        <x:v>東京都立川市</x:v>
      </x:c>
      <x:c r="D74" s="27" t="str">
        <x:v>大規模公園・花・季節景観</x:v>
      </x:c>
      <x:c r="E74" s="48" t="e">
        <x:f>HYPERLINK("https://www.google.com/maps/dir/?api=1&amp;destination=%E5%9B%BD%E5%96%B6%E6%98%AD%E5%92%8C%E8%A8%98%E5%BF%B5%E5%85%AC%E5%9C%92&amp;travelmode=driving","現在地からナビ開始")</x:f>
      </x:c>
      <x:c r="F74" s="27" t="str">
        <x:v>広大な園内と季節の花、並木、原っぱがあり、休日の長距離公園Sessionを一本で完結できる。</x:v>
      </x:c>
      <x:c r="G74" s="27" t="str">
        <x:v>あり・立川口、西立川口、砂川口</x:v>
      </x:c>
      <x:c r="H74" s="27" t="str">
        <x:v>有料区域 9:30～17:00中心／土日祝は季節延長あり</x:v>
      </x:c>
      <x:c r="I74" s="27" t="n">
        <x:v>2</x:v>
      </x:c>
      <x:c r="J74" s="27" t="n">
        <x:v>1</x:v>
      </x:c>
      <x:c r="K74" s="27" t="str">
        <x:v>駐車場入口は閉園30分前に閉門。行楽期は満車。2026年は一部施設工事あり。</x:v>
      </x:c>
      <x:c r="L74" s="28" t="n">
        <x:v>46232</x:v>
      </x:c>
      <x:c r="M74" s="27" t="str">
        <x:v>一次確認済</x:v>
      </x:c>
      <x:c r="N74" s="27" t="str">
        <x:v>https://www.showakinen-koen.jp/access/</x:v>
      </x:c>
      <x:c r="O74" s="27" t="str">
        <x:v>昭和記念公園は旧立川飛行場・米軍立川基地の跡地に、昭和天皇在位50年記念事業として整備された。</x:v>
      </x:c>
      <x:c r="P74" s="84" t="e">
        <x:f>HYPERLINK("https://ja.wikipedia.org/wiki/Special:Search?search=%E5%9B%BD%E5%96%B6%E6%98%AD%E5%92%8C%E8%A8%98%E5%BF%B5%E5%85%AC%E5%9C%92","Wikipedia・関連項目")</x:f>
      </x:c>
      <x:c r="Q74" s="27"/>
      <x:c r="R74" s="27" t="str">
        <x:v>35km超</x:v>
      </x:c>
      <x:c r="S74" s="27" t="str">
        <x:v>概ね35km超</x:v>
      </x:c>
      <x:c r="T74" s="27" t="str">
        <x:v>通常90分超</x:v>
      </x:c>
      <x:c r="U74" s="27" t="str">
        <x:v>休日半日</x:v>
      </x:c>
      <x:c r="V74" s="27" t="str">
        <x:v>30〜90分</x:v>
      </x:c>
      <x:c r="W74" s="27" t="n">
        <x:v>1</x:v>
      </x:c>
      <x:c r="X74" s="27" t="n">
        <x:v>1</x:v>
      </x:c>
      <x:c r="Y74" s="27" t="str">
        <x:v>平和の森公園</x:v>
      </x:c>
      <x:c r="Z74" s="27" t="str">
        <x:v>大森ふるさとの浜辺公園／森ケ崎公園</x:v>
      </x:c>
      <x:c r="AA74" s="22" t="str">
        <x:v>なし</x:v>
      </x:c>
      <x:c r="AB74" s="22" t="str">
        <x:v>-</x:v>
      </x:c>
      <x:c r="AC74" s="22" t="str"/>
      <x:c r="AD74" s="22" t="str">
        <x:v>専用・路外駐車を基本</x:v>
      </x:c>
      <x:c r="AE74" s="22" t="str"/>
    </x:row>
    <x:row r="75">
      <x:c r="A75" s="27" t="str">
        <x:v>D123</x:v>
      </x:c>
      <x:c r="B75" s="27" t="str">
        <x:v>トーベ・ヤンソンあけぼの子どもの森公園</x:v>
      </x:c>
      <x:c r="C75" s="27" t="str">
        <x:v>埼玉県飯能市</x:v>
      </x:c>
      <x:c r="D75" s="27" t="str">
        <x:v>Story・建築・森林</x:v>
      </x:c>
      <x:c r="E75" s="48" t="e">
        <x:f>HYPERLINK("https://www.google.com/maps/dir/?api=1&amp;destination=%E3%83%88%E3%83%BC%E3%83%99%E3%83%BB%E3%83%A4%E3%83%B3%E3%82%BD%E3%83%B3%E3%81%82%E3%81%91%E3%81%BC%E3%81%AE%E5%AD%90%E3%81%A9%E3%82%82%E3%81%AE%E6%A3%AE%E5%85%AC%E5%9C%92&amp;travelmode=driving","現在地からナビ開始")</x:f>
      </x:c>
      <x:c r="F75" s="27" t="str">
        <x:v>北欧童話のような建築と森が一体になり、映画・アニメ聖地とは別系統の物語体験Endingになる。</x:v>
      </x:c>
      <x:c r="G75" s="27" t="str">
        <x:v>あり・無料</x:v>
      </x:c>
      <x:c r="H75" s="27" t="str">
        <x:v>9:00～17:00／季節で開園曜日が変動</x:v>
      </x:c>
      <x:c r="I75" s="27" t="n">
        <x:v>1</x:v>
      </x:c>
      <x:c r="J75" s="27" t="n">
        <x:v>3</x:v>
      </x:c>
      <x:c r="K75" s="27" t="str">
        <x:v>2026年度は季節別休園日を導入しライトアップ休止。開園カレンダーを当日確認。</x:v>
      </x:c>
      <x:c r="L75" s="28" t="n">
        <x:v>46232</x:v>
      </x:c>
      <x:c r="M75" s="27" t="str">
        <x:v>一次確認済</x:v>
      </x:c>
      <x:c r="N75" s="27" t="str">
        <x:v>https://www.city.hanno.lg.jp/akebono/annai/2113.html</x:v>
      </x:c>
      <x:c r="O75" s="27" t="str">
        <x:v>公園名のトーベ・ヤンソンは『ムーミン』作者で、北欧の自然観と建築世界を公園空間に取り入れている。</x:v>
      </x:c>
      <x:c r="P75" s="84" t="e">
        <x:f>HYPERLINK("https://ja.wikipedia.org/wiki/Special:Search?search=%E3%83%88%E3%83%BC%E3%83%99%E3%83%BB%E3%83%A4%E3%83%B3%E3%82%BD%E3%83%B3%E3%81%82%E3%81%91%E3%81%BC%E3%81%AE%E5%AD%90%E3%81%A9%E3%82%82%E3%81%AE%E6%A3%AE%E5%85%AC%E5%9C%92","Wikipedia・関連項目")</x:f>
      </x:c>
      <x:c r="Q75" s="27" t="str">
        <x:v>2026-07-29再点検：2026年度は季節別休園日を導入し、ライトアップ休止。昼のStory目的地として維持。</x:v>
      </x:c>
      <x:c r="R75" s="27" t="str">
        <x:v>35km超</x:v>
      </x:c>
      <x:c r="S75" s="27" t="str">
        <x:v>概ね35km超</x:v>
      </x:c>
      <x:c r="T75" s="27" t="str">
        <x:v>通常90分超</x:v>
      </x:c>
      <x:c r="U75" s="27" t="str">
        <x:v>Story</x:v>
      </x:c>
      <x:c r="V75" s="27" t="str">
        <x:v>30〜90分</x:v>
      </x:c>
      <x:c r="W75" s="27" t="n">
        <x:v>1</x:v>
      </x:c>
      <x:c r="X75" s="27" t="n">
        <x:v>1</x:v>
      </x:c>
      <x:c r="Y75" s="27" t="str">
        <x:v>平和の森公園</x:v>
      </x:c>
      <x:c r="Z75" s="27" t="str">
        <x:v>大森ふるさとの浜辺公園／森ケ崎公園</x:v>
      </x:c>
      <x:c r="AA75" s="22" t="str">
        <x:v>なし</x:v>
      </x:c>
      <x:c r="AB75" s="22" t="str">
        <x:v>-</x:v>
      </x:c>
      <x:c r="AC75" s="22" t="str"/>
      <x:c r="AD75" s="22" t="str">
        <x:v>専用・路外駐車を基本</x:v>
      </x:c>
      <x:c r="AE75" s="22" t="str"/>
    </x:row>
    <x:row r="76">
      <x:c r="A76" s="27" t="str">
        <x:v>D124</x:v>
      </x:c>
      <x:c r="B76" s="27" t="str">
        <x:v>岩槻城址公園</x:v>
      </x:c>
      <x:c r="C76" s="27" t="str">
        <x:v>さいたま市岩槻区</x:v>
      </x:c>
      <x:c r="D76" s="27" t="str">
        <x:v>城址・池・Story</x:v>
      </x:c>
      <x:c r="E76" s="48" t="e">
        <x:f>HYPERLINK("https://www.google.com/maps/dir/?api=1&amp;destination=%E5%B2%A9%E6%A7%BB%E5%9F%8E%E5%9D%80%E5%85%AC%E5%9C%92&amp;travelmode=driving","現在地からナビ開始")</x:f>
      </x:c>
      <x:c r="F76" s="27" t="str">
        <x:v>城跡、菖蒲池、朱塗りの八つ橋、保存車両があり、歴史と昭和のStory Layerを重ねられる。</x:v>
      </x:c>
      <x:c r="G76" s="27" t="str">
        <x:v>あり・所定駐車場</x:v>
      </x:c>
      <x:c r="H76" s="27" t="str">
        <x:v>公園は常時利用可／運動施設は時間制</x:v>
      </x:c>
      <x:c r="I76" s="27" t="n">
        <x:v>3</x:v>
      </x:c>
      <x:c r="J76" s="27" t="n">
        <x:v>4</x:v>
      </x:c>
      <x:c r="K76" s="27" t="str">
        <x:v>駐車台数・供用時間は当日確認。桜期や撮影日は混雑し、路上駐車は禁止。</x:v>
      </x:c>
      <x:c r="L76" s="28" t="n">
        <x:v>46232</x:v>
      </x:c>
      <x:c r="M76" s="27" t="str">
        <x:v>当日再確認</x:v>
      </x:c>
      <x:c r="N76" s="27" t="str">
        <x:v>https://www.city.saitama.lg.jp/004/006/003/003/p033549.html</x:v>
      </x:c>
      <x:c r="O76" s="27" t="str">
        <x:v>岩槻城は長く太田道灌築城説が有名だったが、近年は成田氏による築城説が有力とされる。</x:v>
      </x:c>
      <x:c r="P76" s="84" t="e">
        <x:f>HYPERLINK("https://ja.wikipedia.org/wiki/Special:Search?search=%E5%B2%A9%E6%A7%BB%E5%9F%8E%E5%9D%80%E5%85%AC%E5%9C%92","Wikipedia・関連項目")</x:f>
      </x:c>
      <x:c r="Q76" s="27"/>
      <x:c r="R76" s="27" t="str">
        <x:v>35km超</x:v>
      </x:c>
      <x:c r="S76" s="27" t="str">
        <x:v>概ね35km超</x:v>
      </x:c>
      <x:c r="T76" s="27" t="str">
        <x:v>通常90分超</x:v>
      </x:c>
      <x:c r="U76" s="27" t="str">
        <x:v>水辺</x:v>
      </x:c>
      <x:c r="V76" s="27" t="str">
        <x:v>30〜60分</x:v>
      </x:c>
      <x:c r="W76" s="27" t="n">
        <x:v>2</x:v>
      </x:c>
      <x:c r="X76" s="27" t="n">
        <x:v>1</x:v>
      </x:c>
      <x:c r="Y76" s="27" t="str">
        <x:v>多摩川浅間神社</x:v>
      </x:c>
      <x:c r="Z76" s="27" t="str">
        <x:v>多摩川六郷橋緑地／多摩川ガス橋緑地</x:v>
      </x:c>
      <x:c r="AA76" s="22" t="str">
        <x:v>なし</x:v>
      </x:c>
      <x:c r="AB76" s="22" t="str">
        <x:v>-</x:v>
      </x:c>
      <x:c r="AC76" s="22" t="str"/>
      <x:c r="AD76" s="22" t="str">
        <x:v>専用・路外駐車を基本</x:v>
      </x:c>
      <x:c r="AE76" s="22" t="str"/>
    </x:row>
    <x:row r="77">
      <x:c r="A77" s="27" t="str">
        <x:v>D125</x:v>
      </x:c>
      <x:c r="B77" s="27" t="str">
        <x:v>さきたま古墳公園</x:v>
      </x:c>
      <x:c r="C77" s="27" t="str">
        <x:v>埼玉県行田市</x:v>
      </x:c>
      <x:c r="D77" s="27" t="str">
        <x:v>古墳・広大公園・24時間駐車</x:v>
      </x:c>
      <x:c r="E77" s="48" t="e">
        <x:f>HYPERLINK("https://www.google.com/maps/dir/?api=1&amp;destination=%E3%81%95%E3%81%8D%E3%81%9F%E3%81%BE%E5%8F%A4%E5%A2%B3%E5%85%AC%E5%9C%92&amp;travelmode=driving","現在地からナビ開始")</x:f>
      </x:c>
      <x:c r="F77" s="27" t="str">
        <x:v>大型古墳群の輪郭と広い空があり、古代史を伴う強い到達感を作れる。</x:v>
      </x:c>
      <x:c r="G77" s="27" t="str">
        <x:v>あり・約295台、無料</x:v>
      </x:c>
      <x:c r="H77" s="27" t="str">
        <x:v>駐車場 24時間・年中無休</x:v>
      </x:c>
      <x:c r="I77" s="27" t="n">
        <x:v>4</x:v>
      </x:c>
      <x:c r="J77" s="27" t="n">
        <x:v>3</x:v>
      </x:c>
      <x:c r="K77" s="27" t="str">
        <x:v>夜間は照明のある区域に限定。古墳の立入禁止区域や園路への車両進入は禁止。</x:v>
      </x:c>
      <x:c r="L77" s="28" t="n">
        <x:v>46232</x:v>
      </x:c>
      <x:c r="M77" s="27" t="str">
        <x:v>一次確認済</x:v>
      </x:c>
      <x:c r="N77" s="27" t="str">
        <x:v>https://sakitama-muse.spec.ed.jp/faqs/faq_questions/view/446/1cd88b621f0b3d9d86d3b767cf670983</x:v>
      </x:c>
      <x:c r="O77" s="27" t="str">
        <x:v>さきたま古墳群の丸墓山古墳は日本最大級の円墳で、稲荷山古墳出土の鉄剣銘は古代史の重要資料である。</x:v>
      </x:c>
      <x:c r="P77" s="84" t="e">
        <x:f>HYPERLINK("https://ja.wikipedia.org/wiki/Special:Search?search=%E3%81%95%E3%81%8D%E3%81%9F%E3%81%BE%E5%8F%A4%E5%A2%B3%E5%85%AC%E5%9C%92","Wikipedia・関連項目")</x:f>
      </x:c>
      <x:c r="Q77" s="27"/>
      <x:c r="R77" s="27" t="str">
        <x:v>35km超</x:v>
      </x:c>
      <x:c r="S77" s="27" t="str">
        <x:v>概ね35km超</x:v>
      </x:c>
      <x:c r="T77" s="27" t="str">
        <x:v>通常90分超</x:v>
      </x:c>
      <x:c r="U77" s="27" t="str">
        <x:v>平日夜・深夜</x:v>
      </x:c>
      <x:c r="V77" s="27" t="str">
        <x:v>30〜90分</x:v>
      </x:c>
      <x:c r="W77" s="27" t="n">
        <x:v>1</x:v>
      </x:c>
      <x:c r="X77" s="27" t="n">
        <x:v>1</x:v>
      </x:c>
      <x:c r="Y77" s="27" t="str">
        <x:v>平和の森公園</x:v>
      </x:c>
      <x:c r="Z77" s="27" t="str">
        <x:v>大森ふるさとの浜辺公園／森ケ崎公園</x:v>
      </x:c>
      <x:c r="AA77" s="22" t="str">
        <x:v>なし</x:v>
      </x:c>
      <x:c r="AB77" s="22" t="str">
        <x:v>-</x:v>
      </x:c>
      <x:c r="AC77" s="22" t="str"/>
      <x:c r="AD77" s="22" t="str">
        <x:v>専用・路外駐車を基本</x:v>
      </x:c>
      <x:c r="AE77" s="22" t="str"/>
    </x:row>
    <x:row r="78">
      <x:c r="A78" s="27" t="str">
        <x:v>D126</x:v>
      </x:c>
      <x:c r="B78" s="27" t="str">
        <x:v>巾着田曼珠沙華公園</x:v>
      </x:c>
      <x:c r="C78" s="27" t="str">
        <x:v>埼玉県日高市</x:v>
      </x:c>
      <x:c r="D78" s="27" t="str">
        <x:v>河川敷・季節景観・高麗川</x:v>
      </x:c>
      <x:c r="E78" s="48" t="e">
        <x:f>HYPERLINK("https://www.google.com/maps/dir/?api=1&amp;destination=%E5%B7%BE%E7%9D%80%E7%94%B0%E6%9B%BC%E7%8F%A0%E6%B2%99%E8%8F%AF%E5%85%AC%E5%9C%92&amp;travelmode=driving","現在地からナビ開始")</x:f>
      </x:c>
      <x:c r="F78" s="27" t="str">
        <x:v>高麗川が巾着状に囲む地形と季節の花があり、都市圏から河川・農地へ抜ける到達感がある。</x:v>
      </x:c>
      <x:c r="G78" s="27" t="str">
        <x:v>あり・有料</x:v>
      </x:c>
      <x:c r="H78" s="27" t="str">
        <x:v>駐車場 7:00～17:00</x:v>
      </x:c>
      <x:c r="I78" s="27" t="n">
        <x:v>1</x:v>
      </x:c>
      <x:c r="J78" s="27" t="n">
        <x:v>3</x:v>
      </x:c>
      <x:c r="K78" s="27" t="str">
        <x:v>年末年始休場。曼珠沙華期は大渋滞。宿泊キャンプ禁止、増水・倒木時は避ける。</x:v>
      </x:c>
      <x:c r="L78" s="28" t="n">
        <x:v>46232</x:v>
      </x:c>
      <x:c r="M78" s="27" t="str">
        <x:v>一次確認済</x:v>
      </x:c>
      <x:c r="N78" s="27" t="str">
        <x:v>https://www.city.hidaka.lg.jp/soshiki/shiminseikatsu/sangyoshinko/shokokanko/kanko/kankou/5810.html</x:v>
      </x:c>
      <x:c r="O78" s="27" t="str">
        <x:v>巾着田の名は、高麗川が蛇行して土地を巾着袋の形に囲むことに由来する。</x:v>
      </x:c>
      <x:c r="P78" s="84" t="e">
        <x:f>HYPERLINK("https://ja.wikipedia.org/wiki/Special:Search?search=%E5%B7%BE%E7%9D%80%E7%94%B0%E6%9B%BC%E7%8F%A0%E6%B2%99%E8%8F%AF%E5%85%AC%E5%9C%92","Wikipedia・関連項目")</x:f>
      </x:c>
      <x:c r="Q78" s="27"/>
      <x:c r="R78" s="27" t="str">
        <x:v>35km超</x:v>
      </x:c>
      <x:c r="S78" s="27" t="str">
        <x:v>概ね35km超</x:v>
      </x:c>
      <x:c r="T78" s="27" t="str">
        <x:v>通常90分超</x:v>
      </x:c>
      <x:c r="U78" s="27" t="str">
        <x:v>水辺</x:v>
      </x:c>
      <x:c r="V78" s="27" t="str">
        <x:v>30〜90分</x:v>
      </x:c>
      <x:c r="W78" s="27" t="n">
        <x:v>1</x:v>
      </x:c>
      <x:c r="X78" s="27" t="n">
        <x:v>1</x:v>
      </x:c>
      <x:c r="Y78" s="27" t="str">
        <x:v>多摩川浅間神社</x:v>
      </x:c>
      <x:c r="Z78" s="27" t="str">
        <x:v>多摩川六郷橋緑地／多摩川ガス橋緑地</x:v>
      </x:c>
      <x:c r="AA78" s="22" t="str">
        <x:v>なし</x:v>
      </x:c>
      <x:c r="AB78" s="22" t="str">
        <x:v>-</x:v>
      </x:c>
      <x:c r="AC78" s="22" t="str"/>
      <x:c r="AD78" s="22" t="str">
        <x:v>専用・路外駐車を基本</x:v>
      </x:c>
      <x:c r="AE78" s="22" t="str"/>
    </x:row>
    <x:row r="79">
      <x:c r="A79" s="27" t="str">
        <x:v>D127</x:v>
      </x:c>
      <x:c r="B79" s="27" t="str">
        <x:v>県立座間谷戸山公園</x:v>
      </x:c>
      <x:c r="C79" s="27" t="str">
        <x:v>神奈川県座間市</x:v>
      </x:c>
      <x:c r="D79" s="27" t="str">
        <x:v>里山・谷戸・池</x:v>
      </x:c>
      <x:c r="E79" s="48" t="e">
        <x:f>HYPERLINK("https://www.google.com/maps/dir/?api=1&amp;destination=%E7%9C%8C%E7%AB%8B%E5%BA%A7%E9%96%93%E8%B0%B7%E6%88%B8%E5%B1%B1%E5%85%AC%E5%9C%92&amp;travelmode=driving","現在地からナビ開始")</x:f>
      </x:c>
      <x:c r="F79" s="27" t="str">
        <x:v>山・谷戸・里の3ゾーンが残り、厚木基地周辺の航空機系Sessionと自然系Endingを両立できる。</x:v>
      </x:c>
      <x:c r="G79" s="27" t="str">
        <x:v>あり・146台</x:v>
      </x:c>
      <x:c r="H79" s="27" t="str">
        <x:v>4～10月 7:00～18:00／11～3月 7:00～17:00</x:v>
      </x:c>
      <x:c r="I79" s="27" t="n">
        <x:v>1</x:v>
      </x:c>
      <x:c r="J79" s="27" t="n">
        <x:v>4</x:v>
      </x:c>
      <x:c r="K79" s="27" t="str">
        <x:v>夜間不向き。園路は自然度が高く、雨後の泥・虫・閉門時間に注意。</x:v>
      </x:c>
      <x:c r="L79" s="28" t="n">
        <x:v>46232</x:v>
      </x:c>
      <x:c r="M79" s="27" t="str">
        <x:v>一次確認済</x:v>
      </x:c>
      <x:c r="N79" s="27" t="str">
        <x:v>https://www.city.zama.kanagawa.jp/bunkasports/kouen/kouen/1003344.html</x:v>
      </x:c>
      <x:c r="O79" s="27" t="str">
        <x:v>座間谷戸山公園は谷戸・雑木林・湿地を丸ごと残す『自然生態観察公園』として整備された。</x:v>
      </x:c>
      <x:c r="P79" s="84" t="e">
        <x:f>HYPERLINK("https://ja.wikipedia.org/wiki/Special:Search?search=%E7%9C%8C%E7%AB%8B%E5%BA%A7%E9%96%93%E8%B0%B7%E6%88%B8%E5%B1%B1%E5%85%AC%E5%9C%92","Wikipedia・関連項目")</x:f>
      </x:c>
      <x:c r="Q79" s="27"/>
      <x:c r="R79" s="27" t="str">
        <x:v>35km超</x:v>
      </x:c>
      <x:c r="S79" s="27" t="str">
        <x:v>概ね35km超</x:v>
      </x:c>
      <x:c r="T79" s="27" t="str">
        <x:v>通常90分超</x:v>
      </x:c>
      <x:c r="U79" s="27" t="str">
        <x:v>水辺</x:v>
      </x:c>
      <x:c r="V79" s="27" t="str">
        <x:v>30〜60分</x:v>
      </x:c>
      <x:c r="W79" s="27" t="n">
        <x:v>2</x:v>
      </x:c>
      <x:c r="X79" s="27" t="n">
        <x:v>1</x:v>
      </x:c>
      <x:c r="Y79" s="27" t="str">
        <x:v>多摩川浅間神社</x:v>
      </x:c>
      <x:c r="Z79" s="27" t="str">
        <x:v>多摩川六郷橋緑地／多摩川ガス橋緑地</x:v>
      </x:c>
      <x:c r="AA79" s="22" t="str">
        <x:v>なし</x:v>
      </x:c>
      <x:c r="AB79" s="22" t="str">
        <x:v>-</x:v>
      </x:c>
      <x:c r="AC79" s="22" t="str"/>
      <x:c r="AD79" s="22" t="str">
        <x:v>専用・路外駐車を基本</x:v>
      </x:c>
      <x:c r="AE79" s="22" t="str"/>
    </x:row>
    <x:row r="80">
      <x:c r="A80" s="27" t="str">
        <x:v>D128</x:v>
      </x:c>
      <x:c r="B80" s="27" t="str">
        <x:v>城山湖散策路</x:v>
      </x:c>
      <x:c r="C80" s="27" t="str">
        <x:v>相模原市緑区</x:v>
      </x:c>
      <x:c r="D80" s="27" t="str">
        <x:v>湖・堤防・高台</x:v>
      </x:c>
      <x:c r="E80" s="48" t="e">
        <x:f>HYPERLINK("https://www.google.com/maps/dir/?api=1&amp;destination=%E5%9F%8E%E5%B1%B1%E6%B9%96%E6%95%A3%E7%AD%96%E8%B7%AF&amp;travelmode=driving","現在地からナビ開始")</x:f>
      </x:c>
      <x:c r="F80" s="27" t="str">
        <x:v>湖面、堤防、約200度の眺望があり、相模原西部の山道を走った末の明確なEndingになる。</x:v>
      </x:c>
      <x:c r="G80" s="27" t="str">
        <x:v>あり・約50台</x:v>
      </x:c>
      <x:c r="H80" s="27" t="str">
        <x:v>9:00～16:30</x:v>
      </x:c>
      <x:c r="I80" s="27" t="n">
        <x:v>1</x:v>
      </x:c>
      <x:c r="J80" s="27" t="n">
        <x:v>4</x:v>
      </x:c>
      <x:c r="K80" s="27" t="str">
        <x:v>ゲート閉鎖時刻厳守。夜間不可。散策路の再閉鎖・工事情報を当日確認。</x:v>
      </x:c>
      <x:c r="L80" s="28" t="n">
        <x:v>46232</x:v>
      </x:c>
      <x:c r="M80" s="27" t="str">
        <x:v>一次確認済</x:v>
      </x:c>
      <x:c r="N80" s="27" t="str">
        <x:v>https://www.city.sagamihara.kanagawa.jp/kurashi/shisetsu/kouen_kankou/kouen_ryokuchi/1003108.html</x:v>
      </x:c>
      <x:c r="O80" s="27" t="str">
        <x:v>城山湖は揚水式発電所の上池で、津久井湖を下池として夜間電力を蓄える巨大な蓄電池の役割を持つ。</x:v>
      </x:c>
      <x:c r="P80" s="84" t="e">
        <x:f>HYPERLINK("https://ja.wikipedia.org/wiki/Special:Search?search=%E5%9F%8E%E5%B1%B1%E6%B9%96%E6%95%A3%E7%AD%96%E8%B7%AF","Wikipedia・関連項目")</x:f>
      </x:c>
      <x:c r="Q80" s="27"/>
      <x:c r="R80" s="27" t="str">
        <x:v>35km超</x:v>
      </x:c>
      <x:c r="S80" s="27" t="str">
        <x:v>概ね35km超</x:v>
      </x:c>
      <x:c r="T80" s="27" t="str">
        <x:v>通常90分超</x:v>
      </x:c>
      <x:c r="U80" s="27" t="str">
        <x:v>水辺</x:v>
      </x:c>
      <x:c r="V80" s="27" t="str">
        <x:v>30〜60分</x:v>
      </x:c>
      <x:c r="W80" s="27" t="n">
        <x:v>1</x:v>
      </x:c>
      <x:c r="X80" s="27" t="n">
        <x:v>1</x:v>
      </x:c>
      <x:c r="Y80" s="27" t="str">
        <x:v>多摩川浅間神社</x:v>
      </x:c>
      <x:c r="Z80" s="27" t="str">
        <x:v>多摩川六郷橋緑地／多摩川ガス橋緑地</x:v>
      </x:c>
      <x:c r="AA80" s="22" t="str">
        <x:v>なし</x:v>
      </x:c>
      <x:c r="AB80" s="22" t="str">
        <x:v>-</x:v>
      </x:c>
      <x:c r="AC80" s="22" t="str"/>
      <x:c r="AD80" s="22" t="str">
        <x:v>専用・路外駐車を基本</x:v>
      </x:c>
      <x:c r="AE80" s="22" t="str"/>
    </x:row>
    <x:row r="81">
      <x:c r="A81" s="27" t="str">
        <x:v>D129</x:v>
      </x:c>
      <x:c r="B81" s="27" t="str">
        <x:v>相模原公園</x:v>
      </x:c>
      <x:c r="C81" s="27" t="str">
        <x:v>相模原市南区</x:v>
      </x:c>
      <x:c r="D81" s="27" t="str">
        <x:v>庭園・大規模公園・夕方</x:v>
      </x:c>
      <x:c r="E81" s="48" t="e">
        <x:f>HYPERLINK("https://www.google.com/maps/dir/?api=1&amp;destination=%E7%9B%B8%E6%A8%A1%E5%8E%9F%E5%85%AC%E5%9C%92&amp;travelmode=driving","現在地からナビ開始")</x:f>
      </x:c>
      <x:c r="F81" s="27" t="str">
        <x:v>フランス式庭園、温室、芝生があり、都市と山の中間で整った景観を楽しめる。</x:v>
      </x:c>
      <x:c r="G81" s="27" t="str">
        <x:v>あり・中央282台ほか</x:v>
      </x:c>
      <x:c r="H81" s="27" t="str">
        <x:v>中央 6:00～20:00／西 7:00～19:00</x:v>
      </x:c>
      <x:c r="I81" s="27" t="n">
        <x:v>3</x:v>
      </x:c>
      <x:c r="J81" s="27" t="n">
        <x:v>2</x:v>
      </x:c>
      <x:c r="K81" s="27" t="str">
        <x:v>中央・西で閉場時間が異なる。イベント日や大型車利用を当日確認。</x:v>
      </x:c>
      <x:c r="L81" s="28" t="n">
        <x:v>46232</x:v>
      </x:c>
      <x:c r="M81" s="27" t="str">
        <x:v>一次確認済</x:v>
      </x:c>
      <x:c r="N81" s="27" t="str">
        <x:v>https://www.kanagawa-park.or.jp/sagamihara/access.html</x:v>
      </x:c>
      <x:c r="O81" s="27" t="str">
        <x:v>相模原公園のフランス式庭園は左右対称の幾何学景観で、隣接する相模原麻溝公園と大緑地帯を形成する。</x:v>
      </x:c>
      <x:c r="P81" s="84" t="e">
        <x:f>HYPERLINK("https://ja.wikipedia.org/wiki/Special:Search?search=%E7%9B%B8%E6%A8%A1%E5%8E%9F%E5%85%AC%E5%9C%92","Wikipedia・関連項目")</x:f>
      </x:c>
      <x:c r="Q81" s="27"/>
      <x:c r="R81" s="27" t="str">
        <x:v>35km超</x:v>
      </x:c>
      <x:c r="S81" s="27" t="str">
        <x:v>概ね35km超</x:v>
      </x:c>
      <x:c r="T81" s="27" t="str">
        <x:v>通常90分超</x:v>
      </x:c>
      <x:c r="U81" s="27" t="str">
        <x:v>休日半日</x:v>
      </x:c>
      <x:c r="V81" s="27" t="str">
        <x:v>30〜90分</x:v>
      </x:c>
      <x:c r="W81" s="27" t="n">
        <x:v>1</x:v>
      </x:c>
      <x:c r="X81" s="27" t="n">
        <x:v>1</x:v>
      </x:c>
      <x:c r="Y81" s="27" t="str">
        <x:v>平和の森公園</x:v>
      </x:c>
      <x:c r="Z81" s="27" t="str">
        <x:v>大森ふるさとの浜辺公園／森ケ崎公園</x:v>
      </x:c>
      <x:c r="AA81" s="22" t="str">
        <x:v>なし</x:v>
      </x:c>
      <x:c r="AB81" s="22" t="str">
        <x:v>-</x:v>
      </x:c>
      <x:c r="AC81" s="22" t="str"/>
      <x:c r="AD81" s="22" t="str">
        <x:v>専用・路外駐車を基本</x:v>
      </x:c>
      <x:c r="AE81" s="22" t="str"/>
    </x:row>
    <x:row r="82">
      <x:c r="A82" s="27" t="str">
        <x:v>D130</x:v>
      </x:c>
      <x:c r="B82" s="27" t="str">
        <x:v>湘南国際村西公園</x:v>
      </x:c>
      <x:c r="C82" s="27" t="str">
        <x:v>横須賀市湘南国際村</x:v>
      </x:c>
      <x:c r="D82" s="27" t="str">
        <x:v>高台・相模湾・富士山</x:v>
      </x:c>
      <x:c r="E82" s="48" t="e">
        <x:f>HYPERLINK("https://www.google.com/maps/dir/?api=1&amp;destination=%E6%B9%98%E5%8D%97%E5%9B%BD%E9%9A%9B%E6%9D%91%E8%A5%BF%E5%85%AC%E5%9C%92&amp;travelmode=driving","現在地からナビ開始")</x:f>
      </x:c>
      <x:c r="F82" s="27" t="str">
        <x:v>相模湾と富士山方面の眺望があり、湘南西岸Sessionの高台Endingとして穴場性が高い。</x:v>
      </x:c>
      <x:c r="G82" s="27" t="str">
        <x:v>あり・33台、有料</x:v>
      </x:c>
      <x:c r="H82" s="27" t="str">
        <x:v>4～9月 8:00～19:30／10～3月 8:00～17:30</x:v>
      </x:c>
      <x:c r="I82" s="27" t="n">
        <x:v>2</x:v>
      </x:c>
      <x:c r="J82" s="27" t="n">
        <x:v>4</x:v>
      </x:c>
      <x:c r="K82" s="27" t="str">
        <x:v>台数が少なく土日祝は混雑。公園以外の研究施設・私有地へ進入しない。</x:v>
      </x:c>
      <x:c r="L82" s="28" t="n">
        <x:v>46232</x:v>
      </x:c>
      <x:c r="M82" s="27" t="str">
        <x:v>一次確認済</x:v>
      </x:c>
      <x:c r="N82" s="27" t="str">
        <x:v>https://www.city.yokosuka.kanagawa.jp/5560/sisetu/fc00000049.html</x:v>
      </x:c>
      <x:c r="O82" s="27" t="str">
        <x:v>湘南国際村は研究・研修・国際交流を目的に造成された高台の複合地区である。</x:v>
      </x:c>
      <x:c r="P82" s="84" t="e">
        <x:f>HYPERLINK("https://ja.wikipedia.org/wiki/Special:Search?search=%E6%B9%98%E5%8D%97%E5%9B%BD%E9%9A%9B%E6%9D%91%E8%A5%BF%E5%85%AC%E5%9C%92","Wikipedia・関連項目")</x:f>
      </x:c>
      <x:c r="Q82" s="27"/>
      <x:c r="R82" s="27" t="str">
        <x:v>35km超</x:v>
      </x:c>
      <x:c r="S82" s="27" t="str">
        <x:v>概ね35km超</x:v>
      </x:c>
      <x:c r="T82" s="27" t="str">
        <x:v>通常90分超</x:v>
      </x:c>
      <x:c r="U82" s="27" t="str">
        <x:v>休日半日</x:v>
      </x:c>
      <x:c r="V82" s="27" t="str">
        <x:v>30〜60分</x:v>
      </x:c>
      <x:c r="W82" s="27" t="n">
        <x:v>1</x:v>
      </x:c>
      <x:c r="X82" s="27" t="n">
        <x:v>1</x:v>
      </x:c>
      <x:c r="Y82" s="27" t="str">
        <x:v>羽田空港 第3ターミナル展望デッキ</x:v>
      </x:c>
      <x:c r="Z82" s="27" t="str">
        <x:v>城南島海浜公園／潮風公園</x:v>
      </x:c>
      <x:c r="AA82" s="22" t="str">
        <x:v>なし</x:v>
      </x:c>
      <x:c r="AB82" s="22" t="str">
        <x:v>-</x:v>
      </x:c>
      <x:c r="AC82" s="22" t="str"/>
      <x:c r="AD82" s="22" t="str">
        <x:v>専用・路外駐車を基本</x:v>
      </x:c>
      <x:c r="AE82" s="22" t="str"/>
    </x:row>
    <x:row r="83">
      <x:c r="A83" s="27" t="str">
        <x:v>D131</x:v>
      </x:c>
      <x:c r="B83" s="27" t="str">
        <x:v>綾瀬スポーツ公園</x:v>
      </x:c>
      <x:c r="C83" s="27" t="str">
        <x:v>神奈川県綾瀬市</x:v>
      </x:c>
      <x:c r="D83" s="27" t="str">
        <x:v>飛行機・厚木基地・大規模駐車</x:v>
      </x:c>
      <x:c r="E83" s="48" t="e">
        <x:f>HYPERLINK("https://www.google.com/maps/dir/?api=1&amp;destination=%E7%B6%BE%E7%80%AC%E3%82%B9%E3%83%9D%E3%83%BC%E3%83%84%E5%85%AC%E5%9C%92&amp;travelmode=driving","現在地からナビ開始")</x:f>
      </x:c>
      <x:c r="F83" s="27" t="str">
        <x:v>厚木航空基地に隣接し、航空機を感じられる大規模公園。近距離の飛行機Sessionに向く。</x:v>
      </x:c>
      <x:c r="G83" s="27" t="str">
        <x:v>あり・普通車461台ほか、有料</x:v>
      </x:c>
      <x:c r="H83" s="27" t="str">
        <x:v>公園施設 6:00～19:00中心／レストハウス等は21:00まで</x:v>
      </x:c>
      <x:c r="I83" s="27" t="n">
        <x:v>4</x:v>
      </x:c>
      <x:c r="J83" s="27" t="n">
        <x:v>3</x:v>
      </x:c>
      <x:c r="K83" s="27" t="str">
        <x:v>航空機運用は日による。飛行場・基地施設の撮影ルールと公園利用時間を守る。</x:v>
      </x:c>
      <x:c r="L83" s="28" t="n">
        <x:v>46232</x:v>
      </x:c>
      <x:c r="M83" s="27" t="str">
        <x:v>一次確認済</x:v>
      </x:c>
      <x:c r="N83" s="27" t="str">
        <x:v>https://www.city.ayase.kanagawa.jp/kurashi_tetsuzuki/koen/ayasesportskoen/8199.html</x:v>
      </x:c>
      <x:c r="O83" s="27" t="str">
        <x:v>綾瀬スポーツ公園は厚木航空基地に隣接し、基地は海上自衛隊と米海軍が共同使用している。</x:v>
      </x:c>
      <x:c r="P83" s="84" t="e">
        <x:f>HYPERLINK("https://ja.wikipedia.org/wiki/Special:Search?search=%E7%B6%BE%E7%80%AC%E3%82%B9%E3%83%9D%E3%83%BC%E3%83%84%E5%85%AC%E5%9C%92","Wikipedia・関連項目")</x:f>
      </x:c>
      <x:c r="Q83" s="27"/>
      <x:c r="R83" s="27" t="str">
        <x:v>35km超</x:v>
      </x:c>
      <x:c r="S83" s="27" t="str">
        <x:v>概ね35km超</x:v>
      </x:c>
      <x:c r="T83" s="27" t="str">
        <x:v>通常90分超</x:v>
      </x:c>
      <x:c r="U83" s="27" t="str">
        <x:v>飛行機</x:v>
      </x:c>
      <x:c r="V83" s="27" t="str">
        <x:v>30〜60分</x:v>
      </x:c>
      <x:c r="W83" s="27" t="n">
        <x:v>2</x:v>
      </x:c>
      <x:c r="X83" s="27" t="n">
        <x:v>4</x:v>
      </x:c>
      <x:c r="Y83" s="27" t="str">
        <x:v>城南島海浜公園</x:v>
      </x:c>
      <x:c r="Z83" s="27" t="str">
        <x:v>京浜島つばさ公園／羽田空港 第3ターミナル展望デッキ</x:v>
      </x:c>
      <x:c r="AA83" s="22" t="str">
        <x:v>なし</x:v>
      </x:c>
      <x:c r="AB83" s="22" t="str">
        <x:v>-</x:v>
      </x:c>
      <x:c r="AC83" s="22" t="str"/>
      <x:c r="AD83" s="22" t="str">
        <x:v>専用・路外駐車を基本</x:v>
      </x:c>
      <x:c r="AE83" s="22" t="str"/>
    </x:row>
    <x:row r="84">
      <x:c r="A84" s="27" t="str">
        <x:v>D132</x:v>
      </x:c>
      <x:c r="B84" s="27" t="str">
        <x:v>七里ヶ浜海岸駐車場</x:v>
      </x:c>
      <x:c r="C84" s="27" t="str">
        <x:v>鎌倉市七里ガ浜</x:v>
      </x:c>
      <x:c r="D84" s="27" t="str">
        <x:v>海岸・夕日・車内鑑賞</x:v>
      </x:c>
      <x:c r="E84" s="48" t="e">
        <x:f>HYPERLINK("https://www.google.com/maps/dir/?api=1&amp;destination=%E4%B8%83%E9%87%8C%E3%83%B6%E6%B5%9C%E6%B5%B7%E5%B2%B8%E9%A7%90%E8%BB%8A%E5%A0%B4&amp;travelmode=driving","現在地からナビ開始")</x:f>
      </x:c>
      <x:c r="F84" s="27" t="str">
        <x:v>江の島、富士山、相模湾を駐車場から眺められ、海岸へすぐ降りられる強い夕景Ending。</x:v>
      </x:c>
      <x:c r="G84" s="27" t="str">
        <x:v>あり・有料</x:v>
      </x:c>
      <x:c r="H84" s="27" t="str">
        <x:v>6:00～21:00</x:v>
      </x:c>
      <x:c r="I84" s="27" t="n">
        <x:v>4</x:v>
      </x:c>
      <x:c r="J84" s="27" t="n">
        <x:v>2</x:v>
      </x:c>
      <x:c r="K84" s="27" t="str">
        <x:v>夏季料金が高く休日は混雑。21時閉場前に退出し、海況が悪い日は海岸へ降りない。</x:v>
      </x:c>
      <x:c r="L84" s="28" t="n">
        <x:v>46232</x:v>
      </x:c>
      <x:c r="M84" s="27" t="str">
        <x:v>一次確認済</x:v>
      </x:c>
      <x:c r="N84" s="27" t="str">
        <x:v>https://www.princehotels.co.jp/kamakura/facility/shichirigahama-park/</x:v>
      </x:c>
      <x:c r="O84" s="27" t="str">
        <x:v>七里ヶ浜は江の島と富士山を望む鎌倉の代表的海岸で、海岸線近くを江ノ電が走る。</x:v>
      </x:c>
      <x:c r="P84" s="84" t="e">
        <x:f>HYPERLINK("https://ja.wikipedia.org/wiki/Special:Search?search=%E4%B8%83%E9%87%8C%E3%83%B6%E6%B5%9C%E6%B5%B7%E5%B2%B8%E9%A7%90%E8%BB%8A%E5%A0%B4","Wikipedia・関連項目")</x:f>
      </x:c>
      <x:c r="Q84" s="27"/>
      <x:c r="R84" s="27" t="str">
        <x:v>35km超</x:v>
      </x:c>
      <x:c r="S84" s="27" t="str">
        <x:v>概ね35km超</x:v>
      </x:c>
      <x:c r="T84" s="27" t="str">
        <x:v>通常90分超</x:v>
      </x:c>
      <x:c r="U84" s="27" t="str">
        <x:v>海・港</x:v>
      </x:c>
      <x:c r="V84" s="27" t="str">
        <x:v>30〜90分</x:v>
      </x:c>
      <x:c r="W84" s="27" t="n">
        <x:v>1</x:v>
      </x:c>
      <x:c r="X84" s="27" t="n">
        <x:v>3</x:v>
      </x:c>
      <x:c r="Y84" s="27" t="str">
        <x:v>城南島海浜公園</x:v>
      </x:c>
      <x:c r="Z84" s="27" t="str">
        <x:v>潮風公園／晴海ふ頭公園</x:v>
      </x:c>
      <x:c r="AA84" s="22" t="str">
        <x:v>なし</x:v>
      </x:c>
      <x:c r="AB84" s="22" t="str">
        <x:v>-</x:v>
      </x:c>
      <x:c r="AC84" s="22" t="str"/>
      <x:c r="AD84" s="22" t="str">
        <x:v>専用・路外駐車を基本</x:v>
      </x:c>
      <x:c r="AE84" s="22" t="str"/>
    </x:row>
    <x:row r="85">
      <x:c r="A85" s="27" t="str">
        <x:v>D133</x:v>
      </x:c>
      <x:c r="B85" s="27" t="str">
        <x:v>長者ヶ崎駐車場</x:v>
      </x:c>
      <x:c r="C85" s="27" t="str">
        <x:v>葉山町下山口</x:v>
      </x:c>
      <x:c r="D85" s="27" t="str">
        <x:v>海岸・岬・富士山</x:v>
      </x:c>
      <x:c r="E85" s="48" t="e">
        <x:f>HYPERLINK("https://www.google.com/maps/dir/?api=1&amp;destination=%E9%95%B7%E8%80%85%E3%83%B6%E5%B4%8E%E9%A7%90%E8%BB%8A%E5%A0%B4&amp;travelmode=driving","現在地からナビ開始")</x:f>
      </x:c>
      <x:c r="F85" s="27" t="str">
        <x:v>江の島、伊豆半島、富士山を一望でき、葉山・横須賀西岸ドライブの夕日Endingになる。</x:v>
      </x:c>
      <x:c r="G85" s="27" t="str">
        <x:v>あり・130台、有料または季節無料</x:v>
      </x:c>
      <x:c r="H85" s="27" t="str">
        <x:v>7～8月 7:00～19:00／季節外 9:00～17:00または18:00</x:v>
      </x:c>
      <x:c r="I85" s="27" t="n">
        <x:v>2</x:v>
      </x:c>
      <x:c r="J85" s="27" t="n">
        <x:v>3</x:v>
      </x:c>
      <x:c r="K85" s="27" t="str">
        <x:v>閉場後は翌朝まで出庫不可で追加料金あり。夏季・休日は混雑。</x:v>
      </x:c>
      <x:c r="L85" s="28" t="n">
        <x:v>46232</x:v>
      </x:c>
      <x:c r="M85" s="27" t="str">
        <x:v>一次確認済</x:v>
      </x:c>
      <x:c r="N85" s="27" t="str">
        <x:v>https://www.town.hayama.lg.jp/soshiki/sangyou/1/7935.html</x:v>
      </x:c>
      <x:c r="O85" s="27" t="str">
        <x:v>長者ヶ崎は葉山町と横須賀市の境界付近に突き出す岬で、三浦半島西岸の地形的な節目である。</x:v>
      </x:c>
      <x:c r="P85" s="84" t="e">
        <x:f>HYPERLINK("https://ja.wikipedia.org/wiki/Special:Search?search=%E9%95%B7%E8%80%85%E3%83%B6%E5%B4%8E%E9%A7%90%E8%BB%8A%E5%A0%B4","Wikipedia・関連項目")</x:f>
      </x:c>
      <x:c r="Q85" s="27"/>
      <x:c r="R85" s="27" t="str">
        <x:v>35km超</x:v>
      </x:c>
      <x:c r="S85" s="27" t="str">
        <x:v>概ね35km超</x:v>
      </x:c>
      <x:c r="T85" s="27" t="str">
        <x:v>通常90分超</x:v>
      </x:c>
      <x:c r="U85" s="27" t="str">
        <x:v>海・港</x:v>
      </x:c>
      <x:c r="V85" s="27" t="str">
        <x:v>30〜90分</x:v>
      </x:c>
      <x:c r="W85" s="27" t="n">
        <x:v>1</x:v>
      </x:c>
      <x:c r="X85" s="27" t="n">
        <x:v>3</x:v>
      </x:c>
      <x:c r="Y85" s="27" t="str">
        <x:v>城南島海浜公園</x:v>
      </x:c>
      <x:c r="Z85" s="27" t="str">
        <x:v>潮風公園／晴海ふ頭公園</x:v>
      </x:c>
      <x:c r="AA85" s="22" t="str">
        <x:v>なし</x:v>
      </x:c>
      <x:c r="AB85" s="22" t="str">
        <x:v>-</x:v>
      </x:c>
      <x:c r="AC85" s="22" t="str"/>
      <x:c r="AD85" s="22" t="str">
        <x:v>専用・路外駐車を基本</x:v>
      </x:c>
      <x:c r="AE85" s="22" t="str"/>
    </x:row>
    <x:row r="86">
      <x:c r="A86" s="27" t="str">
        <x:v>D134</x:v>
      </x:c>
      <x:c r="B86" s="27" t="str">
        <x:v>十余三 東雲の丘</x:v>
      </x:c>
      <x:c r="C86" s="27" t="str">
        <x:v>千葉県成田市</x:v>
      </x:c>
      <x:c r="D86" s="27" t="str">
        <x:v>飛行機・B滑走路・展望</x:v>
      </x:c>
      <x:c r="E86" s="48" t="e">
        <x:f>HYPERLINK("https://www.google.com/maps/dir/?api=1&amp;destination=%E5%8D%81%E4%BD%99%E4%B8%89%20%E6%9D%B1%E9%9B%B2%E3%81%AE%E4%B8%98&amp;travelmode=driving","現在地からナビ開始")</x:f>
      </x:c>
      <x:c r="F86" s="27" t="str">
        <x:v>B滑走路への誘導路と着陸機を間近で見られ、航空機の大きさを体感できる。</x:v>
      </x:c>
      <x:c r="G86" s="27" t="str">
        <x:v>あり・63台、無料</x:v>
      </x:c>
      <x:c r="H86" s="27" t="str">
        <x:v>7:00～22:00</x:v>
      </x:c>
      <x:c r="I86" s="27" t="n">
        <x:v>5</x:v>
      </x:c>
      <x:c r="J86" s="27" t="n">
        <x:v>4</x:v>
      </x:c>
      <x:c r="K86" s="27" t="str">
        <x:v>情報更新日が古いため現地掲示を優先。脚立・騒音・駐車枠外停車は禁止。</x:v>
      </x:c>
      <x:c r="L86" s="28" t="n">
        <x:v>46232</x:v>
      </x:c>
      <x:c r="M86" s="27" t="str">
        <x:v>当日再確認</x:v>
      </x:c>
      <x:c r="N86" s="27" t="str">
        <x:v>https://www.nrtk.jp/mypage/00252.html</x:v>
      </x:c>
      <x:c r="O86" s="27" t="str">
        <x:v>『十余三』は明治期の下総台地開墾で付けられた番号地名の一つで、十余一・十余二などと同系統である。</x:v>
      </x:c>
      <x:c r="P86" s="84" t="e">
        <x:f>HYPERLINK("https://ja.wikipedia.org/wiki/Special:Search?search=%E5%8D%81%E4%BD%99%E4%B8%89%20%E6%9D%B1%E9%9B%B2%E3%81%AE%E4%B8%98","Wikipedia・関連項目")</x:f>
      </x:c>
      <x:c r="Q86" s="27"/>
      <x:c r="R86" s="27" t="str">
        <x:v>35km超</x:v>
      </x:c>
      <x:c r="S86" s="27" t="str">
        <x:v>概ね35km超</x:v>
      </x:c>
      <x:c r="T86" s="27" t="str">
        <x:v>通常90分超</x:v>
      </x:c>
      <x:c r="U86" s="27" t="str">
        <x:v>飛行機</x:v>
      </x:c>
      <x:c r="V86" s="27" t="str">
        <x:v>30〜60分</x:v>
      </x:c>
      <x:c r="W86" s="27" t="n">
        <x:v>2</x:v>
      </x:c>
      <x:c r="X86" s="27" t="n">
        <x:v>4</x:v>
      </x:c>
      <x:c r="Y86" s="27" t="str">
        <x:v>城南島海浜公園</x:v>
      </x:c>
      <x:c r="Z86" s="27" t="str">
        <x:v>京浜島つばさ公園／羽田空港 第3ターミナル展望デッキ</x:v>
      </x:c>
      <x:c r="AA86" s="22" t="str">
        <x:v>なし</x:v>
      </x:c>
      <x:c r="AB86" s="22" t="str">
        <x:v>-</x:v>
      </x:c>
      <x:c r="AC86" s="22" t="str"/>
      <x:c r="AD86" s="22" t="str">
        <x:v>専用・路外駐車を基本</x:v>
      </x:c>
      <x:c r="AE86" s="22" t="str"/>
    </x:row>
    <x:row r="87">
      <x:c r="A87" s="27" t="str">
        <x:v>D135</x:v>
      </x:c>
      <x:c r="B87" s="27" t="str">
        <x:v>三里塚さくらの丘</x:v>
      </x:c>
      <x:c r="C87" s="27" t="str">
        <x:v>千葉県成田市</x:v>
      </x:c>
      <x:c r="D87" s="27" t="str">
        <x:v>飛行機・A滑走路・桜</x:v>
      </x:c>
      <x:c r="E87" s="48" t="e">
        <x:f>HYPERLINK("https://www.google.com/maps/dir/?api=1&amp;destination=%E4%B8%89%E9%87%8C%E5%A1%9A%E3%81%95%E3%81%8F%E3%82%89%E3%81%AE%E4%B8%98&amp;travelmode=driving","現在地からナビ開始")</x:f>
      </x:c>
      <x:c r="F87" s="27" t="str">
        <x:v>A滑走路南側で桜と航空機を組み合わせられ、成田の航空Storyを作れる。</x:v>
      </x:c>
      <x:c r="G87" s="27" t="str">
        <x:v>あり・無料</x:v>
      </x:c>
      <x:c r="H87" s="27" t="str">
        <x:v>利用時間の公式明記が乏しいため日中～夕方推奨</x:v>
      </x:c>
      <x:c r="I87" s="27" t="n">
        <x:v>2</x:v>
      </x:c>
      <x:c r="J87" s="27" t="n">
        <x:v>4</x:v>
      </x:c>
      <x:c r="K87" s="27" t="str">
        <x:v>空港管理・工事で利用条件が変わる可能性あり。夜間は選定しない。</x:v>
      </x:c>
      <x:c r="L87" s="28" t="n">
        <x:v>46232</x:v>
      </x:c>
      <x:c r="M87" s="27" t="str">
        <x:v>当日再確認</x:v>
      </x:c>
      <x:c r="N87" s="27" t="str">
        <x:v>https://www.nrtk.jp/mypage/00212.html</x:v>
      </x:c>
      <x:c r="O87" s="27" t="str">
        <x:v>三里塚一帯には成田空港建設以前、宮内庁の御料牧場が置かれていた。</x:v>
      </x:c>
      <x:c r="P87" s="84" t="e">
        <x:f>HYPERLINK("https://ja.wikipedia.org/wiki/Special:Search?search=%E4%B8%89%E9%87%8C%E5%A1%9A%E3%81%95%E3%81%8F%E3%82%89%E3%81%AE%E4%B8%98","Wikipedia・関連項目")</x:f>
      </x:c>
      <x:c r="Q87" s="27"/>
      <x:c r="R87" s="27" t="str">
        <x:v>35km超</x:v>
      </x:c>
      <x:c r="S87" s="27" t="str">
        <x:v>概ね35km超</x:v>
      </x:c>
      <x:c r="T87" s="27" t="str">
        <x:v>通常90分超</x:v>
      </x:c>
      <x:c r="U87" s="27" t="str">
        <x:v>飛行機</x:v>
      </x:c>
      <x:c r="V87" s="27" t="str">
        <x:v>30〜60分</x:v>
      </x:c>
      <x:c r="W87" s="27" t="n">
        <x:v>2</x:v>
      </x:c>
      <x:c r="X87" s="27" t="n">
        <x:v>4</x:v>
      </x:c>
      <x:c r="Y87" s="27" t="str">
        <x:v>城南島海浜公園</x:v>
      </x:c>
      <x:c r="Z87" s="27" t="str">
        <x:v>京浜島つばさ公園／羽田空港 第3ターミナル展望デッキ</x:v>
      </x:c>
      <x:c r="AA87" s="22" t="str">
        <x:v>なし</x:v>
      </x:c>
      <x:c r="AB87" s="22" t="str">
        <x:v>-</x:v>
      </x:c>
      <x:c r="AC87" s="22" t="str"/>
      <x:c r="AD87" s="22" t="str">
        <x:v>専用・路外駐車を基本</x:v>
      </x:c>
      <x:c r="AE87" s="22" t="str"/>
    </x:row>
    <x:row r="88">
      <x:c r="A88" s="27" t="str">
        <x:v>D136</x:v>
      </x:c>
      <x:c r="B88" s="27" t="str">
        <x:v>成田空港 第1ターミナル展望デッキ</x:v>
      </x:c>
      <x:c r="C88" s="27" t="str">
        <x:v>成田市成田国際空港</x:v>
      </x:c>
      <x:c r="D88" s="27" t="str">
        <x:v>飛行機・空港・展望</x:v>
      </x:c>
      <x:c r="E88" s="48" t="e">
        <x:f>HYPERLINK("https://www.google.com/maps/dir/?api=1&amp;destination=%E6%88%90%E7%94%B0%E7%A9%BA%E6%B8%AF%20%E7%AC%AC1%E3%82%BF%E3%83%BC%E3%83%9F%E3%83%8A%E3%83%AB%E5%B1%95%E6%9C%9B%E3%83%87%E3%83%83%E3%82%AD&amp;travelmode=driving","現在地からナビ開始")</x:f>
      </x:c>
      <x:c r="F88" s="27" t="str">
        <x:v>4000mのA滑走路全体を見渡し、飲食・空港施設と航空機鑑賞を安定して組み合わせられる。</x:v>
      </x:c>
      <x:c r="G88" s="27" t="str">
        <x:v>あり・空港P1/P5等、24時間</x:v>
      </x:c>
      <x:c r="H88" s="27" t="str">
        <x:v>4～9月 6:30～21:00／10～3月 7:00～21:00</x:v>
      </x:c>
      <x:c r="I88" s="27" t="n">
        <x:v>5</x:v>
      </x:c>
      <x:c r="J88" s="27" t="n">
        <x:v>1</x:v>
      </x:c>
      <x:c r="K88" s="27" t="str">
        <x:v>天候・保安上の閉鎖あり。2026年リニューアル後は高台部分で大型撮影機材禁止。</x:v>
      </x:c>
      <x:c r="L88" s="28" t="n">
        <x:v>46232</x:v>
      </x:c>
      <x:c r="M88" s="27" t="str">
        <x:v>一次確認済</x:v>
      </x:c>
      <x:c r="N88" s="27" t="str">
        <x:v>https://www.narita-airport.jp/ja/fun/view/</x:v>
      </x:c>
      <x:c r="O88" s="27" t="str">
        <x:v>第1ターミナル展望デッキは成田空港の4000m級A滑走路を見渡せ、長距離国際線機材を観察しやすい。</x:v>
      </x:c>
      <x:c r="P88" s="84" t="e">
        <x:f>HYPERLINK("https://ja.wikipedia.org/wiki/Special:Search?search=%E6%88%90%E7%94%B0%E7%A9%BA%E6%B8%AF%20%E7%AC%AC1%E3%82%BF%E3%83%BC%E3%83%9F%E3%83%8A%E3%83%AB%E5%B1%95%E6%9C%9B%E3%83%87%E3%83%83%E3%82%AD","Wikipedia・関連項目")</x:f>
      </x:c>
      <x:c r="Q88" s="27"/>
      <x:c r="R88" s="27" t="str">
        <x:v>35km超</x:v>
      </x:c>
      <x:c r="S88" s="27" t="str">
        <x:v>概ね35km超</x:v>
      </x:c>
      <x:c r="T88" s="27" t="str">
        <x:v>通常90分超</x:v>
      </x:c>
      <x:c r="U88" s="27" t="str">
        <x:v>飛行機</x:v>
      </x:c>
      <x:c r="V88" s="27" t="str">
        <x:v>30〜60分</x:v>
      </x:c>
      <x:c r="W88" s="27" t="n">
        <x:v>4</x:v>
      </x:c>
      <x:c r="X88" s="27" t="n">
        <x:v>4</x:v>
      </x:c>
      <x:c r="Y88" s="27" t="str">
        <x:v>城南島海浜公園</x:v>
      </x:c>
      <x:c r="Z88" s="27" t="str">
        <x:v>京浜島つばさ公園／羽田空港 第3ターミナル展望デッキ</x:v>
      </x:c>
      <x:c r="AA88" s="22" t="str">
        <x:v>なし</x:v>
      </x:c>
      <x:c r="AB88" s="22" t="str">
        <x:v>-</x:v>
      </x:c>
      <x:c r="AC88" s="22" t="str"/>
      <x:c r="AD88" s="22" t="str">
        <x:v>専用・路外駐車を基本</x:v>
      </x:c>
      <x:c r="AE88" s="22" t="str"/>
    </x:row>
    <x:row r="89">
      <x:c r="A89" s="27" t="str">
        <x:v>D137</x:v>
      </x:c>
      <x:c r="B89" s="27" t="str">
        <x:v>印旛沼サンセットヒルズ</x:v>
      </x:c>
      <x:c r="C89" s="27" t="str">
        <x:v>千葉県佐倉市</x:v>
      </x:c>
      <x:c r="D89" s="27" t="str">
        <x:v>印旛沼・高台・夕日</x:v>
      </x:c>
      <x:c r="E89" s="48" t="e">
        <x:f>HYPERLINK("https://www.google.com/maps/dir/?api=1&amp;destination=%E5%8D%B0%E6%97%9B%E6%B2%BC%E3%82%B5%E3%83%B3%E3%82%BB%E3%83%83%E3%83%88%E3%83%92%E3%83%AB%E3%82%BA&amp;travelmode=driving","現在地からナビ開始")</x:f>
      </x:c>
      <x:c r="F89" s="27" t="str">
        <x:v>印旛沼を見下ろす高台で、富士山・スカイツリー方面の夕景を狙える。</x:v>
      </x:c>
      <x:c r="G89" s="27" t="str">
        <x:v>あり・施設利用者用</x:v>
      </x:c>
      <x:c r="H89" s="27" t="str">
        <x:v>施設利用時間・予約状況を当日確認</x:v>
      </x:c>
      <x:c r="I89" s="27" t="n">
        <x:v>2</x:v>
      </x:c>
      <x:c r="J89" s="27" t="n">
        <x:v>4</x:v>
      </x:c>
      <x:c r="K89" s="27" t="str">
        <x:v>駐車場はキャンプ・テニス等の来場者用。長時間の景色鑑賞だけを目的に占有しない。</x:v>
      </x:c>
      <x:c r="L89" s="28" t="n">
        <x:v>46232</x:v>
      </x:c>
      <x:c r="M89" s="27" t="str">
        <x:v>当日再確認</x:v>
      </x:c>
      <x:c r="N89" s="27" t="str">
        <x:v>https://www.city.sakura.lg.jp/tourism/2/14508.html</x:v>
      </x:c>
      <x:c r="O89" s="27" t="str">
        <x:v>印旛沼はかつて一続きの大きな沼だったが、干拓・放水路整備で北印旛沼と西印旛沼に分かれた。</x:v>
      </x:c>
      <x:c r="P89" s="84" t="e">
        <x:f>HYPERLINK("https://ja.wikipedia.org/wiki/Special:Search?search=%E5%8D%B0%E6%97%9B%E6%B2%BC%E3%82%B5%E3%83%B3%E3%82%BB%E3%83%83%E3%83%88%E3%83%92%E3%83%AB%E3%82%BA","Wikipedia・関連項目")</x:f>
      </x:c>
      <x:c r="Q89" s="27"/>
      <x:c r="R89" s="27" t="str">
        <x:v>35km超</x:v>
      </x:c>
      <x:c r="S89" s="27" t="str">
        <x:v>概ね35km超</x:v>
      </x:c>
      <x:c r="T89" s="27" t="str">
        <x:v>通常90分超</x:v>
      </x:c>
      <x:c r="U89" s="27" t="str">
        <x:v>休日半日</x:v>
      </x:c>
      <x:c r="V89" s="27" t="str">
        <x:v>30〜60分</x:v>
      </x:c>
      <x:c r="W89" s="27" t="n">
        <x:v>1</x:v>
      </x:c>
      <x:c r="X89" s="27" t="n">
        <x:v>1</x:v>
      </x:c>
      <x:c r="Y89" s="27" t="str">
        <x:v>羽田空港 第3ターミナル展望デッキ</x:v>
      </x:c>
      <x:c r="Z89" s="27" t="str">
        <x:v>城南島海浜公園／潮風公園</x:v>
      </x:c>
      <x:c r="AA89" s="22" t="str">
        <x:v>なし</x:v>
      </x:c>
      <x:c r="AB89" s="22" t="str">
        <x:v>-</x:v>
      </x:c>
      <x:c r="AC89" s="22" t="str"/>
      <x:c r="AD89" s="22" t="str">
        <x:v>専用・路外駐車を基本</x:v>
      </x:c>
      <x:c r="AE89" s="22" t="str"/>
    </x:row>
    <x:row r="90">
      <x:c r="A90" s="27" t="str">
        <x:v>D138</x:v>
      </x:c>
      <x:c r="B90" s="27" t="str">
        <x:v>宿内公園</x:v>
      </x:c>
      <x:c r="C90" s="27" t="str">
        <x:v>千葉県佐倉市</x:v>
      </x:c>
      <x:c r="D90" s="27" t="str">
        <x:v>城址・高台・印旛沼展望</x:v>
      </x:c>
      <x:c r="E90" s="48" t="e">
        <x:f>HYPERLINK("https://www.google.com/maps/dir/?api=1&amp;destination=%E5%AE%BF%E5%86%85%E5%85%AC%E5%9C%92&amp;travelmode=driving","現在地からナビ開始")</x:f>
      </x:c>
      <x:c r="F90" s="27" t="str">
        <x:v>臼井田宿内砦跡の台地から印旛沼方面を望める、7台規模の小さな歴史展望スポット。</x:v>
      </x:c>
      <x:c r="G90" s="27" t="str">
        <x:v>あり・約7台</x:v>
      </x:c>
      <x:c r="H90" s="27" t="str">
        <x:v>利用時間の明記なし、昼～夕方推奨</x:v>
      </x:c>
      <x:c r="I90" s="27" t="n">
        <x:v>2</x:v>
      </x:c>
      <x:c r="J90" s="27" t="n">
        <x:v>5</x:v>
      </x:c>
      <x:c r="K90" s="27" t="str">
        <x:v>駐車台数が極めて少ない。満車時の路上待機禁止。トイレなし。</x:v>
      </x:c>
      <x:c r="L90" s="28" t="n">
        <x:v>46232</x:v>
      </x:c>
      <x:c r="M90" s="27" t="str">
        <x:v>当日再確認</x:v>
      </x:c>
      <x:c r="N90" s="27" t="str">
        <x:v>https://www.city.sakura.lg.jp/soshiki/koenryokuchika/koen_annai/1/20324.html</x:v>
      </x:c>
      <x:c r="O90" s="27" t="str">
        <x:v>宿内公園は中世の臼井城を支えた宿内砦跡とされ、印旛沼を見張る台地上に位置する。</x:v>
      </x:c>
      <x:c r="P90" s="84" t="e">
        <x:f>HYPERLINK("https://ja.wikipedia.org/wiki/Special:Search?search=%E5%AE%BF%E5%86%85%E5%85%AC%E5%9C%92","Wikipedia・関連項目")</x:f>
      </x:c>
      <x:c r="Q90" s="27"/>
      <x:c r="R90" s="27" t="str">
        <x:v>35km超</x:v>
      </x:c>
      <x:c r="S90" s="27" t="str">
        <x:v>概ね35km超</x:v>
      </x:c>
      <x:c r="T90" s="27" t="str">
        <x:v>通常90分超</x:v>
      </x:c>
      <x:c r="U90" s="27" t="str">
        <x:v>Story</x:v>
      </x:c>
      <x:c r="V90" s="27" t="str">
        <x:v>30〜60分</x:v>
      </x:c>
      <x:c r="W90" s="27" t="n">
        <x:v>1</x:v>
      </x:c>
      <x:c r="X90" s="27" t="n">
        <x:v>1</x:v>
      </x:c>
      <x:c r="Y90" s="27" t="str">
        <x:v>羽田空港 第3ターミナル展望デッキ</x:v>
      </x:c>
      <x:c r="Z90" s="27" t="str">
        <x:v>城南島海浜公園／潮風公園</x:v>
      </x:c>
      <x:c r="AA90" s="22" t="str">
        <x:v>なし</x:v>
      </x:c>
      <x:c r="AB90" s="22" t="str">
        <x:v>-</x:v>
      </x:c>
      <x:c r="AC90" s="22" t="str"/>
      <x:c r="AD90" s="22" t="str">
        <x:v>専用・路外駐車を基本</x:v>
      </x:c>
      <x:c r="AE90" s="22" t="str"/>
    </x:row>
    <x:row r="91">
      <x:c r="A91" s="27" t="str">
        <x:v>D140</x:v>
      </x:c>
      <x:c r="B91" s="27" t="str">
        <x:v>山北つぶらの公園</x:v>
      </x:c>
      <x:c r="C91" s="27" t="str">
        <x:v>神奈川県山北町</x:v>
      </x:c>
      <x:c r="D91" s="27" t="str">
        <x:v>高台・富士山・丹沢</x:v>
      </x:c>
      <x:c r="E91" s="48" t="e">
        <x:f>HYPERLINK("https://www.google.com/maps/dir/?api=1&amp;destination=%E5%B1%B1%E5%8C%97%E3%81%A4%E3%81%B6%E3%82%89%E3%81%AE%E5%85%AC%E5%9C%92&amp;travelmode=driving","現在地からナビ開始")</x:f>
      </x:c>
      <x:c r="F91" s="27" t="str">
        <x:v>丹沢・富士山・足柄平野を望む高台で、70km圏西端の特別な昼Endingになる。</x:v>
      </x:c>
      <x:c r="G91" s="27" t="str">
        <x:v>あり・乗用車65台ほか</x:v>
      </x:c>
      <x:c r="H91" s="27" t="str">
        <x:v>8:30～17:00／夏休み期間の土日は18:00まで</x:v>
      </x:c>
      <x:c r="I91" s="27" t="n">
        <x:v>1</x:v>
      </x:c>
      <x:c r="J91" s="27" t="n">
        <x:v>4</x:v>
      </x:c>
      <x:c r="K91" s="27" t="str">
        <x:v>アクセス路の鋭角交差点と山道に注意。夜間不可、閉場前に余裕を持って退出。</x:v>
      </x:c>
      <x:c r="L91" s="28" t="n">
        <x:v>46232</x:v>
      </x:c>
      <x:c r="M91" s="27" t="str">
        <x:v>一次確認済</x:v>
      </x:c>
      <x:c r="N91" s="27" t="str">
        <x:v>https://www.kanagawa-park.or.jp/tsuburano/access.html</x:v>
      </x:c>
      <x:c r="O91" s="27" t="str">
        <x:v>山北町は東海道本線の旧線・現在の御殿場線の鉄道拠点として発展し、丹沢・富士山への玄関口となった。</x:v>
      </x:c>
      <x:c r="P91" s="84" t="e">
        <x:f>HYPERLINK("https://ja.wikipedia.org/wiki/Special:Search?search=%E5%B1%B1%E5%8C%97%E3%81%A4%E3%81%B6%E3%82%89%E3%81%AE%E5%85%AC%E5%9C%92","Wikipedia・関連項目")</x:f>
      </x:c>
      <x:c r="Q91" s="27"/>
      <x:c r="R91" s="27" t="str">
        <x:v>35km超</x:v>
      </x:c>
      <x:c r="S91" s="27" t="str">
        <x:v>概ね35km超</x:v>
      </x:c>
      <x:c r="T91" s="27" t="str">
        <x:v>通常90分超</x:v>
      </x:c>
      <x:c r="U91" s="27" t="str">
        <x:v>休日半日</x:v>
      </x:c>
      <x:c r="V91" s="27" t="str">
        <x:v>30〜60分</x:v>
      </x:c>
      <x:c r="W91" s="27" t="n">
        <x:v>1</x:v>
      </x:c>
      <x:c r="X91" s="27" t="n">
        <x:v>1</x:v>
      </x:c>
      <x:c r="Y91" s="27" t="str">
        <x:v>羽田空港 第3ターミナル展望デッキ</x:v>
      </x:c>
      <x:c r="Z91" s="27" t="str">
        <x:v>城南島海浜公園／潮風公園</x:v>
      </x:c>
      <x:c r="AA91" s="22" t="str">
        <x:v>なし</x:v>
      </x:c>
      <x:c r="AB91" s="22" t="str">
        <x:v>-</x:v>
      </x:c>
      <x:c r="AC91" s="22" t="str"/>
      <x:c r="AD91" s="22" t="str">
        <x:v>専用・路外駐車を基本</x:v>
      </x:c>
      <x:c r="AE91" s="22" t="str"/>
    </x:row>
    <x:row r="92">
      <x:c r="A92" s="27" t="str">
        <x:v>D141</x:v>
      </x:c>
      <x:c r="B92" s="27" t="str">
        <x:v>県立相模三川公園</x:v>
      </x:c>
      <x:c r="C92" s="27" t="str">
        <x:v>海老名市・上郷</x:v>
      </x:c>
      <x:c r="D92" s="27" t="str">
        <x:v>河川・合流点・大規模公園</x:v>
      </x:c>
      <x:c r="E92" s="48" t="e">
        <x:f>HYPERLINK("https://www.google.com/maps/dir/?api=1&amp;destination=%E7%9C%8C%E7%AB%8B%E7%9B%B8%E6%A8%A1%E4%B8%89%E5%B7%9D%E5%85%AC%E5%9C%92&amp;travelmode=driving","現在地からナビ開始")</x:f>
      </x:c>
      <x:c r="F92" s="27" t="str">
        <x:v>相模川・中津川・小鮎川が集まる広い河川景観を体験でき、厚木方面の経由地と昼Endingに向く。</x:v>
      </x:c>
      <x:c r="G92" s="27" t="str">
        <x:v>あり・一般駐車場、スポーツ広場駐車場</x:v>
      </x:c>
      <x:c r="H92" s="27" t="str">
        <x:v>駐車場は季節・曜日で変動、当日公式確認</x:v>
      </x:c>
      <x:c r="I92" s="27" t="n">
        <x:v>2</x:v>
      </x:c>
      <x:c r="J92" s="27" t="n">
        <x:v>3</x:v>
      </x:c>
      <x:c r="K92" s="27" t="str">
        <x:v>増水・強風時は河川側へ近づかない。スポーツ大会日は混雑。</x:v>
      </x:c>
      <x:c r="L92" s="28" t="n">
        <x:v>46232</x:v>
      </x:c>
      <x:c r="M92" s="27" t="str">
        <x:v>一次確認済</x:v>
      </x:c>
      <x:c r="N92" s="27" t="str">
        <x:v>https://www.pref.kanagawa.jp/docs/u5r/cnt/f550/tabi-087.html</x:v>
      </x:c>
      <x:c r="O92" s="27" t="str">
        <x:v>海老名周辺は相模川の沖積低地に発達し、複数河川の合流が交通・農業・治水の歴史を形作った。</x:v>
      </x:c>
      <x:c r="P92" s="84" t="e">
        <x:f>HYPERLINK("https://ja.wikipedia.org/wiki/Special:Search?search=%E7%9C%8C%E7%AB%8B%E7%9B%B8%E6%A8%A1%E4%B8%89%E5%B7%9D%E5%85%AC%E5%9C%92","Wikipedia・関連項目")</x:f>
      </x:c>
      <x:c r="Q92" s="27"/>
      <x:c r="R92" s="27" t="str">
        <x:v>35km超</x:v>
      </x:c>
      <x:c r="S92" s="27" t="str">
        <x:v>概ね35km超</x:v>
      </x:c>
      <x:c r="T92" s="27" t="str">
        <x:v>通常90分超</x:v>
      </x:c>
      <x:c r="U92" s="27" t="str">
        <x:v>水辺</x:v>
      </x:c>
      <x:c r="V92" s="27" t="str">
        <x:v>30〜90分</x:v>
      </x:c>
      <x:c r="W92" s="27" t="n">
        <x:v>1</x:v>
      </x:c>
      <x:c r="X92" s="27" t="n">
        <x:v>1</x:v>
      </x:c>
      <x:c r="Y92" s="27" t="str">
        <x:v>多摩川浅間神社</x:v>
      </x:c>
      <x:c r="Z92" s="27" t="str">
        <x:v>多摩川六郷橋緑地／多摩川ガス橋緑地</x:v>
      </x:c>
      <x:c r="AA92" s="22" t="str">
        <x:v>なし</x:v>
      </x:c>
      <x:c r="AB92" s="22" t="str">
        <x:v>-</x:v>
      </x:c>
      <x:c r="AC92" s="22" t="str"/>
      <x:c r="AD92" s="22" t="str">
        <x:v>専用・路外駐車を基本</x:v>
      </x:c>
      <x:c r="AE92" s="22" t="str"/>
    </x:row>
    <x:row r="93">
      <x:c r="A93" s="27" t="str">
        <x:v>D142</x:v>
      </x:c>
      <x:c r="B93" s="27" t="str">
        <x:v>湘南汐見台公園</x:v>
      </x:c>
      <x:c r="C93" s="27" t="str">
        <x:v>茅ヶ崎市・汐見台</x:v>
      </x:c>
      <x:c r="D93" s="27" t="str">
        <x:v>海辺・運動公園・夕方</x:v>
      </x:c>
      <x:c r="E93" s="48" t="e">
        <x:f>HYPERLINK("https://www.google.com/maps/dir/?api=1&amp;destination=%E6%B9%98%E5%8D%97%E6%B1%90%E8%A6%8B%E5%8F%B0%E5%85%AC%E5%9C%92&amp;travelmode=driving","現在地からナビ開始")</x:f>
      </x:c>
      <x:c r="F93" s="27" t="str">
        <x:v>海岸近くの小規模公園で、湘南ドライブの途中に短時間休憩と海風を入れられる。</x:v>
      </x:c>
      <x:c r="G93" s="27" t="str">
        <x:v>あり・公園駐車場</x:v>
      </x:c>
      <x:c r="H93" s="27" t="str">
        <x:v>利用時間は管理事務所情報を当日確認</x:v>
      </x:c>
      <x:c r="I93" s="27" t="n">
        <x:v>2</x:v>
      </x:c>
      <x:c r="J93" s="27" t="n">
        <x:v>4</x:v>
      </x:c>
      <x:c r="K93" s="27" t="str">
        <x:v>海水浴期・イベント日は混雑。夜より昼～夕方向き。</x:v>
      </x:c>
      <x:c r="L93" s="28" t="n">
        <x:v>46232</x:v>
      </x:c>
      <x:c r="M93" s="27" t="str">
        <x:v>当日再確認</x:v>
      </x:c>
      <x:c r="N93" s="27" t="str">
        <x:v>https://www.pref.kanagawa.jp/documents/8260/2-19.pdf</x:v>
      </x:c>
      <x:c r="O93" s="27" t="str">
        <x:v>汐見台の地名は海や潮の眺望を意識した戦後の住宅地名に多い命名パターンの一つ。</x:v>
      </x:c>
      <x:c r="P93" s="84" t="e">
        <x:f>HYPERLINK("https://ja.wikipedia.org/wiki/Special:Search?search=%E6%B9%98%E5%8D%97%E6%B1%90%E8%A6%8B%E5%8F%B0%E5%85%AC%E5%9C%92","Wikipedia・関連項目")</x:f>
      </x:c>
      <x:c r="Q93" s="27"/>
      <x:c r="R93" s="27" t="str">
        <x:v>35km超</x:v>
      </x:c>
      <x:c r="S93" s="27" t="str">
        <x:v>概ね35km超</x:v>
      </x:c>
      <x:c r="T93" s="27" t="str">
        <x:v>通常90分超</x:v>
      </x:c>
      <x:c r="U93" s="27" t="str">
        <x:v>海・港</x:v>
      </x:c>
      <x:c r="V93" s="27" t="str">
        <x:v>30〜90分</x:v>
      </x:c>
      <x:c r="W93" s="27" t="n">
        <x:v>1</x:v>
      </x:c>
      <x:c r="X93" s="27" t="n">
        <x:v>3</x:v>
      </x:c>
      <x:c r="Y93" s="27" t="str">
        <x:v>城南島海浜公園</x:v>
      </x:c>
      <x:c r="Z93" s="27" t="str">
        <x:v>潮風公園／晴海ふ頭公園</x:v>
      </x:c>
      <x:c r="AA93" s="22" t="str">
        <x:v>なし</x:v>
      </x:c>
      <x:c r="AB93" s="22" t="str">
        <x:v>-</x:v>
      </x:c>
      <x:c r="AC93" s="22" t="str"/>
      <x:c r="AD93" s="22" t="str">
        <x:v>専用・路外駐車を基本</x:v>
      </x:c>
      <x:c r="AE93" s="22" t="str"/>
    </x:row>
    <x:row r="94">
      <x:c r="A94" s="27" t="str">
        <x:v>D148</x:v>
      </x:c>
      <x:c r="B94" s="27" t="str">
        <x:v>富津公園 明治百年記念展望塔</x:v>
      </x:c>
      <x:c r="C94" s="27" t="str">
        <x:v>千葉県富津市</x:v>
      </x:c>
      <x:c r="D94" s="27" t="str">
        <x:v>岬・展望塔・富士山</x:v>
      </x:c>
      <x:c r="E94" s="48" t="e">
        <x:f>HYPERLINK("https://www.google.com/maps/dir/?api=1&amp;destination=%E5%AF%8C%E6%B4%A5%E5%85%AC%E5%9C%92%20%E6%98%8E%E6%B2%BB%E7%99%BE%E5%B9%B4%E8%A8%98%E5%BF%B5%E5%B1%95%E6%9C%9B%E5%A1%94&amp;travelmode=driving","現在地からナビ開始")</x:f>
      </x:c>
      <x:c r="F94" s="27" t="str">
        <x:v>東京湾に突き出す砂州の先端で、三浦半島・富士山・湾内航路を一望できる強いEnding。</x:v>
      </x:c>
      <x:c r="G94" s="27" t="str">
        <x:v>あり・無料駐車場</x:v>
      </x:c>
      <x:c r="H94" s="27" t="str">
        <x:v>公園は常時利用可、施設は個別時間</x:v>
      </x:c>
      <x:c r="I94" s="27" t="n">
        <x:v>5</x:v>
      </x:c>
      <x:c r="J94" s="27" t="n">
        <x:v>2</x:v>
      </x:c>
      <x:c r="K94" s="27" t="str">
        <x:v>強風・荒天時は展望塔に上らない。砂浜への車両乗入禁止。</x:v>
      </x:c>
      <x:c r="L94" s="28" t="n">
        <x:v>46232</x:v>
      </x:c>
      <x:c r="M94" s="27" t="str">
        <x:v>一次確認済</x:v>
      </x:c>
      <x:c r="N94" s="27" t="str">
        <x:v>https://www.cue-net.or.jp/kouen/futtsu/index.html</x:v>
      </x:c>
      <x:c r="O94" s="27" t="str">
        <x:v>富津岬は東京湾へ伸びる砂州で、幕末から近代にかけて海防上の重要地点でもあった。</x:v>
      </x:c>
      <x:c r="P94" s="84" t="e">
        <x:f>HYPERLINK("https://ja.wikipedia.org/wiki/Special:Search?search=%E5%AF%8C%E6%B4%A5%E5%85%AC%E5%9C%92%20%E6%98%8E%E6%B2%BB%E7%99%BE%E5%B9%B4%E8%A8%98%E5%BF%B5%E5%B1%95%E6%9C%9B%E5%A1%94","Wikipedia・関連項目")</x:f>
      </x:c>
      <x:c r="Q94" s="27"/>
      <x:c r="R94" s="27" t="str">
        <x:v>35km超</x:v>
      </x:c>
      <x:c r="S94" s="27" t="str">
        <x:v>概ね35km超</x:v>
      </x:c>
      <x:c r="T94" s="27" t="str">
        <x:v>通常90分超</x:v>
      </x:c>
      <x:c r="U94" s="27" t="str">
        <x:v>平日夜・深夜</x:v>
      </x:c>
      <x:c r="V94" s="27" t="str">
        <x:v>30〜60分</x:v>
      </x:c>
      <x:c r="W94" s="27" t="n">
        <x:v>2</x:v>
      </x:c>
      <x:c r="X94" s="27" t="n">
        <x:v>1</x:v>
      </x:c>
      <x:c r="Y94" s="27" t="str">
        <x:v>羽田空港 第3ターミナル展望デッキ</x:v>
      </x:c>
      <x:c r="Z94" s="27" t="str">
        <x:v>城南島海浜公園／潮風公園</x:v>
      </x:c>
      <x:c r="AA94" s="22" t="str">
        <x:v>なし</x:v>
      </x:c>
      <x:c r="AB94" s="22" t="str">
        <x:v>-</x:v>
      </x:c>
      <x:c r="AC94" s="22" t="str"/>
      <x:c r="AD94" s="22" t="str">
        <x:v>専用・路外駐車を基本</x:v>
      </x:c>
      <x:c r="AE94" s="22" t="str"/>
    </x:row>
    <x:row r="95">
      <x:c r="A95" s="27" t="str">
        <x:v>D149</x:v>
      </x:c>
      <x:c r="B95" s="27" t="str">
        <x:v>久里浜1丁目第2公園</x:v>
      </x:c>
      <x:c r="C95" s="27" t="str">
        <x:v>横須賀市・久里浜</x:v>
      </x:c>
      <x:c r="D95" s="27" t="str">
        <x:v>鉄道・展望デッキ・Story</x:v>
      </x:c>
      <x:c r="E95" s="48" t="e">
        <x:f>HYPERLINK("https://www.google.com/maps/dir/?api=1&amp;destination=%E4%B9%85%E9%87%8C%E6%B5%9C1%E4%B8%81%E7%9B%AE%E7%AC%AC2%E5%85%AC%E5%9C%92&amp;travelmode=driving","現在地からナビ開始")</x:f>
      </x:c>
      <x:c r="F95" s="27" t="str">
        <x:v>公園の展望デッキから走行車両を間近に見られ、鉄道好き向けの短時間経由地になる。</x:v>
      </x:c>
      <x:c r="G95" s="27" t="str">
        <x:v>あり・15台、無料</x:v>
      </x:c>
      <x:c r="H95" s="27" t="str">
        <x:v>駐車場 9:00～16:00</x:v>
      </x:c>
      <x:c r="I95" s="27" t="n">
        <x:v>1</x:v>
      </x:c>
      <x:c r="J95" s="27" t="n">
        <x:v>5</x:v>
      </x:c>
      <x:c r="K95" s="27" t="str">
        <x:v>16時閉鎖。小規模駐車場のため満車時は通過。線路・道路へ近づかない。</x:v>
      </x:c>
      <x:c r="L95" s="28" t="n">
        <x:v>46232</x:v>
      </x:c>
      <x:c r="M95" s="27" t="str">
        <x:v>一次確認済</x:v>
      </x:c>
      <x:c r="N95" s="27" t="str">
        <x:v>https://www.city.yokosuka.kanagawa.jp/5560/kouen/kurihama1dai2.html</x:v>
      </x:c>
      <x:c r="O95" s="27" t="str">
        <x:v>久里浜はペリー艦隊上陸の地として知られ、近代日本開国のStory Layerが強い地域。</x:v>
      </x:c>
      <x:c r="P95" s="84" t="e">
        <x:f>HYPERLINK("https://ja.wikipedia.org/wiki/Special:Search?search=%E4%B9%85%E9%87%8C%E6%B5%9C1%E4%B8%81%E7%9B%AE%E7%AC%AC2%E5%85%AC%E5%9C%92","Wikipedia・関連項目")</x:f>
      </x:c>
      <x:c r="Q95" s="27"/>
      <x:c r="R95" s="27" t="str">
        <x:v>35km超</x:v>
      </x:c>
      <x:c r="S95" s="27" t="str">
        <x:v>概ね35km超</x:v>
      </x:c>
      <x:c r="T95" s="27" t="str">
        <x:v>通常90分超</x:v>
      </x:c>
      <x:c r="U95" s="27" t="str">
        <x:v>Story</x:v>
      </x:c>
      <x:c r="V95" s="27" t="str">
        <x:v>30〜60分</x:v>
      </x:c>
      <x:c r="W95" s="27" t="n">
        <x:v>3</x:v>
      </x:c>
      <x:c r="X95" s="27" t="n">
        <x:v>1</x:v>
      </x:c>
      <x:c r="Y95" s="27" t="str">
        <x:v>羽田空港 第3ターミナル展望デッキ</x:v>
      </x:c>
      <x:c r="Z95" s="27" t="str">
        <x:v>城南島海浜公園／潮風公園</x:v>
      </x:c>
      <x:c r="AA95" s="22" t="str">
        <x:v>なし</x:v>
      </x:c>
      <x:c r="AB95" s="22" t="str">
        <x:v>-</x:v>
      </x:c>
      <x:c r="AC95" s="22" t="str"/>
      <x:c r="AD95" s="22" t="str">
        <x:v>専用・路外駐車を基本</x:v>
      </x:c>
      <x:c r="AE95" s="22" t="str"/>
    </x:row>
    <x:row r="96">
      <x:c r="A96" s="27" t="str">
        <x:v>D150</x:v>
      </x:c>
      <x:c r="B96" s="27" t="str">
        <x:v>古代蓮の里・行田タワー</x:v>
      </x:c>
      <x:c r="C96" s="27" t="str">
        <x:v>埼玉県行田市</x:v>
      </x:c>
      <x:c r="D96" s="27" t="str">
        <x:v>古代蓮・展望塔・田園</x:v>
      </x:c>
      <x:c r="E96" s="48" t="e">
        <x:f>HYPERLINK("https://www.google.com/maps/dir/?api=1&amp;destination=%E5%8F%A4%E4%BB%A3%E8%93%AE%E3%81%AE%E9%87%8C%E3%83%BB%E8%A1%8C%E7%94%B0%E3%82%BF%E3%83%AF%E3%83%BC&amp;travelmode=driving","現在地からナビ開始")</x:f>
      </x:c>
      <x:c r="F96" s="27" t="str">
        <x:v>田園地帯に現れる展望塔と古代蓮が特徴で、季節限定ながら強い到達感がある。</x:v>
      </x:c>
      <x:c r="G96" s="27" t="str">
        <x:v>あり・大型駐車場、蓮期有料</x:v>
      </x:c>
      <x:c r="H96" s="27" t="str">
        <x:v>開館・駐車有料期間は年度ごとに公式確認</x:v>
      </x:c>
      <x:c r="I96" s="27" t="n">
        <x:v>2</x:v>
      </x:c>
      <x:c r="J96" s="27" t="n">
        <x:v>2</x:v>
      </x:c>
      <x:c r="K96" s="27" t="str">
        <x:v>蓮期の土日祝は大混雑。早朝利用時は周辺住宅へ配慮。</x:v>
      </x:c>
      <x:c r="L96" s="28" t="n">
        <x:v>46232</x:v>
      </x:c>
      <x:c r="M96" s="27" t="str">
        <x:v>当日再確認</x:v>
      </x:c>
      <x:c r="N96" s="27" t="str">
        <x:v>https://www.city.gyoda.lg.jp/soshiki/toshiseibibu/toshi_keikaku/oshirase/11308.html</x:v>
      </x:c>
      <x:c r="O96" s="27" t="str">
        <x:v>行田の古代蓮は公共工事で掘り出された地層の種子が発芽したことから『古代蓮』と呼ばれる。</x:v>
      </x:c>
      <x:c r="P96" s="84" t="e">
        <x:f>HYPERLINK("https://ja.wikipedia.org/wiki/Special:Search?search=%E5%8F%A4%E4%BB%A3%E8%93%AE%E3%81%AE%E9%87%8C%E3%83%BB%E8%A1%8C%E7%94%B0%E3%82%BF%E3%83%AF%E3%83%BC","Wikipedia・関連項目")</x:f>
      </x:c>
      <x:c r="Q96" s="27"/>
      <x:c r="R96" s="27" t="str">
        <x:v>35km超</x:v>
      </x:c>
      <x:c r="S96" s="27" t="str">
        <x:v>概ね35km超</x:v>
      </x:c>
      <x:c r="T96" s="27" t="str">
        <x:v>通常90分超</x:v>
      </x:c>
      <x:c r="U96" s="27" t="str">
        <x:v>休日半日</x:v>
      </x:c>
      <x:c r="V96" s="27" t="str">
        <x:v>30〜60分</x:v>
      </x:c>
      <x:c r="W96" s="27" t="n">
        <x:v>2</x:v>
      </x:c>
      <x:c r="X96" s="27" t="n">
        <x:v>1</x:v>
      </x:c>
      <x:c r="Y96" s="27" t="str">
        <x:v>羽田空港 第3ターミナル展望デッキ</x:v>
      </x:c>
      <x:c r="Z96" s="27" t="str">
        <x:v>城南島海浜公園／潮風公園</x:v>
      </x:c>
      <x:c r="AA96" s="22" t="str">
        <x:v>なし</x:v>
      </x:c>
      <x:c r="AB96" s="22" t="str">
        <x:v>-</x:v>
      </x:c>
      <x:c r="AC96" s="22" t="str"/>
      <x:c r="AD96" s="22" t="str">
        <x:v>専用・路外駐車を基本</x:v>
      </x:c>
      <x:c r="AE96" s="22" t="str"/>
    </x:row>
    <x:row r="97">
      <x:c r="A97" s="27" t="str">
        <x:v>D151</x:v>
      </x:c>
      <x:c r="B97" s="27" t="str">
        <x:v>美の山公園</x:v>
      </x:c>
      <x:c r="C97" s="27" t="str">
        <x:v>埼玉県秩父市・皆野町</x:v>
      </x:c>
      <x:c r="D97" s="27" t="str">
        <x:v>山頂・夜景・雲海</x:v>
      </x:c>
      <x:c r="E97" s="48" t="e">
        <x:f>HYPERLINK("https://www.google.com/maps/dir/?api=1&amp;destination=%E7%BE%8E%E3%81%AE%E5%B1%B1%E5%85%AC%E5%9C%92&amp;travelmode=driving","現在地からナビ開始")</x:f>
      </x:c>
      <x:c r="F97" s="27" t="str">
        <x:v>山頂近くまで車で上がれ、秩父盆地の夜景や条件次第で雲海を狙える特別枠。</x:v>
      </x:c>
      <x:c r="G97" s="27" t="str">
        <x:v>あり・3駐車場、無料</x:v>
      </x:c>
      <x:c r="H97" s="27" t="str">
        <x:v>公園・駐車場 常時開放</x:v>
      </x:c>
      <x:c r="I97" s="27" t="n">
        <x:v>5</x:v>
      </x:c>
      <x:c r="J97" s="27" t="n">
        <x:v>3</x:v>
      </x:c>
      <x:c r="K97" s="27" t="str">
        <x:v>大田区から概ね70km圏をやや超える特別枠。夜間照明なし、凍結・霧・野生動物に注意。</x:v>
      </x:c>
      <x:c r="L97" s="28" t="n">
        <x:v>46232</x:v>
      </x:c>
      <x:c r="M97" s="27" t="str">
        <x:v>一次確認済</x:v>
      </x:c>
      <x:c r="N97" s="27" t="str">
        <x:v>https://www.pref.saitama.lg.jp/b0504/minoyamakouen-top/riyou.html</x:v>
      </x:c>
      <x:c r="O97" s="27" t="str">
        <x:v>標高586.9mの独立峰で、秩父盆地を見下ろす夜景・雲海地点として知られる。</x:v>
      </x:c>
      <x:c r="P97" s="84" t="e">
        <x:f>HYPERLINK("https://ja.wikipedia.org/wiki/Special:Search?search=%E7%BE%8E%E3%81%AE%E5%B1%B1%E5%85%AC%E5%9C%92","Wikipedia・関連項目")</x:f>
      </x:c>
      <x:c r="Q97" s="27"/>
      <x:c r="R97" s="27" t="str">
        <x:v>35km超</x:v>
      </x:c>
      <x:c r="S97" s="27" t="str">
        <x:v>概ね35km超</x:v>
      </x:c>
      <x:c r="T97" s="27" t="str">
        <x:v>通常90分超</x:v>
      </x:c>
      <x:c r="U97" s="27" t="str">
        <x:v>海・港</x:v>
      </x:c>
      <x:c r="V97" s="27" t="str">
        <x:v>30〜60分</x:v>
      </x:c>
      <x:c r="W97" s="27" t="n">
        <x:v>1</x:v>
      </x:c>
      <x:c r="X97" s="27" t="n">
        <x:v>3</x:v>
      </x:c>
      <x:c r="Y97" s="27" t="str">
        <x:v>城南島海浜公園</x:v>
      </x:c>
      <x:c r="Z97" s="27" t="str">
        <x:v>潮風公園／晴海ふ頭公園</x:v>
      </x:c>
      <x:c r="AA97" s="22" t="str">
        <x:v>なし</x:v>
      </x:c>
      <x:c r="AB97" s="22" t="str">
        <x:v>-</x:v>
      </x:c>
      <x:c r="AC97" s="22" t="str"/>
      <x:c r="AD97" s="22" t="str">
        <x:v>専用・路外駐車を基本</x:v>
      </x:c>
      <x:c r="AE97" s="22" t="str"/>
    </x:row>
    <x:row r="98">
      <x:c r="A98" s="27" t="str">
        <x:v>D153</x:v>
      </x:c>
      <x:c r="B98" s="27" t="str">
        <x:v>王禅寺ふるさと公園</x:v>
      </x:c>
      <x:c r="C98" s="27" t="str">
        <x:v>川崎市・麻生区</x:v>
      </x:c>
      <x:c r="D98" s="27" t="str">
        <x:v>里山・展望広場・水景</x:v>
      </x:c>
      <x:c r="E98" s="48" t="e">
        <x:f>HYPERLINK("https://www.google.com/maps/dir/?api=1&amp;destination=%E7%8E%8B%E7%A6%85%E5%AF%BA%E3%81%B5%E3%82%8B%E3%81%95%E3%81%A8%E5%85%AC%E5%9C%92&amp;travelmode=driving","現在地からナビ開始")</x:f>
      </x:c>
      <x:c r="F98" s="27" t="str">
        <x:v>里山、池、展望広場がまとまり、川崎北部で静かな昼～夕方Endingになる。</x:v>
      </x:c>
      <x:c r="G98" s="27" t="str">
        <x:v>あり・63台、有料</x:v>
      </x:c>
      <x:c r="H98" s="27" t="str">
        <x:v>4～10月 入庫8:30～17:00、出庫20:00／冬季短縮</x:v>
      </x:c>
      <x:c r="I98" s="27" t="n">
        <x:v>2</x:v>
      </x:c>
      <x:c r="J98" s="27" t="n">
        <x:v>4</x:v>
      </x:c>
      <x:c r="K98" s="27" t="str">
        <x:v>季節で出庫時刻が違う。キャンプ・固定式テント禁止。</x:v>
      </x:c>
      <x:c r="L98" s="28" t="n">
        <x:v>46232</x:v>
      </x:c>
      <x:c r="M98" s="27" t="str">
        <x:v>一次確認済</x:v>
      </x:c>
      <x:c r="N98" s="27" t="str">
        <x:v>https://www.city.kawasaki.jp/530/page/0000018566.html</x:v>
      </x:c>
      <x:c r="O98" s="27" t="str">
        <x:v>王禅寺の地名は地域の古刹・王禅寺に由来し、周辺には多摩丘陵の里山地形が残る。</x:v>
      </x:c>
      <x:c r="P98" s="84" t="e">
        <x:f>HYPERLINK("https://ja.wikipedia.org/wiki/Special:Search?search=%E7%8E%8B%E7%A6%85%E5%AF%BA%E3%81%B5%E3%82%8B%E3%81%95%E3%81%A8%E5%85%AC%E5%9C%92","Wikipedia・関連項目")</x:f>
      </x:c>
      <x:c r="Q98" s="27"/>
      <x:c r="R98" s="27" t="str">
        <x:v>35km超</x:v>
      </x:c>
      <x:c r="S98" s="27" t="str">
        <x:v>概ね35km超</x:v>
      </x:c>
      <x:c r="T98" s="27" t="str">
        <x:v>通常90分超</x:v>
      </x:c>
      <x:c r="U98" s="27" t="str">
        <x:v>休日半日</x:v>
      </x:c>
      <x:c r="V98" s="27" t="str">
        <x:v>30〜60分</x:v>
      </x:c>
      <x:c r="W98" s="27" t="n">
        <x:v>2</x:v>
      </x:c>
      <x:c r="X98" s="27" t="n">
        <x:v>1</x:v>
      </x:c>
      <x:c r="Y98" s="27" t="str">
        <x:v>羽田空港 第3ターミナル展望デッキ</x:v>
      </x:c>
      <x:c r="Z98" s="27" t="str">
        <x:v>城南島海浜公園／潮風公園</x:v>
      </x:c>
      <x:c r="AA98" s="22" t="str">
        <x:v>なし</x:v>
      </x:c>
      <x:c r="AB98" s="22" t="str">
        <x:v>-</x:v>
      </x:c>
      <x:c r="AC98" s="22" t="str"/>
      <x:c r="AD98" s="22" t="str">
        <x:v>専用・路外駐車を基本</x:v>
      </x:c>
      <x:c r="AE98" s="22" t="str"/>
    </x:row>
    <x:row r="99">
      <x:c r="A99" s="27" t="str">
        <x:v>D155</x:v>
      </x:c>
      <x:c r="B99" s="27" t="str">
        <x:v>横浜市児童遊園地</x:v>
      </x:c>
      <x:c r="C99" s="27" t="str">
        <x:v>横浜市・保土ケ谷区</x:v>
      </x:c>
      <x:c r="D99" s="27" t="str">
        <x:v>梅林・丘陵・24時間駐車</x:v>
      </x:c>
      <x:c r="E99" s="48" t="e">
        <x:f>HYPERLINK("https://www.google.com/maps/dir/?api=1&amp;destination=%E6%A8%AA%E6%B5%9C%E5%B8%82%E5%85%90%E7%AB%A5%E9%81%8A%E5%9C%92%E5%9C%B0&amp;travelmode=driving","現在地からナビ開始")</x:f>
      </x:c>
      <x:c r="F99" s="27" t="str">
        <x:v>丘陵地の梅林と広場があり、横浜内陸の夜間・早朝休憩地点として使える。</x:v>
      </x:c>
      <x:c r="G99" s="27" t="str">
        <x:v>あり・50台、有料</x:v>
      </x:c>
      <x:c r="H99" s="27" t="str">
        <x:v>駐車場 24時間</x:v>
      </x:c>
      <x:c r="I99" s="27" t="n">
        <x:v>4</x:v>
      </x:c>
      <x:c r="J99" s="27" t="n">
        <x:v>4</x:v>
      </x:c>
      <x:c r="K99" s="27" t="str">
        <x:v>夜は園内が暗い。梅の季節は混雑し、環境活動施設の利用時間は別。</x:v>
      </x:c>
      <x:c r="L99" s="28" t="n">
        <x:v>46232</x:v>
      </x:c>
      <x:c r="M99" s="27" t="str">
        <x:v>一次確認済</x:v>
      </x:c>
      <x:c r="N99" s="27" t="str">
        <x:v>https://www.city.yokohama.lg.jp/kurashi/machizukuri-kankyo/nochi/center/map/parking.html</x:v>
      </x:c>
      <x:c r="O99" s="27" t="str">
        <x:v>横浜の丘陵部には谷戸と雑木林が多く残り、都市近郊農業や里山保全の舞台になってきた。</x:v>
      </x:c>
      <x:c r="P99" s="84" t="e">
        <x:f>HYPERLINK("https://ja.wikipedia.org/wiki/Special:Search?search=%E6%A8%AA%E6%B5%9C%E5%B8%82%E5%85%90%E7%AB%A5%E9%81%8A%E5%9C%92%E5%9C%B0","Wikipedia・関連項目")</x:f>
      </x:c>
      <x:c r="Q99" s="27"/>
      <x:c r="R99" s="27" t="str">
        <x:v>35km超</x:v>
      </x:c>
      <x:c r="S99" s="27" t="str">
        <x:v>概ね35km超</x:v>
      </x:c>
      <x:c r="T99" s="27" t="str">
        <x:v>通常90分超</x:v>
      </x:c>
      <x:c r="U99" s="27" t="str">
        <x:v>平日夜・深夜</x:v>
      </x:c>
      <x:c r="V99" s="27" t="str">
        <x:v>30〜60分</x:v>
      </x:c>
      <x:c r="W99" s="27" t="n">
        <x:v>2</x:v>
      </x:c>
      <x:c r="X99" s="27" t="n">
        <x:v>1</x:v>
      </x:c>
      <x:c r="Y99" s="27" t="str">
        <x:v>羽田空港 第3ターミナル展望デッキ</x:v>
      </x:c>
      <x:c r="Z99" s="27" t="str">
        <x:v>城南島海浜公園／潮風公園</x:v>
      </x:c>
      <x:c r="AA99" s="22" t="str">
        <x:v>なし</x:v>
      </x:c>
      <x:c r="AB99" s="22" t="str">
        <x:v>-</x:v>
      </x:c>
      <x:c r="AC99" s="22" t="str"/>
      <x:c r="AD99" s="22" t="str">
        <x:v>専用・路外駐車を基本</x:v>
      </x:c>
      <x:c r="AE99" s="22" t="str"/>
    </x:row>
    <x:row r="100">
      <x:c r="A100" s="27" t="str">
        <x:v>D158</x:v>
      </x:c>
      <x:c r="B100" s="27" t="str">
        <x:v>東京湾観音</x:v>
      </x:c>
      <x:c r="C100" s="27" t="str">
        <x:v>千葉県富津市・小久保</x:v>
      </x:c>
      <x:c r="D100" s="27" t="str">
        <x:v>巨大仏・高台・東京湾</x:v>
      </x:c>
      <x:c r="E100" s="48" t="e">
        <x:f>HYPERLINK("https://www.google.com/maps/dir/?api=1&amp;destination=%E6%9D%B1%E4%BA%AC%E6%B9%BE%E8%A6%B3%E9%9F%B3&amp;travelmode=driving","現在地からナビ開始")</x:f>
      </x:c>
      <x:c r="F100" s="27" t="str">
        <x:v>高さ56mの観音像内部を上り、東京湾と房総丘陵を眺める独特のStory Ending。</x:v>
      </x:c>
      <x:c r="G100" s="27" t="str">
        <x:v>あり・普通車50台、無料</x:v>
      </x:c>
      <x:c r="H100" s="27" t="str">
        <x:v>8:00～17:00、受付16:00まで／木曜休</x:v>
      </x:c>
      <x:c r="I100" s="27" t="n">
        <x:v>2</x:v>
      </x:c>
      <x:c r="J100" s="27" t="n">
        <x:v>4</x:v>
      </x:c>
      <x:c r="K100" s="27" t="str">
        <x:v>階段が多い。強風・荒天・定休日を確認。</x:v>
      </x:c>
      <x:c r="L100" s="28" t="n">
        <x:v>46232</x:v>
      </x:c>
      <x:c r="M100" s="27" t="str">
        <x:v>一次確認済</x:v>
      </x:c>
      <x:c r="N100" s="27" t="str">
        <x:v>https://www.city.futtsu.lg.jp/0000000346.html</x:v>
      </x:c>
      <x:c r="O100" s="27" t="str">
        <x:v>1961年建立の巨大観音像で、戦没者慰霊と世界平和への願いを込めて建てられた。</x:v>
      </x:c>
      <x:c r="P100" s="84" t="e">
        <x:f>HYPERLINK("https://ja.wikipedia.org/wiki/Special:Search?search=%E6%9D%B1%E4%BA%AC%E6%B9%BE%E8%A6%B3%E9%9F%B3","Wikipedia・関連項目")</x:f>
      </x:c>
      <x:c r="Q100" s="27"/>
      <x:c r="R100" s="27" t="str">
        <x:v>35km超</x:v>
      </x:c>
      <x:c r="S100" s="27" t="str">
        <x:v>概ね35km超</x:v>
      </x:c>
      <x:c r="T100" s="27" t="str">
        <x:v>通常90分超</x:v>
      </x:c>
      <x:c r="U100" s="27" t="str">
        <x:v>休日半日</x:v>
      </x:c>
      <x:c r="V100" s="27" t="str">
        <x:v>30〜60分</x:v>
      </x:c>
      <x:c r="W100" s="27" t="n">
        <x:v>1</x:v>
      </x:c>
      <x:c r="X100" s="27" t="n">
        <x:v>1</x:v>
      </x:c>
      <x:c r="Y100" s="27" t="str">
        <x:v>羽田空港 第3ターミナル展望デッキ</x:v>
      </x:c>
      <x:c r="Z100" s="27" t="str">
        <x:v>城南島海浜公園／潮風公園</x:v>
      </x:c>
      <x:c r="AA100" s="22" t="str">
        <x:v>なし</x:v>
      </x:c>
      <x:c r="AB100" s="22" t="str">
        <x:v>-</x:v>
      </x:c>
      <x:c r="AC100" s="22" t="str"/>
      <x:c r="AD100" s="22" t="str">
        <x:v>専用・路外駐車を基本</x:v>
      </x:c>
      <x:c r="AE100" s="22" t="str"/>
    </x:row>
    <x:row r="101">
      <x:c r="A101" s="27" t="str">
        <x:v>D160</x:v>
      </x:c>
      <x:c r="B101" s="27" t="str">
        <x:v>大貫中央海岸</x:v>
      </x:c>
      <x:c r="C101" s="27" t="str">
        <x:v>千葉県富津市・大貫</x:v>
      </x:c>
      <x:c r="D101" s="27" t="str">
        <x:v>海岸・夕日・静かな湾岸</x:v>
      </x:c>
      <x:c r="E101" s="48" t="e">
        <x:f>HYPERLINK("https://www.google.com/maps/dir/?api=1&amp;destination=%E5%A4%A7%E8%B2%AB%E4%B8%AD%E5%A4%AE%E6%B5%B7%E5%B2%B8&amp;travelmode=driving","現在地からナビ開始")</x:f>
      </x:c>
      <x:c r="F101" s="27" t="str">
        <x:v>穏やかな東京湾側の海岸で、富津岬より静かな夕景Endingとして使える。</x:v>
      </x:c>
      <x:c r="G101" s="27" t="str">
        <x:v>あり・普通車50台、無料</x:v>
      </x:c>
      <x:c r="H101" s="27" t="str">
        <x:v>海水浴期の遊泳 8:30～17:00／季節外は現地確認</x:v>
      </x:c>
      <x:c r="I101" s="27" t="n">
        <x:v>2</x:v>
      </x:c>
      <x:c r="J101" s="27" t="n">
        <x:v>4</x:v>
      </x:c>
      <x:c r="K101" s="27" t="str">
        <x:v>季節外の駐車場開放状況を確認。車両乗入・火気・キャンプ禁止。</x:v>
      </x:c>
      <x:c r="L101" s="28" t="n">
        <x:v>46232</x:v>
      </x:c>
      <x:c r="M101" s="27" t="str">
        <x:v>当日再確認</x:v>
      </x:c>
      <x:c r="N101" s="27" t="str">
        <x:v>https://www.city.futtsu.lg.jp/0000004528.html</x:v>
      </x:c>
      <x:c r="O101" s="27" t="str">
        <x:v>大貫は内房線沿線の海浜集落で、東京湾の穏やかな海と砂浜を利用した保養地として発展した。</x:v>
      </x:c>
      <x:c r="P101" s="84" t="e">
        <x:f>HYPERLINK("https://ja.wikipedia.org/wiki/Special:Search?search=%E5%A4%A7%E8%B2%AB%E4%B8%AD%E5%A4%AE%E6%B5%B7%E5%B2%B8","Wikipedia・関連項目")</x:f>
      </x:c>
      <x:c r="Q101" s="27"/>
      <x:c r="R101" s="27" t="str">
        <x:v>35km超</x:v>
      </x:c>
      <x:c r="S101" s="27" t="str">
        <x:v>概ね35km超</x:v>
      </x:c>
      <x:c r="T101" s="27" t="str">
        <x:v>通常90分超</x:v>
      </x:c>
      <x:c r="U101" s="27" t="str">
        <x:v>海・港</x:v>
      </x:c>
      <x:c r="V101" s="27" t="str">
        <x:v>30〜90分</x:v>
      </x:c>
      <x:c r="W101" s="27" t="n">
        <x:v>1</x:v>
      </x:c>
      <x:c r="X101" s="27" t="n">
        <x:v>3</x:v>
      </x:c>
      <x:c r="Y101" s="27" t="str">
        <x:v>城南島海浜公園</x:v>
      </x:c>
      <x:c r="Z101" s="27" t="str">
        <x:v>潮風公園／晴海ふ頭公園</x:v>
      </x:c>
      <x:c r="AA101" s="22" t="str">
        <x:v>なし</x:v>
      </x:c>
      <x:c r="AB101" s="22" t="str">
        <x:v>-</x:v>
      </x:c>
      <x:c r="AC101" s="22" t="str"/>
      <x:c r="AD101" s="22" t="str">
        <x:v>専用・路外駐車を基本</x:v>
      </x:c>
      <x:c r="AE101" s="22" t="str"/>
    </x:row>
    <x:row r="102">
      <x:c r="A102" s="27" t="str">
        <x:v>D162</x:v>
      </x:c>
      <x:c r="B102" s="27" t="str">
        <x:v>荒崎公園</x:v>
      </x:c>
      <x:c r="C102" s="27" t="str">
        <x:v>横須賀市・長井</x:v>
      </x:c>
      <x:c r="D102" s="27" t="str">
        <x:v>岩礁・夕日・富士山</x:v>
      </x:c>
      <x:c r="E102" s="48" t="e">
        <x:f>HYPERLINK("https://www.google.com/maps/dir/?api=1&amp;destination=%E8%8D%92%E5%B4%8E%E5%85%AC%E5%9C%92&amp;travelmode=driving","現在地からナビ開始")</x:f>
      </x:c>
      <x:c r="F102" s="27" t="str">
        <x:v>三浦半島西岸の荒々しい岩礁と相模湾の夕日が強く、到達した瞬間に景観が切り替わる最終目的地。</x:v>
      </x:c>
      <x:c r="G102" s="27" t="str">
        <x:v>あり・88台</x:v>
      </x:c>
      <x:c r="H102" s="27" t="str">
        <x:v>季節により8:00～17:30／18:30／19:30</x:v>
      </x:c>
      <x:c r="I102" s="27" t="n">
        <x:v>3</x:v>
      </x:c>
      <x:c r="J102" s="27" t="n">
        <x:v>4</x:v>
      </x:c>
      <x:c r="K102" s="27" t="str">
        <x:v>閉場時刻が季節で異なる。岩場は濡れると滑りやすく、強風・高波時は海岸へ降りない。</x:v>
      </x:c>
      <x:c r="L102" s="28" t="n">
        <x:v>46232</x:v>
      </x:c>
      <x:c r="M102" s="27" t="str">
        <x:v>一次確認済</x:v>
      </x:c>
      <x:c r="N102" s="27" t="str">
        <x:v>https://www.city.yokosuka.kanagawa.jp/5560/sisetu/fc00000433.html</x:v>
      </x:c>
      <x:c r="O102" s="27" t="str">
        <x:v>荒崎海岸は凝灰岩などが波食を受けた複雑な岩礁景観で、三浦半島の地層を間近に観察できる。</x:v>
      </x:c>
      <x:c r="P102" s="84" t="e">
        <x:f>HYPERLINK("https://ja.wikipedia.org/wiki/Special:Search?search=%E8%8D%92%E5%B4%8E%E5%85%AC%E5%9C%92","Wikipedia・関連項目")</x:f>
      </x:c>
      <x:c r="Q102" s="27"/>
      <x:c r="R102" s="27" t="str">
        <x:v>35km超</x:v>
      </x:c>
      <x:c r="S102" s="27" t="str">
        <x:v>概ね35km超</x:v>
      </x:c>
      <x:c r="T102" s="27" t="str">
        <x:v>通常90分超</x:v>
      </x:c>
      <x:c r="U102" s="27" t="str">
        <x:v>休日半日</x:v>
      </x:c>
      <x:c r="V102" s="27" t="str">
        <x:v>30〜60分</x:v>
      </x:c>
      <x:c r="W102" s="27" t="n">
        <x:v>2</x:v>
      </x:c>
      <x:c r="X102" s="27" t="n">
        <x:v>1</x:v>
      </x:c>
      <x:c r="Y102" s="27" t="str">
        <x:v>羽田空港 第3ターミナル展望デッキ</x:v>
      </x:c>
      <x:c r="Z102" s="27" t="str">
        <x:v>城南島海浜公園／潮風公園</x:v>
      </x:c>
      <x:c r="AA102" s="22" t="str">
        <x:v>なし</x:v>
      </x:c>
      <x:c r="AB102" s="22" t="str">
        <x:v>-</x:v>
      </x:c>
      <x:c r="AC102" s="22" t="str"/>
      <x:c r="AD102" s="22" t="str">
        <x:v>専用・路外駐車を基本</x:v>
      </x:c>
      <x:c r="AE102" s="22" t="str"/>
    </x:row>
    <x:row r="103">
      <x:c r="A103" s="27" t="str">
        <x:v>D163</x:v>
      </x:c>
      <x:c r="B103" s="27" t="str">
        <x:v>大磯城山公園</x:v>
      </x:c>
      <x:c r="C103" s="27" t="str">
        <x:v>神奈川県大磯町</x:v>
      </x:c>
      <x:c r="D103" s="27" t="str">
        <x:v>高台・旧別邸・富士山・歴史</x:v>
      </x:c>
      <x:c r="E103" s="48" t="e">
        <x:f>HYPERLINK("https://www.google.com/maps/dir/?api=1&amp;destination=%E5%A4%A7%E7%A3%AF%E5%9F%8E%E5%B1%B1%E5%85%AC%E5%9C%92&amp;travelmode=driving","現在地からナビ開始")</x:f>
      </x:c>
      <x:c r="F103" s="27" t="str">
        <x:v>旧三井別邸と旧吉田茂邸を結ぶ高台公園で、相模湾・富士山と近現代史を一度に楽しめる。</x:v>
      </x:c>
      <x:c r="G103" s="27" t="str">
        <x:v>あり・複数駐車場</x:v>
      </x:c>
      <x:c r="H103" s="27" t="str">
        <x:v>旧三井地区8:30～17:00／旧吉田茂邸9:00～17:00</x:v>
      </x:c>
      <x:c r="I103" s="27" t="n">
        <x:v>1</x:v>
      </x:c>
      <x:c r="J103" s="27" t="n">
        <x:v>3</x:v>
      </x:c>
      <x:c r="K103" s="27" t="str">
        <x:v>夜間利用不可。入車は16:45まで。土日祝は一部有料、年末年始の閉場差に注意。</x:v>
      </x:c>
      <x:c r="L103" s="28" t="n">
        <x:v>46232</x:v>
      </x:c>
      <x:c r="M103" s="27" t="str">
        <x:v>一次確認済</x:v>
      </x:c>
      <x:c r="N103" s="27" t="str">
        <x:v>https://www.kanagawa-park.or.jp/ooisojoyama/access.html</x:v>
      </x:c>
      <x:c r="O103" s="27" t="str">
        <x:v>戦後の首相・吉田茂が暮らした大磯は、政財界人の別荘地として発展した湘南の歴史を象徴する。</x:v>
      </x:c>
      <x:c r="P103" s="84" t="e">
        <x:f>HYPERLINK("https://ja.wikipedia.org/wiki/Special:Search?search=%E5%A4%A7%E7%A3%AF%E5%9F%8E%E5%B1%B1%E5%85%AC%E5%9C%92","Wikipedia・関連項目")</x:f>
      </x:c>
      <x:c r="Q103" s="27"/>
      <x:c r="R103" s="27" t="str">
        <x:v>35km超</x:v>
      </x:c>
      <x:c r="S103" s="27" t="str">
        <x:v>概ね35km超</x:v>
      </x:c>
      <x:c r="T103" s="27" t="str">
        <x:v>通常90分超</x:v>
      </x:c>
      <x:c r="U103" s="27" t="str">
        <x:v>Story</x:v>
      </x:c>
      <x:c r="V103" s="27" t="str">
        <x:v>30〜60分</x:v>
      </x:c>
      <x:c r="W103" s="27" t="n">
        <x:v>1</x:v>
      </x:c>
      <x:c r="X103" s="27" t="n">
        <x:v>1</x:v>
      </x:c>
      <x:c r="Y103" s="27" t="str">
        <x:v>羽田空港 第3ターミナル展望デッキ</x:v>
      </x:c>
      <x:c r="Z103" s="27" t="str">
        <x:v>城南島海浜公園／潮風公園</x:v>
      </x:c>
      <x:c r="AA103" s="22" t="str">
        <x:v>なし</x:v>
      </x:c>
      <x:c r="AB103" s="22" t="str">
        <x:v>-</x:v>
      </x:c>
      <x:c r="AC103" s="22" t="str"/>
      <x:c r="AD103" s="22" t="str">
        <x:v>専用・路外駐車を基本</x:v>
      </x:c>
      <x:c r="AE103" s="22" t="str"/>
    </x:row>
    <x:row r="104">
      <x:c r="A104" s="27" t="str">
        <x:v>D167</x:v>
      </x:c>
      <x:c r="B104" s="27" t="str">
        <x:v>大黒海づり施設</x:v>
      </x:c>
      <x:c r="C104" s="27" t="str">
        <x:v>横浜市・大黒ふ頭</x:v>
      </x:c>
      <x:c r="D104" s="27" t="str">
        <x:v>港・ベイブリッジ・大型船</x:v>
      </x:c>
      <x:c r="E104" s="48" t="e">
        <x:f>HYPERLINK("https://www.google.com/maps/dir/?api=1&amp;destination=%E5%A4%A7%E9%BB%92%E6%B5%B7%E3%81%A5%E3%82%8A%E6%96%BD%E8%A8%AD&amp;travelmode=driving","現在地からナビ開始")</x:f>
      </x:c>
      <x:c r="F104" s="27" t="str">
        <x:v>大黒ふ頭の突端でベイブリッジ、外航船、港湾施設を一望でき、港のスケール感が極めて強い。</x:v>
      </x:c>
      <x:c r="G104" s="27" t="str">
        <x:v>あり・約200台</x:v>
      </x:c>
      <x:c r="H104" s="27" t="str">
        <x:v>通常6:00～19:00</x:v>
      </x:c>
      <x:c r="I104" s="27" t="n">
        <x:v>2</x:v>
      </x:c>
      <x:c r="J104" s="27" t="n">
        <x:v>4</x:v>
      </x:c>
      <x:c r="K104" s="27" t="str">
        <x:v>繁忙日は予約・入場制限あり。大黒ふ頭内の私有地・物流区域へ進入しない。</x:v>
      </x:c>
      <x:c r="L104" s="28" t="n">
        <x:v>46232</x:v>
      </x:c>
      <x:c r="M104" s="27" t="str">
        <x:v>一次確認済</x:v>
      </x:c>
      <x:c r="N104" s="27" t="str">
        <x:v>https://yokohama-fishingpiers.jp/daikoku</x:v>
      </x:c>
      <x:c r="O104" s="27" t="str">
        <x:v>大黒ふ頭は横浜ベイブリッジの大黒側アンカー地点に隣接し、自動車輸送や客船対応でも重要な埠頭。</x:v>
      </x:c>
      <x:c r="P104" s="84" t="e">
        <x:f>HYPERLINK("https://ja.wikipedia.org/wiki/Special:Search?search=%E5%A4%A7%E9%BB%92%E6%B5%B7%E3%81%A5%E3%82%8A%E6%96%BD%E8%A8%AD","Wikipedia・関連項目")</x:f>
      </x:c>
      <x:c r="Q104" s="27"/>
      <x:c r="R104" s="27" t="str">
        <x:v>35km超</x:v>
      </x:c>
      <x:c r="S104" s="27" t="str">
        <x:v>概ね35km超</x:v>
      </x:c>
      <x:c r="T104" s="27" t="str">
        <x:v>通常90分超</x:v>
      </x:c>
      <x:c r="U104" s="27" t="str">
        <x:v>海・港</x:v>
      </x:c>
      <x:c r="V104" s="27" t="str">
        <x:v>30〜90分</x:v>
      </x:c>
      <x:c r="W104" s="27" t="n">
        <x:v>2</x:v>
      </x:c>
      <x:c r="X104" s="27" t="n">
        <x:v>3</x:v>
      </x:c>
      <x:c r="Y104" s="27" t="str">
        <x:v>城南島海浜公園</x:v>
      </x:c>
      <x:c r="Z104" s="27" t="str">
        <x:v>潮風公園／晴海ふ頭公園</x:v>
      </x:c>
      <x:c r="AA104" s="22" t="str">
        <x:v>なし</x:v>
      </x:c>
      <x:c r="AB104" s="22" t="str">
        <x:v>-</x:v>
      </x:c>
      <x:c r="AC104" s="22" t="str"/>
      <x:c r="AD104" s="22" t="str">
        <x:v>専用・路外駐車を基本</x:v>
      </x:c>
      <x:c r="AE104" s="22" t="str"/>
    </x:row>
    <x:row r="105">
      <x:c r="A105" s="27" t="str">
        <x:v>D169</x:v>
      </x:c>
      <x:c r="B105" s="27" t="str">
        <x:v>昭和の森</x:v>
      </x:c>
      <x:c r="C105" s="27" t="str">
        <x:v>千葉市・緑区</x:v>
      </x:c>
      <x:c r="D105" s="27" t="str">
        <x:v>大規模公園・高台・展望・森林</x:v>
      </x:c>
      <x:c r="E105" s="48" t="e">
        <x:f>HYPERLINK("https://www.google.com/maps/dir/?api=1&amp;destination=%E6%98%AD%E5%92%8C%E3%81%AE%E6%A3%AE&amp;travelmode=driving","現在地からナビ開始")</x:f>
      </x:c>
      <x:c r="F105" s="27" t="str">
        <x:v>千葉市最大級の森林公園で、展望台から九十九里方面まで開ける昼のロングドライブEnding。</x:v>
      </x:c>
      <x:c r="G105" s="27" t="str">
        <x:v>あり・第1～第3、普通車計800台超</x:v>
      </x:c>
      <x:c r="H105" s="27" t="str">
        <x:v>駐車場8:30～17:30</x:v>
      </x:c>
      <x:c r="I105" s="27" t="n">
        <x:v>1</x:v>
      </x:c>
      <x:c r="J105" s="27" t="n">
        <x:v>3</x:v>
      </x:c>
      <x:c r="K105" s="27" t="str">
        <x:v>夜間不可。年末年始休場。行楽期・イベント時は満車となるため早い時間に到着。</x:v>
      </x:c>
      <x:c r="L105" s="28" t="n">
        <x:v>46232</x:v>
      </x:c>
      <x:c r="M105" s="27" t="str">
        <x:v>一次確認済</x:v>
      </x:c>
      <x:c r="N105" s="27" t="str">
        <x:v>https://www.city.chiba.jp/toshi/koenryokuchi/kanri/midori/top.html</x:v>
      </x:c>
      <x:c r="O105" s="27" t="str">
        <x:v>昭和の森は下総台地の地形を生かした大規模公園で、谷津・斜面林・草原が連続する。</x:v>
      </x:c>
      <x:c r="P105" s="84" t="e">
        <x:f>HYPERLINK("https://ja.wikipedia.org/wiki/Special:Search?search=%E6%98%AD%E5%92%8C%E3%81%AE%E6%A3%AE","Wikipedia・関連項目")</x:f>
      </x:c>
      <x:c r="Q105" s="27"/>
      <x:c r="R105" s="27" t="str">
        <x:v>35km超</x:v>
      </x:c>
      <x:c r="S105" s="27" t="str">
        <x:v>概ね35km超</x:v>
      </x:c>
      <x:c r="T105" s="27" t="str">
        <x:v>通常90分超</x:v>
      </x:c>
      <x:c r="U105" s="27" t="str">
        <x:v>休日半日</x:v>
      </x:c>
      <x:c r="V105" s="27" t="str">
        <x:v>30〜60分</x:v>
      </x:c>
      <x:c r="W105" s="27" t="n">
        <x:v>1</x:v>
      </x:c>
      <x:c r="X105" s="27" t="n">
        <x:v>1</x:v>
      </x:c>
      <x:c r="Y105" s="27" t="str">
        <x:v>平和の森公園</x:v>
      </x:c>
      <x:c r="Z105" s="27" t="str">
        <x:v>大森ふるさとの浜辺公園／森ケ崎公園</x:v>
      </x:c>
      <x:c r="AA105" s="22" t="str">
        <x:v>なし</x:v>
      </x:c>
      <x:c r="AB105" s="22" t="str">
        <x:v>-</x:v>
      </x:c>
      <x:c r="AC105" s="22" t="str"/>
      <x:c r="AD105" s="22" t="str">
        <x:v>専用・路外駐車を基本</x:v>
      </x:c>
      <x:c r="AE105" s="22" t="str"/>
    </x:row>
    <x:row r="106">
      <x:c r="A106" s="27" t="str">
        <x:v>D170</x:v>
      </x:c>
      <x:c r="B106" s="27" t="str">
        <x:v>秋ヶ瀬公園</x:v>
      </x:c>
      <x:c r="C106" s="27" t="str">
        <x:v>さいたま市・桜区</x:v>
      </x:c>
      <x:c r="D106" s="27" t="str">
        <x:v>荒川河川敷・広大草地・森林</x:v>
      </x:c>
      <x:c r="E106" s="48" t="e">
        <x:f>HYPERLINK("https://www.google.com/maps/dir/?api=1&amp;destination=%E7%A7%8B%E3%83%B6%E7%80%AC%E5%85%AC%E5%9C%92&amp;travelmode=driving","現在地からナビ開始")</x:f>
      </x:c>
      <x:c r="F106" s="27" t="str">
        <x:v>荒川河川敷に約3km続く広大な公園で、都市圏とは思えない空の広さを体験できる。</x:v>
      </x:c>
      <x:c r="G106" s="27" t="str">
        <x:v>あり・多数、臨時駐車場あり</x:v>
      </x:c>
      <x:c r="H106" s="27" t="str">
        <x:v>駐車場・園路の開放時間は公式当日確認</x:v>
      </x:c>
      <x:c r="I106" s="27" t="n">
        <x:v>2</x:v>
      </x:c>
      <x:c r="J106" s="27" t="n">
        <x:v>3</x:v>
      </x:c>
      <x:c r="K106" s="27" t="str">
        <x:v>増水・台風後は閉鎖あり。園内道路でも交通法規を守り、路肩駐車や放置車両は禁止。</x:v>
      </x:c>
      <x:c r="L106" s="28" t="n">
        <x:v>46232</x:v>
      </x:c>
      <x:c r="M106" s="27" t="str">
        <x:v>当日再確認</x:v>
      </x:c>
      <x:c r="N106" s="27" t="str">
        <x:v>https://www.pref.saitama.lg.jp/shisetsu/koen/004.html</x:v>
      </x:c>
      <x:c r="O106" s="27" t="str">
        <x:v>秋ヶ瀬公園は荒川の治水空間を都市公園として活用した代表例で、河川敷特有の広大な平坦地を持つ。</x:v>
      </x:c>
      <x:c r="P106" s="84" t="e">
        <x:f>HYPERLINK("https://ja.wikipedia.org/wiki/Special:Search?search=%E7%A7%8B%E3%83%B6%E7%80%AC%E5%85%AC%E5%9C%92","Wikipedia・関連項目")</x:f>
      </x:c>
      <x:c r="Q106" s="27"/>
      <x:c r="R106" s="27" t="str">
        <x:v>35km超</x:v>
      </x:c>
      <x:c r="S106" s="27" t="str">
        <x:v>概ね35km超</x:v>
      </x:c>
      <x:c r="T106" s="27" t="str">
        <x:v>通常90分超</x:v>
      </x:c>
      <x:c r="U106" s="27" t="str">
        <x:v>水辺</x:v>
      </x:c>
      <x:c r="V106" s="27" t="str">
        <x:v>30〜90分</x:v>
      </x:c>
      <x:c r="W106" s="27" t="n">
        <x:v>1</x:v>
      </x:c>
      <x:c r="X106" s="27" t="n">
        <x:v>1</x:v>
      </x:c>
      <x:c r="Y106" s="27" t="str">
        <x:v>多摩川浅間神社</x:v>
      </x:c>
      <x:c r="Z106" s="27" t="str">
        <x:v>多摩川六郷橋緑地／多摩川ガス橋緑地</x:v>
      </x:c>
      <x:c r="AA106" s="22" t="str">
        <x:v>なし</x:v>
      </x:c>
      <x:c r="AB106" s="22" t="str">
        <x:v>-</x:v>
      </x:c>
      <x:c r="AC106" s="22" t="str"/>
      <x:c r="AD106" s="22" t="str">
        <x:v>専用・路外駐車を基本</x:v>
      </x:c>
      <x:c r="AE106" s="22" t="str"/>
    </x:row>
    <x:row r="107">
      <x:c r="A107" s="27" t="str">
        <x:v>D175</x:v>
      </x:c>
      <x:c r="B107" s="27" t="str">
        <x:v>高井戸公園</x:v>
      </x:c>
      <x:c r="C107" s="27" t="str">
        <x:v>東京都杉並区</x:v>
      </x:c>
      <x:c r="D107" s="27" t="str">
        <x:v>24時間駐車・旧施設跡・芝生</x:v>
      </x:c>
      <x:c r="E107" s="48" t="e">
        <x:f>HYPERLINK("https://www.google.com/maps/dir/?api=1&amp;destination=%E9%AB%98%E4%BA%95%E6%88%B8%E5%85%AC%E5%9C%92&amp;travelmode=driving","現在地からナビ開始")</x:f>
      </x:c>
      <x:c r="F107" s="27" t="str">
        <x:v>環八・首都高4号線から寄りやすく、広い芝生と開けた空で走行後に休憩できる。</x:v>
      </x:c>
      <x:c r="G107" s="27" t="str">
        <x:v>あり・40台、有料</x:v>
      </x:c>
      <x:c r="H107" s="27" t="str">
        <x:v>駐車場24時間</x:v>
      </x:c>
      <x:c r="I107" s="27" t="n">
        <x:v>4</x:v>
      </x:c>
      <x:c r="J107" s="27" t="n">
        <x:v>4</x:v>
      </x:c>
      <x:c r="K107" s="27" t="str">
        <x:v>台数が少ない。満車時は周辺路上待機せず通過。住宅地への騒音配慮。</x:v>
      </x:c>
      <x:c r="L107" s="28" t="n">
        <x:v>46232</x:v>
      </x:c>
      <x:c r="M107" s="27" t="str">
        <x:v>一次確認済</x:v>
      </x:c>
      <x:c r="N107" s="27" t="str">
        <x:v>https://www.tokyo-park.or.jp/park/takaido/index.html</x:v>
      </x:c>
      <x:c r="O107" s="27" t="str">
        <x:v>公園用地の一部は旧NHK富士見ヶ丘運動場などの跡地で、都市内の大規模空地を公園へ転換した。</x:v>
      </x:c>
      <x:c r="P107" s="84" t="e">
        <x:f>HYPERLINK("https://ja.wikipedia.org/wiki/Special:Search?search=%E9%AB%98%E4%BA%95%E6%88%B8%E5%85%AC%E5%9C%92","Wikipedia・関連項目")</x:f>
      </x:c>
      <x:c r="Q107" s="27"/>
      <x:c r="R107" s="27" t="str">
        <x:v>35km超</x:v>
      </x:c>
      <x:c r="S107" s="27" t="str">
        <x:v>概ね35km超</x:v>
      </x:c>
      <x:c r="T107" s="27" t="str">
        <x:v>通常90分超</x:v>
      </x:c>
      <x:c r="U107" s="27" t="str">
        <x:v>平日夜・深夜</x:v>
      </x:c>
      <x:c r="V107" s="27" t="str">
        <x:v>30〜60分</x:v>
      </x:c>
      <x:c r="W107" s="27" t="n">
        <x:v>2</x:v>
      </x:c>
      <x:c r="X107" s="27" t="n">
        <x:v>1</x:v>
      </x:c>
      <x:c r="Y107" s="27" t="str">
        <x:v>羽田空港 第3ターミナル展望デッキ</x:v>
      </x:c>
      <x:c r="Z107" s="27" t="str">
        <x:v>城南島海浜公園／潮風公園</x:v>
      </x:c>
      <x:c r="AA107" s="22" t="str">
        <x:v>なし</x:v>
      </x:c>
      <x:c r="AB107" s="22" t="str">
        <x:v>-</x:v>
      </x:c>
      <x:c r="AC107" s="22" t="str"/>
      <x:c r="AD107" s="22" t="str">
        <x:v>専用・路外駐車を基本</x:v>
      </x:c>
      <x:c r="AE107" s="22" t="str"/>
    </x:row>
    <x:row r="108">
      <x:c r="A108" s="27" t="str">
        <x:v>D176</x:v>
      </x:c>
      <x:c r="B108" s="27" t="str">
        <x:v>泉自然公園</x:v>
      </x:c>
      <x:c r="C108" s="27" t="str">
        <x:v>千葉市・若葉区</x:v>
      </x:c>
      <x:c r="D108" s="27" t="str">
        <x:v>森林・池・吊橋・谷津</x:v>
      </x:c>
      <x:c r="E108" s="48" t="e">
        <x:f>HYPERLINK("https://www.google.com/maps/dir/?api=1&amp;destination=%E6%B3%89%E8%87%AA%E7%84%B6%E5%85%AC%E5%9C%92&amp;travelmode=driving","現在地からナビ開始")</x:f>
      </x:c>
      <x:c r="F108" s="27" t="str">
        <x:v>深い森と池、吊橋がまとまり、千葉東部で完全に都市の景色を切れる昼のEnding。</x:v>
      </x:c>
      <x:c r="G108" s="27" t="str">
        <x:v>あり・普通車400円</x:v>
      </x:c>
      <x:c r="H108" s="27" t="str">
        <x:v>4～9月8:30～17:00／10～3月8:30～16:30</x:v>
      </x:c>
      <x:c r="I108" s="27" t="n">
        <x:v>1</x:v>
      </x:c>
      <x:c r="J108" s="27" t="n">
        <x:v>4</x:v>
      </x:c>
      <x:c r="K108" s="27" t="str">
        <x:v>入場は閉園30分前まで。桜・紅葉期は満車、路上駐車禁止。</x:v>
      </x:c>
      <x:c r="L108" s="28" t="n">
        <x:v>46232</x:v>
      </x:c>
      <x:c r="M108" s="27" t="str">
        <x:v>一次確認済</x:v>
      </x:c>
      <x:c r="N108" s="27" t="str">
        <x:v>https://izumi-park.city.chiba.jp/access.php</x:v>
      </x:c>
      <x:c r="O108" s="27" t="str">
        <x:v>泉自然公園は下総台地の谷津地形を保全し、草原・湿地・樹林が近距離で切り替わる。</x:v>
      </x:c>
      <x:c r="P108" s="84" t="e">
        <x:f>HYPERLINK("https://ja.wikipedia.org/wiki/Special:Search?search=%E6%B3%89%E8%87%AA%E7%84%B6%E5%85%AC%E5%9C%92","Wikipedia・関連項目")</x:f>
      </x:c>
      <x:c r="Q108" s="27"/>
      <x:c r="R108" s="27" t="str">
        <x:v>35km超</x:v>
      </x:c>
      <x:c r="S108" s="27" t="str">
        <x:v>概ね35km超</x:v>
      </x:c>
      <x:c r="T108" s="27" t="str">
        <x:v>通常90分超</x:v>
      </x:c>
      <x:c r="U108" s="27" t="str">
        <x:v>水辺</x:v>
      </x:c>
      <x:c r="V108" s="27" t="str">
        <x:v>30〜90分</x:v>
      </x:c>
      <x:c r="W108" s="27" t="n">
        <x:v>1</x:v>
      </x:c>
      <x:c r="X108" s="27" t="n">
        <x:v>1</x:v>
      </x:c>
      <x:c r="Y108" s="27" t="str">
        <x:v>多摩川浅間神社</x:v>
      </x:c>
      <x:c r="Z108" s="27" t="str">
        <x:v>多摩川六郷橋緑地／多摩川ガス橋緑地</x:v>
      </x:c>
      <x:c r="AA108" s="22" t="str">
        <x:v>なし</x:v>
      </x:c>
      <x:c r="AB108" s="22" t="str">
        <x:v>-</x:v>
      </x:c>
      <x:c r="AC108" s="22" t="str"/>
      <x:c r="AD108" s="22" t="str">
        <x:v>専用・路外駐車を基本</x:v>
      </x:c>
      <x:c r="AE108" s="22" t="str"/>
    </x:row>
    <x:row r="109">
      <x:c r="A109" s="27" t="str">
        <x:v>D177</x:v>
      </x:c>
      <x:c r="B109" s="27" t="str">
        <x:v>袖ケ浦海浜公園</x:v>
      </x:c>
      <x:c r="C109" s="27" t="str">
        <x:v>千葉県袖ケ浦市</x:v>
      </x:c>
      <x:c r="D109" s="27" t="str">
        <x:v>港・海・展望塔・工場夜景</x:v>
      </x:c>
      <x:c r="E109" s="48" t="e">
        <x:f>HYPERLINK("https://www.google.com/maps/dir/?api=1&amp;destination=%E8%A2%96%E3%82%B1%E6%B5%A6%E6%B5%B7%E6%B5%9C%E5%85%AC%E5%9C%92&amp;travelmode=driving","現在地からナビ開始")</x:f>
      </x:c>
      <x:c r="F109" s="27" t="str">
        <x:v>東京湾に突き出す公園からアクアライン、対岸の街、京葉工業地帯を見渡せる。</x:v>
      </x:c>
      <x:c r="G109" s="27" t="str">
        <x:v>あり・無料</x:v>
      </x:c>
      <x:c r="H109" s="27" t="str">
        <x:v>公園・駐車場の最新開放時間は指定管理者確認</x:v>
      </x:c>
      <x:c r="I109" s="27" t="n">
        <x:v>4</x:v>
      </x:c>
      <x:c r="J109" s="27" t="n">
        <x:v>4</x:v>
      </x:c>
      <x:c r="K109" s="27" t="str">
        <x:v>強風時は展望塔周辺に注意。イベント・撮影規制、指定場所以外への車両進入禁止。</x:v>
      </x:c>
      <x:c r="L109" s="28" t="n">
        <x:v>46232</x:v>
      </x:c>
      <x:c r="M109" s="27" t="str">
        <x:v>当日再確認</x:v>
      </x:c>
      <x:c r="N109" s="27" t="str">
        <x:v>https://www.city.sodegaura.lg.jp/soshiki/toshi/kaihinkouen.html</x:v>
      </x:c>
      <x:c r="O109" s="27" t="str">
        <x:v>袖ケ浦海浜公園は千葉港南部の埋立地に造られ、東京湾岸の工業地帯と海景を同時に見られる。</x:v>
      </x:c>
      <x:c r="P109" s="84" t="e">
        <x:f>HYPERLINK("https://ja.wikipedia.org/wiki/Special:Search?search=%E8%A2%96%E3%82%B1%E6%B5%A6%E6%B5%B7%E6%B5%9C%E5%85%AC%E5%9C%92","Wikipedia・関連項目")</x:f>
      </x:c>
      <x:c r="Q109" s="27"/>
      <x:c r="R109" s="27" t="str">
        <x:v>35km超</x:v>
      </x:c>
      <x:c r="S109" s="27" t="str">
        <x:v>概ね35km超</x:v>
      </x:c>
      <x:c r="T109" s="27" t="str">
        <x:v>通常90分超</x:v>
      </x:c>
      <x:c r="U109" s="27" t="str">
        <x:v>工場夜景</x:v>
      </x:c>
      <x:c r="V109" s="27" t="str">
        <x:v>30〜60分</x:v>
      </x:c>
      <x:c r="W109" s="27" t="n">
        <x:v>1</x:v>
      </x:c>
      <x:c r="X109" s="27" t="n">
        <x:v>4</x:v>
      </x:c>
      <x:c r="Y109" s="27" t="str">
        <x:v>川崎マリエン</x:v>
      </x:c>
      <x:c r="Z109" s="27" t="str">
        <x:v>東扇島東公園／ちどり公園</x:v>
      </x:c>
      <x:c r="AA109" s="22" t="str">
        <x:v>なし</x:v>
      </x:c>
      <x:c r="AB109" s="22" t="str">
        <x:v>-</x:v>
      </x:c>
      <x:c r="AC109" s="22" t="str"/>
      <x:c r="AD109" s="22" t="str">
        <x:v>専用・路外駐車を基本</x:v>
      </x:c>
      <x:c r="AE109" s="22" t="str"/>
    </x:row>
    <x:row r="110">
      <x:c r="A110" s="27" t="str">
        <x:v>D178</x:v>
      </x:c>
      <x:c r="B110" s="27" t="str">
        <x:v>彩湖・道満グリーンパーク</x:v>
      </x:c>
      <x:c r="C110" s="27" t="str">
        <x:v>埼玉県戸田市</x:v>
      </x:c>
      <x:c r="D110" s="27" t="str">
        <x:v>湖・荒川・広大公園・夕方</x:v>
      </x:c>
      <x:c r="E110" s="48" t="e">
        <x:f>HYPERLINK("https://www.google.com/maps/dir/?api=1&amp;destination=%E5%BD%A9%E6%B9%96%E3%83%BB%E9%81%93%E6%BA%80%E3%82%B0%E3%83%AA%E3%83%BC%E3%83%B3%E3%83%91%E3%83%BC%E3%82%AF&amp;travelmode=driving","現在地からナビ開始")</x:f>
      </x:c>
      <x:c r="F110" s="27" t="str">
        <x:v>彩湖の水面と荒川河川敷の広い空があり、埼玉南部で水辺の到達感を作れる。</x:v>
      </x:c>
      <x:c r="G110" s="27" t="str">
        <x:v>あり・有料</x:v>
      </x:c>
      <x:c r="H110" s="27" t="str">
        <x:v>開園・駐車場時間は季節別公式案内確認</x:v>
      </x:c>
      <x:c r="I110" s="27" t="n">
        <x:v>2</x:v>
      </x:c>
      <x:c r="J110" s="27" t="n">
        <x:v>2</x:v>
      </x:c>
      <x:c r="K110" s="27" t="str">
        <x:v>行楽期は60～120分待ちの渋滞実績あり。満車時の路上駐車禁止、増水時閉鎖あり。</x:v>
      </x:c>
      <x:c r="L110" s="28" t="n">
        <x:v>46232</x:v>
      </x:c>
      <x:c r="M110" s="27" t="str">
        <x:v>一次確認済</x:v>
      </x:c>
      <x:c r="N110" s="27" t="str">
        <x:v>https://www.toda-kousha.com/park/saikodoman/</x:v>
      </x:c>
      <x:c r="O110" s="27" t="str">
        <x:v>彩湖は荒川第一調節池内に造られた貯水池で、洪水調節と都市用水確保の役割を持つ。</x:v>
      </x:c>
      <x:c r="P110" s="84" t="e">
        <x:f>HYPERLINK("https://ja.wikipedia.org/wiki/Special:Search?search=%E5%BD%A9%E6%B9%96%E3%83%BB%E9%81%93%E6%BA%80%E3%82%B0%E3%83%AA%E3%83%BC%E3%83%B3%E3%83%91%E3%83%BC%E3%82%AF","Wikipedia・関連項目")</x:f>
      </x:c>
      <x:c r="Q110" s="27"/>
      <x:c r="R110" s="27" t="str">
        <x:v>35km超</x:v>
      </x:c>
      <x:c r="S110" s="27" t="str">
        <x:v>概ね35km超</x:v>
      </x:c>
      <x:c r="T110" s="27" t="str">
        <x:v>通常90分超</x:v>
      </x:c>
      <x:c r="U110" s="27" t="str">
        <x:v>水辺</x:v>
      </x:c>
      <x:c r="V110" s="27" t="str">
        <x:v>30〜90分</x:v>
      </x:c>
      <x:c r="W110" s="27" t="n">
        <x:v>1</x:v>
      </x:c>
      <x:c r="X110" s="27" t="n">
        <x:v>1</x:v>
      </x:c>
      <x:c r="Y110" s="27" t="str">
        <x:v>多摩川浅間神社</x:v>
      </x:c>
      <x:c r="Z110" s="27" t="str">
        <x:v>多摩川六郷橋緑地／多摩川ガス橋緑地</x:v>
      </x:c>
      <x:c r="AA110" s="22" t="str">
        <x:v>なし</x:v>
      </x:c>
      <x:c r="AB110" s="22" t="str">
        <x:v>-</x:v>
      </x:c>
      <x:c r="AC110" s="22" t="str"/>
      <x:c r="AD110" s="22" t="str">
        <x:v>専用・路外駐車を基本</x:v>
      </x:c>
      <x:c r="AE110" s="22" t="str"/>
    </x:row>
    <x:row r="111">
      <x:c r="A111" s="27" t="str">
        <x:v>D179</x:v>
      </x:c>
      <x:c r="B111" s="27" t="str">
        <x:v>権現堂公園</x:v>
      </x:c>
      <x:c r="C111" s="27" t="str">
        <x:v>埼玉県幸手市</x:v>
      </x:c>
      <x:c r="D111" s="27" t="str">
        <x:v>堤・花・河川・季節景観</x:v>
      </x:c>
      <x:c r="E111" s="48" t="e">
        <x:f>HYPERLINK("https://www.google.com/maps/dir/?api=1&amp;destination=%E6%A8%A9%E7%8F%BE%E5%A0%82%E5%85%AC%E5%9C%92&amp;travelmode=driving","現在地からナビ開始")</x:f>
      </x:c>
      <x:c r="F111" s="27" t="str">
        <x:v>長い堤と桜・菜の花などの季節景観があり、埼玉東部の平坦な風景を目的地化できる。</x:v>
      </x:c>
      <x:c r="G111" s="27" t="str">
        <x:v>あり・無料／季節有料の場合あり</x:v>
      </x:c>
      <x:c r="H111" s="27" t="str">
        <x:v>駐車場時間・イベント規制は公式確認</x:v>
      </x:c>
      <x:c r="I111" s="27" t="n">
        <x:v>2</x:v>
      </x:c>
      <x:c r="J111" s="27" t="n">
        <x:v>2</x:v>
      </x:c>
      <x:c r="K111" s="27" t="str">
        <x:v>桜・曼珠沙華期は大渋滞。夜間より昼～夕方向け、路上駐車禁止。</x:v>
      </x:c>
      <x:c r="L111" s="28" t="n">
        <x:v>46232</x:v>
      </x:c>
      <x:c r="M111" s="27" t="str">
        <x:v>当日再確認</x:v>
      </x:c>
      <x:c r="N111" s="27" t="str">
        <x:v>https://www.pref.saitama.lg.jp/shisetsu/koen/010.html</x:v>
      </x:c>
      <x:c r="O111" s="27" t="str">
        <x:v>権現堂堤は利根川水系の治水と地域交通の歴史を持ち、現在は四季の花の名所として再生された。</x:v>
      </x:c>
      <x:c r="P111" s="84" t="e">
        <x:f>HYPERLINK("https://ja.wikipedia.org/wiki/Special:Search?search=%E6%A8%A9%E7%8F%BE%E5%A0%82%E5%85%AC%E5%9C%92","Wikipedia・関連項目")</x:f>
      </x:c>
      <x:c r="Q111" s="27"/>
      <x:c r="R111" s="27" t="str">
        <x:v>35km超</x:v>
      </x:c>
      <x:c r="S111" s="27" t="str">
        <x:v>概ね35km超</x:v>
      </x:c>
      <x:c r="T111" s="27" t="str">
        <x:v>通常90分超</x:v>
      </x:c>
      <x:c r="U111" s="27" t="str">
        <x:v>水辺</x:v>
      </x:c>
      <x:c r="V111" s="27" t="str">
        <x:v>30〜90分</x:v>
      </x:c>
      <x:c r="W111" s="27" t="n">
        <x:v>1</x:v>
      </x:c>
      <x:c r="X111" s="27" t="n">
        <x:v>1</x:v>
      </x:c>
      <x:c r="Y111" s="27" t="str">
        <x:v>多摩川浅間神社</x:v>
      </x:c>
      <x:c r="Z111" s="27" t="str">
        <x:v>多摩川六郷橋緑地／多摩川ガス橋緑地</x:v>
      </x:c>
      <x:c r="AA111" s="22" t="str">
        <x:v>なし</x:v>
      </x:c>
      <x:c r="AB111" s="22" t="str">
        <x:v>-</x:v>
      </x:c>
      <x:c r="AC111" s="22" t="str"/>
      <x:c r="AD111" s="22" t="str">
        <x:v>専用・路外駐車を基本</x:v>
      </x:c>
      <x:c r="AE111" s="22" t="str"/>
    </x:row>
    <x:row r="112">
      <x:c r="A112" s="27" t="str">
        <x:v>D180</x:v>
      </x:c>
      <x:c r="B112" s="27" t="str">
        <x:v>吉見百穴</x:v>
      </x:c>
      <x:c r="C112" s="27" t="str">
        <x:v>埼玉県吉見町</x:v>
      </x:c>
      <x:c r="D112" s="27" t="str">
        <x:v>古墳・岩窟・戦争遺構・Story</x:v>
      </x:c>
      <x:c r="E112" s="48" t="e">
        <x:f>HYPERLINK("https://www.google.com/maps/dir/?api=1&amp;destination=%E5%90%89%E8%A6%8B%E7%99%BE%E7%A9%B4&amp;travelmode=driving","現在地からナビ開始")</x:f>
      </x:c>
      <x:c r="F112" s="27" t="str">
        <x:v>岩壁に無数の横穴が並ぶ異様な景観と地下軍需工場跡があり、強烈な物語性を持つ昼Ending。</x:v>
      </x:c>
      <x:c r="G112" s="27" t="str">
        <x:v>あり・無料</x:v>
      </x:c>
      <x:c r="H112" s="27" t="str">
        <x:v>8:30～17:00中心、最終入場は公式確認</x:v>
      </x:c>
      <x:c r="I112" s="27" t="n">
        <x:v>1</x:v>
      </x:c>
      <x:c r="J112" s="27" t="n">
        <x:v>4</x:v>
      </x:c>
      <x:c r="K112" s="27" t="str">
        <x:v>夜間不可。坑道・横穴の立入範囲を守り、休館日・工事情報を当日確認。</x:v>
      </x:c>
      <x:c r="L112" s="28" t="n">
        <x:v>46232</x:v>
      </x:c>
      <x:c r="M112" s="27" t="str">
        <x:v>当日再確認</x:v>
      </x:c>
      <x:c r="N112" s="27" t="str">
        <x:v>https://www.town.yoshimi.saitama.jp/soshiki/shogaigakusyuka/2/909.html</x:v>
      </x:c>
      <x:c r="O112" s="27" t="str">
        <x:v>吉見百穴は古墳時代後期の横穴墓群で、戦時中には地下軍需工場として掘削された区域もある。</x:v>
      </x:c>
      <x:c r="P112" s="84" t="e">
        <x:f>HYPERLINK("https://ja.wikipedia.org/wiki/Special:Search?search=%E5%90%89%E8%A6%8B%E7%99%BE%E7%A9%B4","Wikipedia・関連項目")</x:f>
      </x:c>
      <x:c r="Q112" s="27"/>
      <x:c r="R112" s="27" t="str">
        <x:v>35km超</x:v>
      </x:c>
      <x:c r="S112" s="27" t="str">
        <x:v>概ね35km超</x:v>
      </x:c>
      <x:c r="T112" s="27" t="str">
        <x:v>通常90分超</x:v>
      </x:c>
      <x:c r="U112" s="27" t="str">
        <x:v>Story</x:v>
      </x:c>
      <x:c r="V112" s="27" t="str">
        <x:v>30〜60分</x:v>
      </x:c>
      <x:c r="W112" s="27" t="n">
        <x:v>2</x:v>
      </x:c>
      <x:c r="X112" s="27" t="n">
        <x:v>1</x:v>
      </x:c>
      <x:c r="Y112" s="27" t="str">
        <x:v>羽田空港 第3ターミナル展望デッキ</x:v>
      </x:c>
      <x:c r="Z112" s="27" t="str">
        <x:v>城南島海浜公園／潮風公園</x:v>
      </x:c>
      <x:c r="AA112" s="22" t="str">
        <x:v>なし</x:v>
      </x:c>
      <x:c r="AB112" s="22" t="str">
        <x:v>-</x:v>
      </x:c>
      <x:c r="AC112" s="22" t="str"/>
      <x:c r="AD112" s="22" t="str">
        <x:v>専用・路外駐車を基本</x:v>
      </x:c>
      <x:c r="AE112" s="22" t="str"/>
    </x:row>
    <x:row r="113">
      <x:c r="A113" s="27" t="str">
        <x:v>D182</x:v>
      </x:c>
      <x:c r="B113" s="27" t="str">
        <x:v>香澄公園</x:v>
      </x:c>
      <x:c r="C113" s="27" t="str">
        <x:v>習志野市・香澄</x:v>
      </x:c>
      <x:c r="D113" s="27" t="str">
        <x:v>緑道・菖蒲池・緩衝緑地</x:v>
      </x:c>
      <x:c r="E113" s="48" t="e">
        <x:f>HYPERLINK("https://www.google.com/maps/dir/?api=1&amp;destination=%E9%A6%99%E6%BE%84%E5%85%AC%E5%9C%92&amp;travelmode=driving","現在地からナビ開始")</x:f>
      </x:c>
      <x:c r="F113" s="27" t="str">
        <x:v>細長い緑地に池、樹林、起伏が連続し、湾岸道路の人工景観から緑へ切り替える経由地・昼Endingになる。</x:v>
      </x:c>
      <x:c r="G113" s="27" t="str">
        <x:v>あり・75台・無料</x:v>
      </x:c>
      <x:c r="H113" s="27" t="str">
        <x:v>3～7/18・9月 9:00～17:30／夏 19:30／冬 17:00</x:v>
      </x:c>
      <x:c r="I113" s="27" t="n">
        <x:v>1</x:v>
      </x:c>
      <x:c r="J113" s="27" t="n">
        <x:v>4</x:v>
      </x:c>
      <x:c r="K113" s="27" t="str">
        <x:v>閉場後は出庫不可。花見期は混雑し、満車時は茜浜緑地駐車場へ差し替える。</x:v>
      </x:c>
      <x:c r="L113" s="28" t="n">
        <x:v>46232</x:v>
      </x:c>
      <x:c r="M113" s="27" t="str">
        <x:v>一次確認済</x:v>
      </x:c>
      <x:c r="N113" s="27" t="str">
        <x:v>https://www.city.narashino.lg.jp/shisetu/koenshiseki/kasumikoen.html</x:v>
      </x:c>
      <x:c r="O113" s="27" t="str">
        <x:v>香澄公園は湾岸の住宅地と工業・交通施設を分ける緩衝緑地として機能し、明治神宮から株分けされた花菖蒲もある。</x:v>
      </x:c>
      <x:c r="P113" s="84" t="e">
        <x:f>HYPERLINK("https://ja.wikipedia.org/wiki/Special:Search?search=%E9%A6%99%E6%BE%84%E5%85%AC%E5%9C%92","Wikipedia・関連項目")</x:f>
      </x:c>
      <x:c r="Q113" s="27" t="str">
        <x:v>新規追加。夜間不向きだが、湾岸ルートの景観転換点として高評価。</x:v>
      </x:c>
      <x:c r="R113" s="27" t="str">
        <x:v>35km超</x:v>
      </x:c>
      <x:c r="S113" s="27" t="str">
        <x:v>概ね35km超</x:v>
      </x:c>
      <x:c r="T113" s="27" t="str">
        <x:v>通常90分超</x:v>
      </x:c>
      <x:c r="U113" s="27" t="str">
        <x:v>水辺</x:v>
      </x:c>
      <x:c r="V113" s="27" t="str">
        <x:v>30〜60分</x:v>
      </x:c>
      <x:c r="W113" s="27" t="n">
        <x:v>2</x:v>
      </x:c>
      <x:c r="X113" s="27" t="n">
        <x:v>1</x:v>
      </x:c>
      <x:c r="Y113" s="27" t="str">
        <x:v>多摩川浅間神社</x:v>
      </x:c>
      <x:c r="Z113" s="27" t="str">
        <x:v>多摩川六郷橋緑地／多摩川ガス橋緑地</x:v>
      </x:c>
      <x:c r="AA113" s="22" t="str">
        <x:v>なし</x:v>
      </x:c>
      <x:c r="AB113" s="22" t="str">
        <x:v>-</x:v>
      </x:c>
      <x:c r="AC113" s="22" t="str"/>
      <x:c r="AD113" s="22" t="str">
        <x:v>専用・路外駐車を基本</x:v>
      </x:c>
      <x:c r="AE113" s="22" t="str"/>
    </x:row>
    <x:row r="114">
      <x:c r="A114" s="27" t="str">
        <x:v>D183</x:v>
      </x:c>
      <x:c r="B114" s="27" t="str">
        <x:v>茜浜緑地・海浜公園</x:v>
      </x:c>
      <x:c r="C114" s="27" t="str">
        <x:v>習志野市・茜浜／芝園</x:v>
      </x:c>
      <x:c r="D114" s="27" t="str">
        <x:v>海・湾岸・行き止まり</x:v>
      </x:c>
      <x:c r="E114" s="48" t="e">
        <x:f>HYPERLINK("https://www.google.com/maps/dir/?api=1&amp;destination=%E8%8C%9C%E6%B5%9C%E7%B7%91%E5%9C%B0%E3%83%BB%E6%B5%B7%E6%B5%9C%E5%85%AC%E5%9C%92&amp;travelmode=driving","現在地からナビ開始")</x:f>
      </x:c>
      <x:c r="F114" s="27" t="str">
        <x:v>東京湾に面した直線的な海辺で、物流・工業地区の先に水面が開ける『湾岸の端』らしいEnding。</x:v>
      </x:c>
      <x:c r="G114" s="27" t="str">
        <x:v>あり・232台・無料</x:v>
      </x:c>
      <x:c r="H114" s="27" t="str">
        <x:v>5～6月 8:00～18:30／7～8月 6:00～19:30／9～4月 8:30～17:30</x:v>
      </x:c>
      <x:c r="I114" s="27" t="n">
        <x:v>2</x:v>
      </x:c>
      <x:c r="J114" s="27" t="n">
        <x:v>5</x:v>
      </x:c>
      <x:c r="K114" s="27" t="str">
        <x:v>夜間不可。閉門時刻厳守。強風・高波時は海際へ近づかず、工業施設敷地へ進入しない。</x:v>
      </x:c>
      <x:c r="L114" s="28" t="n">
        <x:v>46232</x:v>
      </x:c>
      <x:c r="M114" s="27" t="str">
        <x:v>一次確認済</x:v>
      </x:c>
      <x:c r="N114" s="27" t="str">
        <x:v>https://www.city.narashino.lg.jp/shisetu/koenshiseki/kaihinkouen.html</x:v>
      </x:c>
      <x:c r="O114" s="27" t="str">
        <x:v>茜浜は東京湾の埋立地で、習志野市の臨海工業・物流地区を形成する一方、海辺の緑地が緩衝帯となっている。</x:v>
      </x:c>
      <x:c r="P114" s="84" t="e">
        <x:f>HYPERLINK("https://ja.wikipedia.org/wiki/Special:Search?search=%E8%8C%9C%E6%B5%9C%E7%B7%91%E5%9C%B0%E3%83%BB%E6%B5%B7%E6%B5%9C%E5%85%AC%E5%9C%92","Wikipedia・関連項目")</x:f>
      </x:c>
      <x:c r="Q114" s="27" t="str">
        <x:v>新規追加。行き止まり感と合法駐車を両立する昼Ending。</x:v>
      </x:c>
      <x:c r="R114" s="27" t="str">
        <x:v>35km超</x:v>
      </x:c>
      <x:c r="S114" s="27" t="str">
        <x:v>概ね35km超</x:v>
      </x:c>
      <x:c r="T114" s="27" t="str">
        <x:v>通常90分超</x:v>
      </x:c>
      <x:c r="U114" s="27" t="str">
        <x:v>海・港</x:v>
      </x:c>
      <x:c r="V114" s="27" t="str">
        <x:v>30〜60分</x:v>
      </x:c>
      <x:c r="W114" s="27" t="n">
        <x:v>1</x:v>
      </x:c>
      <x:c r="X114" s="27" t="n">
        <x:v>3</x:v>
      </x:c>
      <x:c r="Y114" s="27" t="str">
        <x:v>城南島海浜公園</x:v>
      </x:c>
      <x:c r="Z114" s="27" t="str">
        <x:v>潮風公園／晴海ふ頭公園</x:v>
      </x:c>
      <x:c r="AA114" s="22" t="str">
        <x:v>なし</x:v>
      </x:c>
      <x:c r="AB114" s="22" t="str">
        <x:v>-</x:v>
      </x:c>
      <x:c r="AC114" s="22" t="str"/>
      <x:c r="AD114" s="22" t="str">
        <x:v>専用・路外駐車を基本</x:v>
      </x:c>
      <x:c r="AE114" s="22" t="str"/>
    </x:row>
    <x:row r="115">
      <x:c r="A115" s="27" t="str">
        <x:v>D184</x:v>
      </x:c>
      <x:c r="B115" s="27" t="str">
        <x:v>検見川の浜・稲毛ヨットハーバー</x:v>
      </x:c>
      <x:c r="C115" s="27" t="str">
        <x:v>千葉市・美浜区</x:v>
      </x:c>
      <x:c r="D115" s="27" t="str">
        <x:v>人工海浜・ヨット・夕景</x:v>
      </x:c>
      <x:c r="E115" s="48" t="e">
        <x:f>HYPERLINK("https://www.google.com/maps/dir/?api=1&amp;destination=%E6%A4%9C%E8%A6%8B%E5%B7%9D%E3%81%AE%E6%B5%9C%E3%83%BB%E7%A8%B2%E6%AF%9B%E3%83%A8%E3%83%83%E3%83%88%E3%83%8F%E3%83%BC%E3%83%90%E3%83%BC&amp;travelmode=driving","現在地からナビ開始")</x:f>
      </x:c>
      <x:c r="F115" s="27" t="str">
        <x:v>ヨットの帆、人工海浜、幕張新都心の遠景が重なり、千葉湾岸の夕景Endingとして成立する。</x:v>
      </x:c>
      <x:c r="G115" s="27" t="str">
        <x:v>あり・無料または周辺有料</x:v>
      </x:c>
      <x:c r="H115" s="27" t="str">
        <x:v>県港湾駐車場 9:00～17:00／周辺駐車場は個別確認</x:v>
      </x:c>
      <x:c r="I115" s="27" t="n">
        <x:v>2</x:v>
      </x:c>
      <x:c r="J115" s="27" t="n">
        <x:v>4</x:v>
      </x:c>
      <x:c r="K115" s="27" t="str">
        <x:v>無料駐車場は17時閉鎖。休日は満車になりやすく、海況不良時は護岸へ近づかない。</x:v>
      </x:c>
      <x:c r="L115" s="28" t="n">
        <x:v>46232</x:v>
      </x:c>
      <x:c r="M115" s="27" t="str">
        <x:v>一次確認済</x:v>
      </x:c>
      <x:c r="N115" s="27" t="str">
        <x:v>https://www.city.chiba.jp/toshi/koenryokuchi/ryokusei/kemigwabeachfes2026spr.html</x:v>
      </x:c>
      <x:c r="O115" s="27" t="str">
        <x:v>検見川の浜は東京湾の埋立事業により造られた人工海浜で、ウインドサーフィンやヨットの拠点として知られる。</x:v>
      </x:c>
      <x:c r="P115" s="84" t="e">
        <x:f>HYPERLINK("https://ja.wikipedia.org/wiki/Special:Search?search=%E6%A4%9C%E8%A6%8B%E5%B7%9D%E3%81%AE%E6%B5%9C%E3%83%BB%E7%A8%B2%E6%AF%9B%E3%83%A8%E3%83%83%E3%83%88%E3%83%8F%E3%83%BC%E3%83%90%E3%83%BC","Wikipedia・関連項目")</x:f>
      </x:c>
      <x:c r="Q115" s="27" t="str">
        <x:v>新規追加。車内鑑賞より散歩・夕景向け。</x:v>
      </x:c>
      <x:c r="R115" s="27" t="str">
        <x:v>35km超</x:v>
      </x:c>
      <x:c r="S115" s="27" t="str">
        <x:v>概ね35km超</x:v>
      </x:c>
      <x:c r="T115" s="27" t="str">
        <x:v>通常90分超</x:v>
      </x:c>
      <x:c r="U115" s="27" t="str">
        <x:v>海・港</x:v>
      </x:c>
      <x:c r="V115" s="27" t="str">
        <x:v>30〜60分</x:v>
      </x:c>
      <x:c r="W115" s="27" t="n">
        <x:v>1</x:v>
      </x:c>
      <x:c r="X115" s="27" t="n">
        <x:v>3</x:v>
      </x:c>
      <x:c r="Y115" s="27" t="str">
        <x:v>城南島海浜公園</x:v>
      </x:c>
      <x:c r="Z115" s="27" t="str">
        <x:v>潮風公園／晴海ふ頭公園</x:v>
      </x:c>
      <x:c r="AA115" s="22" t="str">
        <x:v>なし</x:v>
      </x:c>
      <x:c r="AB115" s="22" t="str">
        <x:v>-</x:v>
      </x:c>
      <x:c r="AC115" s="22" t="str"/>
      <x:c r="AD115" s="22" t="str">
        <x:v>専用・路外駐車を基本</x:v>
      </x:c>
      <x:c r="AE115" s="22" t="str"/>
    </x:row>
    <x:row r="116">
      <x:c r="A116" s="27" t="str">
        <x:v>D185</x:v>
      </x:c>
      <x:c r="B116" s="27" t="str">
        <x:v>横須賀美術館 海の広場</x:v>
      </x:c>
      <x:c r="C116" s="27" t="str">
        <x:v>横須賀市・観音崎</x:v>
      </x:c>
      <x:c r="D116" s="27" t="str">
        <x:v>建築・海・美術・夜間広場</x:v>
      </x:c>
      <x:c r="E116" s="48" t="e">
        <x:f>HYPERLINK("https://www.google.com/maps/dir/?api=1&amp;destination=%E6%A8%AA%E9%A0%88%E8%B3%80%E7%BE%8E%E8%A1%93%E9%A4%A8%20%E6%B5%B7%E3%81%AE%E5%BA%83%E5%A0%B4&amp;travelmode=driving","現在地からナビ開始")</x:f>
      </x:c>
      <x:c r="F116" s="27" t="str">
        <x:v>ガラスと白い建築、芝生、浦賀水道を一体で眺められ、展示を見なくても建築と海で目的地として成立する。</x:v>
      </x:c>
      <x:c r="G116" s="27" t="str">
        <x:v>あり・普通車120台・有料</x:v>
      </x:c>
      <x:c r="H116" s="27" t="str">
        <x:v>駐車場 8:00～22:00／美術館は2026-09-04まで長期休館</x:v>
      </x:c>
      <x:c r="I116" s="27" t="n">
        <x:v>4</x:v>
      </x:c>
      <x:c r="J116" s="27" t="n">
        <x:v>3</x:v>
      </x:c>
      <x:c r="K116" s="27" t="str">
        <x:v>休館中も海の広場と駐車場は利用可。屋上広場は閉鎖中。道路上での入庫待ち・路上駐車は禁止。</x:v>
      </x:c>
      <x:c r="L116" s="28" t="n">
        <x:v>46232</x:v>
      </x:c>
      <x:c r="M116" s="27" t="str">
        <x:v>一次確認済</x:v>
      </x:c>
      <x:c r="N116" s="27" t="str">
        <x:v>https://www.yokosuka-moa.jp/archive/news/2026/data-20260701-226.html</x:v>
      </x:c>
      <x:c r="O116" s="27" t="str">
        <x:v>横須賀美術館は山本理顕設計の建築で、建物の多くを地下に収め、海と緑の景観を壊さない構成が特徴とされる。</x:v>
      </x:c>
      <x:c r="P116" s="84" t="e">
        <x:f>HYPERLINK("https://ja.wikipedia.org/wiki/Special:Search?search=%E6%A8%AA%E9%A0%88%E8%B3%80%E7%BE%8E%E8%A1%93%E9%A4%A8%20%E6%B5%B7%E3%81%AE%E5%BA%83%E5%A0%B4","Wikipedia・関連項目")</x:f>
      </x:c>
      <x:c r="Q116" s="27" t="str">
        <x:v>2026-07-29再点検：本館休館中も海の広場・駐車場利用可。屋上広場閉鎖情報を維持。</x:v>
      </x:c>
      <x:c r="R116" s="27" t="str">
        <x:v>35km超</x:v>
      </x:c>
      <x:c r="S116" s="27" t="str">
        <x:v>概ね35km超</x:v>
      </x:c>
      <x:c r="T116" s="27" t="str">
        <x:v>通常90分超</x:v>
      </x:c>
      <x:c r="U116" s="27" t="str">
        <x:v>海・港</x:v>
      </x:c>
      <x:c r="V116" s="27" t="str">
        <x:v>60〜150分</x:v>
      </x:c>
      <x:c r="W116" s="27" t="n">
        <x:v>1</x:v>
      </x:c>
      <x:c r="X116" s="27" t="n">
        <x:v>3</x:v>
      </x:c>
      <x:c r="Y116" s="27" t="str">
        <x:v>城南島海浜公園</x:v>
      </x:c>
      <x:c r="Z116" s="27" t="str">
        <x:v>潮風公園／晴海ふ頭公園</x:v>
      </x:c>
      <x:c r="AA116" s="22" t="str">
        <x:v>なし</x:v>
      </x:c>
      <x:c r="AB116" s="22" t="str">
        <x:v>-</x:v>
      </x:c>
      <x:c r="AC116" s="22" t="str"/>
      <x:c r="AD116" s="22" t="str">
        <x:v>専用・路外駐車を基本</x:v>
      </x:c>
      <x:c r="AE116" s="22" t="str"/>
    </x:row>
    <x:row r="117">
      <x:c r="A117" s="27" t="str">
        <x:v>D186</x:v>
      </x:c>
      <x:c r="B117" s="27" t="str">
        <x:v>観音埼灯台</x:v>
      </x:c>
      <x:c r="C117" s="27" t="str">
        <x:v>横須賀市・観音崎</x:v>
      </x:c>
      <x:c r="D117" s="27" t="str">
        <x:v>灯台・近代化・浦賀水道</x:v>
      </x:c>
      <x:c r="E117" s="48" t="e">
        <x:f>HYPERLINK("https://www.google.com/maps/dir/?api=1&amp;destination=%E8%A6%B3%E9%9F%B3%E5%9F%BC%E7%81%AF%E5%8F%B0&amp;travelmode=driving","現在地からナビ開始")</x:f>
      </x:c>
      <x:c r="F117" s="27" t="str">
        <x:v>日本最初の洋式灯台の系譜を持ち、灯台上から大型船が往来する浦賀水道を見下ろせる強い到達型Ending。</x:v>
      </x:c>
      <x:c r="G117" s="27" t="str">
        <x:v>あり・観音崎公園277台・有料日あり</x:v>
      </x:c>
      <x:c r="H117" s="27" t="str">
        <x:v>灯台 5～9月 9:00～16:30／10～4月 9:00～16:00、駐車場 5:00～19:00</x:v>
      </x:c>
      <x:c r="I117" s="27" t="n">
        <x:v>2</x:v>
      </x:c>
      <x:c r="J117" s="27" t="n">
        <x:v>2</x:v>
      </x:c>
      <x:c r="K117" s="27" t="str">
        <x:v>強風・悪天候時は灯台参観中止。駐車場から坂道・階段を歩く。閉場時刻を逆算する。</x:v>
      </x:c>
      <x:c r="L117" s="28" t="n">
        <x:v>46232</x:v>
      </x:c>
      <x:c r="M117" s="27" t="str">
        <x:v>一次確認済</x:v>
      </x:c>
      <x:c r="N117" s="27" t="str">
        <x:v>https://www.mlit.go.jp/sogoseisaku/region/infratourism/infralist/kanagawa/index02.html</x:v>
      </x:c>
      <x:c r="O117" s="27" t="str">
        <x:v>1868年に起工された日本初の洋式灯台で、フランス人技師ヴェルニーが設計し、現在の塔は1925年完成の3代目である。</x:v>
      </x:c>
      <x:c r="P117" s="84" t="e">
        <x:f>HYPERLINK("https://ja.wikipedia.org/wiki/Special:Search?search=%E8%A6%B3%E9%9F%B3%E5%9F%BC%E7%81%AF%E5%8F%B0","Wikipedia・関連項目")</x:f>
      </x:c>
      <x:c r="Q117" s="27" t="str">
        <x:v>新規追加。既存の観音崎公園とは『灯台登塔体験』を理由に別採用。</x:v>
      </x:c>
      <x:c r="R117" s="27" t="str">
        <x:v>35km超</x:v>
      </x:c>
      <x:c r="S117" s="27" t="str">
        <x:v>概ね35km超</x:v>
      </x:c>
      <x:c r="T117" s="27" t="str">
        <x:v>通常90分超</x:v>
      </x:c>
      <x:c r="U117" s="27" t="str">
        <x:v>休日半日</x:v>
      </x:c>
      <x:c r="V117" s="27" t="str">
        <x:v>30〜60分</x:v>
      </x:c>
      <x:c r="W117" s="27" t="n">
        <x:v>2</x:v>
      </x:c>
      <x:c r="X117" s="27" t="n">
        <x:v>1</x:v>
      </x:c>
      <x:c r="Y117" s="27" t="str">
        <x:v>羽田空港 第3ターミナル展望デッキ</x:v>
      </x:c>
      <x:c r="Z117" s="27" t="str">
        <x:v>城南島海浜公園／潮風公園</x:v>
      </x:c>
      <x:c r="AA117" s="22" t="str">
        <x:v>なし</x:v>
      </x:c>
      <x:c r="AB117" s="22" t="str">
        <x:v>-</x:v>
      </x:c>
      <x:c r="AC117" s="22" t="str"/>
      <x:c r="AD117" s="22" t="str">
        <x:v>専用・路外駐車を基本</x:v>
      </x:c>
      <x:c r="AE117" s="22" t="str"/>
    </x:row>
    <x:row r="118">
      <x:c r="A118" s="27" t="str">
        <x:v>D187</x:v>
      </x:c>
      <x:c r="B118" s="27" t="str">
        <x:v>燈明堂緑地</x:v>
      </x:c>
      <x:c r="C118" s="27" t="str">
        <x:v>横須賀市・西浦賀</x:v>
      </x:c>
      <x:c r="D118" s="27" t="str">
        <x:v>歴史・小海岸・行き止まり</x:v>
      </x:c>
      <x:c r="E118" s="48" t="e">
        <x:f>HYPERLINK("https://www.google.com/maps/dir/?api=1&amp;destination=%E7%87%88%E6%98%8E%E5%A0%82%E7%B7%91%E5%9C%B0&amp;travelmode=driving","現在地からナビ開始")</x:f>
      </x:c>
      <x:c r="F118" s="27" t="str">
        <x:v>復元された江戸期の燈明堂と小さな海岸があり、浦賀の船交通史を静かな行き止まりで感じられる。</x:v>
      </x:c>
      <x:c r="G118" s="27" t="str">
        <x:v>あり・有料</x:v>
      </x:c>
      <x:c r="H118" s="27" t="str">
        <x:v>駐車場利用時間は当日公式・現地表示を確認</x:v>
      </x:c>
      <x:c r="I118" s="27" t="n">
        <x:v>3</x:v>
      </x:c>
      <x:c r="J118" s="27" t="n">
        <x:v>5</x:v>
      </x:c>
      <x:c r="K118" s="27" t="str">
        <x:v>海岸は狭く、夏季料金が高い。港湾作業・私有地へ入らず、満車時は路上待機しない。</x:v>
      </x:c>
      <x:c r="L118" s="28" t="n">
        <x:v>46232</x:v>
      </x:c>
      <x:c r="M118" s="27" t="str">
        <x:v>当日再確認</x:v>
      </x:c>
      <x:c r="N118" s="27" t="str">
        <x:v>https://www.city.yokosuka.kanagawa.jp/8120/sisetu/fc00000754.html</x:v>
      </x:c>
      <x:c r="O118" s="27" t="str">
        <x:v>燈明堂は1684年に建てられ、菜種油の灯火で約220年間、浦賀水道を行き交う船を導いたとされる。</x:v>
      </x:c>
      <x:c r="P118" s="84" t="e">
        <x:f>HYPERLINK("https://ja.wikipedia.org/wiki/Special:Search?search=%E7%87%88%E6%98%8E%E5%A0%82%E7%B7%91%E5%9C%B0","Wikipedia・関連項目")</x:f>
      </x:c>
      <x:c r="Q118" s="27" t="str">
        <x:v>新規追加。現代灯台と対比できるStory Layerが強い。</x:v>
      </x:c>
      <x:c r="R118" s="27" t="str">
        <x:v>35km超</x:v>
      </x:c>
      <x:c r="S118" s="27" t="str">
        <x:v>概ね35km超</x:v>
      </x:c>
      <x:c r="T118" s="27" t="str">
        <x:v>通常90分超</x:v>
      </x:c>
      <x:c r="U118" s="27" t="str">
        <x:v>海・港</x:v>
      </x:c>
      <x:c r="V118" s="27" t="str">
        <x:v>30〜90分</x:v>
      </x:c>
      <x:c r="W118" s="27" t="n">
        <x:v>1</x:v>
      </x:c>
      <x:c r="X118" s="27" t="n">
        <x:v>3</x:v>
      </x:c>
      <x:c r="Y118" s="27" t="str">
        <x:v>城南島海浜公園</x:v>
      </x:c>
      <x:c r="Z118" s="27" t="str">
        <x:v>潮風公園／晴海ふ頭公園</x:v>
      </x:c>
      <x:c r="AA118" s="22" t="str">
        <x:v>なし</x:v>
      </x:c>
      <x:c r="AB118" s="22" t="str">
        <x:v>-</x:v>
      </x:c>
      <x:c r="AC118" s="22" t="str"/>
      <x:c r="AD118" s="22" t="str">
        <x:v>専用・路外駐車を基本</x:v>
      </x:c>
      <x:c r="AE118" s="22" t="str"/>
    </x:row>
    <x:row r="119">
      <x:c r="A119" s="27" t="str">
        <x:v>D188</x:v>
      </x:c>
      <x:c r="B119" s="27" t="str">
        <x:v>神奈川県立近代美術館 葉山館</x:v>
      </x:c>
      <x:c r="C119" s="27" t="str">
        <x:v>葉山町・一色</x:v>
      </x:c>
      <x:c r="D119" s="27" t="str">
        <x:v>美術・建築・一色海岸</x:v>
      </x:c>
      <x:c r="E119" s="48" t="e">
        <x:f>HYPERLINK("https://www.google.com/maps/dir/?api=1&amp;destination=%E7%A5%9E%E5%A5%88%E5%B7%9D%E7%9C%8C%E7%AB%8B%E8%BF%91%E4%BB%A3%E7%BE%8E%E8%A1%93%E9%A4%A8%20%E8%91%89%E5%B1%B1%E9%A4%A8&amp;travelmode=driving","現在地からナビ開始")</x:f>
      </x:c>
      <x:c r="F119" s="27" t="str">
        <x:v>美術館、彫刻庭園、一色海岸の夕景を一度に組み合わせられ、文化系ドライブの完成度が高い。</x:v>
      </x:c>
      <x:c r="G119" s="27" t="str">
        <x:v>あり・普通車48台ほか・有料</x:v>
      </x:c>
      <x:c r="H119" s="27" t="str">
        <x:v>開館 9:30～17:00／駐車場 8:30～18:00、入庫16:30まで</x:v>
      </x:c>
      <x:c r="I119" s="27" t="n">
        <x:v>2</x:v>
      </x:c>
      <x:c r="J119" s="27" t="n">
        <x:v>3</x:v>
      </x:c>
      <x:c r="K119" s="27" t="str">
        <x:v>月曜・展示替期間は休館。夏季は料金上昇。入庫締切が早いため夕景のみ目的なら時間に注意。</x:v>
      </x:c>
      <x:c r="L119" s="28" t="n">
        <x:v>46232</x:v>
      </x:c>
      <x:c r="M119" s="27" t="str">
        <x:v>一次確認済</x:v>
      </x:c>
      <x:c r="N119" s="27" t="str">
        <x:v>https://www.moma.pref.kanagawa.jp/hayama/visit/access/</x:v>
      </x:c>
      <x:c r="O119" s="27" t="str">
        <x:v>葉山館は2003年開館。庭園・図書室・レストランなど、展示室外にも海辺の美術館としての体験が広がる。</x:v>
      </x:c>
      <x:c r="P119" s="84" t="e">
        <x:f>HYPERLINK("https://ja.wikipedia.org/wiki/Special:Search?search=%E7%A5%9E%E5%A5%88%E5%B7%9D%E7%9C%8C%E7%AB%8B%E8%BF%91%E4%BB%A3%E7%BE%8E%E8%A1%93%E9%A4%A8%20%E8%91%89%E5%B1%B1%E9%A4%A8","Wikipedia・関連項目")</x:f>
      </x:c>
      <x:c r="Q119" s="27" t="str">
        <x:v>新規追加。美術＋庭園＋海岸を一体評価。</x:v>
      </x:c>
      <x:c r="R119" s="27" t="str">
        <x:v>35km超</x:v>
      </x:c>
      <x:c r="S119" s="27" t="str">
        <x:v>概ね35km超</x:v>
      </x:c>
      <x:c r="T119" s="27" t="str">
        <x:v>通常90分超</x:v>
      </x:c>
      <x:c r="U119" s="27" t="str">
        <x:v>海・港</x:v>
      </x:c>
      <x:c r="V119" s="27" t="str">
        <x:v>60〜150分</x:v>
      </x:c>
      <x:c r="W119" s="27" t="n">
        <x:v>1</x:v>
      </x:c>
      <x:c r="X119" s="27" t="n">
        <x:v>3</x:v>
      </x:c>
      <x:c r="Y119" s="27" t="str">
        <x:v>城南島海浜公園</x:v>
      </x:c>
      <x:c r="Z119" s="27" t="str">
        <x:v>潮風公園／晴海ふ頭公園</x:v>
      </x:c>
      <x:c r="AA119" s="22" t="str">
        <x:v>なし</x:v>
      </x:c>
      <x:c r="AB119" s="22" t="str">
        <x:v>-</x:v>
      </x:c>
      <x:c r="AC119" s="22" t="str"/>
      <x:c r="AD119" s="22" t="str">
        <x:v>専用・路外駐車を基本</x:v>
      </x:c>
      <x:c r="AE119" s="22" t="str"/>
    </x:row>
    <x:row r="120">
      <x:c r="A120" s="27" t="str">
        <x:v>D189</x:v>
      </x:c>
      <x:c r="B120" s="27" t="str">
        <x:v>葉山しおさい公園</x:v>
      </x:c>
      <x:c r="C120" s="27" t="str">
        <x:v>葉山町・一色</x:v>
      </x:c>
      <x:c r="D120" s="27" t="str">
        <x:v>日本庭園・御用邸史・博物館</x:v>
      </x:c>
      <x:c r="E120" s="48" t="e">
        <x:f>HYPERLINK("https://www.google.com/maps/dir/?api=1&amp;destination=%E8%91%89%E5%B1%B1%E3%81%97%E3%81%8A%E3%81%95%E3%81%84%E5%85%AC%E5%9C%92&amp;travelmode=driving","現在地からナビ開始")</x:f>
      </x:c>
      <x:c r="F120" s="27" t="str">
        <x:v>日本庭園、茶室、海の生物を扱う博物館があり、葉山の海辺文化を静かに掘り下げる昼Ending。</x:v>
      </x:c>
      <x:c r="G120" s="27" t="str">
        <x:v>あり・20台・見学者専用</x:v>
      </x:c>
      <x:c r="H120" s="27" t="str">
        <x:v>8:30～17:00、入園16:30まで</x:v>
      </x:c>
      <x:c r="I120" s="27" t="n">
        <x:v>1</x:v>
      </x:c>
      <x:c r="J120" s="27" t="n">
        <x:v>4</x:v>
      </x:c>
      <x:c r="K120" s="27" t="str">
        <x:v>月曜・祝日の翌日・年末年始休園。駐車台数が少なく、園内見学中のみ利用可能。</x:v>
      </x:c>
      <x:c r="L120" s="28" t="n">
        <x:v>46232</x:v>
      </x:c>
      <x:c r="M120" s="27" t="str">
        <x:v>一次確認済</x:v>
      </x:c>
      <x:c r="N120" s="27" t="str">
        <x:v>https://www.town.hayama.lg.jp/soshiki/shougaigakushuu/shakaikyouikushisetsu/10344.html</x:v>
      </x:c>
      <x:c r="O120" s="27" t="str">
        <x:v>公園は旧葉山御用邸付属邸跡を整備したもので、博物館入口には旧付属邸の御車寄せが移築されている。</x:v>
      </x:c>
      <x:c r="P120" s="84" t="e">
        <x:f>HYPERLINK("https://ja.wikipedia.org/wiki/Special:Search?search=%E8%91%89%E5%B1%B1%E3%81%97%E3%81%8A%E3%81%95%E3%81%84%E5%85%AC%E5%9C%92","Wikipedia・関連項目")</x:f>
      </x:c>
      <x:c r="Q120" s="27" t="str">
        <x:v>新規追加。駐車場を目的外利用しない条件付き採用。</x:v>
      </x:c>
      <x:c r="R120" s="27" t="str">
        <x:v>35km超</x:v>
      </x:c>
      <x:c r="S120" s="27" t="str">
        <x:v>概ね35km超</x:v>
      </x:c>
      <x:c r="T120" s="27" t="str">
        <x:v>通常90分超</x:v>
      </x:c>
      <x:c r="U120" s="27" t="str">
        <x:v>休日半日</x:v>
      </x:c>
      <x:c r="V120" s="27" t="str">
        <x:v>60〜150分</x:v>
      </x:c>
      <x:c r="W120" s="27" t="n">
        <x:v>4</x:v>
      </x:c>
      <x:c r="X120" s="27" t="n">
        <x:v>1</x:v>
      </x:c>
      <x:c r="Y120" s="27" t="str">
        <x:v>羽田空港 第3ターミナル展望デッキ</x:v>
      </x:c>
      <x:c r="Z120" s="27" t="str">
        <x:v>城南島海浜公園／潮風公園</x:v>
      </x:c>
      <x:c r="AA120" s="22" t="str">
        <x:v>なし</x:v>
      </x:c>
      <x:c r="AB120" s="22" t="str">
        <x:v>-</x:v>
      </x:c>
      <x:c r="AC120" s="22" t="str"/>
      <x:c r="AD120" s="22" t="str">
        <x:v>専用・路外駐車を基本</x:v>
      </x:c>
      <x:c r="AE120" s="22" t="str"/>
    </x:row>
    <x:row r="121">
      <x:c r="A121" s="27" t="str">
        <x:v>D190</x:v>
      </x:c>
      <x:c r="B121" s="27" t="str">
        <x:v>県立あいかわ公園</x:v>
      </x:c>
      <x:c r="C121" s="27" t="str">
        <x:v>愛川町・半原</x:v>
      </x:c>
      <x:c r="D121" s="27" t="str">
        <x:v>ダム直下・丘・伝統工芸</x:v>
      </x:c>
      <x:c r="E121" s="48" t="e">
        <x:f>HYPERLINK("https://www.google.com/maps/dir/?api=1&amp;destination=%E7%9C%8C%E7%AB%8B%E3%81%82%E3%81%84%E3%81%8B%E3%82%8F%E5%85%AC%E5%9C%92&amp;travelmode=driving","現在地からナビ開始")</x:f>
      </x:c>
      <x:c r="F121" s="27" t="str">
        <x:v>宮ヶ瀬ダム直下から巨大構造物を見上げ、丘・ツツジ・工芸体験へ移るため、スケール変化の大きいEndingになる。</x:v>
      </x:c>
      <x:c r="G121" s="27" t="str">
        <x:v>あり・公園駐車場</x:v>
      </x:c>
      <x:c r="H121" s="27" t="str">
        <x:v>利用時間・料金は当日公式確認</x:v>
      </x:c>
      <x:c r="I121" s="27" t="n">
        <x:v>1</x:v>
      </x:c>
      <x:c r="J121" s="27" t="n">
        <x:v>3</x:v>
      </x:c>
      <x:c r="K121" s="27" t="str">
        <x:v>駐車場閉場が早い。観光放流・ロードトレインの運行日、ダム立入情報を当日確認。</x:v>
      </x:c>
      <x:c r="L121" s="28" t="n">
        <x:v>46232</x:v>
      </x:c>
      <x:c r="M121" s="27" t="str">
        <x:v>当日再確認</x:v>
      </x:c>
      <x:c r="N121" s="27" t="str">
        <x:v>https://www.pref.kanagawa.jp/docs/u5r/cnt/f550/tabi-036.html</x:v>
      </x:c>
      <x:c r="O121" s="27" t="str">
        <x:v>公園は中津川の河岸段丘と南山の裾野を利用し、宮ヶ瀬ダムと一体の広域レクリエーション拠点として整備された。</x:v>
      </x:c>
      <x:c r="P121" s="84" t="e">
        <x:f>HYPERLINK("https://ja.wikipedia.org/wiki/Special:Search?search=%E7%9C%8C%E7%AB%8B%E3%81%82%E3%81%84%E3%81%8B%E3%82%8F%E5%85%AC%E5%9C%92","Wikipedia・関連項目")</x:f>
      </x:c>
      <x:c r="Q121" s="27" t="str">
        <x:v>新規追加。ダムを下から体感する地点として採用。</x:v>
      </x:c>
      <x:c r="R121" s="27" t="str">
        <x:v>35km超</x:v>
      </x:c>
      <x:c r="S121" s="27" t="str">
        <x:v>概ね35km超</x:v>
      </x:c>
      <x:c r="T121" s="27" t="str">
        <x:v>通常90分超</x:v>
      </x:c>
      <x:c r="U121" s="27" t="str">
        <x:v>休日半日</x:v>
      </x:c>
      <x:c r="V121" s="27" t="str">
        <x:v>30〜60分</x:v>
      </x:c>
      <x:c r="W121" s="27" t="n">
        <x:v>2</x:v>
      </x:c>
      <x:c r="X121" s="27" t="n">
        <x:v>1</x:v>
      </x:c>
      <x:c r="Y121" s="27" t="str">
        <x:v>羽田空港 第3ターミナル展望デッキ</x:v>
      </x:c>
      <x:c r="Z121" s="27" t="str">
        <x:v>城南島海浜公園／潮風公園</x:v>
      </x:c>
      <x:c r="AA121" s="22" t="str">
        <x:v>なし</x:v>
      </x:c>
      <x:c r="AB121" s="22" t="str">
        <x:v>-</x:v>
      </x:c>
      <x:c r="AC121" s="22" t="str"/>
      <x:c r="AD121" s="22" t="str">
        <x:v>専用・路外駐車を基本</x:v>
      </x:c>
      <x:c r="AE121" s="22" t="str"/>
    </x:row>
    <x:row r="122">
      <x:c r="A122" s="27" t="str">
        <x:v>D191</x:v>
      </x:c>
      <x:c r="B122" s="27" t="str">
        <x:v>宮ヶ瀬ダム 水とエネルギー館</x:v>
      </x:c>
      <x:c r="C122" s="27" t="str">
        <x:v>愛川町・半原</x:v>
      </x:c>
      <x:c r="D122" s="27" t="str">
        <x:v>ダム・インフラ・展望</x:v>
      </x:c>
      <x:c r="E122" s="48" t="e">
        <x:f>HYPERLINK("https://www.google.com/maps/dir/?api=1&amp;destination=%E5%AE%AE%E3%83%B6%E7%80%AC%E3%83%80%E3%83%A0%20%E6%B0%B4%E3%81%A8%E3%82%A8%E3%83%8D%E3%83%AB%E3%82%AE%E3%83%BC%E9%A4%A8&amp;travelmode=driving","現在地からナビ開始")</x:f>
      </x:c>
      <x:c r="F122" s="27" t="str">
        <x:v>重力式コンクリートダムの天端と展示施設から、水資源・発電・治水を理解できるインフラ型最終目的地。</x:v>
      </x:c>
      <x:c r="G122" s="27" t="str">
        <x:v>あり・周辺公営駐車場</x:v>
      </x:c>
      <x:c r="H122" s="27" t="str">
        <x:v>開館・ダム立入時間は当日公式確認</x:v>
      </x:c>
      <x:c r="I122" s="27" t="n">
        <x:v>1</x:v>
      </x:c>
      <x:c r="J122" s="27" t="n">
        <x:v>3</x:v>
      </x:c>
      <x:c r="K122" s="27" t="str">
        <x:v>年末年始や渇水・台風時は立入・観光放流に変更あり。あいかわ公園側との移動手段を確認。</x:v>
      </x:c>
      <x:c r="L122" s="28" t="n">
        <x:v>46232</x:v>
      </x:c>
      <x:c r="M122" s="27" t="str">
        <x:v>当日再確認</x:v>
      </x:c>
      <x:c r="N122" s="27" t="str">
        <x:v>https://www.ktr.mlit.go.jp/sagami/sagami_index020.html</x:v>
      </x:c>
      <x:c r="O122" s="27" t="str">
        <x:v>宮ヶ瀬ダムは2000年完成の重力式コンクリートダムで、首都圏最大級のダム湖を形成し、発電所を本ダムと副ダムに持つ。</x:v>
      </x:c>
      <x:c r="P122" s="84" t="e">
        <x:f>HYPERLINK("https://ja.wikipedia.org/wiki/Special:Search?search=%E5%AE%AE%E3%83%B6%E7%80%AC%E3%83%80%E3%83%A0%20%E6%B0%B4%E3%81%A8%E3%82%A8%E3%83%8D%E3%83%AB%E3%82%AE%E3%83%BC%E9%A4%A8","Wikipedia・関連項目")</x:f>
      </x:c>
      <x:c r="Q122" s="27" t="str">
        <x:v>新規追加。あいかわ公園とは『上から理解するインフラ体験』で別採用。</x:v>
      </x:c>
      <x:c r="R122" s="27" t="str">
        <x:v>35km超</x:v>
      </x:c>
      <x:c r="S122" s="27" t="str">
        <x:v>概ね35km超</x:v>
      </x:c>
      <x:c r="T122" s="27" t="str">
        <x:v>通常90分超</x:v>
      </x:c>
      <x:c r="U122" s="27" t="str">
        <x:v>休日半日</x:v>
      </x:c>
      <x:c r="V122" s="27" t="str">
        <x:v>30〜60分</x:v>
      </x:c>
      <x:c r="W122" s="27" t="n">
        <x:v>2</x:v>
      </x:c>
      <x:c r="X122" s="27" t="n">
        <x:v>1</x:v>
      </x:c>
      <x:c r="Y122" s="27" t="str">
        <x:v>羽田空港 第3ターミナル展望デッキ</x:v>
      </x:c>
      <x:c r="Z122" s="27" t="str">
        <x:v>城南島海浜公園／潮風公園</x:v>
      </x:c>
      <x:c r="AA122" s="22" t="str">
        <x:v>なし</x:v>
      </x:c>
      <x:c r="AB122" s="22" t="str">
        <x:v>-</x:v>
      </x:c>
      <x:c r="AC122" s="22" t="str"/>
      <x:c r="AD122" s="22" t="str">
        <x:v>専用・路外駐車を基本</x:v>
      </x:c>
      <x:c r="AE122" s="22" t="str"/>
    </x:row>
    <x:row r="123">
      <x:c r="A123" s="27" t="str">
        <x:v>D192</x:v>
      </x:c>
      <x:c r="B123" s="27" t="str">
        <x:v>EXPASA海老名（上り）</x:v>
      </x:c>
      <x:c r="C123" s="27" t="str">
        <x:v>海老名市・東名高速</x:v>
      </x:c>
      <x:c r="D123" s="27" t="str">
        <x:v>SA・食・帰路・24時間</x:v>
      </x:c>
      <x:c r="E123" s="48" t="e">
        <x:f>HYPERLINK("https://www.google.com/maps/dir/?api=1&amp;destination=EXPASA%E6%B5%B7%E8%80%81%E5%90%8D%EF%BC%88%E4%B8%8A%E3%82%8A%EF%BC%89&amp;travelmode=driving","現在地からナビ開始")</x:f>
      </x:c>
      <x:c r="F123" s="27" t="str">
        <x:v>遠出から東京へ戻る直前に、食事・土産・休憩をまとめて回収できる『帰路の最終章』として非常に強い。</x:v>
      </x:c>
      <x:c r="G123" s="27" t="str">
        <x:v>あり・高速側小型449台／ぷらっとパーク91台</x:v>
      </x:c>
      <x:c r="H123" s="27" t="str">
        <x:v>高速側24時間／ぷらっと第1は24時間、一部夜間制限</x:v>
      </x:c>
      <x:c r="I123" s="27" t="n">
        <x:v>5</x:v>
      </x:c>
      <x:c r="J123" s="27" t="n">
        <x:v>2</x:v>
      </x:c>
      <x:c r="K123" s="27" t="str">
        <x:v>上り線限定。高速側利用と一般道ぷらっとパークを混同しない。繁忙期は満車・渋滞。</x:v>
      </x:c>
      <x:c r="L123" s="28" t="n">
        <x:v>46232</x:v>
      </x:c>
      <x:c r="M123" s="27" t="str">
        <x:v>一次確認済</x:v>
      </x:c>
      <x:c r="N123" s="27" t="str">
        <x:v>https://sapa.c-nexco.co.jp/sapa/guide?sapainfoid=9</x:v>
      </x:c>
      <x:c r="O123" s="27" t="str">
        <x:v>海老名SAは東名高速を代表する大型サービスエリアで、SA自体を目的に訪れる利用者も多い。</x:v>
      </x:c>
      <x:c r="P123" s="84" t="e">
        <x:f>HYPERLINK("https://ja.wikipedia.org/wiki/Special:Search?search=EXPASA%E6%B5%B7%E8%80%81%E5%90%8D%EF%BC%88%E4%B8%8A%E3%82%8A%EF%BC%89","Wikipedia・関連項目")</x:f>
      </x:c>
      <x:c r="Q123" s="27" t="str">
        <x:v>新規追加。帰路Endingと一般道目的地の両方に対応。</x:v>
      </x:c>
      <x:c r="R123" s="27" t="str">
        <x:v>35km超</x:v>
      </x:c>
      <x:c r="S123" s="27" t="str">
        <x:v>概ね35km超</x:v>
      </x:c>
      <x:c r="T123" s="27" t="str">
        <x:v>通常90分超</x:v>
      </x:c>
      <x:c r="U123" s="27" t="str">
        <x:v>平日夜・深夜</x:v>
      </x:c>
      <x:c r="V123" s="27" t="str">
        <x:v>15〜30分</x:v>
      </x:c>
      <x:c r="W123" s="27" t="n">
        <x:v>4</x:v>
      </x:c>
      <x:c r="X123" s="27" t="n">
        <x:v>4</x:v>
      </x:c>
      <x:c r="Y123" s="27" t="str">
        <x:v>羽田空港 第3ターミナル展望デッキ</x:v>
      </x:c>
      <x:c r="Z123" s="27" t="str">
        <x:v>城南島海浜公園／潮風公園</x:v>
      </x:c>
      <x:c r="AA123" s="22" t="str">
        <x:v>なし</x:v>
      </x:c>
      <x:c r="AB123" s="22" t="str">
        <x:v>-</x:v>
      </x:c>
      <x:c r="AC123" s="22" t="str"/>
      <x:c r="AD123" s="22" t="str">
        <x:v>専用・路外駐車を基本</x:v>
      </x:c>
      <x:c r="AE123" s="22" t="str"/>
    </x:row>
    <x:row r="124">
      <x:c r="A124" s="27" t="str">
        <x:v>D193</x:v>
      </x:c>
      <x:c r="B124" s="27" t="str">
        <x:v>EXPASA海老名（下り）</x:v>
      </x:c>
      <x:c r="C124" s="27" t="str">
        <x:v>海老名市・東名高速</x:v>
      </x:c>
      <x:c r="D124" s="27" t="str">
        <x:v>SA・食・出発感・24時間</x:v>
      </x:c>
      <x:c r="E124" s="48" t="e">
        <x:f>HYPERLINK("https://www.google.com/maps/dir/?api=1&amp;destination=EXPASA%E6%B5%B7%E8%80%81%E5%90%8D%EF%BC%88%E4%B8%8B%E3%82%8A%EF%BC%89&amp;travelmode=driving","現在地からナビ開始")</x:f>
      </x:c>
      <x:c r="F124" s="27" t="str">
        <x:v>東名へ入った直後に旅のスイッチを入れ、食事と買物を楽しめる『出発そのものが目的』のSA。</x:v>
      </x:c>
      <x:c r="G124" s="27" t="str">
        <x:v>あり・高速側小型528台／ぷらっとパーク13台</x:v>
      </x:c>
      <x:c r="H124" s="27" t="str">
        <x:v>高速側・ぷらっとパーク 24時間</x:v>
      </x:c>
      <x:c r="I124" s="27" t="n">
        <x:v>5</x:v>
      </x:c>
      <x:c r="J124" s="27" t="n">
        <x:v>2</x:v>
      </x:c>
      <x:c r="K124" s="27" t="str">
        <x:v>下り線限定。ぷらっとパークは13台と少ない。連休は本線・駐車場とも混雑。</x:v>
      </x:c>
      <x:c r="L124" s="28" t="n">
        <x:v>46232</x:v>
      </x:c>
      <x:c r="M124" s="27" t="str">
        <x:v>一次確認済</x:v>
      </x:c>
      <x:c r="N124" s="27" t="str">
        <x:v>https://sapa.c-nexco.co.jp/sapa/guide?sapainfoid=10</x:v>
      </x:c>
      <x:c r="O124" s="27" t="str">
        <x:v>上り・下りで店舗構成と役割が異なり、下りは名古屋方面への旅立ちを演出する商業空間として発達した。</x:v>
      </x:c>
      <x:c r="P124" s="84" t="e">
        <x:f>HYPERLINK("https://ja.wikipedia.org/wiki/Special:Search?search=EXPASA%E6%B5%B7%E8%80%81%E5%90%8D%EF%BC%88%E4%B8%8B%E3%82%8A%EF%BC%89","Wikipedia・関連項目")</x:f>
      </x:c>
      <x:c r="Q124" s="27" t="str">
        <x:v>新規追加。出発前の食事・集合Endingとして評価。</x:v>
      </x:c>
      <x:c r="R124" s="27" t="str">
        <x:v>35km超</x:v>
      </x:c>
      <x:c r="S124" s="27" t="str">
        <x:v>概ね35km超</x:v>
      </x:c>
      <x:c r="T124" s="27" t="str">
        <x:v>通常90分超</x:v>
      </x:c>
      <x:c r="U124" s="27" t="str">
        <x:v>平日夜・深夜</x:v>
      </x:c>
      <x:c r="V124" s="27" t="str">
        <x:v>15〜30分</x:v>
      </x:c>
      <x:c r="W124" s="27" t="n">
        <x:v>4</x:v>
      </x:c>
      <x:c r="X124" s="27" t="n">
        <x:v>4</x:v>
      </x:c>
      <x:c r="Y124" s="27" t="str">
        <x:v>羽田空港 第3ターミナル展望デッキ</x:v>
      </x:c>
      <x:c r="Z124" s="27" t="str">
        <x:v>城南島海浜公園／潮風公園</x:v>
      </x:c>
      <x:c r="AA124" s="22" t="str">
        <x:v>なし</x:v>
      </x:c>
      <x:c r="AB124" s="22" t="str">
        <x:v>-</x:v>
      </x:c>
      <x:c r="AC124" s="22" t="str"/>
      <x:c r="AD124" s="22" t="str">
        <x:v>専用・路外駐車を基本</x:v>
      </x:c>
      <x:c r="AE124" s="22" t="str"/>
    </x:row>
    <x:row r="125">
      <x:c r="A125" s="27" t="str">
        <x:v>D194</x:v>
      </x:c>
      <x:c r="B125" s="27" t="str">
        <x:v>Pasar幕張（上り）</x:v>
      </x:c>
      <x:c r="C125" s="27" t="str">
        <x:v>千葉市・花見川区</x:v>
      </x:c>
      <x:c r="D125" s="27" t="str">
        <x:v>PA・千葉土産・24時間</x:v>
      </x:c>
      <x:c r="E125" s="48" t="e">
        <x:f>HYPERLINK("https://www.google.com/maps/dir/?api=1&amp;destination=Pasar%E5%B9%95%E5%BC%B5%EF%BC%88%E4%B8%8A%E3%82%8A%EF%BC%89&amp;travelmode=driving","現在地からナビ開始")</x:f>
      </x:c>
      <x:c r="F125" s="27" t="str">
        <x:v>房総・千葉から東京へ戻る途中、千葉県産商品と食事で旅を締める大型PA。</x:v>
      </x:c>
      <x:c r="G125" s="27" t="str">
        <x:v>あり・小型238台</x:v>
      </x:c>
      <x:c r="H125" s="27" t="str">
        <x:v>PA・コンビニ 24時間／主要飲食 6:00～22:00中心</x:v>
      </x:c>
      <x:c r="I125" s="27" t="n">
        <x:v>5</x:v>
      </x:c>
      <x:c r="J125" s="27" t="n">
        <x:v>2</x:v>
      </x:c>
      <x:c r="K125" s="27" t="str">
        <x:v>上り線限定。京葉道路の進行方向を確認。イベント時は混雑。</x:v>
      </x:c>
      <x:c r="L125" s="28" t="n">
        <x:v>46232</x:v>
      </x:c>
      <x:c r="M125" s="27" t="str">
        <x:v>一次確認済</x:v>
      </x:c>
      <x:c r="N125" s="27" t="str">
        <x:v>https://www.driveplaza.com/sapa/213A/213A041/1/</x:v>
      </x:c>
      <x:c r="O125" s="27" t="str">
        <x:v>PasarはPA・SA・Relaxationを組み合わせた名称で、インドネシア語では『市場』を意味する。</x:v>
      </x:c>
      <x:c r="P125" s="84" t="e">
        <x:f>HYPERLINK("https://ja.wikipedia.org/wiki/Special:Search?search=Pasar%E5%B9%95%E5%BC%B5%EF%BC%88%E4%B8%8A%E3%82%8A%EF%BC%89","Wikipedia・関連項目")</x:f>
      </x:c>
      <x:c r="Q125" s="27" t="str">
        <x:v>新規追加。房総帰路の食・土産Ending。</x:v>
      </x:c>
      <x:c r="R125" s="27" t="str">
        <x:v>35km超</x:v>
      </x:c>
      <x:c r="S125" s="27" t="str">
        <x:v>概ね35km超</x:v>
      </x:c>
      <x:c r="T125" s="27" t="str">
        <x:v>通常90分超</x:v>
      </x:c>
      <x:c r="U125" s="27" t="str">
        <x:v>平日夜・深夜</x:v>
      </x:c>
      <x:c r="V125" s="27" t="str">
        <x:v>15〜30分</x:v>
      </x:c>
      <x:c r="W125" s="27" t="n">
        <x:v>4</x:v>
      </x:c>
      <x:c r="X125" s="27" t="n">
        <x:v>4</x:v>
      </x:c>
      <x:c r="Y125" s="27" t="str">
        <x:v>羽田空港 第3ターミナル展望デッキ</x:v>
      </x:c>
      <x:c r="Z125" s="27" t="str">
        <x:v>城南島海浜公園／潮風公園</x:v>
      </x:c>
      <x:c r="AA125" s="22" t="str">
        <x:v>なし</x:v>
      </x:c>
      <x:c r="AB125" s="22" t="str">
        <x:v>-</x:v>
      </x:c>
      <x:c r="AC125" s="22" t="str"/>
      <x:c r="AD125" s="22" t="str">
        <x:v>専用・路外駐車を基本</x:v>
      </x:c>
      <x:c r="AE125" s="22" t="str"/>
    </x:row>
    <x:row r="126">
      <x:c r="A126" s="27" t="str">
        <x:v>D195</x:v>
      </x:c>
      <x:c r="B126" s="27" t="str">
        <x:v>Pasar幕張（下り）</x:v>
      </x:c>
      <x:c r="C126" s="27" t="str">
        <x:v>千葉市・花見川区</x:v>
      </x:c>
      <x:c r="D126" s="27" t="str">
        <x:v>PA・食・房総への入口</x:v>
      </x:c>
      <x:c r="E126" s="48" t="e">
        <x:f>HYPERLINK("https://www.google.com/maps/dir/?api=1&amp;destination=Pasar%E5%B9%95%E5%BC%B5%EF%BC%88%E4%B8%8B%E3%82%8A%EF%BC%89&amp;travelmode=driving","現在地からナビ開始")</x:f>
      </x:c>
      <x:c r="F126" s="27" t="str">
        <x:v>東京側から千葉へ向かう途中に食事・農産物・休憩を入れ、房総ドライブの始まりを明確にできる。</x:v>
      </x:c>
      <x:c r="G126" s="27" t="str">
        <x:v>あり・小型186台</x:v>
      </x:c>
      <x:c r="H126" s="27" t="str">
        <x:v>PA・コンビニ 24時間／主要飲食 6:00～22:00中心</x:v>
      </x:c>
      <x:c r="I126" s="27" t="n">
        <x:v>5</x:v>
      </x:c>
      <x:c r="J126" s="27" t="n">
        <x:v>2</x:v>
      </x:c>
      <x:c r="K126" s="27" t="str">
        <x:v>下り線限定。幕張IC・武石IC付近の分岐と混雑を確認。</x:v>
      </x:c>
      <x:c r="L126" s="28" t="n">
        <x:v>46232</x:v>
      </x:c>
      <x:c r="M126" s="27" t="str">
        <x:v>一次確認済</x:v>
      </x:c>
      <x:c r="N126" s="27" t="str">
        <x:v>https://www.driveplaza.com/sapa/213A/213A041/2/</x:v>
      </x:c>
      <x:c r="O126" s="27" t="str">
        <x:v>下り線は東京土産と首都圏の商品も扱い、千葉へ向かう人のための『市場』として構成されている。</x:v>
      </x:c>
      <x:c r="P126" s="84" t="e">
        <x:f>HYPERLINK("https://ja.wikipedia.org/wiki/Special:Search?search=Pasar%E5%B9%95%E5%BC%B5%EF%BC%88%E4%B8%8B%E3%82%8A%EF%BC%89","Wikipedia・関連項目")</x:f>
      </x:c>
      <x:c r="Q126" s="27" t="str">
        <x:v>新規追加。東側ルートの出発・回復地点。</x:v>
      </x:c>
      <x:c r="R126" s="27" t="str">
        <x:v>35km超</x:v>
      </x:c>
      <x:c r="S126" s="27" t="str">
        <x:v>概ね35km超</x:v>
      </x:c>
      <x:c r="T126" s="27" t="str">
        <x:v>通常90分超</x:v>
      </x:c>
      <x:c r="U126" s="27" t="str">
        <x:v>平日夜・深夜</x:v>
      </x:c>
      <x:c r="V126" s="27" t="str">
        <x:v>15〜30分</x:v>
      </x:c>
      <x:c r="W126" s="27" t="n">
        <x:v>4</x:v>
      </x:c>
      <x:c r="X126" s="27" t="n">
        <x:v>4</x:v>
      </x:c>
      <x:c r="Y126" s="27" t="str">
        <x:v>羽田空港 第3ターミナル展望デッキ</x:v>
      </x:c>
      <x:c r="Z126" s="27" t="str">
        <x:v>城南島海浜公園／潮風公園</x:v>
      </x:c>
      <x:c r="AA126" s="22" t="str">
        <x:v>なし</x:v>
      </x:c>
      <x:c r="AB126" s="22" t="str">
        <x:v>-</x:v>
      </x:c>
      <x:c r="AC126" s="22" t="str"/>
      <x:c r="AD126" s="22" t="str">
        <x:v>専用・路外駐車を基本</x:v>
      </x:c>
      <x:c r="AE126" s="22" t="str"/>
    </x:row>
    <x:row r="127">
      <x:c r="A127" s="27" t="str">
        <x:v>D196</x:v>
      </x:c>
      <x:c r="B127" s="27" t="str">
        <x:v>市原SA（上り）</x:v>
      </x:c>
      <x:c r="C127" s="27" t="str">
        <x:v>市原市・館山道</x:v>
      </x:c>
      <x:c r="D127" s="27" t="str">
        <x:v>SA・房総食・帰路</x:v>
      </x:c>
      <x:c r="E127" s="48" t="e">
        <x:f>HYPERLINK("https://www.google.com/maps/dir/?api=1&amp;destination=%E5%B8%82%E5%8E%9FSA%EF%BC%88%E4%B8%8A%E3%82%8A%EF%BC%89&amp;travelmode=driving","現在地からナビ開始")</x:f>
      </x:c>
      <x:c r="F127" s="27" t="str">
        <x:v>房総の海・山の食材を味わい、東京湾岸へ戻る前に旅の内容を回収する大型SA。</x:v>
      </x:c>
      <x:c r="G127" s="27" t="str">
        <x:v>あり・小型170台</x:v>
      </x:c>
      <x:c r="H127" s="27" t="str">
        <x:v>SA 24時間／コンシェルジュ 平日9:00～17:00、休日8:30～19:00</x:v>
      </x:c>
      <x:c r="I127" s="27" t="n">
        <x:v>5</x:v>
      </x:c>
      <x:c r="J127" s="27" t="n">
        <x:v>3</x:v>
      </x:c>
      <x:c r="K127" s="27" t="str">
        <x:v>上り線限定。店舗ごとに営業時間が異なる。繁忙期は駐車誘導に従う。</x:v>
      </x:c>
      <x:c r="L127" s="28" t="n">
        <x:v>46232</x:v>
      </x:c>
      <x:c r="M127" s="27" t="str">
        <x:v>一次確認済</x:v>
      </x:c>
      <x:c r="N127" s="27" t="str">
        <x:v>https://www.driveplaza.com/sapa/1130/1130011/1/shisetsu_service.html</x:v>
      </x:c>
      <x:c r="O127" s="27" t="str">
        <x:v>上り線は『房総を食べて旅するマーケット』を掲げ、房総の海・山の産物を帰路で楽しむ構成になっている。</x:v>
      </x:c>
      <x:c r="P127" s="84" t="e">
        <x:f>HYPERLINK("https://ja.wikipedia.org/wiki/Special:Search?search=%E5%B8%82%E5%8E%9FSA%EF%BC%88%E4%B8%8A%E3%82%8A%EF%BC%89","Wikipedia・関連項目")</x:f>
      </x:c>
      <x:c r="Q127" s="27" t="str">
        <x:v>新規追加。房総帰路の主力Ending。</x:v>
      </x:c>
      <x:c r="R127" s="27" t="str">
        <x:v>35km超</x:v>
      </x:c>
      <x:c r="S127" s="27" t="str">
        <x:v>概ね35km超</x:v>
      </x:c>
      <x:c r="T127" s="27" t="str">
        <x:v>通常90分超</x:v>
      </x:c>
      <x:c r="U127" s="27" t="str">
        <x:v>平日夜・深夜</x:v>
      </x:c>
      <x:c r="V127" s="27" t="str">
        <x:v>15〜30分</x:v>
      </x:c>
      <x:c r="W127" s="27" t="n">
        <x:v>4</x:v>
      </x:c>
      <x:c r="X127" s="27" t="n">
        <x:v>4</x:v>
      </x:c>
      <x:c r="Y127" s="27" t="str">
        <x:v>羽田空港 第3ターミナル展望デッキ</x:v>
      </x:c>
      <x:c r="Z127" s="27" t="str">
        <x:v>城南島海浜公園／潮風公園</x:v>
      </x:c>
      <x:c r="AA127" s="22" t="str">
        <x:v>なし</x:v>
      </x:c>
      <x:c r="AB127" s="22" t="str">
        <x:v>-</x:v>
      </x:c>
      <x:c r="AC127" s="22" t="str"/>
      <x:c r="AD127" s="22" t="str">
        <x:v>専用・路外駐車を基本</x:v>
      </x:c>
      <x:c r="AE127" s="22" t="str"/>
    </x:row>
    <x:row r="128">
      <x:c r="A128" s="27" t="str">
        <x:v>D197</x:v>
      </x:c>
      <x:c r="B128" s="27" t="str">
        <x:v>市原SA（下り）</x:v>
      </x:c>
      <x:c r="C128" s="27" t="str">
        <x:v>市原市・館山道</x:v>
      </x:c>
      <x:c r="D128" s="27" t="str">
        <x:v>SA・房総食・ドッグラン</x:v>
      </x:c>
      <x:c r="E128" s="48" t="e">
        <x:f>HYPERLINK("https://www.google.com/maps/dir/?api=1&amp;destination=%E5%B8%82%E5%8E%9FSA%EF%BC%88%E4%B8%8B%E3%82%8A%EF%BC%89&amp;travelmode=driving","現在地からナビ開始")</x:f>
      </x:c>
      <x:c r="F128" s="27" t="str">
        <x:v>東京湾岸から房総へ入った実感を、食・土産・ドッグランで強められる目的地型SA。</x:v>
      </x:c>
      <x:c r="G128" s="27" t="str">
        <x:v>あり・高速側駐車場</x:v>
      </x:c>
      <x:c r="H128" s="27" t="str">
        <x:v>SA 24時間／コンシェルジュ 平日9:00～17:00、休日7:30～18:00</x:v>
      </x:c>
      <x:c r="I128" s="27" t="n">
        <x:v>5</x:v>
      </x:c>
      <x:c r="J128" s="27" t="n">
        <x:v>3</x:v>
      </x:c>
      <x:c r="K128" s="27" t="str">
        <x:v>下り線限定。施設営業時間は店舗別。高速道路上での方向転換不可。</x:v>
      </x:c>
      <x:c r="L128" s="28" t="n">
        <x:v>46232</x:v>
      </x:c>
      <x:c r="M128" s="27" t="str">
        <x:v>一次確認済</x:v>
      </x:c>
      <x:c r="N128" s="27" t="str">
        <x:v>https://www.driveplaza.com/sapa/1130/1130011/2/shisetsu_service.html</x:v>
      </x:c>
      <x:c r="O128" s="27" t="str">
        <x:v>下り線は『食べて、遊んで、房総を思いっきり楽しむマーケットプレイス』をコンセプトにしている。</x:v>
      </x:c>
      <x:c r="P128" s="84" t="e">
        <x:f>HYPERLINK("https://ja.wikipedia.org/wiki/Special:Search?search=%E5%B8%82%E5%8E%9FSA%EF%BC%88%E4%B8%8B%E3%82%8A%EF%BC%89","Wikipedia・関連項目")</x:f>
      </x:c>
      <x:c r="Q128" s="27" t="str">
        <x:v>新規追加。房総への入口として採用。</x:v>
      </x:c>
      <x:c r="R128" s="27" t="str">
        <x:v>35km超</x:v>
      </x:c>
      <x:c r="S128" s="27" t="str">
        <x:v>概ね35km超</x:v>
      </x:c>
      <x:c r="T128" s="27" t="str">
        <x:v>通常90分超</x:v>
      </x:c>
      <x:c r="U128" s="27" t="str">
        <x:v>平日夜・深夜</x:v>
      </x:c>
      <x:c r="V128" s="27" t="str">
        <x:v>15〜30分</x:v>
      </x:c>
      <x:c r="W128" s="27" t="n">
        <x:v>4</x:v>
      </x:c>
      <x:c r="X128" s="27" t="n">
        <x:v>4</x:v>
      </x:c>
      <x:c r="Y128" s="27" t="str">
        <x:v>羽田空港 第3ターミナル展望デッキ</x:v>
      </x:c>
      <x:c r="Z128" s="27" t="str">
        <x:v>城南島海浜公園／潮風公園</x:v>
      </x:c>
      <x:c r="AA128" s="22" t="str">
        <x:v>なし</x:v>
      </x:c>
      <x:c r="AB128" s="22" t="str">
        <x:v>-</x:v>
      </x:c>
      <x:c r="AC128" s="22" t="str"/>
      <x:c r="AD128" s="22" t="str">
        <x:v>専用・路外駐車を基本</x:v>
      </x:c>
      <x:c r="AE128" s="22" t="str"/>
    </x:row>
    <x:row r="129">
      <x:c r="A129" s="27" t="str">
        <x:v>D198</x:v>
      </x:c>
      <x:c r="B129" s="27" t="str">
        <x:v>湾岸幕張PA（上り）</x:v>
      </x:c>
      <x:c r="C129" s="27" t="str">
        <x:v>千葉市・美浜区</x:v>
      </x:c>
      <x:c r="D129" s="27" t="str">
        <x:v>PA・飛行機・湾岸帰路</x:v>
      </x:c>
      <x:c r="E129" s="48" t="e">
        <x:f>HYPERLINK("https://www.google.com/maps/dir/?api=1&amp;destination=%E6%B9%BE%E5%B2%B8%E5%B9%95%E5%BC%B5PA%EF%BC%88%E4%B8%8A%E3%82%8A%EF%BC%89&amp;travelmode=driving","現在地からナビ開始")</x:f>
      </x:c>
      <x:c r="F129" s="27" t="str">
        <x:v>東関東道最後のPAとして、千葉・成田方面から都心へ戻る前に夕日と旅客機を眺められる。</x:v>
      </x:c>
      <x:c r="G129" s="27" t="str">
        <x:v>あり・小型駐車場</x:v>
      </x:c>
      <x:c r="H129" s="27" t="str">
        <x:v>PA 24時間／店舗は個別営業時間</x:v>
      </x:c>
      <x:c r="I129" s="27" t="n">
        <x:v>5</x:v>
      </x:c>
      <x:c r="J129" s="27" t="n">
        <x:v>4</x:v>
      </x:c>
      <x:c r="K129" s="27" t="str">
        <x:v>上り線限定。首都高湾岸線へ入る前の最後の休憩点で混雑しやすい。</x:v>
      </x:c>
      <x:c r="L129" s="28" t="n">
        <x:v>46232</x:v>
      </x:c>
      <x:c r="M129" s="27" t="str">
        <x:v>一次確認済</x:v>
      </x:c>
      <x:c r="N129" s="27" t="str">
        <x:v>https://www.driveplaza.com/sapa/1120/1120016/1/</x:v>
      </x:c>
      <x:c r="O129" s="27" t="str">
        <x:v>幕張新都心の埋立地に近く、晴天時には夕日に浮かぶ航空機を望めるPAとして案内されている。</x:v>
      </x:c>
      <x:c r="P129" s="84" t="e">
        <x:f>HYPERLINK("https://ja.wikipedia.org/wiki/Special:Search?search=%E6%B9%BE%E5%B2%B8%E5%B9%95%E5%BC%B5PA%EF%BC%88%E4%B8%8A%E3%82%8A%EF%BC%89","Wikipedia・関連項目")</x:f>
      </x:c>
      <x:c r="Q129" s="27" t="str">
        <x:v>2026-07-29再点検：上り線限定。千葉・成田方面から都心へ戻る最後のPAという役割を維持。</x:v>
      </x:c>
      <x:c r="R129" s="27" t="str">
        <x:v>35km超</x:v>
      </x:c>
      <x:c r="S129" s="27" t="str">
        <x:v>概ね35km超</x:v>
      </x:c>
      <x:c r="T129" s="27" t="str">
        <x:v>通常90分超</x:v>
      </x:c>
      <x:c r="U129" s="27" t="str">
        <x:v>飛行機</x:v>
      </x:c>
      <x:c r="V129" s="27" t="str">
        <x:v>15〜30分</x:v>
      </x:c>
      <x:c r="W129" s="27" t="n">
        <x:v>4</x:v>
      </x:c>
      <x:c r="X129" s="27" t="n">
        <x:v>4</x:v>
      </x:c>
      <x:c r="Y129" s="27" t="str">
        <x:v>城南島海浜公園</x:v>
      </x:c>
      <x:c r="Z129" s="27" t="str">
        <x:v>京浜島つばさ公園／羽田空港 第3ターミナル展望デッキ</x:v>
      </x:c>
      <x:c r="AA129" s="22" t="str">
        <x:v>なし</x:v>
      </x:c>
      <x:c r="AB129" s="22" t="str">
        <x:v>-</x:v>
      </x:c>
      <x:c r="AC129" s="22" t="str"/>
      <x:c r="AD129" s="22" t="str">
        <x:v>専用・路外駐車を基本</x:v>
      </x:c>
      <x:c r="AE129" s="22" t="str"/>
    </x:row>
    <x:row r="130">
      <x:c r="A130" s="27" t="str">
        <x:v>D199</x:v>
      </x:c>
      <x:c r="B130" s="27" t="str">
        <x:v>湾岸幕張PA（下り）</x:v>
      </x:c>
      <x:c r="C130" s="27" t="str">
        <x:v>千葉市・美浜区</x:v>
      </x:c>
      <x:c r="D130" s="27" t="str">
        <x:v>PA・湾岸・千葉への入口</x:v>
      </x:c>
      <x:c r="E130" s="48" t="e">
        <x:f>HYPERLINK("https://www.google.com/maps/dir/?api=1&amp;destination=%E6%B9%BE%E5%B2%B8%E5%B9%95%E5%BC%B5PA%EF%BC%88%E4%B8%8B%E3%82%8A%EF%BC%89&amp;travelmode=driving","現在地からナビ開始")</x:f>
      </x:c>
      <x:c r="F130" s="27" t="str">
        <x:v>東京湾岸から成田・房総方面へ進む際の小休止となり、都市高速から千葉への切り替えを感じられる。</x:v>
      </x:c>
      <x:c r="G130" s="27" t="str">
        <x:v>あり・小型85台</x:v>
      </x:c>
      <x:c r="H130" s="27" t="str">
        <x:v>PA 24時間／店舗は個別営業時間</x:v>
      </x:c>
      <x:c r="I130" s="27" t="n">
        <x:v>5</x:v>
      </x:c>
      <x:c r="J130" s="27" t="n">
        <x:v>4</x:v>
      </x:c>
      <x:c r="K130" s="27" t="str">
        <x:v>下り線限定。ディズニーリゾート帰りや休日は混雑。長時間占有を避ける。</x:v>
      </x:c>
      <x:c r="L130" s="28" t="n">
        <x:v>46232</x:v>
      </x:c>
      <x:c r="M130" s="27" t="str">
        <x:v>一次確認済</x:v>
      </x:c>
      <x:c r="N130" s="27" t="str">
        <x:v>https://www.driveplaza.com/sapa/1120/1120016/2/</x:v>
      </x:c>
      <x:c r="O130" s="27" t="str">
        <x:v>東関東道の湾岸区間に置かれ、東京・千葉双方の土産を扱う都市近郊型PAである。</x:v>
      </x:c>
      <x:c r="P130" s="84" t="e">
        <x:f>HYPERLINK("https://ja.wikipedia.org/wiki/Special:Search?search=%E6%B9%BE%E5%B2%B8%E5%B9%95%E5%BC%B5PA%EF%BC%88%E4%B8%8B%E3%82%8A%EF%BC%89","Wikipedia・関連項目")</x:f>
      </x:c>
      <x:c r="Q130" s="27" t="str">
        <x:v>2026-07-29再点検：下り線限定・24時間PA。千葉方面への出発地点として役割を維持。</x:v>
      </x:c>
      <x:c r="R130" s="27" t="str">
        <x:v>35km超</x:v>
      </x:c>
      <x:c r="S130" s="27" t="str">
        <x:v>概ね35km超</x:v>
      </x:c>
      <x:c r="T130" s="27" t="str">
        <x:v>通常90分超</x:v>
      </x:c>
      <x:c r="U130" s="27" t="str">
        <x:v>平日夜・深夜</x:v>
      </x:c>
      <x:c r="V130" s="27" t="str">
        <x:v>15〜30分</x:v>
      </x:c>
      <x:c r="W130" s="27" t="n">
        <x:v>4</x:v>
      </x:c>
      <x:c r="X130" s="27" t="n">
        <x:v>4</x:v>
      </x:c>
      <x:c r="Y130" s="27" t="str">
        <x:v>羽田空港 第3ターミナル展望デッキ</x:v>
      </x:c>
      <x:c r="Z130" s="27" t="str">
        <x:v>城南島海浜公園／潮風公園</x:v>
      </x:c>
      <x:c r="AA130" s="22" t="str">
        <x:v>なし</x:v>
      </x:c>
      <x:c r="AB130" s="22" t="str">
        <x:v>-</x:v>
      </x:c>
      <x:c r="AC130" s="22" t="str"/>
      <x:c r="AD130" s="22" t="str">
        <x:v>専用・路外駐車を基本</x:v>
      </x:c>
      <x:c r="AE130" s="22" t="str"/>
    </x:row>
    <x:row r="131">
      <x:c r="A131" s="27" t="str">
        <x:v>D200</x:v>
      </x:c>
      <x:c r="B131" s="27" t="str">
        <x:v>境川遊水地公園</x:v>
      </x:c>
      <x:c r="C131" s="27" t="str">
        <x:v>横浜市泉区・藤沢市</x:v>
      </x:c>
      <x:c r="D131" s="27" t="str">
        <x:v>遊水地・河川・治水インフラ</x:v>
      </x:c>
      <x:c r="E131" s="48" t="e">
        <x:f>HYPERLINK("https://www.google.com/maps/dir/?api=1&amp;destination=%E5%A2%83%E5%B7%9D%E9%81%8A%E6%B0%B4%E5%9C%B0%E5%85%AC%E5%9C%92&amp;travelmode=driving","現在地からナビ開始")</x:f>
      </x:c>
      <x:c r="F131" s="27" t="str">
        <x:v>普段は広い公園として使われる空間が、増水時には洪水を受け止めるという二重の機能を体感できる。</x:v>
      </x:c>
      <x:c r="G131" s="27" t="str">
        <x:v>あり・各遊水地69～107台ほか</x:v>
      </x:c>
      <x:c r="H131" s="27" t="str">
        <x:v>遊水地ごとに変動、当月の開園時間を公式確認</x:v>
      </x:c>
      <x:c r="I131" s="27" t="n">
        <x:v>2</x:v>
      </x:c>
      <x:c r="J131" s="27" t="n">
        <x:v>4</x:v>
      </x:c>
      <x:c r="K131" s="27" t="str">
        <x:v>河川水位上昇・荒天時は閉鎖。情報センター駐車場は1時間以内に限定。</x:v>
      </x:c>
      <x:c r="L131" s="28" t="n">
        <x:v>46232</x:v>
      </x:c>
      <x:c r="M131" s="27" t="str">
        <x:v>当日再確認</x:v>
      </x:c>
      <x:c r="N131" s="27" t="str">
        <x:v>https://kanagawa-park.or.jp/sakaigawa/access.html</x:v>
      </x:c>
      <x:c r="O131" s="27" t="str">
        <x:v>境川遊水地は洪水時に水を一時的に貯留し、下流域の浸水被害を軽減する治水施設で、平常時は公園として開放される。</x:v>
      </x:c>
      <x:c r="P131" s="84" t="e">
        <x:f>HYPERLINK("https://ja.wikipedia.org/wiki/Special:Search?search=%E5%A2%83%E5%B7%9D%E9%81%8A%E6%B0%B4%E5%9C%B0%E5%85%AC%E5%9C%92","Wikipedia・関連項目")</x:f>
      </x:c>
      <x:c r="Q131" s="27" t="str">
        <x:v>新規追加。インフラStoryと合法駐車を両立する昼候補。</x:v>
      </x:c>
      <x:c r="R131" s="27" t="str">
        <x:v>35km超</x:v>
      </x:c>
      <x:c r="S131" s="27" t="str">
        <x:v>概ね35km超</x:v>
      </x:c>
      <x:c r="T131" s="27" t="str">
        <x:v>通常90分超</x:v>
      </x:c>
      <x:c r="U131" s="27" t="str">
        <x:v>水辺</x:v>
      </x:c>
      <x:c r="V131" s="27" t="str">
        <x:v>30〜90分</x:v>
      </x:c>
      <x:c r="W131" s="27" t="n">
        <x:v>1</x:v>
      </x:c>
      <x:c r="X131" s="27" t="n">
        <x:v>1</x:v>
      </x:c>
      <x:c r="Y131" s="27" t="str">
        <x:v>多摩川浅間神社</x:v>
      </x:c>
      <x:c r="Z131" s="27" t="str">
        <x:v>多摩川六郷橋緑地／多摩川ガス橋緑地</x:v>
      </x:c>
      <x:c r="AA131" s="22" t="str">
        <x:v>なし</x:v>
      </x:c>
      <x:c r="AB131" s="22" t="str">
        <x:v>-</x:v>
      </x:c>
      <x:c r="AC131" s="22" t="str"/>
      <x:c r="AD131" s="22" t="str">
        <x:v>専用・路外駐車を基本</x:v>
      </x:c>
      <x:c r="AE131" s="22" t="str"/>
    </x:row>
    <x:row r="132">
      <x:c r="A132" s="27" t="str">
        <x:v>D201</x:v>
      </x:c>
      <x:c r="B132" s="27" t="str">
        <x:v>ひこうきの丘</x:v>
      </x:c>
      <x:c r="C132" s="27" t="str">
        <x:v>千葉県芝山町</x:v>
      </x:c>
      <x:c r="D132" s="27" t="str">
        <x:v>飛行機・展望・芝生</x:v>
      </x:c>
      <x:c r="E132" s="48" t="e">
        <x:f>HYPERLINK("https://www.google.com/maps/dir/?api=1&amp;destination=%E3%81%B2%E3%81%93%E3%81%86%E3%81%8D%E3%81%AE%E4%B8%98&amp;travelmode=driving","現在地からナビ開始")</x:f>
      </x:c>
      <x:c r="F132" s="27" t="str">
        <x:v>成田空港A滑走路の南側約600mで、着陸機の巨大さと離陸機のエンジン音を芝生から体感できる航空機Ending。</x:v>
      </x:c>
      <x:c r="G132" s="27" t="str">
        <x:v>あり・無料（町公式は台数非記載）</x:v>
      </x:c>
      <x:c r="H132" s="27" t="str">
        <x:v>町公式で時間明記なし／現地掲示・当日情報を優先</x:v>
      </x:c>
      <x:c r="I132" s="27" t="n">
        <x:v>5</x:v>
      </x:c>
      <x:c r="J132" s="27" t="n">
        <x:v>3</x:v>
      </x:c>
      <x:c r="K132" s="27" t="str">
        <x:v>風向きで価値が大きく変わる。脚立・騒音・駐車枠外停車は禁止。イベント時は封鎖・交通規制あり。</x:v>
      </x:c>
      <x:c r="L132" s="28" t="n">
        <x:v>46232</x:v>
      </x:c>
      <x:c r="M132" s="27" t="str">
        <x:v>当日再確認</x:v>
      </x:c>
      <x:c r="N132" s="27" t="str">
        <x:v>https://www.town.shibayama.lg.jp/0000002556.html</x:v>
      </x:c>
      <x:c r="O132" s="27" t="str">
        <x:v>芝山町は成田空港と共生してきた地域で、ひこうきの丘は空港南側の観光拠点『スカイパークしばやま』の中心地点の一つ。</x:v>
      </x:c>
      <x:c r="P132" s="84" t="e">
        <x:f>HYPERLINK("https://ja.wikipedia.org/wiki/Special:Search?search=%E3%81%B2%E3%81%93%E3%81%86%E3%81%8D%E3%81%AE%E4%B8%98","Wikipedia・関連項目")</x:f>
      </x:c>
      <x:c r="Q132" s="27" t="str">
        <x:v>2026-07-29再点検：町公式で常設利用時間の明記を確認できないため、当日現地掲示優先を維持。</x:v>
      </x:c>
      <x:c r="R132" s="27" t="str">
        <x:v>35km超</x:v>
      </x:c>
      <x:c r="S132" s="27" t="str">
        <x:v>概ね35km超</x:v>
      </x:c>
      <x:c r="T132" s="27" t="str">
        <x:v>通常90分超</x:v>
      </x:c>
      <x:c r="U132" s="27" t="str">
        <x:v>飛行機</x:v>
      </x:c>
      <x:c r="V132" s="27" t="str">
        <x:v>30〜60分</x:v>
      </x:c>
      <x:c r="W132" s="27" t="n">
        <x:v>2</x:v>
      </x:c>
      <x:c r="X132" s="27" t="n">
        <x:v>4</x:v>
      </x:c>
      <x:c r="Y132" s="27" t="str">
        <x:v>城南島海浜公園</x:v>
      </x:c>
      <x:c r="Z132" s="27" t="str">
        <x:v>京浜島つばさ公園／羽田空港 第3ターミナル展望デッキ</x:v>
      </x:c>
      <x:c r="AA132" s="22" t="str">
        <x:v>なし</x:v>
      </x:c>
      <x:c r="AB132" s="22" t="str">
        <x:v>-</x:v>
      </x:c>
      <x:c r="AC132" s="22" t="str"/>
      <x:c r="AD132" s="22" t="str">
        <x:v>専用・路外駐車を基本</x:v>
      </x:c>
      <x:c r="AE132" s="22" t="str"/>
    </x:row>
    <x:row r="133">
      <x:c r="A133" s="27" t="str">
        <x:v>D202</x:v>
      </x:c>
      <x:c r="B133" s="27" t="str">
        <x:v>漁港の駅 TOTOCO小田原</x:v>
      </x:c>
      <x:c r="C133" s="27" t="str">
        <x:v>小田原市・早川</x:v>
      </x:c>
      <x:c r="D133" s="27" t="str">
        <x:v>漁港・食・相模湾</x:v>
      </x:c>
      <x:c r="E133" s="48" t="e">
        <x:f>HYPERLINK("https://www.google.com/maps/dir/?api=1&amp;destination=%E6%BC%81%E6%B8%AF%E3%81%AE%E9%A7%85%20TOTOCO%E5%B0%8F%E7%94%B0%E5%8E%9F&amp;travelmode=driving","現在地からナビ開始")</x:f>
      </x:c>
      <x:c r="F133" s="27" t="str">
        <x:v>小田原漁港の地魚、干物、海鮮料理、相模湾の眺めを一度に回収でき、食を目的にした最終目的地として強い。</x:v>
      </x:c>
      <x:c r="G133" s="27" t="str">
        <x:v>あり・166台</x:v>
      </x:c>
      <x:c r="H133" s="27" t="str">
        <x:v>店舗により9:00または10:00～17:00／当日公式確認</x:v>
      </x:c>
      <x:c r="I133" s="27" t="n">
        <x:v>2</x:v>
      </x:c>
      <x:c r="J133" s="27" t="n">
        <x:v>2</x:v>
      </x:c>
      <x:c r="K133" s="27" t="str">
        <x:v>休日昼は混雑。カーナビの電話番号検索では誤位置になる場合があるため、施設名または住所で検索。</x:v>
      </x:c>
      <x:c r="L133" s="28" t="n">
        <x:v>46232</x:v>
      </x:c>
      <x:c r="M133" s="27" t="str">
        <x:v>一次確認済</x:v>
      </x:c>
      <x:c r="N133" s="27" t="str">
        <x:v>https://www.totoco-odawara.com/</x:v>
      </x:c>
      <x:c r="O133" s="27" t="str">
        <x:v>2019年開業の日本初の『漁港の駅』を掲げ、小田原漁港と相模湾の水産物を地域資源として発信している。</x:v>
      </x:c>
      <x:c r="P133" s="84" t="e">
        <x:f>HYPERLINK("https://ja.wikipedia.org/wiki/Special:Search?search=%E6%BC%81%E6%B8%AF%E3%81%AE%E9%A7%85%20TOTOCO%E5%B0%8F%E7%94%B0%E5%8E%9F","Wikipedia・関連項目")</x:f>
      </x:c>
      <x:c r="Q133" s="27" t="str">
        <x:v>新規追加。小田原漁港の作業区域へ入らず、合法駐車と食事を両立できる地点。</x:v>
      </x:c>
      <x:c r="R133" s="27" t="str">
        <x:v>35km超</x:v>
      </x:c>
      <x:c r="S133" s="27" t="str">
        <x:v>概ね35km超</x:v>
      </x:c>
      <x:c r="T133" s="27" t="str">
        <x:v>通常90分超</x:v>
      </x:c>
      <x:c r="U133" s="27" t="str">
        <x:v>海・港</x:v>
      </x:c>
      <x:c r="V133" s="27" t="str">
        <x:v>30〜90分</x:v>
      </x:c>
      <x:c r="W133" s="27" t="n">
        <x:v>2</x:v>
      </x:c>
      <x:c r="X133" s="27" t="n">
        <x:v>3</x:v>
      </x:c>
      <x:c r="Y133" s="27" t="str">
        <x:v>城南島海浜公園</x:v>
      </x:c>
      <x:c r="Z133" s="27" t="str">
        <x:v>潮風公園／晴海ふ頭公園</x:v>
      </x:c>
      <x:c r="AA133" s="22" t="str">
        <x:v>なし</x:v>
      </x:c>
      <x:c r="AB133" s="22" t="str">
        <x:v>-</x:v>
      </x:c>
      <x:c r="AC133" s="22" t="str"/>
      <x:c r="AD133" s="22" t="str">
        <x:v>専用・路外駐車を基本</x:v>
      </x:c>
      <x:c r="AE133" s="22" t="str"/>
    </x:row>
    <x:row r="134">
      <x:c r="A134" s="27" t="str">
        <x:v>D203</x:v>
      </x:c>
      <x:c r="B134" s="27" t="str">
        <x:v>小田原フラワーガーデン</x:v>
      </x:c>
      <x:c r="C134" s="27" t="str">
        <x:v>小田原市・久野</x:v>
      </x:c>
      <x:c r="D134" s="27" t="str">
        <x:v>植物園・梅・温室</x:v>
      </x:c>
      <x:c r="E134" s="48" t="e">
        <x:f>HYPERLINK("https://www.google.com/maps/dir/?api=1&amp;destination=%E5%B0%8F%E7%94%B0%E5%8E%9F%E3%83%95%E3%83%A9%E3%83%AF%E3%83%BC%E3%82%AC%E3%83%BC%E3%83%87%E3%83%B3&amp;travelmode=driving","現在地からナビ開始")</x:f>
      </x:c>
      <x:c r="F134" s="27" t="str">
        <x:v>渓流の梅林、熱帯温室、池を歩き、海・城中心になりがちな小田原ルートを植物の静けさで締められる。</x:v>
      </x:c>
      <x:c r="G134" s="27" t="str">
        <x:v>あり・無料・約140台</x:v>
      </x:c>
      <x:c r="H134" s="27" t="str">
        <x:v>9:00～17:00／温室入館16:30まで</x:v>
      </x:c>
      <x:c r="I134" s="27" t="n">
        <x:v>1</x:v>
      </x:c>
      <x:c r="J134" s="27" t="n">
        <x:v>3</x:v>
      </x:c>
      <x:c r="K134" s="27" t="str">
        <x:v>月曜休園を基本とし、祝日・臨時休園を当日確認。梅の見頃は駐車場混雑。</x:v>
      </x:c>
      <x:c r="L134" s="28" t="n">
        <x:v>46232</x:v>
      </x:c>
      <x:c r="M134" s="27" t="str">
        <x:v>一次確認済</x:v>
      </x:c>
      <x:c r="N134" s="27" t="str">
        <x:v>https://www.city.odawara.kanagawa.jp/public-i/park/garden/</x:v>
      </x:c>
      <x:c r="O134" s="27" t="str">
        <x:v>小田原は曽我梅林など梅文化が深く、園内の渓流の梅林では多品種の梅を比較して楽しめる。</x:v>
      </x:c>
      <x:c r="P134" s="84" t="e">
        <x:f>HYPERLINK("https://ja.wikipedia.org/wiki/Special:Search?search=%E5%B0%8F%E7%94%B0%E5%8E%9F%E3%83%95%E3%83%A9%E3%83%AF%E3%83%BC%E3%82%AC%E3%83%BC%E3%83%87%E3%83%B3","Wikipedia・関連項目")</x:f>
      </x:c>
      <x:c r="Q134" s="27" t="str">
        <x:v>新規追加。花期以外も温室と池で成立する全天候寄りの昼Ending。</x:v>
      </x:c>
      <x:c r="R134" s="27" t="str">
        <x:v>35km超</x:v>
      </x:c>
      <x:c r="S134" s="27" t="str">
        <x:v>概ね35km超</x:v>
      </x:c>
      <x:c r="T134" s="27" t="str">
        <x:v>通常90分超</x:v>
      </x:c>
      <x:c r="U134" s="27" t="str">
        <x:v>休日半日</x:v>
      </x:c>
      <x:c r="V134" s="27" t="str">
        <x:v>60〜150分</x:v>
      </x:c>
      <x:c r="W134" s="27" t="n">
        <x:v>2</x:v>
      </x:c>
      <x:c r="X134" s="27" t="n">
        <x:v>1</x:v>
      </x:c>
      <x:c r="Y134" s="27" t="str">
        <x:v>羽田空港 第3ターミナル展望デッキ</x:v>
      </x:c>
      <x:c r="Z134" s="27" t="str">
        <x:v>城南島海浜公園／潮風公園</x:v>
      </x:c>
      <x:c r="AA134" s="22" t="str">
        <x:v>なし</x:v>
      </x:c>
      <x:c r="AB134" s="22" t="str">
        <x:v>-</x:v>
      </x:c>
      <x:c r="AC134" s="22" t="str"/>
      <x:c r="AD134" s="22" t="str">
        <x:v>専用・路外駐車を基本</x:v>
      </x:c>
      <x:c r="AE134" s="22" t="str"/>
    </x:row>
    <x:row r="135">
      <x:c r="A135" s="27" t="str">
        <x:v>D204</x:v>
      </x:c>
      <x:c r="B135" s="27" t="str">
        <x:v>小田原城址公園</x:v>
      </x:c>
      <x:c r="C135" s="27" t="str">
        <x:v>小田原市・城内</x:v>
      </x:c>
      <x:c r="D135" s="27" t="str">
        <x:v>城址・城下町・Story</x:v>
      </x:c>
      <x:c r="E135" s="48" t="e">
        <x:f>HYPERLINK("https://www.google.com/maps/dir/?api=1&amp;destination=%E5%B0%8F%E7%94%B0%E5%8E%9F%E5%9F%8E%E5%9D%80%E5%85%AC%E5%9C%92&amp;travelmode=driving","現在地からナビ開始")</x:f>
      </x:c>
      <x:c r="F135" s="27" t="str">
        <x:v>北条氏の関東支配と豊臣秀吉の小田原攻めを現地で想像でき、城下町散策まで含めて歴史Endingになる。</x:v>
      </x:c>
      <x:c r="G135" s="27" t="str">
        <x:v>園内一般駐車場なし・周辺有料駐車場多数</x:v>
      </x:c>
      <x:c r="H135" s="27" t="str">
        <x:v>公園は終日／天守閣等は9:00～17:00中心</x:v>
      </x:c>
      <x:c r="I135" s="27" t="n">
        <x:v>3</x:v>
      </x:c>
      <x:c r="J135" s="27" t="n">
        <x:v>1</x:v>
      </x:c>
      <x:c r="K135" s="27" t="str">
        <x:v>一般車は周辺有料駐車場を利用。祭り・花見時は満車と交通規制。城址公園内への一般車進入不可。</x:v>
      </x:c>
      <x:c r="L135" s="28" t="n">
        <x:v>46232</x:v>
      </x:c>
      <x:c r="M135" s="27" t="str">
        <x:v>一次確認済</x:v>
      </x:c>
      <x:c r="N135" s="27" t="str">
        <x:v>https://www.city.odawara.kanagawa.jp/kanko/spot/jyousikouen.html</x:v>
      </x:c>
      <x:c r="O135" s="27" t="str">
        <x:v>小田原北条氏は城下全体を囲む『総構』を築き、豊臣軍を迎えた日本最大級の中世城郭へ発展させた。</x:v>
      </x:c>
      <x:c r="P135" s="84" t="e">
        <x:f>HYPERLINK("https://ja.wikipedia.org/wiki/Special:Search?search=%E5%B0%8F%E7%94%B0%E5%8E%9F%E5%9F%8E%E5%9D%80%E5%85%AC%E5%9C%92","Wikipedia・関連項目")</x:f>
      </x:c>
      <x:c r="Q135" s="27" t="str">
        <x:v>新規追加。専用駐車場はないが、市公式の周辺駐車場網を前提に採用。</x:v>
      </x:c>
      <x:c r="R135" s="27" t="str">
        <x:v>35km超</x:v>
      </x:c>
      <x:c r="S135" s="27" t="str">
        <x:v>概ね35km超</x:v>
      </x:c>
      <x:c r="T135" s="27" t="str">
        <x:v>通常90分超</x:v>
      </x:c>
      <x:c r="U135" s="27" t="str">
        <x:v>Story</x:v>
      </x:c>
      <x:c r="V135" s="27" t="str">
        <x:v>30〜60分</x:v>
      </x:c>
      <x:c r="W135" s="27" t="n">
        <x:v>2</x:v>
      </x:c>
      <x:c r="X135" s="27" t="n">
        <x:v>1</x:v>
      </x:c>
      <x:c r="Y135" s="27" t="str">
        <x:v>羽田空港 第3ターミナル展望デッキ</x:v>
      </x:c>
      <x:c r="Z135" s="27" t="str">
        <x:v>城南島海浜公園／潮風公園</x:v>
      </x:c>
      <x:c r="AA135" s="22" t="str">
        <x:v>なし</x:v>
      </x:c>
      <x:c r="AB135" s="22" t="str">
        <x:v>-</x:v>
      </x:c>
      <x:c r="AC135" s="22" t="str"/>
      <x:c r="AD135" s="22" t="str">
        <x:v>専用・路外駐車を基本</x:v>
      </x:c>
      <x:c r="AE135" s="22" t="str"/>
    </x:row>
    <x:row r="136">
      <x:c r="A136" s="27" t="str">
        <x:v>D210</x:v>
      </x:c>
      <x:c r="B136" s="27" t="str">
        <x:v>川越水上公園</x:v>
      </x:c>
      <x:c r="C136" s="27" t="str">
        <x:v>埼玉県川越市</x:v>
      </x:c>
      <x:c r="D136" s="27" t="str">
        <x:v>池・水上公園・夜間休憩</x:v>
      </x:c>
      <x:c r="E136" s="48" t="e">
        <x:f>HYPERLINK("https://www.google.com/maps/dir/?api=1&amp;destination=%E5%B7%9D%E8%B6%8A%E6%B0%B4%E4%B8%8A%E5%85%AC%E5%9C%92&amp;travelmode=driving","現在地からナビ開始")</x:f>
      </x:c>
      <x:c r="F136" s="27" t="str">
        <x:v>大きな池、芝生、季節施設があり、川越観光の後に市街地を離れて水辺で休める。</x:v>
      </x:c>
      <x:c r="G136" s="27" t="str">
        <x:v>あり・通常無料、夏季プール期間は有料</x:v>
      </x:c>
      <x:c r="H136" s="27" t="str">
        <x:v>正門閉鎖 0:30～5:00／施設は個別時間</x:v>
      </x:c>
      <x:c r="I136" s="27" t="n">
        <x:v>4</x:v>
      </x:c>
      <x:c r="J136" s="27" t="n">
        <x:v>3</x:v>
      </x:c>
      <x:c r="K136" s="27" t="str">
        <x:v>深夜は正門閉鎖。夏季プール期間は駐車料金と混雑が変わる。公園利用目的外の駐車禁止。</x:v>
      </x:c>
      <x:c r="L136" s="28" t="n">
        <x:v>46232</x:v>
      </x:c>
      <x:c r="M136" s="27" t="str">
        <x:v>一次確認済</x:v>
      </x:c>
      <x:c r="N136" s="27" t="str">
        <x:v>https://www.parks.or.jp/kawagoesuijo/faq/001/001296.html</x:v>
      </x:c>
      <x:c r="O136" s="27" t="str">
        <x:v>夏はプール、冬はプールを活用した管理釣り場など、季節で水面の役割が変わる県営公園。</x:v>
      </x:c>
      <x:c r="P136" s="84" t="e">
        <x:f>HYPERLINK("https://ja.wikipedia.org/wiki/Special:Search?search=%E5%B7%9D%E8%B6%8A%E6%B0%B4%E4%B8%8A%E5%85%AC%E5%9C%92","Wikipedia・関連項目")</x:f>
      </x:c>
      <x:c r="Q136" s="27" t="str">
        <x:v>新規追加。川越方面の夜間Ending候補として採用。</x:v>
      </x:c>
      <x:c r="R136" s="27" t="str">
        <x:v>35km超</x:v>
      </x:c>
      <x:c r="S136" s="27" t="str">
        <x:v>概ね35km超</x:v>
      </x:c>
      <x:c r="T136" s="27" t="str">
        <x:v>通常90分超</x:v>
      </x:c>
      <x:c r="U136" s="27" t="str">
        <x:v>水辺</x:v>
      </x:c>
      <x:c r="V136" s="27" t="str">
        <x:v>30〜90分</x:v>
      </x:c>
      <x:c r="W136" s="27" t="n">
        <x:v>1</x:v>
      </x:c>
      <x:c r="X136" s="27" t="n">
        <x:v>1</x:v>
      </x:c>
      <x:c r="Y136" s="27" t="str">
        <x:v>多摩川浅間神社</x:v>
      </x:c>
      <x:c r="Z136" s="27" t="str">
        <x:v>多摩川六郷橋緑地／多摩川ガス橋緑地</x:v>
      </x:c>
      <x:c r="AA136" s="22" t="str">
        <x:v>なし</x:v>
      </x:c>
      <x:c r="AB136" s="22" t="str">
        <x:v>-</x:v>
      </x:c>
      <x:c r="AC136" s="22" t="str"/>
      <x:c r="AD136" s="22" t="str">
        <x:v>専用・路外駐車を基本</x:v>
      </x:c>
      <x:c r="AE136" s="22" t="str"/>
    </x:row>
    <x:row r="137">
      <x:c r="A137" s="27" t="str">
        <x:v>D211</x:v>
      </x:c>
      <x:c r="B137" s="27" t="str">
        <x:v>大宮公園</x:v>
      </x:c>
      <x:c r="C137" s="27" t="str">
        <x:v>さいたま市・大宮区</x:v>
      </x:c>
      <x:c r="D137" s="27" t="str">
        <x:v>歴史公園・池・24時間駐車</x:v>
      </x:c>
      <x:c r="E137" s="48" t="e">
        <x:f>HYPERLINK("https://www.google.com/maps/dir/?api=1&amp;destination=%E5%A4%A7%E5%AE%AE%E5%85%AC%E5%9C%92&amp;travelmode=driving","現在地からナビ開始")</x:f>
      </x:c>
      <x:c r="F137" s="27" t="str">
        <x:v>氷川神社、池、赤松林、スポーツ施設を抱え、夜間でも合法駐車から短い散歩ができる北側の安定Ending。</x:v>
      </x:c>
      <x:c r="G137" s="27" t="str">
        <x:v>あり・278台・有料</x:v>
      </x:c>
      <x:c r="H137" s="27" t="str">
        <x:v>駐車場24時間／公園毎日開園</x:v>
      </x:c>
      <x:c r="I137" s="27" t="n">
        <x:v>4</x:v>
      </x:c>
      <x:c r="J137" s="27" t="n">
        <x:v>2</x:v>
      </x:c>
      <x:c r="K137" s="27" t="str">
        <x:v>料金上限なし。花見、競輪、野球、サッカー開催時は満車・周辺渋滞。</x:v>
      </x:c>
      <x:c r="L137" s="28" t="n">
        <x:v>46232</x:v>
      </x:c>
      <x:c r="M137" s="27" t="str">
        <x:v>一次確認済</x:v>
      </x:c>
      <x:c r="N137" s="27" t="str">
        <x:v>https://www.pref.saitama.lg.jp/omiya-park/shisetsu.html</x:v>
      </x:c>
      <x:c r="O137" s="27" t="str">
        <x:v>1885年に『氷川公園』として開園した、埼玉県内で最も歴史の長い県営公園。</x:v>
      </x:c>
      <x:c r="P137" s="84" t="e">
        <x:f>HYPERLINK("https://ja.wikipedia.org/wiki/Special:Search?search=%E5%A4%A7%E5%AE%AE%E5%85%AC%E5%9C%92","Wikipedia・関連項目")</x:f>
      </x:c>
      <x:c r="Q137" s="27" t="str">
        <x:v>新規追加。Storyと24時間駐車の両立を評価。</x:v>
      </x:c>
      <x:c r="R137" s="27" t="str">
        <x:v>35km超</x:v>
      </x:c>
      <x:c r="S137" s="27" t="str">
        <x:v>概ね35km超</x:v>
      </x:c>
      <x:c r="T137" s="27" t="str">
        <x:v>通常90分超</x:v>
      </x:c>
      <x:c r="U137" s="27" t="str">
        <x:v>水辺</x:v>
      </x:c>
      <x:c r="V137" s="27" t="str">
        <x:v>30〜90分</x:v>
      </x:c>
      <x:c r="W137" s="27" t="n">
        <x:v>1</x:v>
      </x:c>
      <x:c r="X137" s="27" t="n">
        <x:v>1</x:v>
      </x:c>
      <x:c r="Y137" s="27" t="str">
        <x:v>多摩川浅間神社</x:v>
      </x:c>
      <x:c r="Z137" s="27" t="str">
        <x:v>多摩川六郷橋緑地／多摩川ガス橋緑地</x:v>
      </x:c>
      <x:c r="AA137" s="22" t="str">
        <x:v>なし</x:v>
      </x:c>
      <x:c r="AB137" s="22" t="str">
        <x:v>-</x:v>
      </x:c>
      <x:c r="AC137" s="22" t="str"/>
      <x:c r="AD137" s="22" t="str">
        <x:v>専用・路外駐車を基本</x:v>
      </x:c>
      <x:c r="AE137" s="22" t="str"/>
    </x:row>
    <x:row r="138">
      <x:c r="A138" s="27" t="str">
        <x:v>D212</x:v>
      </x:c>
      <x:c r="B138" s="27" t="str">
        <x:v>鉄道博物館</x:v>
      </x:c>
      <x:c r="C138" s="27" t="str">
        <x:v>さいたま市・大宮区</x:v>
      </x:c>
      <x:c r="D138" s="27" t="str">
        <x:v>鉄道・産業史・Story</x:v>
      </x:c>
      <x:c r="E138" s="48" t="e">
        <x:f>HYPERLINK("https://www.google.com/maps/dir/?api=1&amp;destination=%E9%89%84%E9%81%93%E5%8D%9A%E7%89%A9%E9%A4%A8&amp;travelmode=driving","現在地からナビ開始")</x:f>
      </x:c>
      <x:c r="F138" s="27" t="str">
        <x:v>実車、転車台、鉄道技術、食堂車文化を体験し、車で訪れて別の交通史へ切り替わる目的地。</x:v>
      </x:c>
      <x:c r="G138" s="27" t="str">
        <x:v>あり・一般車1日1,000円</x:v>
      </x:c>
      <x:c r="H138" s="27" t="str">
        <x:v>10:00～17:00／最終入館16:30</x:v>
      </x:c>
      <x:c r="I138" s="27" t="n">
        <x:v>1</x:v>
      </x:c>
      <x:c r="J138" s="27" t="n">
        <x:v>1</x:v>
      </x:c>
      <x:c r="K138" s="27" t="str">
        <x:v>火曜・年末年始休館。休日は駐車場満車。入館券・体験予約を当日公式確認。</x:v>
      </x:c>
      <x:c r="L138" s="28" t="n">
        <x:v>46232</x:v>
      </x:c>
      <x:c r="M138" s="27" t="str">
        <x:v>一次確認済</x:v>
      </x:c>
      <x:c r="N138" s="27" t="str">
        <x:v>https://www.railway-museum.jp/information/</x:v>
      </x:c>
      <x:c r="O138" s="27" t="str">
        <x:v>2007年に開館し、東京・神田の交通博物館から鉄道展示の役割を引き継いだJR東日本系の博物館。</x:v>
      </x:c>
      <x:c r="P138" s="84" t="e">
        <x:f>HYPERLINK("https://ja.wikipedia.org/wiki/Special:Search?search=%E9%89%84%E9%81%93%E5%8D%9A%E7%89%A9%E9%A4%A8","Wikipedia・関連項目")</x:f>
      </x:c>
      <x:c r="Q138" s="27" t="str">
        <x:v>新規追加。鉄道史そのものを最終目的にするStory型。</x:v>
      </x:c>
      <x:c r="R138" s="27" t="str">
        <x:v>35km超</x:v>
      </x:c>
      <x:c r="S138" s="27" t="str">
        <x:v>概ね35km超</x:v>
      </x:c>
      <x:c r="T138" s="27" t="str">
        <x:v>通常90分超</x:v>
      </x:c>
      <x:c r="U138" s="27" t="str">
        <x:v>Story</x:v>
      </x:c>
      <x:c r="V138" s="27" t="str">
        <x:v>30〜60分</x:v>
      </x:c>
      <x:c r="W138" s="27" t="n">
        <x:v>2</x:v>
      </x:c>
      <x:c r="X138" s="27" t="n">
        <x:v>1</x:v>
      </x:c>
      <x:c r="Y138" s="27" t="str">
        <x:v>羽田空港 第3ターミナル展望デッキ</x:v>
      </x:c>
      <x:c r="Z138" s="27" t="str">
        <x:v>城南島海浜公園／潮風公園</x:v>
      </x:c>
      <x:c r="AA138" s="22" t="str">
        <x:v>なし</x:v>
      </x:c>
      <x:c r="AB138" s="22" t="str">
        <x:v>-</x:v>
      </x:c>
      <x:c r="AC138" s="22" t="str"/>
      <x:c r="AD138" s="22" t="str">
        <x:v>専用・路外駐車を基本</x:v>
      </x:c>
      <x:c r="AE138" s="22" t="str"/>
    </x:row>
    <x:row r="139">
      <x:c r="A139" s="27" t="str">
        <x:v>D213</x:v>
      </x:c>
      <x:c r="B139" s="27" t="str">
        <x:v>滝山城跡</x:v>
      </x:c>
      <x:c r="C139" s="27" t="str">
        <x:v>八王子市・丹木町</x:v>
      </x:c>
      <x:c r="D139" s="27" t="str">
        <x:v>山城・堀・城址</x:v>
      </x:c>
      <x:c r="E139" s="48" t="e">
        <x:f>HYPERLINK("https://www.google.com/maps/dir/?api=1&amp;destination=%E6%BB%9D%E5%B1%B1%E5%9F%8E%E8%B7%A1&amp;travelmode=driving","現在地からナビ開始")</x:f>
      </x:c>
      <x:c r="F139" s="27" t="str">
        <x:v>深い空堀と土塁を歩き、北条氏照の山城防御を地形で理解できる到達型Ending。</x:v>
      </x:c>
      <x:c r="G139" s="27" t="str">
        <x:v>あり・29台・無料</x:v>
      </x:c>
      <x:c r="H139" s="27" t="str">
        <x:v>駐車場8:00～18:00／11～2月は16:00閉場</x:v>
      </x:c>
      <x:c r="I139" s="27" t="n">
        <x:v>1</x:v>
      </x:c>
      <x:c r="J139" s="27" t="n">
        <x:v>4</x:v>
      </x:c>
      <x:c r="K139" s="27" t="str">
        <x:v>閉場後は出庫不可。桜期は満車。城跡まで徒歩と高低差あり。</x:v>
      </x:c>
      <x:c r="L139" s="28" t="n">
        <x:v>46232</x:v>
      </x:c>
      <x:c r="M139" s="27" t="str">
        <x:v>一次確認済</x:v>
      </x:c>
      <x:c r="N139" s="27" t="str">
        <x:v>https://www.city.hachioji.tokyo.jp/shisetsu/011/p011767.html</x:v>
      </x:c>
      <x:c r="O139" s="27" t="str">
        <x:v>北条氏照の居城で、武田信玄の攻撃を受けた後に八王子城へ本拠が移されたとされる山城。</x:v>
      </x:c>
      <x:c r="P139" s="84" t="e">
        <x:f>HYPERLINK("https://ja.wikipedia.org/wiki/Special:Search?search=%E6%BB%9D%E5%B1%B1%E5%9F%8E%E8%B7%A1","Wikipedia・関連項目")</x:f>
      </x:c>
      <x:c r="Q139" s="27" t="str">
        <x:v>新規追加。八王子城とは異なる『土の城』の見え方を評価。</x:v>
      </x:c>
      <x:c r="R139" s="27" t="str">
        <x:v>35km超</x:v>
      </x:c>
      <x:c r="S139" s="27" t="str">
        <x:v>概ね35km超</x:v>
      </x:c>
      <x:c r="T139" s="27" t="str">
        <x:v>通常90分超</x:v>
      </x:c>
      <x:c r="U139" s="27" t="str">
        <x:v>Story</x:v>
      </x:c>
      <x:c r="V139" s="27" t="str">
        <x:v>30〜60分</x:v>
      </x:c>
      <x:c r="W139" s="27" t="n">
        <x:v>2</x:v>
      </x:c>
      <x:c r="X139" s="27" t="n">
        <x:v>1</x:v>
      </x:c>
      <x:c r="Y139" s="27" t="str">
        <x:v>羽田空港 第3ターミナル展望デッキ</x:v>
      </x:c>
      <x:c r="Z139" s="27" t="str">
        <x:v>城南島海浜公園／潮風公園</x:v>
      </x:c>
      <x:c r="AA139" s="22" t="str">
        <x:v>なし</x:v>
      </x:c>
      <x:c r="AB139" s="22" t="str">
        <x:v>-</x:v>
      </x:c>
      <x:c r="AC139" s="22" t="str"/>
      <x:c r="AD139" s="22" t="str">
        <x:v>専用・路外駐車を基本</x:v>
      </x:c>
      <x:c r="AE139" s="22" t="str"/>
    </x:row>
    <x:row r="140">
      <x:c r="A140" s="27" t="str">
        <x:v>D214</x:v>
      </x:c>
      <x:c r="B140" s="27" t="str">
        <x:v>片倉城跡公園</x:v>
      </x:c>
      <x:c r="C140" s="27" t="str">
        <x:v>八王子市・片倉町</x:v>
      </x:c>
      <x:c r="D140" s="27" t="str">
        <x:v>城址・湧水・彫刻</x:v>
      </x:c>
      <x:c r="E140" s="48" t="e">
        <x:f>HYPERLINK("https://www.google.com/maps/dir/?api=1&amp;destination=%E7%89%87%E5%80%89%E5%9F%8E%E8%B7%A1%E5%85%AC%E5%9C%92&amp;travelmode=driving","現在地からナビ開始")</x:f>
      </x:c>
      <x:c r="F140" s="27" t="str">
        <x:v>空堀・土塁・湧水地・彫刻が近距離にまとまり、短い徒歩でも城跡の地形変化を感じられる。</x:v>
      </x:c>
      <x:c r="G140" s="27" t="str">
        <x:v>あり・小規模</x:v>
      </x:c>
      <x:c r="H140" s="27" t="str">
        <x:v>駐車場常時開放</x:v>
      </x:c>
      <x:c r="I140" s="27" t="n">
        <x:v>3</x:v>
      </x:c>
      <x:c r="J140" s="27" t="n">
        <x:v>4</x:v>
      </x:c>
      <x:c r="K140" s="27" t="str">
        <x:v>夜は暗く散策不向き。台数が少ないため満車時は通過。湿地・斜面で足元注意。</x:v>
      </x:c>
      <x:c r="L140" s="28" t="n">
        <x:v>46232</x:v>
      </x:c>
      <x:c r="M140" s="27" t="str">
        <x:v>一次確認済</x:v>
      </x:c>
      <x:c r="N140" s="27" t="str">
        <x:v>https://www.city.hachioji.tokyo.jp/shisetsu/009/p011931.html</x:v>
      </x:c>
      <x:c r="O140" s="27" t="str">
        <x:v>室町期の丘城と考えられ、現在も二の丸周辺などに空堀や土塁が残る。</x:v>
      </x:c>
      <x:c r="P140" s="84" t="e">
        <x:f>HYPERLINK("https://ja.wikipedia.org/wiki/Special:Search?search=%E7%89%87%E5%80%89%E5%9F%8E%E8%B7%A1%E5%85%AC%E5%9C%92","Wikipedia・関連項目")</x:f>
      </x:c>
      <x:c r="Q140" s="27" t="str">
        <x:v>新規追加。滝山・八王子城より短時間で城郭地形を味わえる。</x:v>
      </x:c>
      <x:c r="R140" s="27" t="str">
        <x:v>35km超</x:v>
      </x:c>
      <x:c r="S140" s="27" t="str">
        <x:v>概ね35km超</x:v>
      </x:c>
      <x:c r="T140" s="27" t="str">
        <x:v>通常90分超</x:v>
      </x:c>
      <x:c r="U140" s="27" t="str">
        <x:v>Story</x:v>
      </x:c>
      <x:c r="V140" s="27" t="str">
        <x:v>30〜60分</x:v>
      </x:c>
      <x:c r="W140" s="27" t="n">
        <x:v>2</x:v>
      </x:c>
      <x:c r="X140" s="27" t="n">
        <x:v>1</x:v>
      </x:c>
      <x:c r="Y140" s="27" t="str">
        <x:v>羽田空港 第3ターミナル展望デッキ</x:v>
      </x:c>
      <x:c r="Z140" s="27" t="str">
        <x:v>城南島海浜公園／潮風公園</x:v>
      </x:c>
      <x:c r="AA140" s="22" t="str">
        <x:v>なし</x:v>
      </x:c>
      <x:c r="AB140" s="22" t="str">
        <x:v>-</x:v>
      </x:c>
      <x:c r="AC140" s="22" t="str"/>
      <x:c r="AD140" s="22" t="str">
        <x:v>専用・路外駐車を基本</x:v>
      </x:c>
      <x:c r="AE140" s="22" t="str"/>
    </x:row>
    <x:row r="141">
      <x:c r="A141" s="27" t="str">
        <x:v>D215</x:v>
      </x:c>
      <x:c r="B141" s="27" t="str">
        <x:v>寒川神社</x:v>
      </x:c>
      <x:c r="C141" s="27" t="str">
        <x:v>神奈川県寒川町</x:v>
      </x:c>
      <x:c r="D141" s="27" t="str">
        <x:v>神社・相模国一宮・八方除</x:v>
      </x:c>
      <x:c r="E141" s="48" t="e">
        <x:f>HYPERLINK("https://www.google.com/maps/dir/?api=1&amp;destination=%E5%AF%92%E5%B7%9D%E7%A5%9E%E7%A4%BE&amp;travelmode=driving","現在地からナビ開始")</x:f>
      </x:c>
      <x:c r="F141" s="27" t="str">
        <x:v>旅の方向や安全を整える『八方除』の物語が、目的地決めサービスのProject Cruiseと相性が良い。</x:v>
      </x:c>
      <x:c r="G141" s="27" t="str">
        <x:v>あり・参拝者駐車場</x:v>
      </x:c>
      <x:c r="H141" s="27" t="str">
        <x:v>神門6:00～日没／時間外は神門前で参拝可</x:v>
      </x:c>
      <x:c r="I141" s="27" t="n">
        <x:v>2</x:v>
      </x:c>
      <x:c r="J141" s="27" t="n">
        <x:v>2</x:v>
      </x:c>
      <x:c r="K141" s="27" t="str">
        <x:v>正月・祭事は大規模規制と渋滞。深夜の境内滞在は避け、静粛に参拝。</x:v>
      </x:c>
      <x:c r="L141" s="28" t="n">
        <x:v>46232</x:v>
      </x:c>
      <x:c r="M141" s="27" t="str">
        <x:v>一次確認済</x:v>
      </x:c>
      <x:c r="N141" s="27" t="str">
        <x:v>https://samukawajinjya.jp/faq/</x:v>
      </x:c>
      <x:c r="O141" s="27" t="str">
        <x:v>相模国一宮とされ、全国でも珍しい『八方除』の守護神として方位・地相・家相の災い除けで知られる。</x:v>
      </x:c>
      <x:c r="P141" s="84" t="e">
        <x:f>HYPERLINK("https://ja.wikipedia.org/wiki/Special:Search?search=%E5%AF%92%E5%B7%9D%E7%A5%9E%E7%A4%BE","Wikipedia・関連項目")</x:f>
      </x:c>
      <x:c r="Q141" s="27" t="str">
        <x:v>新規追加。ドライブの出発・帰着に意味を持たせるStory Ending。</x:v>
      </x:c>
      <x:c r="R141" s="27" t="str">
        <x:v>35km超</x:v>
      </x:c>
      <x:c r="S141" s="27" t="str">
        <x:v>概ね35km超</x:v>
      </x:c>
      <x:c r="T141" s="27" t="str">
        <x:v>通常90分超</x:v>
      </x:c>
      <x:c r="U141" s="27" t="str">
        <x:v>休日半日</x:v>
      </x:c>
      <x:c r="V141" s="27" t="str">
        <x:v>30〜60分</x:v>
      </x:c>
      <x:c r="W141" s="27" t="n">
        <x:v>2</x:v>
      </x:c>
      <x:c r="X141" s="27" t="n">
        <x:v>1</x:v>
      </x:c>
      <x:c r="Y141" s="27" t="str">
        <x:v>羽田空港 第3ターミナル展望デッキ</x:v>
      </x:c>
      <x:c r="Z141" s="27" t="str">
        <x:v>城南島海浜公園／潮風公園</x:v>
      </x:c>
      <x:c r="AA141" s="22" t="str">
        <x:v>なし</x:v>
      </x:c>
      <x:c r="AB141" s="22" t="str">
        <x:v>-</x:v>
      </x:c>
      <x:c r="AC141" s="22" t="str"/>
      <x:c r="AD141" s="22" t="str">
        <x:v>専用・路外駐車を基本</x:v>
      </x:c>
      <x:c r="AE141" s="22" t="str"/>
    </x:row>
    <x:row r="142">
      <x:c r="A142" s="27" t="str">
        <x:v>D217</x:v>
      </x:c>
      <x:c r="B142" s="27" t="str">
        <x:v>相模原麻溝公園</x:v>
      </x:c>
      <x:c r="C142" s="27" t="str">
        <x:v>相模原市・南区</x:v>
      </x:c>
      <x:c r="D142" s="27" t="str">
        <x:v>展望塔・大規模公園・夜間駐車</x:v>
      </x:c>
      <x:c r="E142" s="48" t="e">
        <x:f>HYPERLINK("https://www.google.com/maps/dir/?api=1&amp;destination=%E7%9B%B8%E6%A8%A1%E5%8E%9F%E9%BA%BB%E6%BA%9D%E5%85%AC%E5%9C%92&amp;travelmode=driving","現在地からナビ開始")</x:f>
      </x:c>
      <x:c r="F142" s="27" t="str">
        <x:v>グリーンタワーから相模原台地を見渡し、隣接する相模原公園と合わせて広い園地を巡れる。</x:v>
      </x:c>
      <x:c r="G142" s="27" t="str">
        <x:v>あり・第1駐車場常時開放、第2は混雑時</x:v>
      </x:c>
      <x:c r="H142" s="27" t="str">
        <x:v>第1駐車場常時開放／各施設は個別時間</x:v>
      </x:c>
      <x:c r="I142" s="27" t="n">
        <x:v>4</x:v>
      </x:c>
      <x:c r="J142" s="27" t="n">
        <x:v>3</x:v>
      </x:c>
      <x:c r="K142" s="27" t="str">
        <x:v>展望塔・動物広場等は時間制。イベント時は一部駐車場規制。夜は駐車場周辺中心。</x:v>
      </x:c>
      <x:c r="L142" s="28" t="n">
        <x:v>46232</x:v>
      </x:c>
      <x:c r="M142" s="27" t="str">
        <x:v>一次確認済</x:v>
      </x:c>
      <x:c r="N142" s="27" t="str">
        <x:v>https://www.city.sagamihara.kanagawa.jp/kurashi/shisetsu/kouen_kankou/kouen_ryokuchi/1003087.html</x:v>
      </x:c>
      <x:c r="O142" s="27" t="str">
        <x:v>高さ55mのグリーンタワー相模原は公園の象徴で、相模原市制施行30周年を記念して建てられた。</x:v>
      </x:c>
      <x:c r="P142" s="84" t="e">
        <x:f>HYPERLINK("https://ja.wikipedia.org/wiki/Special:Search?search=%E7%9B%B8%E6%A8%A1%E5%8E%9F%E9%BA%BB%E6%BA%9D%E5%85%AC%E5%9C%92","Wikipedia・関連項目")</x:f>
      </x:c>
      <x:c r="Q142" s="27" t="str">
        <x:v>新規追加。夜間駐車の確実性と昼の展望を両立。</x:v>
      </x:c>
      <x:c r="R142" s="27" t="str">
        <x:v>35km超</x:v>
      </x:c>
      <x:c r="S142" s="27" t="str">
        <x:v>概ね35km超</x:v>
      </x:c>
      <x:c r="T142" s="27" t="str">
        <x:v>通常90分超</x:v>
      </x:c>
      <x:c r="U142" s="27" t="str">
        <x:v>平日夜・深夜</x:v>
      </x:c>
      <x:c r="V142" s="27" t="str">
        <x:v>30〜60分</x:v>
      </x:c>
      <x:c r="W142" s="27" t="n">
        <x:v>1</x:v>
      </x:c>
      <x:c r="X142" s="27" t="n">
        <x:v>1</x:v>
      </x:c>
      <x:c r="Y142" s="27" t="str">
        <x:v>平和の森公園</x:v>
      </x:c>
      <x:c r="Z142" s="27" t="str">
        <x:v>大森ふるさとの浜辺公園／森ケ崎公園</x:v>
      </x:c>
      <x:c r="AA142" s="22" t="str">
        <x:v>なし</x:v>
      </x:c>
      <x:c r="AB142" s="22" t="str">
        <x:v>-</x:v>
      </x:c>
      <x:c r="AC142" s="22" t="str"/>
      <x:c r="AD142" s="22" t="str">
        <x:v>専用・路外駐車を基本</x:v>
      </x:c>
      <x:c r="AE142" s="22" t="str"/>
    </x:row>
    <x:row r="143">
      <x:c r="A143" s="27" t="str">
        <x:v>D218</x:v>
      </x:c>
      <x:c r="B143" s="27" t="str">
        <x:v>県立相模三川公園</x:v>
      </x:c>
      <x:c r="C143" s="27" t="str">
        <x:v>海老名市・上郷</x:v>
      </x:c>
      <x:c r="D143" s="27" t="str">
        <x:v>河川敷・三河川・桜</x:v>
      </x:c>
      <x:c r="E143" s="48" t="e">
        <x:f>HYPERLINK("https://www.google.com/maps/dir/?api=1&amp;destination=%E7%9C%8C%E7%AB%8B%E7%9B%B8%E6%A8%A1%E4%B8%89%E5%B7%9D%E5%85%AC%E5%9C%92&amp;travelmode=driving","現在地からナビ開始")</x:f>
      </x:c>
      <x:c r="F143" s="27" t="str">
        <x:v>相模川、中津川、小鮎川の水系が集まる広い河川景観で、空の広さと丹沢方面の山並みを味わえる。</x:v>
      </x:c>
      <x:c r="G143" s="27" t="str">
        <x:v>あり・公園駐車場</x:v>
      </x:c>
      <x:c r="H143" s="27" t="str">
        <x:v>8:30～17:00</x:v>
      </x:c>
      <x:c r="I143" s="27" t="n">
        <x:v>1</x:v>
      </x:c>
      <x:c r="J143" s="27" t="n">
        <x:v>4</x:v>
      </x:c>
      <x:c r="K143" s="27" t="str">
        <x:v>河川増水・荒天時は閉鎖あり。大型車不可。臨時駐車場は混雑時のみ。</x:v>
      </x:c>
      <x:c r="L143" s="28" t="n">
        <x:v>46232</x:v>
      </x:c>
      <x:c r="M143" s="27" t="str">
        <x:v>一次確認済</x:v>
      </x:c>
      <x:c r="N143" s="27" t="str">
        <x:v>https://www.kanagawa-park.or.jp/sagamisansen/access.html</x:v>
      </x:c>
      <x:c r="O143" s="27" t="str">
        <x:v>県立都市公園として初めて河川区域内に整備された公園で、『三川』は相模川・中津川・小鮎川を指す。</x:v>
      </x:c>
      <x:c r="P143" s="84" t="e">
        <x:f>HYPERLINK("https://ja.wikipedia.org/wiki/Special:Search?search=%E7%9C%8C%E7%AB%8B%E7%9B%B8%E6%A8%A1%E4%B8%89%E5%B7%9D%E5%85%AC%E5%9C%92","Wikipedia・関連項目")</x:f>
      </x:c>
      <x:c r="Q143" s="27" t="str">
        <x:v>新規追加。河川地形と公園制度のStoryを評価。</x:v>
      </x:c>
      <x:c r="R143" s="27" t="str">
        <x:v>35km超</x:v>
      </x:c>
      <x:c r="S143" s="27" t="str">
        <x:v>概ね35km超</x:v>
      </x:c>
      <x:c r="T143" s="27" t="str">
        <x:v>通常90分超</x:v>
      </x:c>
      <x:c r="U143" s="27" t="str">
        <x:v>水辺</x:v>
      </x:c>
      <x:c r="V143" s="27" t="str">
        <x:v>30〜90分</x:v>
      </x:c>
      <x:c r="W143" s="27" t="n">
        <x:v>1</x:v>
      </x:c>
      <x:c r="X143" s="27" t="n">
        <x:v>1</x:v>
      </x:c>
      <x:c r="Y143" s="27" t="str">
        <x:v>多摩川浅間神社</x:v>
      </x:c>
      <x:c r="Z143" s="27" t="str">
        <x:v>多摩川六郷橋緑地／多摩川ガス橋緑地</x:v>
      </x:c>
      <x:c r="AA143" s="22" t="str">
        <x:v>なし</x:v>
      </x:c>
      <x:c r="AB143" s="22" t="str">
        <x:v>-</x:v>
      </x:c>
      <x:c r="AC143" s="22" t="str"/>
      <x:c r="AD143" s="22" t="str">
        <x:v>専用・路外駐車を基本</x:v>
      </x:c>
      <x:c r="AE143" s="22" t="str"/>
    </x:row>
    <x:row r="144">
      <x:c r="A144" s="27" t="str">
        <x:v>D219</x:v>
      </x:c>
      <x:c r="B144" s="27" t="str">
        <x:v>ぼうさいの丘公園</x:v>
      </x:c>
      <x:c r="C144" s="27" t="str">
        <x:v>厚木市・温水</x:v>
      </x:c>
      <x:c r="D144" s="27" t="str">
        <x:v>高台・防災・丹沢展望</x:v>
      </x:c>
      <x:c r="E144" s="48" t="e">
        <x:f>HYPERLINK("https://www.google.com/maps/dir/?api=1&amp;destination=%E3%81%BC%E3%81%86%E3%81%95%E3%81%84%E3%81%AE%E4%B8%98%E5%85%AC%E5%9C%92&amp;travelmode=driving","現在地からナビ開始")</x:f>
      </x:c>
      <x:c r="F144" s="27" t="str">
        <x:v>丹沢・大山を望む高台が、災害時には避難地とヘリポートへ変わる二重機能を持つ。</x:v>
      </x:c>
      <x:c r="G144" s="27" t="str">
        <x:v>あり・350台・無料</x:v>
      </x:c>
      <x:c r="H144" s="27" t="str">
        <x:v>9:00～21:00</x:v>
      </x:c>
      <x:c r="I144" s="27" t="n">
        <x:v>4</x:v>
      </x:c>
      <x:c r="J144" s="27" t="n">
        <x:v>4</x:v>
      </x:c>
      <x:c r="K144" s="27" t="str">
        <x:v>21時閉場。熱中症アラート時は遊具休止あり。災害対応・イベント時は利用制限。</x:v>
      </x:c>
      <x:c r="L144" s="28" t="n">
        <x:v>46232</x:v>
      </x:c>
      <x:c r="M144" s="27" t="str">
        <x:v>一次確認済</x:v>
      </x:c>
      <x:c r="N144" s="27" t="str">
        <x:v>https://www.atsugi-midori.jp/park/bosai/</x:v>
      </x:c>
      <x:c r="O144" s="27" t="str">
        <x:v>約2万人を受け入れる広域避難場所として、生活用水になる流れ、備蓄、防災設備、ヘリポートを備える。</x:v>
      </x:c>
      <x:c r="P144" s="84" t="e">
        <x:f>HYPERLINK("https://ja.wikipedia.org/wiki/Special:Search?search=%E3%81%BC%E3%81%86%E3%81%95%E3%81%84%E3%81%AE%E4%B8%98%E5%85%AC%E5%9C%92","Wikipedia・関連項目")</x:f>
      </x:c>
      <x:c r="Q144" s="27" t="str">
        <x:v>新規追加。夜まで利用できる防災Storyの高台Ending。</x:v>
      </x:c>
      <x:c r="R144" s="27" t="str">
        <x:v>35km超</x:v>
      </x:c>
      <x:c r="S144" s="27" t="str">
        <x:v>概ね35km超</x:v>
      </x:c>
      <x:c r="T144" s="27" t="str">
        <x:v>通常90分超</x:v>
      </x:c>
      <x:c r="U144" s="27" t="str">
        <x:v>平日夜・深夜</x:v>
      </x:c>
      <x:c r="V144" s="27" t="str">
        <x:v>30〜60分</x:v>
      </x:c>
      <x:c r="W144" s="27" t="n">
        <x:v>1</x:v>
      </x:c>
      <x:c r="X144" s="27" t="n">
        <x:v>1</x:v>
      </x:c>
      <x:c r="Y144" s="27" t="str">
        <x:v>羽田空港 第3ターミナル展望デッキ</x:v>
      </x:c>
      <x:c r="Z144" s="27" t="str">
        <x:v>城南島海浜公園／潮風公園</x:v>
      </x:c>
      <x:c r="AA144" s="22" t="str">
        <x:v>なし</x:v>
      </x:c>
      <x:c r="AB144" s="22" t="str">
        <x:v>-</x:v>
      </x:c>
      <x:c r="AC144" s="22" t="str"/>
      <x:c r="AD144" s="22" t="str">
        <x:v>専用・路外駐車を基本</x:v>
      </x:c>
      <x:c r="AE144" s="22" t="str"/>
    </x:row>
    <x:row r="145">
      <x:c r="A145" s="27" t="str">
        <x:v>D220</x:v>
      </x:c>
      <x:c r="B145" s="27" t="str">
        <x:v>F・マリノス 成城石井パーク（大和ゆとりの森）</x:v>
      </x:c>
      <x:c r="C145" s="27" t="str">
        <x:v>大和市・福田</x:v>
      </x:c>
      <x:c r="D145" s="27" t="str">
        <x:v>飛行機・芝生・24時間駐車</x:v>
      </x:c>
      <x:c r="E145" s="48" t="e">
        <x:f>HYPERLINK("https://www.google.com/maps/dir/?api=1&amp;destination=F%E3%83%BB%E3%83%9E%E3%83%AA%E3%83%8E%E3%82%B9%20%E6%88%90%E5%9F%8E%E7%9F%B3%E4%BA%95%E3%83%91%E3%83%BC%E3%82%AF%EF%BC%88%E5%A4%A7%E5%92%8C%E3%82%86%E3%81%A8%E3%82%8A%E3%81%AE%E6%A3%AE%EF%BC%89&amp;travelmode=driving","現在地からナビ開始")</x:f>
      </x:c>
      <x:c r="F145" s="27" t="str">
        <x:v>厚木飛行場の南側で広い空と航空機を感じながら、芝生・遊具・スポーツ施設で休める。</x:v>
      </x:c>
      <x:c r="G145" s="27" t="str">
        <x:v>あり・東198台、南99台、南第2 197台・有料</x:v>
      </x:c>
      <x:c r="H145" s="27" t="str">
        <x:v>駐車場24時間／各施設は個別時間</x:v>
      </x:c>
      <x:c r="I145" s="27" t="n">
        <x:v>5</x:v>
      </x:c>
      <x:c r="J145" s="27" t="n">
        <x:v>3</x:v>
      </x:c>
      <x:c r="K145" s="27" t="str">
        <x:v>航空機運用は日による。夜は園内や周辺道路が暗い区域あり。基地施設の撮影ルールに配慮。</x:v>
      </x:c>
      <x:c r="L145" s="28" t="n">
        <x:v>46232</x:v>
      </x:c>
      <x:c r="M145" s="27" t="str">
        <x:v>一次確認済</x:v>
      </x:c>
      <x:c r="N145" s="27" t="str">
        <x:v>https://www.sakata-greenservice.co.jp/yutori/access/</x:v>
      </x:c>
      <x:c r="O145" s="27" t="str">
        <x:v>2007年開園。厚木飛行場に隣接し、公園名は引地川沿いの広い公共空間として整備された経緯を持つ。</x:v>
      </x:c>
      <x:c r="P145" s="84" t="e">
        <x:f>HYPERLINK("https://ja.wikipedia.org/wiki/Special:Search?search=F%E3%83%BB%E3%83%9E%E3%83%AA%E3%83%8E%E3%82%B9%20%E6%88%90%E5%9F%8E%E7%9F%B3%E4%BA%95%E3%83%91%E3%83%BC%E3%82%AF%EF%BC%88%E5%A4%A7%E5%92%8C%E3%82%86%E3%81%A8%E3%82%8A%E3%81%AE%E6%A3%AE%EF%BC%89","Wikipedia・関連項目")</x:f>
      </x:c>
      <x:c r="Q145" s="27" t="str">
        <x:v>新規追加。綾瀬スポーツ公園とは滑走路の南側・24時間駐車という役割で差別化。</x:v>
      </x:c>
      <x:c r="R145" s="27" t="str">
        <x:v>35km超</x:v>
      </x:c>
      <x:c r="S145" s="27" t="str">
        <x:v>概ね35km超</x:v>
      </x:c>
      <x:c r="T145" s="27" t="str">
        <x:v>通常90分超</x:v>
      </x:c>
      <x:c r="U145" s="27" t="str">
        <x:v>飛行機</x:v>
      </x:c>
      <x:c r="V145" s="27" t="str">
        <x:v>30〜60分</x:v>
      </x:c>
      <x:c r="W145" s="27" t="n">
        <x:v>2</x:v>
      </x:c>
      <x:c r="X145" s="27" t="n">
        <x:v>4</x:v>
      </x:c>
      <x:c r="Y145" s="27" t="str">
        <x:v>城南島海浜公園</x:v>
      </x:c>
      <x:c r="Z145" s="27" t="str">
        <x:v>京浜島つばさ公園／羽田空港 第3ターミナル展望デッキ</x:v>
      </x:c>
      <x:c r="AA145" s="22" t="str">
        <x:v>なし</x:v>
      </x:c>
      <x:c r="AB145" s="22" t="str">
        <x:v>-</x:v>
      </x:c>
      <x:c r="AC145" s="22" t="str"/>
      <x:c r="AD145" s="22" t="str">
        <x:v>専用・路外駐車を基本</x:v>
      </x:c>
      <x:c r="AE145" s="22" t="str"/>
    </x:row>
    <x:row r="146">
      <x:c r="A146" s="27" t="str">
        <x:v>D223</x:v>
      </x:c>
      <x:c r="B146" s="27" t="str">
        <x:v>こどもの国</x:v>
      </x:c>
      <x:c r="C146" s="27" t="str">
        <x:v>横浜市青葉区</x:v>
      </x:c>
      <x:c r="D146" s="27" t="str">
        <x:v>丘陵・牧場・遊具</x:v>
      </x:c>
      <x:c r="E146" s="48" t="e">
        <x:f>HYPERLINK("https://www.google.com/maps/dir/?api=1&amp;destination=%E3%81%93%E3%81%A9%E3%82%82%E3%81%AE%E5%9B%BD&amp;travelmode=driving","現在地からナビ開始")</x:f>
      </x:c>
      <x:c r="F146" s="27" t="str">
        <x:v>多摩丘陵の起伏、牧場、湖、森林鉄道跡を一日かけて巡れ、家族向けでも地形と歴史のStoryがある。</x:v>
      </x:c>
      <x:c r="G146" s="27" t="str">
        <x:v>あり・正面820台・有料</x:v>
      </x:c>
      <x:c r="H146" s="27" t="str">
        <x:v>9:30～16:30／正面駐車場8:30～、最終入場15:20（夏15:50）</x:v>
      </x:c>
      <x:c r="I146" s="27" t="n">
        <x:v>1</x:v>
      </x:c>
      <x:c r="J146" s="27" t="n">
        <x:v>1</x:v>
      </x:c>
      <x:c r="K146" s="27" t="str">
        <x:v>休日は周辺道路が大混雑。入場締切が早い。牧場口駐車場の開場日は当日確認。</x:v>
      </x:c>
      <x:c r="L146" s="28" t="n">
        <x:v>46232</x:v>
      </x:c>
      <x:c r="M146" s="27" t="str">
        <x:v>一次確認済</x:v>
      </x:c>
      <x:c r="N146" s="27" t="str">
        <x:v>https://www.kodomonokuni.org/access/</x:v>
      </x:c>
      <x:c r="O146" s="27" t="str">
        <x:v>戦前の旧陸軍弾薬庫跡地を、戦後に子どものための自然公園として整備した経緯を持つ。</x:v>
      </x:c>
      <x:c r="P146" s="84" t="e">
        <x:f>HYPERLINK("https://ja.wikipedia.org/wiki/Special:Search?search=%E3%81%93%E3%81%A9%E3%82%82%E3%81%AE%E5%9B%BD","Wikipedia・関連項目")</x:f>
      </x:c>
      <x:c r="Q146" s="27" t="str">
        <x:v>新規追加。遊具だけでなく戦争遺構から平和利用への転換をStory化。</x:v>
      </x:c>
      <x:c r="R146" s="27" t="str">
        <x:v>35km超</x:v>
      </x:c>
      <x:c r="S146" s="27" t="str">
        <x:v>概ね35km超</x:v>
      </x:c>
      <x:c r="T146" s="27" t="str">
        <x:v>通常90分超</x:v>
      </x:c>
      <x:c r="U146" s="27" t="str">
        <x:v>休日半日</x:v>
      </x:c>
      <x:c r="V146" s="27" t="str">
        <x:v>30〜60分</x:v>
      </x:c>
      <x:c r="W146" s="27" t="n">
        <x:v>2</x:v>
      </x:c>
      <x:c r="X146" s="27" t="n">
        <x:v>1</x:v>
      </x:c>
      <x:c r="Y146" s="27" t="str">
        <x:v>羽田空港 第3ターミナル展望デッキ</x:v>
      </x:c>
      <x:c r="Z146" s="27" t="str">
        <x:v>城南島海浜公園／潮風公園</x:v>
      </x:c>
      <x:c r="AA146" s="22" t="str">
        <x:v>なし</x:v>
      </x:c>
      <x:c r="AB146" s="22" t="str">
        <x:v>-</x:v>
      </x:c>
      <x:c r="AC146" s="22" t="str"/>
      <x:c r="AD146" s="22" t="str">
        <x:v>専用・路外駐車を基本</x:v>
      </x:c>
      <x:c r="AE146" s="22" t="str"/>
    </x:row>
    <x:row r="147">
      <x:c r="A147" s="27" t="str">
        <x:v>D224</x:v>
      </x:c>
      <x:c r="B147" s="27" t="str">
        <x:v>こども自然公園</x:v>
      </x:c>
      <x:c r="C147" s="27" t="str">
        <x:v>横浜市旭区</x:v>
      </x:c>
      <x:c r="D147" s="27" t="str">
        <x:v>大池・雑木林・動物園</x:v>
      </x:c>
      <x:c r="E147" s="48" t="e">
        <x:f>HYPERLINK("https://www.google.com/maps/dir/?api=1&amp;destination=%E3%81%93%E3%81%A9%E3%82%82%E8%87%AA%E7%84%B6%E5%85%AC%E5%9C%92&amp;travelmode=driving","現在地からナビ開始")</x:f>
      </x:c>
      <x:c r="F147" s="27" t="str">
        <x:v>大池を中心に谷戸・雑木林・ちびっこ動物園が広がり、横浜西部で自然密度の高い昼Endingになる。</x:v>
      </x:c>
      <x:c r="G147" s="27" t="str">
        <x:v>あり・第一／第二駐車場・有料</x:v>
      </x:c>
      <x:c r="H147" s="27" t="str">
        <x:v>公園常時／駐車場は各運営ページの当日時間確認</x:v>
      </x:c>
      <x:c r="I147" s="27" t="n">
        <x:v>2</x:v>
      </x:c>
      <x:c r="J147" s="27" t="n">
        <x:v>2</x:v>
      </x:c>
      <x:c r="K147" s="27" t="str">
        <x:v>桜期・休日は満車。駐車場閉場時間を現地掲示で確認し、公園周辺で路上待機しない。</x:v>
      </x:c>
      <x:c r="L147" s="28" t="n">
        <x:v>46232</x:v>
      </x:c>
      <x:c r="M147" s="27" t="str">
        <x:v>当日再確認</x:v>
      </x:c>
      <x:c r="N147" s="27" t="str">
        <x:v>https://www.city.yokohama.lg.jp/kurashi/machizukuri-kankyo/midori-koen/koen/koen/daihyoteki/ko-sizen.html</x:v>
      </x:c>
      <x:c r="O147" s="27" t="str">
        <x:v>通称『大池公園』。横浜の谷戸地形を残す大規模公園で、池・丘陵・動物園が一体になっている。</x:v>
      </x:c>
      <x:c r="P147" s="84" t="e">
        <x:f>HYPERLINK("https://ja.wikipedia.org/wiki/Special:Search?search=%E3%81%93%E3%81%A9%E3%82%82%E8%87%AA%E7%84%B6%E5%85%AC%E5%9C%92","Wikipedia・関連項目")</x:f>
      </x:c>
      <x:c r="Q147" s="27" t="str">
        <x:v>新規追加。横浜郊外の谷戸Storyとして採用。</x:v>
      </x:c>
      <x:c r="R147" s="27" t="str">
        <x:v>35km超</x:v>
      </x:c>
      <x:c r="S147" s="27" t="str">
        <x:v>概ね35km超</x:v>
      </x:c>
      <x:c r="T147" s="27" t="str">
        <x:v>通常90分超</x:v>
      </x:c>
      <x:c r="U147" s="27" t="str">
        <x:v>水辺</x:v>
      </x:c>
      <x:c r="V147" s="27" t="str">
        <x:v>60〜150分</x:v>
      </x:c>
      <x:c r="W147" s="27" t="n">
        <x:v>2</x:v>
      </x:c>
      <x:c r="X147" s="27" t="n">
        <x:v>1</x:v>
      </x:c>
      <x:c r="Y147" s="27" t="str">
        <x:v>多摩川浅間神社</x:v>
      </x:c>
      <x:c r="Z147" s="27" t="str">
        <x:v>多摩川六郷橋緑地／多摩川ガス橋緑地</x:v>
      </x:c>
      <x:c r="AA147" s="22" t="str">
        <x:v>なし</x:v>
      </x:c>
      <x:c r="AB147" s="22" t="str">
        <x:v>-</x:v>
      </x:c>
      <x:c r="AC147" s="22" t="str"/>
      <x:c r="AD147" s="22" t="str">
        <x:v>専用・路外駐車を基本</x:v>
      </x:c>
      <x:c r="AE147" s="22" t="str"/>
    </x:row>
    <x:row r="148">
      <x:c r="A148" s="27" t="str">
        <x:v>D225</x:v>
      </x:c>
      <x:c r="B148" s="27" t="str">
        <x:v>吾妻山公園</x:v>
      </x:c>
      <x:c r="C148" s="27" t="str">
        <x:v>神奈川県二宮町</x:v>
      </x:c>
      <x:c r="D148" s="27" t="str">
        <x:v>高台・富士山・相模湾</x:v>
      </x:c>
      <x:c r="E148" s="48" t="e">
        <x:f>HYPERLINK("https://www.google.com/maps/dir/?api=1&amp;destination=%E5%90%BE%E5%A6%BB%E5%B1%B1%E5%85%AC%E5%9C%92&amp;travelmode=driving","現在地からナビ開始")</x:f>
      </x:c>
      <x:c r="F148" s="27" t="str">
        <x:v>標高136mの山頂から富士山、相模湾、箱根を一望でき、徒歩登頂を含めて明確な到達感がある。</x:v>
      </x:c>
      <x:c r="G148" s="27" t="str">
        <x:v>専用なし／町営・周辺駐車場利用</x:v>
      </x:c>
      <x:c r="H148" s="27" t="str">
        <x:v>8:30～17:00</x:v>
      </x:c>
      <x:c r="I148" s="27" t="n">
        <x:v>1</x:v>
      </x:c>
      <x:c r="J148" s="27" t="n">
        <x:v>3</x:v>
      </x:c>
      <x:c r="K148" s="27" t="str">
        <x:v>山頂まで階段・山道を約20分。花期は臨時駐車場も混雑。公園内への車両進入禁止。</x:v>
      </x:c>
      <x:c r="L148" s="28" t="n">
        <x:v>46232</x:v>
      </x:c>
      <x:c r="M148" s="27" t="str">
        <x:v>一次確認済</x:v>
      </x:c>
      <x:c r="N148" s="27" t="str">
        <x:v>https://www.town.ninomiya.kanagawa.jp/0000001277.html</x:v>
      </x:c>
      <x:c r="O148" s="27" t="str">
        <x:v>『関東の富士見百景』に選ばれ、菜の花と富士山を同時に望む冬の景観で知られる。</x:v>
      </x:c>
      <x:c r="P148" s="84" t="e">
        <x:f>HYPERLINK("https://ja.wikipedia.org/wiki/Special:Search?search=%E5%90%BE%E5%A6%BB%E5%B1%B1%E5%85%AC%E5%9C%92","Wikipedia・関連項目")</x:f>
      </x:c>
      <x:c r="Q148" s="27" t="str">
        <x:v>新規追加。駐車後の徒歩を含む高台型最終目的地。</x:v>
      </x:c>
      <x:c r="R148" s="27" t="str">
        <x:v>35km超</x:v>
      </x:c>
      <x:c r="S148" s="27" t="str">
        <x:v>概ね35km超</x:v>
      </x:c>
      <x:c r="T148" s="27" t="str">
        <x:v>通常90分超</x:v>
      </x:c>
      <x:c r="U148" s="27" t="str">
        <x:v>休日半日</x:v>
      </x:c>
      <x:c r="V148" s="27" t="str">
        <x:v>30〜60分</x:v>
      </x:c>
      <x:c r="W148" s="27" t="n">
        <x:v>1</x:v>
      </x:c>
      <x:c r="X148" s="27" t="n">
        <x:v>1</x:v>
      </x:c>
      <x:c r="Y148" s="27" t="str">
        <x:v>羽田空港 第3ターミナル展望デッキ</x:v>
      </x:c>
      <x:c r="Z148" s="27" t="str">
        <x:v>城南島海浜公園／潮風公園</x:v>
      </x:c>
      <x:c r="AA148" s="22" t="str">
        <x:v>なし</x:v>
      </x:c>
      <x:c r="AB148" s="22" t="str">
        <x:v>-</x:v>
      </x:c>
      <x:c r="AC148" s="22" t="str"/>
      <x:c r="AD148" s="22" t="str">
        <x:v>専用・路外駐車を基本</x:v>
      </x:c>
      <x:c r="AE148" s="22" t="str"/>
    </x:row>
    <x:row r="149">
      <x:c r="A149" s="27" t="str">
        <x:v>D226</x:v>
      </x:c>
      <x:c r="B149" s="27" t="str">
        <x:v>西平畑公園</x:v>
      </x:c>
      <x:c r="C149" s="27" t="str">
        <x:v>神奈川県松田町</x:v>
      </x:c>
      <x:c r="D149" s="27" t="str">
        <x:v>高台・富士山・鉄道Story</x:v>
      </x:c>
      <x:c r="E149" s="48" t="e">
        <x:f>HYPERLINK("https://www.google.com/maps/dir/?api=1&amp;destination=%E8%A5%BF%E5%B9%B3%E7%95%91%E5%85%AC%E5%9C%92&amp;travelmode=driving","現在地からナビ開始")</x:f>
      </x:c>
      <x:c r="F149" s="27" t="str">
        <x:v>松田山から足柄平野、富士山、相模湾方向を望み、ミニ鉄道とハーブ園で物語性を足せる。</x:v>
      </x:c>
      <x:c r="G149" s="27" t="str">
        <x:v>あり・70台・有料</x:v>
      </x:c>
      <x:c r="H149" s="27" t="str">
        <x:v>水～日・祝 9:00～17:00／冬季一部施設16:00</x:v>
      </x:c>
      <x:c r="I149" s="27" t="n">
        <x:v>1</x:v>
      </x:c>
      <x:c r="J149" s="27" t="n">
        <x:v>3</x:v>
      </x:c>
      <x:c r="K149" s="27" t="str">
        <x:v>月・火休園を基本。桜まつり等は料金・交通規制変更。急坂路と閉場時刻に注意。</x:v>
      </x:c>
      <x:c r="L149" s="28" t="n">
        <x:v>46232</x:v>
      </x:c>
      <x:c r="M149" s="27" t="str">
        <x:v>一次確認済</x:v>
      </x:c>
      <x:c r="N149" s="27" t="str">
        <x:v>https://town.matsuda.kanagawa.jp/site/kankou-sub/nishihira-park.html</x:v>
      </x:c>
      <x:c r="O149" s="27" t="str">
        <x:v>旧松田山ハーブガーデンを中心に、ふるさと鉄道や河津桜を組み合わせた山腹公園。</x:v>
      </x:c>
      <x:c r="P149" s="84" t="e">
        <x:f>HYPERLINK("https://ja.wikipedia.org/wiki/Special:Search?search=%E8%A5%BF%E5%B9%B3%E7%95%91%E5%85%AC%E5%9C%92","Wikipedia・関連項目")</x:f>
      </x:c>
      <x:c r="Q149" s="27" t="str">
        <x:v>新規追加。吾妻山とは違う『車で上がる足柄高台』。</x:v>
      </x:c>
      <x:c r="R149" s="27" t="str">
        <x:v>35km超</x:v>
      </x:c>
      <x:c r="S149" s="27" t="str">
        <x:v>概ね35km超</x:v>
      </x:c>
      <x:c r="T149" s="27" t="str">
        <x:v>通常90分超</x:v>
      </x:c>
      <x:c r="U149" s="27" t="str">
        <x:v>Story</x:v>
      </x:c>
      <x:c r="V149" s="27" t="str">
        <x:v>30〜60分</x:v>
      </x:c>
      <x:c r="W149" s="27" t="n">
        <x:v>1</x:v>
      </x:c>
      <x:c r="X149" s="27" t="n">
        <x:v>1</x:v>
      </x:c>
      <x:c r="Y149" s="27" t="str">
        <x:v>羽田空港 第3ターミナル展望デッキ</x:v>
      </x:c>
      <x:c r="Z149" s="27" t="str">
        <x:v>城南島海浜公園／潮風公園</x:v>
      </x:c>
      <x:c r="AA149" s="22" t="str">
        <x:v>なし</x:v>
      </x:c>
      <x:c r="AB149" s="22" t="str">
        <x:v>-</x:v>
      </x:c>
      <x:c r="AC149" s="22" t="str"/>
      <x:c r="AD149" s="22" t="str">
        <x:v>専用・路外駐車を基本</x:v>
      </x:c>
      <x:c r="AE149" s="22" t="str"/>
    </x:row>
    <x:row r="150">
      <x:c r="A150" s="27" t="str">
        <x:v>D227</x:v>
      </x:c>
      <x:c r="B150" s="27" t="str">
        <x:v>弘法山公園</x:v>
      </x:c>
      <x:c r="C150" s="27" t="str">
        <x:v>神奈川県秦野市</x:v>
      </x:c>
      <x:c r="D150" s="27" t="str">
        <x:v>展望・山稜・富士山</x:v>
      </x:c>
      <x:c r="E150" s="48" t="e">
        <x:f>HYPERLINK("https://www.google.com/maps/dir/?api=1&amp;destination=%E5%BC%98%E6%B3%95%E5%B1%B1%E5%85%AC%E5%9C%92&amp;travelmode=driving","現在地からナビ開始")</x:f>
      </x:c>
      <x:c r="F150" s="27" t="str">
        <x:v>秦野盆地を眼下に、富士山、丹沢、相模湾まで見渡せる360度展望で、短い山歩きのEndingになる。</x:v>
      </x:c>
      <x:c r="G150" s="27" t="str">
        <x:v>あり・約25台・無料</x:v>
      </x:c>
      <x:c r="H150" s="27" t="str">
        <x:v>公園常時／駐車場・山道状況は当日確認</x:v>
      </x:c>
      <x:c r="I150" s="27" t="n">
        <x:v>2</x:v>
      </x:c>
      <x:c r="J150" s="27" t="n">
        <x:v>3</x:v>
      </x:c>
      <x:c r="K150" s="27" t="str">
        <x:v>桜期は混雑。駐車場から展望台まで徒歩・坂道あり。夜間は照明が乏しく不向き。</x:v>
      </x:c>
      <x:c r="L150" s="28" t="n">
        <x:v>46232</x:v>
      </x:c>
      <x:c r="M150" s="27" t="str">
        <x:v>一次確認済</x:v>
      </x:c>
      <x:c r="N150" s="27" t="str">
        <x:v>https://www.city.hadano.kanagawa.jp/kanko/tozan-hiking/2452.html</x:v>
      </x:c>
      <x:c r="O150" s="27" t="str">
        <x:v>権現山山頂は『千畳敷』とも呼ばれ、昭和期から神奈川の代表的展望地として整備されてきた。</x:v>
      </x:c>
      <x:c r="P150" s="84" t="e">
        <x:f>HYPERLINK("https://ja.wikipedia.org/wiki/Special:Search?search=%E5%BC%98%E6%B3%95%E5%B1%B1%E5%85%AC%E5%9C%92","Wikipedia・関連項目")</x:f>
      </x:c>
      <x:c r="Q150" s="27" t="str">
        <x:v>新規追加。秦野盆地を読む地形型Ending。</x:v>
      </x:c>
      <x:c r="R150" s="27" t="str">
        <x:v>35km超</x:v>
      </x:c>
      <x:c r="S150" s="27" t="str">
        <x:v>概ね35km超</x:v>
      </x:c>
      <x:c r="T150" s="27" t="str">
        <x:v>通常90分超</x:v>
      </x:c>
      <x:c r="U150" s="27" t="str">
        <x:v>休日半日</x:v>
      </x:c>
      <x:c r="V150" s="27" t="str">
        <x:v>30〜60分</x:v>
      </x:c>
      <x:c r="W150" s="27" t="n">
        <x:v>2</x:v>
      </x:c>
      <x:c r="X150" s="27" t="n">
        <x:v>1</x:v>
      </x:c>
      <x:c r="Y150" s="27" t="str">
        <x:v>羽田空港 第3ターミナル展望デッキ</x:v>
      </x:c>
      <x:c r="Z150" s="27" t="str">
        <x:v>城南島海浜公園／潮風公園</x:v>
      </x:c>
      <x:c r="AA150" s="22" t="str">
        <x:v>なし</x:v>
      </x:c>
      <x:c r="AB150" s="22" t="str">
        <x:v>-</x:v>
      </x:c>
      <x:c r="AC150" s="22" t="str"/>
      <x:c r="AD150" s="22" t="str">
        <x:v>専用・路外駐車を基本</x:v>
      </x:c>
      <x:c r="AE150" s="22" t="str"/>
    </x:row>
    <x:row r="151">
      <x:c r="A151" s="27" t="str">
        <x:v>D228</x:v>
      </x:c>
      <x:c r="B151" s="27" t="str">
        <x:v>彩の森入間公園</x:v>
      </x:c>
      <x:c r="C151" s="27" t="str">
        <x:v>埼玉県入間市</x:v>
      </x:c>
      <x:c r="D151" s="27" t="str">
        <x:v>池・防災・旧軍用地</x:v>
      </x:c>
      <x:c r="E151" s="48" t="e">
        <x:f>HYPERLINK("https://www.google.com/maps/dir/?api=1&amp;destination=%E5%BD%A9%E3%81%AE%E6%A3%AE%E5%85%A5%E9%96%93%E5%85%AC%E5%9C%92&amp;travelmode=driving","現在地からナビ開始")</x:f>
      </x:c>
      <x:c r="F151" s="27" t="str">
        <x:v>二つの池と噴水、芝生、防災設備がまとまり、入間市街で空を広く感じる回復系Ending。</x:v>
      </x:c>
      <x:c r="G151" s="27" t="str">
        <x:v>あり・無料</x:v>
      </x:c>
      <x:c r="H151" s="27" t="str">
        <x:v>駐車場6:00～19:00</x:v>
      </x:c>
      <x:c r="I151" s="27" t="n">
        <x:v>2</x:v>
      </x:c>
      <x:c r="J151" s="27" t="n">
        <x:v>3</x:v>
      </x:c>
      <x:c r="K151" s="27" t="str">
        <x:v>19時閉場。入間基地航空祭などの開催日は交通規制・駐車条件変更。犬連れルールに注意。</x:v>
      </x:c>
      <x:c r="L151" s="28" t="n">
        <x:v>46232</x:v>
      </x:c>
      <x:c r="M151" s="27" t="str">
        <x:v>一次確認済</x:v>
      </x:c>
      <x:c r="N151" s="27" t="str">
        <x:v>https://www.seibu-green.co.jp/sainomori/facility.html</x:v>
      </x:c>
      <x:c r="O151" s="27" t="str">
        <x:v>米軍ジョンソン基地返還地周辺の都市整備と、防災活動拠点の役割を併せ持つ県営公園。</x:v>
      </x:c>
      <x:c r="P151" s="84" t="e">
        <x:f>HYPERLINK("https://ja.wikipedia.org/wiki/Special:Search?search=%E5%BD%A9%E3%81%AE%E6%A3%AE%E5%85%A5%E9%96%93%E5%85%AC%E5%9C%92","Wikipedia・関連項目")</x:f>
      </x:c>
      <x:c r="Q151" s="27" t="str">
        <x:v>新規追加。公園景観と基地返還史、防災Storyを統合。</x:v>
      </x:c>
      <x:c r="R151" s="27" t="str">
        <x:v>35km超</x:v>
      </x:c>
      <x:c r="S151" s="27" t="str">
        <x:v>概ね35km超</x:v>
      </x:c>
      <x:c r="T151" s="27" t="str">
        <x:v>通常90分超</x:v>
      </x:c>
      <x:c r="U151" s="27" t="str">
        <x:v>水辺</x:v>
      </x:c>
      <x:c r="V151" s="27" t="str">
        <x:v>30〜60分</x:v>
      </x:c>
      <x:c r="W151" s="27" t="n">
        <x:v>2</x:v>
      </x:c>
      <x:c r="X151" s="27" t="n">
        <x:v>1</x:v>
      </x:c>
      <x:c r="Y151" s="27" t="str">
        <x:v>多摩川浅間神社</x:v>
      </x:c>
      <x:c r="Z151" s="27" t="str">
        <x:v>多摩川六郷橋緑地／多摩川ガス橋緑地</x:v>
      </x:c>
      <x:c r="AA151" s="22" t="str">
        <x:v>なし</x:v>
      </x:c>
      <x:c r="AB151" s="22" t="str">
        <x:v>-</x:v>
      </x:c>
      <x:c r="AC151" s="22" t="str"/>
      <x:c r="AD151" s="22" t="str">
        <x:v>専用・路外駐車を基本</x:v>
      </x:c>
      <x:c r="AE151" s="22" t="str"/>
    </x:row>
    <x:row r="152">
      <x:c r="A152" s="27" t="str">
        <x:v>D229</x:v>
      </x:c>
      <x:c r="B152" s="27" t="str">
        <x:v>狭山稲荷山公園</x:v>
      </x:c>
      <x:c r="C152" s="27" t="str">
        <x:v>埼玉県狭山市</x:v>
      </x:c>
      <x:c r="D152" s="27" t="str">
        <x:v>芝生・桜・飛行場跡</x:v>
      </x:c>
      <x:c r="E152" s="48" t="e">
        <x:f>HYPERLINK("https://www.google.com/maps/dir/?api=1&amp;destination=%E7%8B%AD%E5%B1%B1%E7%A8%B2%E8%8D%B7%E5%B1%B1%E5%85%AC%E5%9C%92&amp;travelmode=driving","現在地からナビ開始")</x:f>
      </x:c>
      <x:c r="F152" s="27" t="str">
        <x:v>広大な芝生と桜並木があり、入間基地に近い空の広さと旧飛行場の歴史を感じられる。</x:v>
      </x:c>
      <x:c r="G152" s="27" t="str">
        <x:v>あり・101台・無料</x:v>
      </x:c>
      <x:c r="H152" s="27" t="str">
        <x:v>駐車場8:30～19:30</x:v>
      </x:c>
      <x:c r="I152" s="27" t="n">
        <x:v>2</x:v>
      </x:c>
      <x:c r="J152" s="27" t="n">
        <x:v>3</x:v>
      </x:c>
      <x:c r="K152" s="27" t="str">
        <x:v>季節により冬季閉場が早まる可能性があるため現地掲示優先。航空祭日は周辺大混雑。</x:v>
      </x:c>
      <x:c r="L152" s="28" t="n">
        <x:v>46232</x:v>
      </x:c>
      <x:c r="M152" s="27" t="str">
        <x:v>一次確認済</x:v>
      </x:c>
      <x:c r="N152" s="27" t="str">
        <x:v>https://www.seibu-green.co.jp/inariyama/facility.html</x:v>
      </x:c>
      <x:c r="O152" s="27" t="str">
        <x:v>米軍ジョンソン飛行場内にあった公園が返還され、県営公園として整備された。</x:v>
      </x:c>
      <x:c r="P152" s="84" t="e">
        <x:f>HYPERLINK("https://ja.wikipedia.org/wiki/Special:Search?search=%E7%8B%AD%E5%B1%B1%E7%A8%B2%E8%8D%B7%E5%B1%B1%E5%85%AC%E5%9C%92","Wikipedia・関連項目")</x:f>
      </x:c>
      <x:c r="Q152" s="27" t="str">
        <x:v>新規追加。彩の森と組み合わせると基地返還地の異なる再利用を比較できる。</x:v>
      </x:c>
      <x:c r="R152" s="27" t="str">
        <x:v>35km超</x:v>
      </x:c>
      <x:c r="S152" s="27" t="str">
        <x:v>概ね35km超</x:v>
      </x:c>
      <x:c r="T152" s="27" t="str">
        <x:v>通常90分超</x:v>
      </x:c>
      <x:c r="U152" s="27" t="str">
        <x:v>休日半日</x:v>
      </x:c>
      <x:c r="V152" s="27" t="str">
        <x:v>30〜60分</x:v>
      </x:c>
      <x:c r="W152" s="27" t="n">
        <x:v>2</x:v>
      </x:c>
      <x:c r="X152" s="27" t="n">
        <x:v>1</x:v>
      </x:c>
      <x:c r="Y152" s="27" t="str">
        <x:v>羽田空港 第3ターミナル展望デッキ</x:v>
      </x:c>
      <x:c r="Z152" s="27" t="str">
        <x:v>城南島海浜公園／潮風公園</x:v>
      </x:c>
      <x:c r="AA152" s="22" t="str">
        <x:v>なし</x:v>
      </x:c>
      <x:c r="AB152" s="22" t="str">
        <x:v>-</x:v>
      </x:c>
      <x:c r="AC152" s="22" t="str"/>
      <x:c r="AD152" s="22" t="str">
        <x:v>専用・路外駐車を基本</x:v>
      </x:c>
      <x:c r="AE152" s="22" t="str"/>
    </x:row>
    <x:row r="153">
      <x:c r="A153" s="27" t="str">
        <x:v>D230</x:v>
      </x:c>
      <x:c r="B153" s="27" t="str">
        <x:v>智光山公園</x:v>
      </x:c>
      <x:c r="C153" s="27" t="str">
        <x:v>埼玉県狭山市</x:v>
      </x:c>
      <x:c r="D153" s="27" t="str">
        <x:v>池・動物園・植物園</x:v>
      </x:c>
      <x:c r="E153" s="48" t="e">
        <x:f>HYPERLINK("https://www.google.com/maps/dir/?api=1&amp;destination=%E6%99%BA%E5%85%89%E5%B1%B1%E5%85%AC%E5%9C%92&amp;travelmode=driving","現在地からナビ開始")</x:f>
      </x:c>
      <x:c r="F153" s="27" t="str">
        <x:v>池、植物園、動物園、森林が一つの大規模公園に集まり、季節や滞在時間で目的を変えられる。</x:v>
      </x:c>
      <x:c r="G153" s="27" t="str">
        <x:v>あり・複数駐車場・無料</x:v>
      </x:c>
      <x:c r="H153" s="27" t="str">
        <x:v>公園常時／主要駐車場7:00～19:00または8:30～22:00</x:v>
      </x:c>
      <x:c r="I153" s="27" t="n">
        <x:v>3</x:v>
      </x:c>
      <x:c r="J153" s="27" t="n">
        <x:v>2</x:v>
      </x:c>
      <x:c r="K153" s="27" t="str">
        <x:v>目的施設により駐車場と閉場時間が異なる。動物園は16:30、最終入園16:00。</x:v>
      </x:c>
      <x:c r="L153" s="28" t="n">
        <x:v>46232</x:v>
      </x:c>
      <x:c r="M153" s="27" t="str">
        <x:v>一次確認済</x:v>
      </x:c>
      <x:c r="N153" s="27" t="str">
        <x:v>https://www.parks.or.jp/chikozan/guide/000/000817.html</x:v>
      </x:c>
      <x:c r="O153" s="27" t="str">
        <x:v>狭山市の総合公園として、都市緑化植物園・こども動物園・釣り池・スポーツ施設を段階的に整備した。</x:v>
      </x:c>
      <x:c r="P153" s="84" t="e">
        <x:f>HYPERLINK("https://ja.wikipedia.org/wiki/Special:Search?search=%E6%99%BA%E5%85%89%E5%B1%B1%E5%85%AC%E5%9C%92","Wikipedia・関連項目")</x:f>
      </x:c>
      <x:c r="Q153" s="27" t="str">
        <x:v>新規追加。22時まで使える駐車区画がある西側大型公園。</x:v>
      </x:c>
      <x:c r="R153" s="27" t="str">
        <x:v>35km超</x:v>
      </x:c>
      <x:c r="S153" s="27" t="str">
        <x:v>概ね35km超</x:v>
      </x:c>
      <x:c r="T153" s="27" t="str">
        <x:v>通常90分超</x:v>
      </x:c>
      <x:c r="U153" s="27" t="str">
        <x:v>水辺</x:v>
      </x:c>
      <x:c r="V153" s="27" t="str">
        <x:v>60〜150分</x:v>
      </x:c>
      <x:c r="W153" s="27" t="n">
        <x:v>2</x:v>
      </x:c>
      <x:c r="X153" s="27" t="n">
        <x:v>1</x:v>
      </x:c>
      <x:c r="Y153" s="27" t="str">
        <x:v>多摩川浅間神社</x:v>
      </x:c>
      <x:c r="Z153" s="27" t="str">
        <x:v>多摩川六郷橋緑地／多摩川ガス橋緑地</x:v>
      </x:c>
      <x:c r="AA153" s="22" t="str">
        <x:v>なし</x:v>
      </x:c>
      <x:c r="AB153" s="22" t="str">
        <x:v>-</x:v>
      </x:c>
      <x:c r="AC153" s="22" t="str"/>
      <x:c r="AD153" s="22" t="str">
        <x:v>専用・路外駐車を基本</x:v>
      </x:c>
      <x:c r="AE153" s="22" t="str"/>
    </x:row>
    <x:row r="154">
      <x:c r="A154" s="27" t="str">
        <x:v>D232</x:v>
      </x:c>
      <x:c r="B154" s="27" t="str">
        <x:v>武蔵国分寺公園</x:v>
      </x:c>
      <x:c r="C154" s="27" t="str">
        <x:v>東京都国分寺市</x:v>
      </x:c>
      <x:c r="D154" s="27" t="str">
        <x:v>歴史・鉄道学園跡・24時間駐車</x:v>
      </x:c>
      <x:c r="E154" s="48" t="e">
        <x:f>HYPERLINK("https://www.google.com/maps/dir/?api=1&amp;destination=%E6%AD%A6%E8%94%B5%E5%9B%BD%E5%88%86%E5%AF%BA%E5%85%AC%E5%9C%92&amp;travelmode=driving","現在地からナビ開始")</x:f>
      </x:c>
      <x:c r="F154" s="27" t="str">
        <x:v>芝生と円形広場の地下・周辺に古代国分寺と鉄道学園の記憶が重なる、夜間も使えるStory公園。</x:v>
      </x:c>
      <x:c r="G154" s="27" t="str">
        <x:v>あり・有料</x:v>
      </x:c>
      <x:c r="H154" s="27" t="str">
        <x:v>駐車場24時間</x:v>
      </x:c>
      <x:c r="I154" s="27" t="n">
        <x:v>4</x:v>
      </x:c>
      <x:c r="J154" s="27" t="n">
        <x:v>3</x:v>
      </x:c>
      <x:c r="K154" s="27" t="str">
        <x:v>駐車台数が多くない。住宅地に近いため夜間は静粛にし、史跡区域への車両進入禁止。</x:v>
      </x:c>
      <x:c r="L154" s="28" t="n">
        <x:v>46232</x:v>
      </x:c>
      <x:c r="M154" s="27" t="str">
        <x:v>一次確認済</x:v>
      </x:c>
      <x:c r="N154" s="27" t="str">
        <x:v>https://www.tokyo-park.or.jp/park/musashikokubunji/index.html</x:v>
      </x:c>
      <x:c r="O154" s="27" t="str">
        <x:v>旧国鉄中央鉄道学園跡地を公園化し、近隣には奈良時代の武蔵国分寺跡が残る。</x:v>
      </x:c>
      <x:c r="P154" s="84" t="e">
        <x:f>HYPERLINK("https://ja.wikipedia.org/wiki/Special:Search?search=%E6%AD%A6%E8%94%B5%E5%9B%BD%E5%88%86%E5%AF%BA%E5%85%AC%E5%9C%92","Wikipedia・関連項目")</x:f>
      </x:c>
      <x:c r="Q154" s="27" t="str">
        <x:v>新規追加。古代史と鉄道教育史を重ねる夜間対応地点。</x:v>
      </x:c>
      <x:c r="R154" s="27" t="str">
        <x:v>35km超</x:v>
      </x:c>
      <x:c r="S154" s="27" t="str">
        <x:v>概ね35km超</x:v>
      </x:c>
      <x:c r="T154" s="27" t="str">
        <x:v>通常90分超</x:v>
      </x:c>
      <x:c r="U154" s="27" t="str">
        <x:v>Story</x:v>
      </x:c>
      <x:c r="V154" s="27" t="str">
        <x:v>30〜60分</x:v>
      </x:c>
      <x:c r="W154" s="27" t="n">
        <x:v>2</x:v>
      </x:c>
      <x:c r="X154" s="27" t="n">
        <x:v>1</x:v>
      </x:c>
      <x:c r="Y154" s="27" t="str">
        <x:v>羽田空港 第3ターミナル展望デッキ</x:v>
      </x:c>
      <x:c r="Z154" s="27" t="str">
        <x:v>城南島海浜公園／潮風公園</x:v>
      </x:c>
      <x:c r="AA154" s="22" t="str">
        <x:v>なし</x:v>
      </x:c>
      <x:c r="AB154" s="22" t="str">
        <x:v>-</x:v>
      </x:c>
      <x:c r="AC154" s="22" t="str"/>
      <x:c r="AD154" s="22" t="str">
        <x:v>専用・路外駐車を基本</x:v>
      </x:c>
      <x:c r="AE154" s="22" t="str"/>
    </x:row>
    <x:row r="155">
      <x:c r="A155" s="27" t="str">
        <x:v>D233</x:v>
      </x:c>
      <x:c r="B155" s="27" t="str">
        <x:v>千葉県立幕張海浜公園</x:v>
      </x:c>
      <x:c r="C155" s="27" t="str">
        <x:v>千葉市美浜区</x:v>
      </x:c>
      <x:c r="D155" s="27" t="str">
        <x:v>計画都市・日本庭園・24時間駐車</x:v>
      </x:c>
      <x:c r="E155" s="48" t="e">
        <x:f>HYPERLINK("https://www.google.com/maps/dir/?api=1&amp;destination=%E5%8D%83%E8%91%89%E7%9C%8C%E7%AB%8B%E5%B9%95%E5%BC%B5%E6%B5%B7%E6%B5%9C%E5%85%AC%E5%9C%92&amp;travelmode=driving","現在地からナビ開始")</x:f>
      </x:c>
      <x:c r="F155" s="27" t="str">
        <x:v>幕張新都心の高層ビル、広場、日本庭園を歩き、計画都市のスケールを感じる都市型Ending。</x:v>
      </x:c>
      <x:c r="G155" s="27" t="str">
        <x:v>あり・A63台／B92台／C46台・有料</x:v>
      </x:c>
      <x:c r="H155" s="27" t="str">
        <x:v>公園終日／各駐車場24時間</x:v>
      </x:c>
      <x:c r="I155" s="27" t="n">
        <x:v>5</x:v>
      </x:c>
      <x:c r="J155" s="27" t="n">
        <x:v>2</x:v>
      </x:c>
      <x:c r="K155" s="27" t="str">
        <x:v>イベント開催時は満車・交通規制。見浜園は別営業時間。2025年に料金改定・C駐車場機械化。</x:v>
      </x:c>
      <x:c r="L155" s="28" t="n">
        <x:v>46232</x:v>
      </x:c>
      <x:c r="M155" s="27" t="str">
        <x:v>一次確認済</x:v>
      </x:c>
      <x:c r="N155" s="27" t="str">
        <x:v>https://www.seibu-la.co.jp/makuhari/access.html</x:v>
      </x:c>
      <x:c r="O155" s="27" t="str">
        <x:v>幕張新都心は1970年代後半から整備された計画都市で、公園は業務・住宅・国際展示場を結ぶ緑の骨格となる。</x:v>
      </x:c>
      <x:c r="P155" s="84" t="e">
        <x:f>HYPERLINK("https://ja.wikipedia.org/wiki/Special:Search?search=%E5%8D%83%E8%91%89%E7%9C%8C%E7%AB%8B%E5%B9%95%E5%BC%B5%E6%B5%B7%E6%B5%9C%E5%85%AC%E5%9C%92","Wikipedia・関連項目")</x:f>
      </x:c>
      <x:c r="Q155" s="27" t="str">
        <x:v>新規追加。海浜大通り展望駐車場と異なる都市・庭園型。</x:v>
      </x:c>
      <x:c r="R155" s="27" t="str">
        <x:v>35km超</x:v>
      </x:c>
      <x:c r="S155" s="27" t="str">
        <x:v>概ね35km超</x:v>
      </x:c>
      <x:c r="T155" s="27" t="str">
        <x:v>通常90分超</x:v>
      </x:c>
      <x:c r="U155" s="27" t="str">
        <x:v>平日夜・深夜</x:v>
      </x:c>
      <x:c r="V155" s="27" t="str">
        <x:v>30〜90分</x:v>
      </x:c>
      <x:c r="W155" s="27" t="n">
        <x:v>1</x:v>
      </x:c>
      <x:c r="X155" s="27" t="n">
        <x:v>1</x:v>
      </x:c>
      <x:c r="Y155" s="27" t="str">
        <x:v>羽田空港 第3ターミナル展望デッキ</x:v>
      </x:c>
      <x:c r="Z155" s="27" t="str">
        <x:v>城南島海浜公園／潮風公園</x:v>
      </x:c>
      <x:c r="AA155" s="22" t="str">
        <x:v>なし</x:v>
      </x:c>
      <x:c r="AB155" s="22" t="str">
        <x:v>-</x:v>
      </x:c>
      <x:c r="AC155" s="22" t="str"/>
      <x:c r="AD155" s="22" t="str">
        <x:v>専用・路外駐車を基本</x:v>
      </x:c>
      <x:c r="AE155" s="22" t="str"/>
    </x:row>
    <x:row r="156">
      <x:c r="A156" s="27" t="str">
        <x:v>D234</x:v>
      </x:c>
      <x:c r="B156" s="27" t="str">
        <x:v>千葉市動物公園</x:v>
      </x:c>
      <x:c r="C156" s="27" t="str">
        <x:v>千葉市若葉区</x:v>
      </x:c>
      <x:c r="D156" s="27" t="str">
        <x:v>動物・モノレール・Story</x:v>
      </x:c>
      <x:c r="E156" s="48" t="e">
        <x:f>HYPERLINK("https://www.google.com/maps/dir/?api=1&amp;destination=%E5%8D%83%E8%91%89%E5%B8%82%E5%8B%95%E7%89%A9%E5%85%AC%E5%9C%92&amp;travelmode=driving","現在地からナビ開始")</x:f>
      </x:c>
      <x:c r="F156" s="27" t="str">
        <x:v>動物展示、レッサーパンダ、サバンナ、モノレール景観を一日目的として楽しめる。</x:v>
      </x:c>
      <x:c r="G156" s="27" t="str">
        <x:v>あり・有料800円</x:v>
      </x:c>
      <x:c r="H156" s="27" t="str">
        <x:v>開園9:30～16:30／駐車場9:00～17:00</x:v>
      </x:c>
      <x:c r="I156" s="27" t="n">
        <x:v>1</x:v>
      </x:c>
      <x:c r="J156" s="27" t="n">
        <x:v>1</x:v>
      </x:c>
      <x:c r="K156" s="27" t="str">
        <x:v>水曜休園を基本に当日確認。夏季の夜間延長日は日時・入庫締切が別。アイドリング禁止。</x:v>
      </x:c>
      <x:c r="L156" s="28" t="n">
        <x:v>46232</x:v>
      </x:c>
      <x:c r="M156" s="27" t="str">
        <x:v>一次確認済</x:v>
      </x:c>
      <x:c r="N156" s="27" t="str">
        <x:v>https://www.city.chiba.jp/zoo/guide/index.html</x:v>
      </x:c>
      <x:c r="O156" s="27" t="str">
        <x:v>かつて立つ姿で人気となったレッサーパンダ『風太』で全国的に知られた動物園。</x:v>
      </x:c>
      <x:c r="P156" s="84" t="e">
        <x:f>HYPERLINK("https://ja.wikipedia.org/wiki/Special:Search?search=%E5%8D%83%E8%91%89%E5%B8%82%E5%8B%95%E7%89%A9%E5%85%AC%E5%9C%92","Wikipedia・関連項目")</x:f>
      </x:c>
      <x:c r="Q156" s="27" t="str">
        <x:v>新規追加。Story性の高い一日型目的地。</x:v>
      </x:c>
      <x:c r="R156" s="27" t="str">
        <x:v>35km超</x:v>
      </x:c>
      <x:c r="S156" s="27" t="str">
        <x:v>概ね35km超</x:v>
      </x:c>
      <x:c r="T156" s="27" t="str">
        <x:v>通常90分超</x:v>
      </x:c>
      <x:c r="U156" s="27" t="str">
        <x:v>Story</x:v>
      </x:c>
      <x:c r="V156" s="27" t="str">
        <x:v>60〜150分</x:v>
      </x:c>
      <x:c r="W156" s="27" t="n">
        <x:v>2</x:v>
      </x:c>
      <x:c r="X156" s="27" t="n">
        <x:v>1</x:v>
      </x:c>
      <x:c r="Y156" s="27" t="str">
        <x:v>羽田空港 第3ターミナル展望デッキ</x:v>
      </x:c>
      <x:c r="Z156" s="27" t="str">
        <x:v>城南島海浜公園／潮風公園</x:v>
      </x:c>
      <x:c r="AA156" s="22" t="str">
        <x:v>なし</x:v>
      </x:c>
      <x:c r="AB156" s="22" t="str">
        <x:v>-</x:v>
      </x:c>
      <x:c r="AC156" s="22" t="str"/>
      <x:c r="AD156" s="22" t="str">
        <x:v>専用・路外駐車を基本</x:v>
      </x:c>
      <x:c r="AE156" s="22" t="str"/>
    </x:row>
    <x:row r="157">
      <x:c r="A157" s="27" t="str">
        <x:v>D236</x:v>
      </x:c>
      <x:c r="B157" s="27" t="str">
        <x:v>ラディアン花の丘公園</x:v>
      </x:c>
      <x:c r="C157" s="27" t="str">
        <x:v>神奈川県二宮町</x:v>
      </x:c>
      <x:c r="D157" s="27" t="str">
        <x:v>花・果樹・小高台</x:v>
      </x:c>
      <x:c r="E157" s="48" t="e">
        <x:f>HYPERLINK("https://www.google.com/maps/dir/?api=1&amp;destination=%E3%83%A9%E3%83%87%E3%82%A3%E3%82%A2%E3%83%B3%E8%8A%B1%E3%81%AE%E4%B8%98%E5%85%AC%E5%9C%92&amp;travelmode=driving","現在地からナビ開始")</x:f>
      </x:c>
      <x:c r="F157" s="27" t="str">
        <x:v>果樹公園に隣接する小さな丘で、吾妻山ほど歩かず花と相模湾側の空気を楽しめる。</x:v>
      </x:c>
      <x:c r="G157" s="27" t="str">
        <x:v>あり・28台・無料</x:v>
      </x:c>
      <x:c r="H157" s="27" t="str">
        <x:v>8:30～17:00</x:v>
      </x:c>
      <x:c r="I157" s="27" t="n">
        <x:v>1</x:v>
      </x:c>
      <x:c r="J157" s="27" t="n">
        <x:v>4</x:v>
      </x:c>
      <x:c r="K157" s="27" t="str">
        <x:v>果樹公園の薬剤散布日は休園。公園利用以外の駐車禁止。台数が少なく満車時は通過。</x:v>
      </x:c>
      <x:c r="L157" s="28" t="n">
        <x:v>46232</x:v>
      </x:c>
      <x:c r="M157" s="27" t="str">
        <x:v>一次確認済</x:v>
      </x:c>
      <x:c r="N157" s="27" t="str">
        <x:v>https://www.town.ninomiya.kanagawa.jp/0000001268.html</x:v>
      </x:c>
      <x:c r="O157" s="27" t="str">
        <x:v>二宮町の生涯学習施設ラディアンと果樹公園に隣接し、地域の日常に近い花の丘として整備された。</x:v>
      </x:c>
      <x:c r="P157" s="84" t="e">
        <x:f>HYPERLINK("https://ja.wikipedia.org/wiki/Special:Search?search=%E3%83%A9%E3%83%87%E3%82%A3%E3%82%A2%E3%83%B3%E8%8A%B1%E3%81%AE%E4%B8%98%E5%85%AC%E5%9C%92","Wikipedia・関連項目")</x:f>
      </x:c>
      <x:c r="Q157" s="27" t="str">
        <x:v>新規追加。吾妻山混雑時の小規模代替候補。</x:v>
      </x:c>
      <x:c r="R157" s="27" t="str">
        <x:v>35km超</x:v>
      </x:c>
      <x:c r="S157" s="27" t="str">
        <x:v>概ね35km超</x:v>
      </x:c>
      <x:c r="T157" s="27" t="str">
        <x:v>通常90分超</x:v>
      </x:c>
      <x:c r="U157" s="27" t="str">
        <x:v>休日半日</x:v>
      </x:c>
      <x:c r="V157" s="27" t="str">
        <x:v>30〜60分</x:v>
      </x:c>
      <x:c r="W157" s="27" t="n">
        <x:v>1</x:v>
      </x:c>
      <x:c r="X157" s="27" t="n">
        <x:v>1</x:v>
      </x:c>
      <x:c r="Y157" s="27" t="str">
        <x:v>羽田空港 第3ターミナル展望デッキ</x:v>
      </x:c>
      <x:c r="Z157" s="27" t="str">
        <x:v>城南島海浜公園／潮風公園</x:v>
      </x:c>
      <x:c r="AA157" s="22" t="str">
        <x:v>なし</x:v>
      </x:c>
      <x:c r="AB157" s="22" t="str">
        <x:v>-</x:v>
      </x:c>
      <x:c r="AC157" s="22" t="str"/>
      <x:c r="AD157" s="22" t="str">
        <x:v>専用・路外駐車を基本</x:v>
      </x:c>
      <x:c r="AE157" s="22" t="str"/>
    </x:row>
    <x:row r="158">
      <x:c r="A158" s="27" t="str">
        <x:v>D237</x:v>
      </x:c>
      <x:c r="B158" s="27" t="str">
        <x:v>道の駅 足柄・金太郎のふるさと</x:v>
      </x:c>
      <x:c r="C158" s="27" t="str">
        <x:v>神奈川県南足柄市</x:v>
      </x:c>
      <x:c r="D158" s="27" t="str">
        <x:v>道の駅・金太郎Story・24時間</x:v>
      </x:c>
      <x:c r="E158" s="48" t="e">
        <x:f>HYPERLINK("https://www.google.com/maps/dir/?api=1&amp;destination=%E9%81%93%E3%81%AE%E9%A7%85%20%E8%B6%B3%E6%9F%84%E3%83%BB%E9%87%91%E5%A4%AA%E9%83%8E%E3%81%AE%E3%81%B5%E3%82%8B%E3%81%95%E3%81%A8&amp;travelmode=driving","現在地からナビ開始")</x:f>
      </x:c>
      <x:c r="F158" s="27" t="str">
        <x:v>足柄の農産物と金太郎伝説を食・土産へ変換し、箱根・小田原方面の帰路Endingとして使える。</x:v>
      </x:c>
      <x:c r="G158" s="27" t="str">
        <x:v>あり・24時間利用可</x:v>
      </x:c>
      <x:c r="H158" s="27" t="str">
        <x:v>店舗9:00～17:00／駐車場・トイレ24時間</x:v>
      </x:c>
      <x:c r="I158" s="27" t="n">
        <x:v>5</x:v>
      </x:c>
      <x:c r="J158" s="27" t="n">
        <x:v>2</x:v>
      </x:c>
      <x:c r="K158" s="27" t="str">
        <x:v>満車時は右折入場できない場合あり。竹松交差点側から左折入場を推奨。長時間占有禁止。</x:v>
      </x:c>
      <x:c r="L158" s="28" t="n">
        <x:v>46232</x:v>
      </x:c>
      <x:c r="M158" s="27" t="str">
        <x:v>一次確認済</x:v>
      </x:c>
      <x:c r="N158" s="27" t="str">
        <x:v>https://www.michinoeki-ashigara.com/</x:v>
      </x:c>
      <x:c r="O158" s="27" t="str">
        <x:v>足柄山は坂田金時＝金太郎伝説の舞台の一つとされ、地域ブランドの中心になっている。</x:v>
      </x:c>
      <x:c r="P158" s="84" t="e">
        <x:f>HYPERLINK("https://ja.wikipedia.org/wiki/Special:Search?search=%E9%81%93%E3%81%AE%E9%A7%85%20%E8%B6%B3%E6%9F%84%E3%83%BB%E9%87%91%E5%A4%AA%E9%83%8E%E3%81%AE%E3%81%B5%E3%82%8B%E3%81%95%E3%81%A8","Wikipedia・関連項目")</x:f>
      </x:c>
      <x:c r="Q158" s="27" t="str">
        <x:v>新規追加。Storyと24時間休憩を両立。</x:v>
      </x:c>
      <x:c r="R158" s="27" t="str">
        <x:v>35km超</x:v>
      </x:c>
      <x:c r="S158" s="27" t="str">
        <x:v>概ね35km超</x:v>
      </x:c>
      <x:c r="T158" s="27" t="str">
        <x:v>通常90分超</x:v>
      </x:c>
      <x:c r="U158" s="27" t="str">
        <x:v>Story</x:v>
      </x:c>
      <x:c r="V158" s="27" t="str">
        <x:v>30〜60分</x:v>
      </x:c>
      <x:c r="W158" s="27" t="n">
        <x:v>4</x:v>
      </x:c>
      <x:c r="X158" s="27" t="n">
        <x:v>1</x:v>
      </x:c>
      <x:c r="Y158" s="27" t="str">
        <x:v>羽田空港 第3ターミナル展望デッキ</x:v>
      </x:c>
      <x:c r="Z158" s="27" t="str">
        <x:v>城南島海浜公園／潮風公園</x:v>
      </x:c>
      <x:c r="AA158" s="22" t="str">
        <x:v>なし</x:v>
      </x:c>
      <x:c r="AB158" s="22" t="str">
        <x:v>-</x:v>
      </x:c>
      <x:c r="AC158" s="22" t="str"/>
      <x:c r="AD158" s="22" t="str">
        <x:v>専用・路外駐車を基本</x:v>
      </x:c>
      <x:c r="AE158" s="22" t="str"/>
    </x:row>
    <x:row r="159">
      <x:c r="A159" s="27" t="str">
        <x:v>D238</x:v>
      </x:c>
      <x:c r="B159" s="27" t="str">
        <x:v>道の駅 しょうなん</x:v>
      </x:c>
      <x:c r="C159" s="27" t="str">
        <x:v>千葉県柏市</x:v>
      </x:c>
      <x:c r="D159" s="27" t="str">
        <x:v>道の駅・手賀沼・農産物</x:v>
      </x:c>
      <x:c r="E159" s="48" t="e">
        <x:f>HYPERLINK("https://www.google.com/maps/dir/?api=1&amp;destination=%E9%81%93%E3%81%AE%E9%A7%85%20%E3%81%97%E3%82%87%E3%81%86%E3%81%AA%E3%82%93&amp;travelmode=driving","現在地からナビ開始")</x:f>
      </x:c>
      <x:c r="F159" s="27" t="str">
        <x:v>手賀沼の水辺と柏の農産物を組み合わせ、東葛方面の昼ドライブを食と休憩で締められる。</x:v>
      </x:c>
      <x:c r="G159" s="27" t="str">
        <x:v>あり・第1・第2駐車場は24時間</x:v>
      </x:c>
      <x:c r="H159" s="27" t="str">
        <x:v>店舗9:00～18:00</x:v>
      </x:c>
      <x:c r="I159" s="27" t="n">
        <x:v>4</x:v>
      </x:c>
      <x:c r="J159" s="27" t="n">
        <x:v>2</x:v>
      </x:c>
      <x:c r="K159" s="27" t="str">
        <x:v>花火大会・イベント日は入出庫規制あり。駐車場拡張後も休日は混雑。手賀沼周辺の虫・濃霧注意。</x:v>
      </x:c>
      <x:c r="L159" s="28" t="n">
        <x:v>46232</x:v>
      </x:c>
      <x:c r="M159" s="27" t="str">
        <x:v>一次確認済</x:v>
      </x:c>
      <x:c r="N159" s="27" t="str">
        <x:v>https://www.michinoeki-shonan.jp/access/</x:v>
      </x:c>
      <x:c r="O159" s="27" t="str">
        <x:v>旧沼南町の名称を残す道の駅で、手賀沼の農業・水辺観光拠点として再整備された。</x:v>
      </x:c>
      <x:c r="P159" s="84" t="e">
        <x:f>HYPERLINK("https://ja.wikipedia.org/wiki/Special:Search?search=%E9%81%93%E3%81%AE%E9%A7%85%20%E3%81%97%E3%82%87%E3%81%86%E3%81%AA%E3%82%93","Wikipedia・関連項目")</x:f>
      </x:c>
      <x:c r="Q159" s="27" t="str">
        <x:v>新規追加。夜間駐車可能だが、店舗目的は18時まで。</x:v>
      </x:c>
      <x:c r="R159" s="27" t="str">
        <x:v>35km超</x:v>
      </x:c>
      <x:c r="S159" s="27" t="str">
        <x:v>概ね35km超</x:v>
      </x:c>
      <x:c r="T159" s="27" t="str">
        <x:v>通常90分超</x:v>
      </x:c>
      <x:c r="U159" s="27" t="str">
        <x:v>平日夜・深夜</x:v>
      </x:c>
      <x:c r="V159" s="27" t="str">
        <x:v>30〜60分</x:v>
      </x:c>
      <x:c r="W159" s="27" t="n">
        <x:v>4</x:v>
      </x:c>
      <x:c r="X159" s="27" t="n">
        <x:v>1</x:v>
      </x:c>
      <x:c r="Y159" s="27" t="str">
        <x:v>羽田空港 第3ターミナル展望デッキ</x:v>
      </x:c>
      <x:c r="Z159" s="27" t="str">
        <x:v>城南島海浜公園／潮風公園</x:v>
      </x:c>
      <x:c r="AA159" s="22" t="str">
        <x:v>なし</x:v>
      </x:c>
      <x:c r="AB159" s="22" t="str">
        <x:v>-</x:v>
      </x:c>
      <x:c r="AC159" s="22" t="str"/>
      <x:c r="AD159" s="22" t="str">
        <x:v>専用・路外駐車を基本</x:v>
      </x:c>
      <x:c r="AE159" s="22" t="str"/>
    </x:row>
    <x:row r="160">
      <x:c r="A160" s="27" t="str">
        <x:v>D239</x:v>
      </x:c>
      <x:c r="B160" s="27" t="str">
        <x:v>小山内裏公園</x:v>
      </x:c>
      <x:c r="C160" s="27" t="str">
        <x:v>東京都町田市</x:v>
      </x:c>
      <x:c r="D160" s="27" t="str">
        <x:v>多摩丘陵・戦車道路・尾根</x:v>
      </x:c>
      <x:c r="E160" s="48" t="e">
        <x:f>HYPERLINK("https://www.google.com/maps/dir/?api=1&amp;destination=%E5%B0%8F%E5%B1%B1%E5%86%85%E8%A3%8F%E5%85%AC%E5%9C%92&amp;travelmode=driving","現在地からナビ開始")</x:f>
      </x:c>
      <x:c r="F160" s="27" t="str">
        <x:v>尾根緑道と深い谷戸を歩き、旧軍用道路の直線と多摩丘陵の自然を同時に味わえる。</x:v>
      </x:c>
      <x:c r="G160" s="27" t="str">
        <x:v>あり・23台・無料</x:v>
      </x:c>
      <x:c r="H160" s="27" t="str">
        <x:v>9:00～17:00</x:v>
      </x:c>
      <x:c r="I160" s="27" t="n">
        <x:v>1</x:v>
      </x:c>
      <x:c r="J160" s="27" t="n">
        <x:v>4</x:v>
      </x:c>
      <x:c r="K160" s="27" t="str">
        <x:v>17時夜間閉鎖。台数が少なく路上待機禁止。工事・イベントによる一時閉鎖を当日確認。</x:v>
      </x:c>
      <x:c r="L160" s="28" t="n">
        <x:v>46232</x:v>
      </x:c>
      <x:c r="M160" s="27" t="str">
        <x:v>一次確認済</x:v>
      </x:c>
      <x:c r="N160" s="27" t="str">
        <x:v>https://www.tokyo-park.or.jp/park/oyamadairi/index.html</x:v>
      </x:c>
      <x:c r="O160" s="27" t="str">
        <x:v>園内を通る尾根緑道は、戦時中に戦車の走行試験道路として使われ『戦車道路』と呼ばれた。</x:v>
      </x:c>
      <x:c r="P160" s="84" t="e">
        <x:f>HYPERLINK("https://ja.wikipedia.org/wiki/Special:Search?search=%E5%B0%8F%E5%B1%B1%E5%86%85%E8%A3%8F%E5%85%AC%E5%9C%92","Wikipedia・関連項目")</x:f>
      </x:c>
      <x:c r="Q160" s="27" t="str">
        <x:v>新規追加。軍事インフラが緑道へ転換したStory Layer。</x:v>
      </x:c>
      <x:c r="R160" s="27" t="str">
        <x:v>35km超</x:v>
      </x:c>
      <x:c r="S160" s="27" t="str">
        <x:v>概ね35km超</x:v>
      </x:c>
      <x:c r="T160" s="27" t="str">
        <x:v>通常90分超</x:v>
      </x:c>
      <x:c r="U160" s="27" t="str">
        <x:v>休日半日</x:v>
      </x:c>
      <x:c r="V160" s="27" t="str">
        <x:v>30〜60分</x:v>
      </x:c>
      <x:c r="W160" s="27" t="n">
        <x:v>2</x:v>
      </x:c>
      <x:c r="X160" s="27" t="n">
        <x:v>1</x:v>
      </x:c>
      <x:c r="Y160" s="27" t="str">
        <x:v>羽田空港 第3ターミナル展望デッキ</x:v>
      </x:c>
      <x:c r="Z160" s="27" t="str">
        <x:v>城南島海浜公園／潮風公園</x:v>
      </x:c>
      <x:c r="AA160" s="22" t="str">
        <x:v>なし</x:v>
      </x:c>
      <x:c r="AB160" s="22" t="str">
        <x:v>-</x:v>
      </x:c>
      <x:c r="AC160" s="22" t="str"/>
      <x:c r="AD160" s="22" t="str">
        <x:v>専用・路外駐車を基本</x:v>
      </x:c>
      <x:c r="AE160" s="22" t="str"/>
    </x:row>
    <x:row r="161">
      <x:c r="A161" s="27" t="str">
        <x:v>D240</x:v>
      </x:c>
      <x:c r="B161" s="27" t="str">
        <x:v>長池公園</x:v>
      </x:c>
      <x:c r="C161" s="27" t="str">
        <x:v>東京都八王子市</x:v>
      </x:c>
      <x:c r="D161" s="27" t="str">
        <x:v>里山・溜池・見附橋</x:v>
      </x:c>
      <x:c r="E161" s="48" t="e">
        <x:f>HYPERLINK("https://www.google.com/maps/dir/?api=1&amp;destination=%E9%95%B7%E6%B1%A0%E5%85%AC%E5%9C%92&amp;travelmode=driving","現在地からナビ開始")</x:f>
      </x:c>
      <x:c r="F161" s="27" t="str">
        <x:v>溜池、田んぼ、雑木林、移築橋がまとまり、多摩ニュータウンの中に残された里山を体感できる。</x:v>
      </x:c>
      <x:c r="G161" s="27" t="str">
        <x:v>あり・自然館70台／南17台・無料</x:v>
      </x:c>
      <x:c r="H161" s="27" t="str">
        <x:v>3～9月8:30～18:30等／冬季17:00～17:30閉場</x:v>
      </x:c>
      <x:c r="I161" s="27" t="n">
        <x:v>1</x:v>
      </x:c>
      <x:c r="J161" s="27" t="n">
        <x:v>3</x:v>
      </x:c>
      <x:c r="K161" s="27" t="str">
        <x:v>駐車場ごとに閉場時刻が異なる。雨後の木道・斜面注意。夜間不可。</x:v>
      </x:c>
      <x:c r="L161" s="28" t="n">
        <x:v>46232</x:v>
      </x:c>
      <x:c r="M161" s="27" t="str">
        <x:v>一次確認済</x:v>
      </x:c>
      <x:c r="N161" s="27" t="str">
        <x:v>https://www.city.hachioji.tokyo.jp/shisetsu/009/p023779.html</x:v>
      </x:c>
      <x:c r="O161" s="27" t="str">
        <x:v>長池見附橋は旧四谷見附橋を移築したもので、近代東京の橋梁が多摩ニュータウンの公園景観へ再利用された。</x:v>
      </x:c>
      <x:c r="P161" s="84" t="e">
        <x:f>HYPERLINK("https://ja.wikipedia.org/wiki/Special:Search?search=%E9%95%B7%E6%B1%A0%E5%85%AC%E5%9C%92","Wikipedia・関連項目")</x:f>
      </x:c>
      <x:c r="Q161" s="27" t="str">
        <x:v>新規追加。里山保全と近代橋梁の再利用を重ねる。</x:v>
      </x:c>
      <x:c r="R161" s="27" t="str">
        <x:v>35km超</x:v>
      </x:c>
      <x:c r="S161" s="27" t="str">
        <x:v>概ね35km超</x:v>
      </x:c>
      <x:c r="T161" s="27" t="str">
        <x:v>通常90分超</x:v>
      </x:c>
      <x:c r="U161" s="27" t="str">
        <x:v>水辺</x:v>
      </x:c>
      <x:c r="V161" s="27" t="str">
        <x:v>30〜60分</x:v>
      </x:c>
      <x:c r="W161" s="27" t="n">
        <x:v>2</x:v>
      </x:c>
      <x:c r="X161" s="27" t="n">
        <x:v>1</x:v>
      </x:c>
      <x:c r="Y161" s="27" t="str">
        <x:v>多摩川浅間神社</x:v>
      </x:c>
      <x:c r="Z161" s="27" t="str">
        <x:v>多摩川六郷橋緑地／多摩川ガス橋緑地</x:v>
      </x:c>
      <x:c r="AA161" s="22" t="str">
        <x:v>なし</x:v>
      </x:c>
      <x:c r="AB161" s="22" t="str">
        <x:v>-</x:v>
      </x:c>
      <x:c r="AC161" s="22" t="str"/>
      <x:c r="AD161" s="22" t="str">
        <x:v>専用・路外駐車を基本</x:v>
      </x:c>
      <x:c r="AE161" s="22" t="str"/>
    </x:row>
  </x:sheetData>
  <x:conditionalFormatting sqref="I2:J161">
    <x:cfRule type="colorScale" priority="1">
      <x:colorScale>
        <x:cfvo type="min"/>
        <x:cfvo type="percentile" val="50"/>
        <x:cfvo type="max"/>
        <x:color rgb="FFFEE2E2"/>
        <x:color rgb="FFFEF3C7"/>
        <x:color rgb="FFDCFCE7"/>
      </x:colorScale>
    </x:cfRule>
    <x:cfRule type="colorScale" priority="3">
      <x:colorScale>
        <x:cfvo type="min"/>
        <x:cfvo type="percentile" val="50"/>
        <x:cfvo type="max"/>
        <x:color rgb="FFFEE2E2"/>
        <x:color rgb="FFFEF3C7"/>
        <x:color rgb="FFDCFCE7"/>
      </x:colorScale>
    </x:cfRule>
  </x:conditionalFormatting>
  <x:conditionalFormatting sqref="W2:X161">
    <x:cfRule type="colorScale" priority="2">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95dda2a093a04a31"/>
  </x:tableParts>
</x:worksheet>
</file>

<file path=xl/worksheets/sheet9.xml><?xml version="1.0" encoding="utf-8"?>
<x:worksheet xmlns:x="http://schemas.openxmlformats.org/spreadsheetml/2006/main">
  <x:sheetFormatPr defaultRowHeight="15"/>
  <x:cols>
    <x:col min="1" max="1" width="9" hidden="0" customWidth="1"/>
    <x:col min="2" max="2" width="32" hidden="0" customWidth="1"/>
    <x:col min="3" max="3" width="22" hidden="0" customWidth="1"/>
    <x:col min="4" max="4" width="31" hidden="0" customWidth="1"/>
    <x:col min="5" max="5" width="21" hidden="0" customWidth="1"/>
    <x:col min="6" max="6" width="48" hidden="0" customWidth="1"/>
    <x:col min="7" max="7" width="44" hidden="0" customWidth="1"/>
    <x:col min="8" max="8" width="41" hidden="0" customWidth="1"/>
    <x:col min="9" max="9" width="10" hidden="0" customWidth="1"/>
    <x:col min="10" max="10" width="10" hidden="0" customWidth="1"/>
    <x:col min="11" max="11" width="52" hidden="0" customWidth="1"/>
    <x:col min="12" max="12" width="13" hidden="0" customWidth="1"/>
    <x:col min="13" max="13" width="14" hidden="0" customWidth="1"/>
    <x:col min="14" max="14" width="50" hidden="0" customWidth="1"/>
    <x:col min="15" max="15" width="50" hidden="0" customWidth="1"/>
    <x:col min="16" max="16" width="22" hidden="0" customWidth="1"/>
    <x:col min="17" max="17" width="46" hidden="0" customWidth="1"/>
    <x:col min="18" max="18" width="12" hidden="0" customWidth="1"/>
    <x:col min="19" max="19" width="19" hidden="0" customWidth="1"/>
    <x:col min="20" max="20" width="20" hidden="0" customWidth="1"/>
    <x:col min="21" max="21" width="24" hidden="0" customWidth="1"/>
    <x:col min="22" max="22" width="15" hidden="0" customWidth="1"/>
    <x:col min="23" max="23" width="10" hidden="0" customWidth="1"/>
    <x:col min="24" max="24" width="12" hidden="0" customWidth="1"/>
    <x:col min="25" max="25" width="30" hidden="0" customWidth="1"/>
    <x:col min="26" max="26" width="36" hidden="0" customWidth="1"/>
    <x:col min="27" max="27" width="30" hidden="0" customWidth="1"/>
    <x:col min="28" max="28" width="14" hidden="0" customWidth="1"/>
    <x:col min="29" max="29" width="45" hidden="0" customWidth="1"/>
    <x:col min="30" max="30" width="50" hidden="0" customWidth="1"/>
    <x:col min="31" max="31" width="48" hidden="0" customWidth="1"/>
  </x:cols>
  <x:sheetData>
    <x:row r="1">
      <x:c r="A1" s="406" t="str">
        <x:v>ID</x:v>
      </x:c>
      <x:c r="B1" s="406" t="str">
        <x:v>名称</x:v>
      </x:c>
      <x:c r="C1" s="406" t="str">
        <x:v>エリア</x:v>
      </x:c>
      <x:c r="D1" s="406" t="str">
        <x:v>カテゴリ</x:v>
      </x:c>
      <x:c r="E1" s="406" t="str">
        <x:v>現在地→目的地（クリック）</x:v>
      </x:c>
      <x:c r="F1" s="406" t="str">
        <x:v>経由地・最終目的地として成立する理由</x:v>
      </x:c>
      <x:c r="G1" s="406" t="str">
        <x:v>駐車場</x:v>
      </x:c>
      <x:c r="H1" s="406" t="str">
        <x:v>利用可能時間</x:v>
      </x:c>
      <x:c r="I1" s="406" t="str">
        <x:v>夜間適性（並べ替え可）</x:v>
      </x:c>
      <x:c r="J1" s="406" t="str">
        <x:v>穴場度(1-5)</x:v>
      </x:c>
      <x:c r="K1" s="406" t="str">
        <x:v>注意事項</x:v>
      </x:c>
      <x:c r="L1" s="406" t="str">
        <x:v>確認日</x:v>
      </x:c>
      <x:c r="M1" s="406" t="str">
        <x:v>確認状態</x:v>
      </x:c>
      <x:c r="N1" s="406" t="str">
        <x:v>情報源URL</x:v>
      </x:c>
      <x:c r="O1" s="406" t="str">
        <x:v>Wikipedia由来の豆知識</x:v>
      </x:c>
      <x:c r="P1" s="406" t="str">
        <x:v>Wikipedia・関連項目（クリック）</x:v>
      </x:c>
      <x:c r="Q1" s="406" t="str">
        <x:v>品質補足・ブラッシュアップ履歴</x:v>
      </x:c>
      <x:c r="R1" s="406" t="str">
        <x:v>距離帯</x:v>
      </x:c>
      <x:c r="S1" s="406" t="str">
        <x:v>蒲田からの概算距離</x:v>
      </x:c>
      <x:c r="T1" s="406" t="str">
        <x:v>通常時の概算所要時間</x:v>
      </x:c>
      <x:c r="U1" s="406" t="str">
        <x:v>主な使いどころ</x:v>
      </x:c>
      <x:c r="V1" s="406" t="str">
        <x:v>滞在目安</x:v>
      </x:c>
      <x:c r="W1" s="406" t="str">
        <x:v>雨天適性</x:v>
      </x:c>
      <x:c r="X1" s="406" t="str">
        <x:v>車内鑑賞適性</x:v>
      </x:c>
      <x:c r="Y1" s="406" t="str">
        <x:v>代替地点</x:v>
      </x:c>
      <x:c r="Z1" s="406" t="str">
        <x:v>組み合わせやすい経由地</x:v>
      </x:c>
      <x:c r="AA1" s="447" t="str">
        <x:v>路上短時間アクセス</x:v>
      </x:c>
      <x:c r="AB1" s="447" t="str">
        <x:v>路上合法性確度</x:v>
      </x:c>
      <x:c r="AC1" s="447" t="str">
        <x:v>路上利用条件</x:v>
      </x:c>
      <x:c r="AD1" s="447" t="str">
        <x:v>路上利用の適用範囲</x:v>
      </x:c>
      <x:c r="AE1" s="447" t="str">
        <x:v>現地確認必須</x:v>
      </x:c>
    </x:row>
    <x:row r="2">
      <x:c r="A2" s="27" t="str">
        <x:v>D244</x:v>
      </x:c>
      <x:c r="B2" s="27" t="str">
        <x:v>ソラムナード羽田緑地</x:v>
      </x:c>
      <x:c r="C2" s="27" t="str">
        <x:v>大田区・羽田空港</x:v>
      </x:c>
      <x:c r="D2" s="27" t="str">
        <x:v>飛行機・多摩川0km・工場夜景</x:v>
      </x:c>
      <x:c r="E2" s="48" t="e">
        <x:f>HYPERLINK("https://www.google.com/maps/dir/?api=1&amp;destination=%E3%82%BD%E3%83%A9%E3%83%A0%E3%83%8A%E3%83%BC%E3%83%89%E7%BE%BD%E7%94%B0%E7%B7%91%E5%9C%B0&amp;travelmode=driving","現在地からナビ開始")</x:f>
      </x:c>
      <x:c r="F2" s="27" t="str">
        <x:v>多摩川河口、離着陸機、対岸の川崎工場夜景、日の出と夕日を一本の遊歩道で切り替えられる。</x:v>
      </x:c>
      <x:c r="G2" s="27" t="str">
        <x:v>専用駐車場なし／HIC P1等の合法駐車場から徒歩</x:v>
      </x:c>
      <x:c r="H2" s="27" t="str">
        <x:v>緑地常時利用を基本／照明・工事情報は当日確認</x:v>
      </x:c>
      <x:c r="I2" s="27" t="n">
        <x:v>5</x:v>
      </x:c>
      <x:c r="J2" s="27" t="n">
        <x:v>5</x:v>
      </x:c>
      <x:c r="K2" s="27" t="str">
        <x:v>路上駐車禁止。HICなど合法駐車場から徒歩。強風・高潮・増水時は利用を避ける。</x:v>
      </x:c>
      <x:c r="L2" s="28" t="n">
        <x:v>46232</x:v>
      </x:c>
      <x:c r="M2" s="27" t="str">
        <x:v>一次確認済</x:v>
      </x:c>
      <x:c r="N2" s="27" t="str">
        <x:v>https://www.city.ota.tokyo.jp/seikatsu/sumaimachinami/haneda_airport/hgw/waterside/soramunadohanedaryokuti.html</x:v>
      </x:c>
      <x:c r="O2" s="27" t="str">
        <x:v>全長約2km。多摩川0km地点標、干潟、約14,600株のスカシユリなど、空港と河口環境が同居する。</x:v>
      </x:c>
      <x:c r="P2" s="84" t="e">
        <x:f>HYPERLINK("https://ja.wikipedia.org/wiki/Special:Search?search=%E3%82%BD%E3%83%A9%E3%83%A0%E3%83%8A%E3%83%BC%E3%83%89%E7%BE%BD%E7%94%B0%E7%B7%91%E5%9C%B0","Wikipedia・関連項目")</x:f>
      </x:c>
      <x:c r="Q2" s="27" t="str">
        <x:v>近距離コア新規追加</x:v>
      </x:c>
      <x:c r="R2" s="27" t="str">
        <x:v>0〜10km</x:v>
      </x:c>
      <x:c r="S2" s="27" t="str">
        <x:v>蒲田から約7〜10km</x:v>
      </x:c>
      <x:c r="T2" s="27" t="str">
        <x:v>通常20〜35分</x:v>
      </x:c>
      <x:c r="U2" s="27" t="str">
        <x:v>飛行機・夕景・工場夜景</x:v>
      </x:c>
      <x:c r="V2" s="27" t="str">
        <x:v>30〜75分</x:v>
      </x:c>
      <x:c r="W2" s="27" t="n">
        <x:v>1</x:v>
      </x:c>
      <x:c r="X2" s="27" t="n">
        <x:v>2</x:v>
      </x:c>
      <x:c r="Y2" s="27" t="str">
        <x:v>HANEDA INNOVATION CITY 足湯スカイデッキ</x:v>
      </x:c>
      <x:c r="Z2" s="27" t="str">
        <x:v>羽田空港 第3ターミナル展望デッキ／殿町緑地</x:v>
      </x:c>
      <x:c r="AA2" s="22" t="str">
        <x:v>なし</x:v>
      </x:c>
      <x:c r="AB2" s="22" t="str">
        <x:v>-</x:v>
      </x:c>
      <x:c r="AC2" s="22" t="str"/>
      <x:c r="AD2" s="22" t="str">
        <x:v>専用・路外駐車を基本</x:v>
      </x:c>
      <x:c r="AE2" s="22" t="str"/>
    </x:row>
    <x:row r="3">
      <x:c r="A3" s="27" t="str">
        <x:v>D021</x:v>
      </x:c>
      <x:c r="B3" s="27" t="str">
        <x:v>暁ふ頭公園</x:v>
      </x:c>
      <x:c r="C3" s="27" t="str">
        <x:v>江東区・青海</x:v>
      </x:c>
      <x:c r="D3" s="27" t="str">
        <x:v>港・行き止まり・静かな休憩</x:v>
      </x:c>
      <x:c r="E3" s="48" t="e">
        <x:f>HYPERLINK("https://www.google.com/maps/dir/?api=1&amp;destination=%E6%9A%81%E3%81%B5%E9%A0%AD%E5%85%AC%E5%9C%92&amp;travelmode=driving","現在地からナビ開始")</x:f>
      </x:c>
      <x:c r="F3" s="27" t="str">
        <x:v>東京港最奥まで走り切る感覚があり、船と海を近距離で眺める穴場Ending。</x:v>
      </x:c>
      <x:c r="G3" s="27" t="str">
        <x:v>あり・小規模有料</x:v>
      </x:c>
      <x:c r="H3" s="27" t="str">
        <x:v>駐車場運用時間は公式ページで再確認</x:v>
      </x:c>
      <x:c r="I3" s="27" t="n">
        <x:v>5</x:v>
      </x:c>
      <x:c r="J3" s="27" t="n">
        <x:v>5</x:v>
      </x:c>
      <x:c r="K3" s="27" t="str">
        <x:v>港湾部で風が強い。工事・駐車運用変更を当日確認。</x:v>
      </x:c>
      <x:c r="L3" s="28" t="n">
        <x:v>46232</x:v>
      </x:c>
      <x:c r="M3" s="27" t="str">
        <x:v>当日再確認</x:v>
      </x:c>
      <x:c r="N3" s="27" t="str">
        <x:v>https://www.tptc.co.jp/park/01_10</x:v>
      </x:c>
      <x:c r="O3" s="27" t="str">
        <x:v>暁ふ頭周辺は東京港の埋立地の最奥部にあり、都市のごみ処理・物流・港湾拡張の歴史とつながっている。</x:v>
      </x:c>
      <x:c r="P3" s="84" t="e">
        <x:f>HYPERLINK("https://ja.wikipedia.org/wiki/Special:Search?search=%E6%9A%81%E3%81%B5%E9%A0%AD%E5%85%AC%E5%9C%92","Wikipedia・関連項目")</x:f>
      </x:c>
      <x:c r="Q3" s="27"/>
      <x:c r="R3" s="27" t="str">
        <x:v>10〜20km</x:v>
      </x:c>
      <x:c r="S3" s="27" t="str">
        <x:v>概ね10〜20km</x:v>
      </x:c>
      <x:c r="T3" s="27" t="str">
        <x:v>通常25〜50分</x:v>
      </x:c>
      <x:c r="U3" s="27" t="str">
        <x:v>海・港</x:v>
      </x:c>
      <x:c r="V3" s="27" t="str">
        <x:v>30〜90分</x:v>
      </x:c>
      <x:c r="W3" s="27" t="n">
        <x:v>2</x:v>
      </x:c>
      <x:c r="X3" s="27" t="n">
        <x:v>3</x:v>
      </x:c>
      <x:c r="Y3" s="27" t="str">
        <x:v>城南島海浜公園</x:v>
      </x:c>
      <x:c r="Z3" s="27" t="str">
        <x:v>潮風公園／晴海ふ頭公園</x:v>
      </x:c>
      <x:c r="AA3" s="22" t="str">
        <x:v>なし</x:v>
      </x:c>
      <x:c r="AB3" s="22" t="str">
        <x:v>-</x:v>
      </x:c>
      <x:c r="AC3" s="22" t="str"/>
      <x:c r="AD3" s="22" t="str">
        <x:v>専用・路外駐車を基本</x:v>
      </x:c>
      <x:c r="AE3" s="22" t="str"/>
    </x:row>
    <x:row r="4">
      <x:c r="A4" s="27" t="str">
        <x:v>D002</x:v>
      </x:c>
      <x:c r="B4" s="27" t="str">
        <x:v>京浜島つばさ公園</x:v>
      </x:c>
      <x:c r="C4" s="27" t="str">
        <x:v>大田区・京浜島</x:v>
      </x:c>
      <x:c r="D4" s="27" t="str">
        <x:v>飛行機・工業島</x:v>
      </x:c>
      <x:c r="E4" s="48" t="e">
        <x:f>HYPERLINK("https://www.google.com/maps/dir/?api=1&amp;destination=%E4%BA%AC%E6%B5%9C%E5%B3%B6%E3%81%A4%E3%81%B0%E3%81%95%E5%85%AC%E5%9C%92&amp;travelmode=driving","現在地からナビ開始")</x:f>
      </x:c>
      <x:c r="F4" s="27" t="str">
        <x:v>滑走路を横から眺め、工業島の行き止まり感と航空機の迫力を味わえる。</x:v>
      </x:c>
      <x:c r="G4" s="27" t="str">
        <x:v>あり・小規模有料</x:v>
      </x:c>
      <x:c r="H4" s="27" t="str">
        <x:v>時間貸し駐車場は24時間運用の情報あり</x:v>
      </x:c>
      <x:c r="I4" s="27" t="n">
        <x:v>5</x:v>
      </x:c>
      <x:c r="J4" s="27" t="n">
        <x:v>4</x:v>
      </x:c>
      <x:c r="K4" s="27" t="str">
        <x:v>台数が少ない。満車時の路上待機・路上駐車は禁止。</x:v>
      </x:c>
      <x:c r="L4" s="28" t="n">
        <x:v>46232</x:v>
      </x:c>
      <x:c r="M4" s="27" t="str">
        <x:v>一次確認済</x:v>
      </x:c>
      <x:c r="N4" s="27" t="str">
        <x:v>https://tokyo-south-seaside-parks.com/keihinjima/</x:v>
      </x:c>
      <x:c r="O4" s="27" t="str">
        <x:v>京浜島も東京湾の人工島で、工場・倉庫地区と羽田空港が至近距離で隣り合う、東京らしい埋立地景観を持つ。</x:v>
      </x:c>
      <x:c r="P4" s="84" t="e">
        <x:f>HYPERLINK("https://ja.wikipedia.org/wiki/Special:Search?search=%E4%BA%AC%E6%B5%9C%E5%B3%B6%E3%81%A4%E3%81%B0%E3%81%95%E5%85%AC%E5%9C%92","Wikipedia・関連項目")</x:f>
      </x:c>
      <x:c r="Q4" s="27"/>
      <x:c r="R4" s="27" t="str">
        <x:v>0〜10km</x:v>
      </x:c>
      <x:c r="S4" s="27" t="str">
        <x:v>概ね0〜10km</x:v>
      </x:c>
      <x:c r="T4" s="27" t="str">
        <x:v>通常10〜30分</x:v>
      </x:c>
      <x:c r="U4" s="27" t="str">
        <x:v>飛行機</x:v>
      </x:c>
      <x:c r="V4" s="27" t="str">
        <x:v>30〜60分</x:v>
      </x:c>
      <x:c r="W4" s="27" t="n">
        <x:v>2</x:v>
      </x:c>
      <x:c r="X4" s="27" t="n">
        <x:v>4</x:v>
      </x:c>
      <x:c r="Y4" s="27" t="str">
        <x:v>城南島海浜公園</x:v>
      </x:c>
      <x:c r="Z4" s="27" t="str">
        <x:v>京浜島つばさ公園／羽田空港 第3ターミナル展望デッキ</x:v>
      </x:c>
      <x:c r="AA4" s="22" t="str">
        <x:v>なし</x:v>
      </x:c>
      <x:c r="AB4" s="22" t="str">
        <x:v>-</x:v>
      </x:c>
      <x:c r="AC4" s="22" t="str"/>
      <x:c r="AD4" s="22" t="str">
        <x:v>専用・路外駐車を基本</x:v>
      </x:c>
      <x:c r="AE4" s="22" t="str"/>
    </x:row>
    <x:row r="5">
      <x:c r="A5" s="27" t="str">
        <x:v>D009</x:v>
      </x:c>
      <x:c r="B5" s="27" t="str">
        <x:v>川崎マリエン</x:v>
      </x:c>
      <x:c r="C5" s="27" t="str">
        <x:v>川崎市・東扇島</x:v>
      </x:c>
      <x:c r="D5" s="27" t="str">
        <x:v>工場夜景・展望</x:v>
      </x:c>
      <x:c r="E5" s="48" t="e">
        <x:f>HYPERLINK("https://www.google.com/maps/dir/?api=1&amp;destination=%E5%B7%9D%E5%B4%8E%E3%83%9E%E3%83%AA%E3%82%A8%E3%83%B3&amp;travelmode=driving","現在地からナビ開始")</x:f>
      </x:c>
      <x:c r="F5" s="27" t="str">
        <x:v>川崎港、工場、大型船、東京湾を高所から360度眺められる主力Ending。</x:v>
      </x:c>
      <x:c r="G5" s="27" t="str">
        <x:v>あり・有料</x:v>
      </x:c>
      <x:c r="H5" s="27" t="str">
        <x:v>駐車場 24時間／展望室 9:00～21:00</x:v>
      </x:c>
      <x:c r="I5" s="27" t="n">
        <x:v>5</x:v>
      </x:c>
      <x:c r="J5" s="27" t="n">
        <x:v>4</x:v>
      </x:c>
      <x:c r="K5" s="27" t="str">
        <x:v>最終入場、休館日、工事情報を当日確認。</x:v>
      </x:c>
      <x:c r="L5" s="28" t="n">
        <x:v>46232</x:v>
      </x:c>
      <x:c r="M5" s="27" t="str">
        <x:v>一次確認済</x:v>
      </x:c>
      <x:c r="N5" s="27" t="str">
        <x:v>https://www.kawasakiport.or.jp/</x:v>
      </x:c>
      <x:c r="O5" s="27" t="str">
        <x:v>『マリエン』はMarineとEntranceを組み合わせた愛称で、川崎港の交流拠点として造られた。</x:v>
      </x:c>
      <x:c r="P5" s="84" t="e">
        <x:f>HYPERLINK("https://ja.wikipedia.org/wiki/Special:Search?search=%E5%B7%9D%E5%B4%8E%E3%83%9E%E3%83%AA%E3%82%A8%E3%83%B3","Wikipedia・関連項目")</x:f>
      </x:c>
      <x:c r="Q5" s="27"/>
      <x:c r="R5" s="27" t="str">
        <x:v>10〜20km</x:v>
      </x:c>
      <x:c r="S5" s="27" t="str">
        <x:v>概ね10〜20km</x:v>
      </x:c>
      <x:c r="T5" s="27" t="str">
        <x:v>通常25〜50分</x:v>
      </x:c>
      <x:c r="U5" s="27" t="str">
        <x:v>工場夜景</x:v>
      </x:c>
      <x:c r="V5" s="27" t="str">
        <x:v>30〜60分</x:v>
      </x:c>
      <x:c r="W5" s="27" t="n">
        <x:v>2</x:v>
      </x:c>
      <x:c r="X5" s="27" t="n">
        <x:v>4</x:v>
      </x:c>
      <x:c r="Y5" s="27" t="str">
        <x:v>川崎マリエン</x:v>
      </x:c>
      <x:c r="Z5" s="27" t="str">
        <x:v>東扇島東公園／ちどり公園</x:v>
      </x:c>
      <x:c r="AA5" s="22" t="str">
        <x:v>なし</x:v>
      </x:c>
      <x:c r="AB5" s="22" t="str">
        <x:v>-</x:v>
      </x:c>
      <x:c r="AC5" s="22" t="str"/>
      <x:c r="AD5" s="22" t="str">
        <x:v>専用・路外駐車を基本</x:v>
      </x:c>
      <x:c r="AE5" s="22" t="str"/>
    </x:row>
    <x:row r="6">
      <x:c r="A6" s="27" t="str">
        <x:v>D023</x:v>
      </x:c>
      <x:c r="B6" s="27" t="str">
        <x:v>晴海ふ頭公園</x:v>
      </x:c>
      <x:c r="C6" s="27" t="str">
        <x:v>中央区・晴海</x:v>
      </x:c>
      <x:c r="D6" s="27" t="str">
        <x:v>港・都市夜景・Story</x:v>
      </x:c>
      <x:c r="E6" s="48" t="e">
        <x:f>HYPERLINK("https://www.google.com/maps/dir/?api=1&amp;destination=%E6%99%B4%E6%B5%B7%E3%81%B5%E9%A0%AD%E5%85%AC%E5%9C%92&amp;travelmode=driving","現在地からナビ開始")</x:f>
      </x:c>
      <x:c r="F6" s="27" t="str">
        <x:v>東京港とTOKYOモニュメントが重なる都市型Ending。</x:v>
      </x:c>
      <x:c r="G6" s="27" t="str">
        <x:v>あり・小規模有料</x:v>
      </x:c>
      <x:c r="H6" s="27" t="str">
        <x:v>駐車場 24時間／点灯は日没～23時目安</x:v>
      </x:c>
      <x:c r="I6" s="27" t="n">
        <x:v>5</x:v>
      </x:c>
      <x:c r="J6" s="27" t="n">
        <x:v>4</x:v>
      </x:c>
      <x:c r="K6" s="27" t="str">
        <x:v>台数が少なくイベント時は入庫待ちに注意。</x:v>
      </x:c>
      <x:c r="L6" s="28" t="n">
        <x:v>46232</x:v>
      </x:c>
      <x:c r="M6" s="27" t="str">
        <x:v>一次確認済</x:v>
      </x:c>
      <x:c r="N6" s="27" t="str">
        <x:v>https://www.tptc.co.jp/park/02_01</x:v>
      </x:c>
      <x:c r="O6" s="27" t="str">
        <x:v>晴海は戦後の東京国際見本市会場として発展し、近年は東京2020大会の選手村が置かれた。</x:v>
      </x:c>
      <x:c r="P6" s="84" t="e">
        <x:f>HYPERLINK("https://ja.wikipedia.org/wiki/Special:Search?search=%E6%99%B4%E6%B5%B7%E3%81%B5%E9%A0%AD%E5%85%AC%E5%9C%92","Wikipedia・関連項目")</x:f>
      </x:c>
      <x:c r="Q6" s="27"/>
      <x:c r="R6" s="27" t="str">
        <x:v>10〜20km</x:v>
      </x:c>
      <x:c r="S6" s="27" t="str">
        <x:v>概ね10〜20km</x:v>
      </x:c>
      <x:c r="T6" s="27" t="str">
        <x:v>通常25〜50分</x:v>
      </x:c>
      <x:c r="U6" s="27" t="str">
        <x:v>海・港</x:v>
      </x:c>
      <x:c r="V6" s="27" t="str">
        <x:v>30〜60分</x:v>
      </x:c>
      <x:c r="W6" s="27" t="n">
        <x:v>2</x:v>
      </x:c>
      <x:c r="X6" s="27" t="n">
        <x:v>3</x:v>
      </x:c>
      <x:c r="Y6" s="27" t="str">
        <x:v>城南島海浜公園</x:v>
      </x:c>
      <x:c r="Z6" s="27" t="str">
        <x:v>潮風公園／晴海ふ頭公園</x:v>
      </x:c>
      <x:c r="AA6" s="22" t="str">
        <x:v>なし</x:v>
      </x:c>
      <x:c r="AB6" s="22" t="str">
        <x:v>-</x:v>
      </x:c>
      <x:c r="AC6" s="22" t="str"/>
      <x:c r="AD6" s="22" t="str">
        <x:v>専用・路外駐車を基本</x:v>
      </x:c>
      <x:c r="AE6" s="22" t="str"/>
    </x:row>
    <x:row r="7">
      <x:c r="A7" s="27" t="str">
        <x:v>D146</x:v>
      </x:c>
      <x:c r="B7" s="27" t="str">
        <x:v>東扇島西公園</x:v>
      </x:c>
      <x:c r="C7" s="27" t="str">
        <x:v>川崎市・東扇島</x:v>
      </x:c>
      <x:c r="D7" s="27" t="str">
        <x:v>港・行き止まり・釣り</x:v>
      </x:c>
      <x:c r="E7" s="48" t="e">
        <x:f>HYPERLINK("https://www.google.com/maps/dir/?api=1&amp;destination=%E6%9D%B1%E6%89%87%E5%B3%B6%E8%A5%BF%E5%85%AC%E5%9C%92&amp;travelmode=driving","現在地からナビ開始")</x:f>
      </x:c>
      <x:c r="F7" s="27" t="str">
        <x:v>東扇島の西端まで走り切り、東京湾・船舶・工業港湾を眺める行き止まり型Ending。</x:v>
      </x:c>
      <x:c r="G7" s="27" t="str">
        <x:v>第1・第2駐車場 合計172台・有料・24時間</x:v>
      </x:c>
      <x:c r="H7" s="27" t="str">
        <x:v>公園・駐車場24時間</x:v>
      </x:c>
      <x:c r="I7" s="27" t="n">
        <x:v>5</x:v>
      </x:c>
      <x:c r="J7" s="27" t="n">
        <x:v>4</x:v>
      </x:c>
      <x:c r="K7" s="27" t="str">
        <x:v>土日祝・釣り時間帯は混雑。路上駐車・アイドリング禁止。臨時閉鎖を当日確認。</x:v>
      </x:c>
      <x:c r="L7" s="28" t="n">
        <x:v>46232</x:v>
      </x:c>
      <x:c r="M7" s="27" t="str">
        <x:v>一次確認済</x:v>
      </x:c>
      <x:c r="N7" s="27" t="str">
        <x:v>https://www.city.kawasaki.jp/580/page/0000001336.html</x:v>
      </x:c>
      <x:c r="O7" s="27" t="str">
        <x:v>東扇島は川崎港の物流機能拡張のため造成された人工島で、首都圏の国際物流拠点の一つ。</x:v>
      </x:c>
      <x:c r="P7" s="84" t="e">
        <x:f>HYPERLINK("https://ja.wikipedia.org/wiki/Special:Search?search=%E6%9D%B1%E6%89%87%E5%B3%B6%E8%A5%BF%E5%85%AC%E5%9C%92","Wikipedia・関連項目")</x:f>
      </x:c>
      <x:c r="Q7" s="27" t="str">
        <x:v>2026-07-29公式再確認：172台・24時間を深夜最終目的地条件へ反映。</x:v>
      </x:c>
      <x:c r="R7" s="27" t="str">
        <x:v>10〜20km</x:v>
      </x:c>
      <x:c r="S7" s="27" t="str">
        <x:v>概ね10〜20km</x:v>
      </x:c>
      <x:c r="T7" s="27" t="str">
        <x:v>通常25〜50分</x:v>
      </x:c>
      <x:c r="U7" s="27" t="str">
        <x:v>海・港</x:v>
      </x:c>
      <x:c r="V7" s="27" t="str">
        <x:v>30〜90分</x:v>
      </x:c>
      <x:c r="W7" s="27" t="n">
        <x:v>2</x:v>
      </x:c>
      <x:c r="X7" s="27" t="n">
        <x:v>3</x:v>
      </x:c>
      <x:c r="Y7" s="27" t="str">
        <x:v>城南島海浜公園</x:v>
      </x:c>
      <x:c r="Z7" s="27" t="str">
        <x:v>潮風公園／晴海ふ頭公園</x:v>
      </x:c>
      <x:c r="AA7" s="22" t="str">
        <x:v>なし</x:v>
      </x:c>
      <x:c r="AB7" s="22" t="str">
        <x:v>-</x:v>
      </x:c>
      <x:c r="AC7" s="22" t="str"/>
      <x:c r="AD7" s="22" t="str">
        <x:v>専用・路外駐車を基本</x:v>
      </x:c>
      <x:c r="AE7" s="22" t="str"/>
    </x:row>
    <x:row r="8">
      <x:c r="A8" s="27" t="str">
        <x:v>D058</x:v>
      </x:c>
      <x:c r="B8" s="27" t="str">
        <x:v>浦安市総合公園</x:v>
      </x:c>
      <x:c r="C8" s="27" t="str">
        <x:v>浦安市・明海</x:v>
      </x:c>
      <x:c r="D8" s="27" t="str">
        <x:v>海・芝生・夜間公園</x:v>
      </x:c>
      <x:c r="E8" s="48" t="e">
        <x:f>HYPERLINK("https://www.google.com/maps/dir/?api=1&amp;destination=%E6%B5%A6%E5%AE%89%E5%B8%82%E7%B7%8F%E5%90%88%E5%85%AC%E5%9C%92&amp;travelmode=driving","現在地からナビ開始")</x:f>
      </x:c>
      <x:c r="F8" s="27" t="str">
        <x:v>海沿いの広い芝生と新浦安の灯りがあり、深夜にも使える穏やかな湾岸Ending。</x:v>
      </x:c>
      <x:c r="G8" s="27" t="str">
        <x:v>あり・251台・有料</x:v>
      </x:c>
      <x:c r="H8" s="27" t="str">
        <x:v>駐車場 終日利用可</x:v>
      </x:c>
      <x:c r="I8" s="27" t="n">
        <x:v>5</x:v>
      </x:c>
      <x:c r="J8" s="27" t="n">
        <x:v>4</x:v>
      </x:c>
      <x:c r="K8" s="27" t="str">
        <x:v>海側は風が強い。住宅・ホテルに近いため静粛に。</x:v>
      </x:c>
      <x:c r="L8" s="28" t="n">
        <x:v>46232</x:v>
      </x:c>
      <x:c r="M8" s="27" t="str">
        <x:v>一次確認済</x:v>
      </x:c>
      <x:c r="N8" s="27" t="str">
        <x:v>https://www.city.urayasu.lg.jp/shisetsu/kouen/1005625.html</x:v>
      </x:c>
      <x:c r="O8" s="27" t="str">
        <x:v>浦安の海側は大規模埋立地で、漁村だった浦安が住宅・リゾート都市へ変わった歴史を象徴する。</x:v>
      </x:c>
      <x:c r="P8" s="84" t="e">
        <x:f>HYPERLINK("https://ja.wikipedia.org/wiki/Special:Search?search=%E6%B5%A6%E5%AE%89%E5%B8%82%E7%B7%8F%E5%90%88%E5%85%AC%E5%9C%92","Wikipedia・関連項目")</x:f>
      </x:c>
      <x:c r="Q8" s="27"/>
      <x:c r="R8" s="27" t="str">
        <x:v>20〜25km</x:v>
      </x:c>
      <x:c r="S8" s="27" t="str">
        <x:v>概ね20〜25km</x:v>
      </x:c>
      <x:c r="T8" s="27" t="str">
        <x:v>通常40〜70分</x:v>
      </x:c>
      <x:c r="U8" s="27" t="str">
        <x:v>海・港</x:v>
      </x:c>
      <x:c r="V8" s="27" t="str">
        <x:v>30〜90分</x:v>
      </x:c>
      <x:c r="W8" s="27" t="n">
        <x:v>1</x:v>
      </x:c>
      <x:c r="X8" s="27" t="n">
        <x:v>3</x:v>
      </x:c>
      <x:c r="Y8" s="27" t="str">
        <x:v>城南島海浜公園</x:v>
      </x:c>
      <x:c r="Z8" s="27" t="str">
        <x:v>潮風公園／晴海ふ頭公園</x:v>
      </x:c>
      <x:c r="AA8" s="22" t="str">
        <x:v>なし</x:v>
      </x:c>
      <x:c r="AB8" s="22" t="str">
        <x:v>-</x:v>
      </x:c>
      <x:c r="AC8" s="22" t="str"/>
      <x:c r="AD8" s="22" t="str">
        <x:v>専用・路外駐車を基本</x:v>
      </x:c>
      <x:c r="AE8" s="22" t="str"/>
    </x:row>
    <x:row r="9">
      <x:c r="A9" s="27" t="str">
        <x:v>D181</x:v>
      </x:c>
      <x:c r="B9" s="27" t="str">
        <x:v>高洲海浜公園</x:v>
      </x:c>
      <x:c r="C9" s="27" t="str">
        <x:v>浦安市・高洲</x:v>
      </x:c>
      <x:c r="D9" s="27" t="str">
        <x:v>海・展望の丘・24時間駐車</x:v>
      </x:c>
      <x:c r="E9" s="48" t="e">
        <x:f>HYPERLINK("https://www.google.com/maps/dir/?api=1&amp;destination=%E9%AB%98%E6%B4%B2%E6%B5%B7%E6%B5%9C%E5%85%AC%E5%9C%92&amp;travelmode=driving","現在地からナビ開始")</x:f>
      </x:c>
      <x:c r="F9" s="27" t="str">
        <x:v>芝生、展望の丘、テラス式海岸を備え、東京湾の風と新浦安の街明かりを安全な駐車場から楽しめる。</x:v>
      </x:c>
      <x:c r="G9" s="27" t="str">
        <x:v>あり・152台・有料</x:v>
      </x:c>
      <x:c r="H9" s="27" t="str">
        <x:v>駐車場 年中無休・終日利用可</x:v>
      </x:c>
      <x:c r="I9" s="27" t="n">
        <x:v>5</x:v>
      </x:c>
      <x:c r="J9" s="27" t="n">
        <x:v>4</x:v>
      </x:c>
      <x:c r="K9" s="27" t="str">
        <x:v>海沿いは強風になりやすい。火気禁止。深夜は住宅地側への騒音と長時間滞在を避ける。</x:v>
      </x:c>
      <x:c r="L9" s="28" t="n">
        <x:v>46232</x:v>
      </x:c>
      <x:c r="M9" s="27" t="str">
        <x:v>一次確認済</x:v>
      </x:c>
      <x:c r="N9" s="27" t="str">
        <x:v>https://www.city.urayasu.lg.jp/shisetsu/kouen/1005634.html</x:v>
      </x:c>
      <x:c r="O9" s="27" t="str">
        <x:v>高洲は東京湾岸の埋立地として形成され、新浦安の住宅地と海辺の公共空間が隣り合う地区である。</x:v>
      </x:c>
      <x:c r="P9" s="84" t="e">
        <x:f>HYPERLINK("https://ja.wikipedia.org/wiki/Special:Search?search=%E9%AB%98%E6%B4%B2%E6%B5%B7%E6%B5%9C%E5%85%AC%E5%9C%92","Wikipedia・関連項目")</x:f>
      </x:c>
      <x:c r="Q9" s="27" t="str">
        <x:v>新規追加。24時間駐車可能な海辺Endingとして採用。</x:v>
      </x:c>
      <x:c r="R9" s="27" t="str">
        <x:v>20〜25km</x:v>
      </x:c>
      <x:c r="S9" s="27" t="str">
        <x:v>概ね20〜25km</x:v>
      </x:c>
      <x:c r="T9" s="27" t="str">
        <x:v>通常40〜70分</x:v>
      </x:c>
      <x:c r="U9" s="27" t="str">
        <x:v>海・港</x:v>
      </x:c>
      <x:c r="V9" s="27" t="str">
        <x:v>30〜60分</x:v>
      </x:c>
      <x:c r="W9" s="27" t="n">
        <x:v>1</x:v>
      </x:c>
      <x:c r="X9" s="27" t="n">
        <x:v>3</x:v>
      </x:c>
      <x:c r="Y9" s="27" t="str">
        <x:v>城南島海浜公園</x:v>
      </x:c>
      <x:c r="Z9" s="27" t="str">
        <x:v>潮風公園／晴海ふ頭公園</x:v>
      </x:c>
      <x:c r="AA9" s="22" t="str">
        <x:v>なし</x:v>
      </x:c>
      <x:c r="AB9" s="22" t="str">
        <x:v>-</x:v>
      </x:c>
      <x:c r="AC9" s="22" t="str"/>
      <x:c r="AD9" s="22" t="str">
        <x:v>専用・路外駐車を基本</x:v>
      </x:c>
      <x:c r="AE9" s="22" t="str"/>
    </x:row>
    <x:row r="10">
      <x:c r="A10" s="27" t="str">
        <x:v>D245</x:v>
      </x:c>
      <x:c r="B10" s="27" t="str">
        <x:v>HANEDA INNOVATION CITY 足湯スカイデッキ</x:v>
      </x:c>
      <x:c r="C10" s="27" t="str">
        <x:v>大田区・天空橋</x:v>
      </x:c>
      <x:c r="D10" s="27" t="str">
        <x:v>足湯・飛行機・夜景</x:v>
      </x:c>
      <x:c r="E10" s="48" t="e">
        <x:f>HYPERLINK("https://www.google.com/maps/dir/?api=1&amp;destination=HANEDA%20INNOVATION%20CITY%20%E8%B6%B3%E6%B9%AF%E3%82%B9%E3%82%AB%E3%82%A4%E3%83%87%E3%83%83%E3%82%AD&amp;travelmode=driving","現在地からナビ開始")</x:f>
      </x:c>
      <x:c r="F10" s="27" t="str">
        <x:v>無料の足湯に浸かりながら飛行機を眺められ、短時間でも『出かけた満足感』が非常に高い。</x:v>
      </x:c>
      <x:c r="G10" s="27" t="str">
        <x:v>HIC P1 190台・24時間／P2 18台・7:00～23:00</x:v>
      </x:c>
      <x:c r="H10" s="27" t="str">
        <x:v>足湯5:30～23:30</x:v>
      </x:c>
      <x:c r="I10" s="27" t="n">
        <x:v>5</x:v>
      </x:c>
      <x:c r="J10" s="27" t="n">
        <x:v>3</x:v>
      </x:c>
      <x:c r="K10" s="27" t="str">
        <x:v>貸切利用時は入場不可。食事は禁止。深夜帯は静粛にし、P2は営業時間外出庫不可。</x:v>
      </x:c>
      <x:c r="L10" s="28" t="n">
        <x:v>46232</x:v>
      </x:c>
      <x:c r="M10" s="27" t="str">
        <x:v>一次確認済</x:v>
      </x:c>
      <x:c r="N10" s="27" t="str">
        <x:v>https://haneda-innovation-city.com/facility/page/2/</x:v>
      </x:c>
      <x:c r="O10" s="27" t="str">
        <x:v>羽田空港跡地に整備されたイノベーション拠点の屋上施設で、足湯と航空機撮影を組み合わせた珍しい公共的空間。</x:v>
      </x:c>
      <x:c r="P10" s="84" t="e">
        <x:f>HYPERLINK("https://ja.wikipedia.org/wiki/Special:Search?search=HANEDA%20INNOVATION%20CITY%20%E8%B6%B3%E6%B9%AF%E3%82%B9%E3%82%AB%E3%82%A4%E3%83%87%E3%83%83%E3%82%AD","Wikipedia・関連項目")</x:f>
      </x:c>
      <x:c r="Q10" s="27" t="str">
        <x:v>近距離コア新規追加</x:v>
      </x:c>
      <x:c r="R10" s="27" t="str">
        <x:v>0〜10km</x:v>
      </x:c>
      <x:c r="S10" s="27" t="str">
        <x:v>蒲田から約6〜9km</x:v>
      </x:c>
      <x:c r="T10" s="27" t="str">
        <x:v>通常15〜30分</x:v>
      </x:c>
      <x:c r="U10" s="27" t="str">
        <x:v>平日夜・雨上がり・飛行機</x:v>
      </x:c>
      <x:c r="V10" s="27" t="str">
        <x:v>20〜60分</x:v>
      </x:c>
      <x:c r="W10" s="27" t="n">
        <x:v>3</x:v>
      </x:c>
      <x:c r="X10" s="27" t="n">
        <x:v>3</x:v>
      </x:c>
      <x:c r="Y10" s="27" t="str">
        <x:v>羽田空港 第3ターミナル展望デッキ</x:v>
      </x:c>
      <x:c r="Z10" s="27" t="str">
        <x:v>ソラムナード羽田緑地／森ケ崎公園</x:v>
      </x:c>
      <x:c r="AA10" s="22" t="str">
        <x:v>なし</x:v>
      </x:c>
      <x:c r="AB10" s="22" t="str">
        <x:v>-</x:v>
      </x:c>
      <x:c r="AC10" s="22" t="str"/>
      <x:c r="AD10" s="22" t="str">
        <x:v>専用・路外駐車を基本</x:v>
      </x:c>
      <x:c r="AE10" s="22" t="str"/>
    </x:row>
    <x:row r="11">
      <x:c r="A11" s="27" t="str">
        <x:v>D144</x:v>
      </x:c>
      <x:c r="B11" s="27" t="str">
        <x:v>武蔵野の森公園</x:v>
      </x:c>
      <x:c r="C11" s="27" t="str">
        <x:v>府中市・調布市・三鷹市</x:v>
      </x:c>
      <x:c r="D11" s="27" t="str">
        <x:v>飛行機・広い空・24時間駐車</x:v>
      </x:c>
      <x:c r="E11" s="48" t="e">
        <x:f>HYPERLINK("https://www.google.com/maps/dir/?api=1&amp;destination=%E6%AD%A6%E8%94%B5%E9%87%8E%E3%81%AE%E6%A3%AE%E5%85%AC%E5%9C%92&amp;travelmode=driving","現在地からナビ開始")</x:f>
      </x:c>
      <x:c r="F11" s="27" t="str">
        <x:v>調布飛行場に隣接し、小型機の離着陸と広い空を眺められる航空系の安定候補。</x:v>
      </x:c>
      <x:c r="G11" s="27" t="str">
        <x:v>第1駐車場90台／第2駐車場143台・有料・24時間</x:v>
      </x:c>
      <x:c r="H11" s="27" t="str">
        <x:v>公園常時／駐車場24時間／北南プロムナード9:00～16:30</x:v>
      </x:c>
      <x:c r="I11" s="27" t="n">
        <x:v>5</x:v>
      </x:c>
      <x:c r="J11" s="27" t="n">
        <x:v>3</x:v>
      </x:c>
      <x:c r="K11" s="27" t="str">
        <x:v>夜間は北地区・南地区を結ぶプロムナードが閉鎖。飛行場側の明るい範囲を利用。</x:v>
      </x:c>
      <x:c r="L11" s="28" t="n">
        <x:v>46232</x:v>
      </x:c>
      <x:c r="M11" s="27" t="str">
        <x:v>一次確認済</x:v>
      </x:c>
      <x:c r="N11" s="27" t="str">
        <x:v>https://www.tokyo-park.or.jp/park/musashino-no-mori/index.html</x:v>
      </x:c>
      <x:c r="O11" s="27" t="str">
        <x:v>調布飛行場は戦時中に陸軍飛行場として整備され、現在は伊豆諸島への定期便が発着する。</x:v>
      </x:c>
      <x:c r="P11" s="84" t="e">
        <x:f>HYPERLINK("https://ja.wikipedia.org/wiki/Special:Search?search=%E6%AD%A6%E8%94%B5%E9%87%8E%E3%81%AE%E6%A3%AE%E5%85%AC%E5%9C%92","Wikipedia・関連項目")</x:f>
      </x:c>
      <x:c r="Q11" s="27" t="str">
        <x:v>2026-07-29公式再確認：第1・第2駐車場計233台・24時間、プロムナード16:30閉鎖を反映。</x:v>
      </x:c>
      <x:c r="R11" s="27" t="str">
        <x:v>20〜25km</x:v>
      </x:c>
      <x:c r="S11" s="27" t="str">
        <x:v>概ね20〜25km</x:v>
      </x:c>
      <x:c r="T11" s="27" t="str">
        <x:v>通常40〜70分</x:v>
      </x:c>
      <x:c r="U11" s="27" t="str">
        <x:v>飛行機</x:v>
      </x:c>
      <x:c r="V11" s="27" t="str">
        <x:v>30〜60分</x:v>
      </x:c>
      <x:c r="W11" s="27" t="n">
        <x:v>2</x:v>
      </x:c>
      <x:c r="X11" s="27" t="n">
        <x:v>4</x:v>
      </x:c>
      <x:c r="Y11" s="27" t="str">
        <x:v>城南島海浜公園</x:v>
      </x:c>
      <x:c r="Z11" s="27" t="str">
        <x:v>京浜島つばさ公園／羽田空港 第3ターミナル展望デッキ</x:v>
      </x:c>
      <x:c r="AA11" s="22" t="str">
        <x:v>なし</x:v>
      </x:c>
      <x:c r="AB11" s="22" t="str">
        <x:v>-</x:v>
      </x:c>
      <x:c r="AC11" s="22" t="str"/>
      <x:c r="AD11" s="22" t="str">
        <x:v>専用・路外駐車を基本</x:v>
      </x:c>
      <x:c r="AE11" s="22" t="str"/>
    </x:row>
    <x:row r="12">
      <x:c r="A12" s="27" t="str">
        <x:v>D005</x:v>
      </x:c>
      <x:c r="B12" s="27" t="str">
        <x:v>潮風公園</x:v>
      </x:c>
      <x:c r="C12" s="27" t="str">
        <x:v>港区・台場</x:v>
      </x:c>
      <x:c r="D12" s="27" t="str">
        <x:v>海・都市夜景</x:v>
      </x:c>
      <x:c r="E12" s="48" t="e">
        <x:f>HYPERLINK("https://www.google.com/maps/dir/?api=1&amp;destination=%E6%BD%AE%E9%A2%A8%E5%85%AC%E5%9C%92&amp;travelmode=driving","現在地からナビ開始")</x:f>
      </x:c>
      <x:c r="F12" s="27" t="str">
        <x:v>海辺でレインボーブリッジと都心の灯りを眺め、余韻を作りやすい。</x:v>
      </x:c>
      <x:c r="G12" s="27" t="str">
        <x:v>あり・有料</x:v>
      </x:c>
      <x:c r="H12" s="27" t="str">
        <x:v>駐車場 24時間</x:v>
      </x:c>
      <x:c r="I12" s="27" t="n">
        <x:v>5</x:v>
      </x:c>
      <x:c r="J12" s="27" t="n">
        <x:v>3</x:v>
      </x:c>
      <x:c r="K12" s="27" t="str">
        <x:v>イベント・工事による部分閉鎖を当日確認。集会や騒音行為は禁止。</x:v>
      </x:c>
      <x:c r="L12" s="28" t="n">
        <x:v>46232</x:v>
      </x:c>
      <x:c r="M12" s="27" t="str">
        <x:v>一次確認済</x:v>
      </x:c>
      <x:c r="N12" s="27" t="str">
        <x:v>https://www.tokyo-park.or.jp/park/shiokaze/index.html</x:v>
      </x:c>
      <x:c r="O12" s="27" t="str">
        <x:v>『お台場』の名は、江戸幕府が黒船来航に備えて東京湾に築いた砲台＝台場に由来する。</x:v>
      </x:c>
      <x:c r="P12" s="84" t="e">
        <x:f>HYPERLINK("https://ja.wikipedia.org/wiki/Special:Search?search=%E6%BD%AE%E9%A2%A8%E5%85%AC%E5%9C%92","Wikipedia・関連項目")</x:f>
      </x:c>
      <x:c r="Q12" s="27"/>
      <x:c r="R12" s="27" t="str">
        <x:v>10〜20km</x:v>
      </x:c>
      <x:c r="S12" s="27" t="str">
        <x:v>概ね10〜20km</x:v>
      </x:c>
      <x:c r="T12" s="27" t="str">
        <x:v>通常25〜50分</x:v>
      </x:c>
      <x:c r="U12" s="27" t="str">
        <x:v>海・港</x:v>
      </x:c>
      <x:c r="V12" s="27" t="str">
        <x:v>30〜60分</x:v>
      </x:c>
      <x:c r="W12" s="27" t="n">
        <x:v>1</x:v>
      </x:c>
      <x:c r="X12" s="27" t="n">
        <x:v>3</x:v>
      </x:c>
      <x:c r="Y12" s="27" t="str">
        <x:v>城南島海浜公園</x:v>
      </x:c>
      <x:c r="Z12" s="27" t="str">
        <x:v>潮風公園／晴海ふ頭公園</x:v>
      </x:c>
      <x:c r="AA12" s="22" t="str">
        <x:v>なし</x:v>
      </x:c>
      <x:c r="AB12" s="22" t="str">
        <x:v>-</x:v>
      </x:c>
      <x:c r="AC12" s="22" t="str"/>
      <x:c r="AD12" s="22" t="str">
        <x:v>専用・路外駐車を基本</x:v>
      </x:c>
      <x:c r="AE12" s="22" t="str"/>
    </x:row>
    <x:row r="13">
      <x:c r="A13" s="27" t="str">
        <x:v>D022</x:v>
      </x:c>
      <x:c r="B13" s="27" t="str">
        <x:v>豊洲ぐるり公園</x:v>
      </x:c>
      <x:c r="C13" s="27" t="str">
        <x:v>江東区・豊洲</x:v>
      </x:c>
      <x:c r="D13" s="27" t="str">
        <x:v>都市夜景・水辺</x:v>
      </x:c>
      <x:c r="E13" s="48" t="e">
        <x:f>HYPERLINK("https://www.google.com/maps/dir/?api=1&amp;destination=%E8%B1%8A%E6%B4%B2%E3%81%90%E3%82%8B%E3%82%8A%E5%85%AC%E5%9C%92&amp;travelmode=driving","現在地からナビ開始")</x:f>
      </x:c>
      <x:c r="F13" s="27" t="str">
        <x:v>レインボーブリッジと都心の高層群を水辺越しに眺め、歩いて余韻を作れる。</x:v>
      </x:c>
      <x:c r="G13" s="27" t="str">
        <x:v>あり・有料</x:v>
      </x:c>
      <x:c r="H13" s="27" t="str">
        <x:v>駐車場 終日</x:v>
      </x:c>
      <x:c r="I13" s="27" t="n">
        <x:v>5</x:v>
      </x:c>
      <x:c r="J13" s="27" t="n">
        <x:v>3</x:v>
      </x:c>
      <x:c r="K13" s="27" t="str">
        <x:v>市場周辺イベント時は混雑。駐車位置と見たい景色の位置関係を確認。</x:v>
      </x:c>
      <x:c r="L13" s="28" t="n">
        <x:v>46232</x:v>
      </x:c>
      <x:c r="M13" s="27" t="str">
        <x:v>一次確認済</x:v>
      </x:c>
      <x:c r="N13" s="27" t="str">
        <x:v>https://www.city.koto.lg.jp/470705/kasenkouen/toyosugururipark.html</x:v>
      </x:c>
      <x:c r="O13" s="27" t="str">
        <x:v>豊洲は関東大震災の瓦礫なども利用して造成された埋立地で、工業地から住宅・市場地区へ大転換した。</x:v>
      </x:c>
      <x:c r="P13" s="84" t="e">
        <x:f>HYPERLINK("https://ja.wikipedia.org/wiki/Special:Search?search=%E8%B1%8A%E6%B4%B2%E3%81%90%E3%82%8B%E3%82%8A%E5%85%AC%E5%9C%92","Wikipedia・関連項目")</x:f>
      </x:c>
      <x:c r="Q13" s="27"/>
      <x:c r="R13" s="27" t="str">
        <x:v>10〜20km</x:v>
      </x:c>
      <x:c r="S13" s="27" t="str">
        <x:v>概ね10〜20km</x:v>
      </x:c>
      <x:c r="T13" s="27" t="str">
        <x:v>通常25〜50分</x:v>
      </x:c>
      <x:c r="U13" s="27" t="str">
        <x:v>平日夜・深夜</x:v>
      </x:c>
      <x:c r="V13" s="27" t="str">
        <x:v>30〜60分</x:v>
      </x:c>
      <x:c r="W13" s="27" t="n">
        <x:v>2</x:v>
      </x:c>
      <x:c r="X13" s="27" t="n">
        <x:v>3</x:v>
      </x:c>
      <x:c r="Y13" s="27" t="str">
        <x:v>羽田空港 第3ターミナル展望デッキ</x:v>
      </x:c>
      <x:c r="Z13" s="27" t="str">
        <x:v>城南島海浜公園／潮風公園</x:v>
      </x:c>
      <x:c r="AA13" s="22" t="str">
        <x:v>なし</x:v>
      </x:c>
      <x:c r="AB13" s="22" t="str">
        <x:v>-</x:v>
      </x:c>
      <x:c r="AC13" s="22" t="str"/>
      <x:c r="AD13" s="22" t="str">
        <x:v>専用・路外駐車を基本</x:v>
      </x:c>
      <x:c r="AE13" s="22" t="str"/>
    </x:row>
    <x:row r="14">
      <x:c r="A14" s="27" t="str">
        <x:v>D252</x:v>
      </x:c>
      <x:c r="B14" s="27" t="str">
        <x:v>豊洲市場 屋上緑化広場</x:v>
      </x:c>
      <x:c r="C14" s="27" t="str">
        <x:v>江東区・豊洲</x:v>
      </x:c>
      <x:c r="D14" s="27" t="str">
        <x:v>屋上芝生・市場・湾岸展望</x:v>
      </x:c>
      <x:c r="E14" s="48" t="e">
        <x:f>HYPERLINK("https://www.google.com/maps/dir/?api=1&amp;destination=%E8%B1%8A%E6%B4%B2%E5%B8%82%E5%A0%B4%20%E5%B1%8B%E4%B8%8A%E7%B7%91%E5%8C%96%E5%BA%83%E5%A0%B4&amp;travelmode=driving","現在地からナビ開始")</x:f>
      </x:c>
      <x:c r="F14" s="27" t="str">
        <x:v>市場建築の屋上に広い芝生と東京湾の眺望があり、食・産業・夜景を一地点でつなげられる。</x:v>
      </x:c>
      <x:c r="G14" s="27" t="str">
        <x:v>市場内一般駐車不可／周辺民間駐車場利用</x:v>
      </x:c>
      <x:c r="H14" s="27" t="str">
        <x:v>屋上5:00～23:00</x:v>
      </x:c>
      <x:c r="I14" s="27" t="n">
        <x:v>5</x:v>
      </x:c>
      <x:c r="J14" s="27" t="n">
        <x:v>3</x:v>
      </x:c>
      <x:c r="K14" s="27" t="str">
        <x:v>市場内駐車場は関係者専用。周辺道路は駐停車禁止。雨天時は芝生が滑りやすい。</x:v>
      </x:c>
      <x:c r="L14" s="28" t="n">
        <x:v>46232</x:v>
      </x:c>
      <x:c r="M14" s="27" t="str">
        <x:v>一次確認済</x:v>
      </x:c>
      <x:c r="N14" s="27" t="str">
        <x:v>https://www.shijou.metro.tokyo.lg.jp/info/0/kenngaku/kenngaku1</x:v>
      </x:c>
      <x:c r="O14" s="27" t="str">
        <x:v>築地市場から移転した中央卸売市場の屋上を緑化し、巨大な物流施設を公共的な展望空間として開放している。</x:v>
      </x:c>
      <x:c r="P14" s="84" t="e">
        <x:f>HYPERLINK("https://ja.wikipedia.org/wiki/Special:Search?search=%E8%B1%8A%E6%B4%B2%E5%B8%82%E5%A0%B4%20%E5%B1%8B%E4%B8%8A%E7%B7%91%E5%8C%96%E5%BA%83%E5%A0%B4","Wikipedia・関連項目")</x:f>
      </x:c>
      <x:c r="Q14" s="27" t="str">
        <x:v>近距離コア新規追加</x:v>
      </x:c>
      <x:c r="R14" s="27" t="str">
        <x:v>10〜20km</x:v>
      </x:c>
      <x:c r="S14" s="27" t="str">
        <x:v>蒲田から約16〜22km</x:v>
      </x:c>
      <x:c r="T14" s="27" t="str">
        <x:v>通常30〜55分</x:v>
      </x:c>
      <x:c r="U14" s="27" t="str">
        <x:v>平日夜・市場Story・湾岸</x:v>
      </x:c>
      <x:c r="V14" s="27" t="str">
        <x:v>30〜75分</x:v>
      </x:c>
      <x:c r="W14" s="27" t="n">
        <x:v>2</x:v>
      </x:c>
      <x:c r="X14" s="27" t="n">
        <x:v>1</x:v>
      </x:c>
      <x:c r="Y14" s="27" t="str">
        <x:v>豊洲ぐるり公園</x:v>
      </x:c>
      <x:c r="Z14" s="27" t="str">
        <x:v>晴海ふ頭公園／お台場海浜公園</x:v>
      </x:c>
      <x:c r="AA14" s="22" t="str">
        <x:v>なし</x:v>
      </x:c>
      <x:c r="AB14" s="22" t="str">
        <x:v>-</x:v>
      </x:c>
      <x:c r="AC14" s="22" t="str"/>
      <x:c r="AD14" s="22" t="str">
        <x:v>専用・路外駐車を基本</x:v>
      </x:c>
      <x:c r="AE14" s="22" t="str"/>
    </x:row>
    <x:row r="15">
      <x:c r="A15" s="27" t="str">
        <x:v>D062</x:v>
      </x:c>
      <x:c r="B15" s="27" t="str">
        <x:v>辰巳第一PA</x:v>
      </x:c>
      <x:c r="C15" s="27" t="str">
        <x:v>江東区・辰巳</x:v>
      </x:c>
      <x:c r="D15" s="27" t="str">
        <x:v>PA・高層夜景・首都高</x:v>
      </x:c>
      <x:c r="E15" s="48" t="e">
        <x:f>HYPERLINK("https://www.google.com/maps/dir/?api=1&amp;destination=%E8%BE%B0%E5%B7%B3%E7%AC%AC%E4%B8%80PA&amp;travelmode=driving","現在地からナビ開始")</x:f>
      </x:c>
      <x:c r="F15" s="27" t="str">
        <x:v>湾岸線から都心高層群を見渡せ、短時間で首都高ドライブを締められる。</x:v>
      </x:c>
      <x:c r="G15" s="27" t="str">
        <x:v>あり・普通車29台</x:v>
      </x:c>
      <x:c r="H15" s="27" t="str">
        <x:v>原則24時間、夜間・工事閉鎖あり</x:v>
      </x:c>
      <x:c r="I15" s="27" t="n">
        <x:v>5</x:v>
      </x:c>
      <x:c r="J15" s="27" t="n">
        <x:v>3</x:v>
      </x:c>
      <x:c r="K15" s="27" t="str">
        <x:v>夜間閉鎖や入口規制を確認。撮影・滞留・騒音行為は避ける。</x:v>
      </x:c>
      <x:c r="L15" s="28" t="n">
        <x:v>46232</x:v>
      </x:c>
      <x:c r="M15" s="27" t="str">
        <x:v>当日再確認</x:v>
      </x:c>
      <x:c r="N15" s="27" t="str">
        <x:v>https://www.shutoko-sv.jp/pa/tatsumi-1</x:v>
      </x:c>
      <x:c r="O15" s="27" t="str">
        <x:v>辰巳は東京湾の埋立地で、PAから見える高層住宅群は湾岸部の都市化を象徴する景観である。</x:v>
      </x:c>
      <x:c r="P15" s="84" t="e">
        <x:f>HYPERLINK("https://ja.wikipedia.org/wiki/Special:Search?search=%E8%BE%B0%E5%B7%B3%E7%AC%AC%E4%B8%80PA","Wikipedia・関連項目")</x:f>
      </x:c>
      <x:c r="Q15" s="27"/>
      <x:c r="R15" s="27" t="str">
        <x:v>10〜20km</x:v>
      </x:c>
      <x:c r="S15" s="27" t="str">
        <x:v>概ね10〜20km</x:v>
      </x:c>
      <x:c r="T15" s="27" t="str">
        <x:v>通常25〜50分</x:v>
      </x:c>
      <x:c r="U15" s="27" t="str">
        <x:v>平日夜・深夜</x:v>
      </x:c>
      <x:c r="V15" s="27" t="str">
        <x:v>15〜30分</x:v>
      </x:c>
      <x:c r="W15" s="27" t="n">
        <x:v>4</x:v>
      </x:c>
      <x:c r="X15" s="27" t="n">
        <x:v>4</x:v>
      </x:c>
      <x:c r="Y15" s="27" t="str">
        <x:v>羽田空港 第3ターミナル展望デッキ</x:v>
      </x:c>
      <x:c r="Z15" s="27" t="str">
        <x:v>城南島海浜公園／潮風公園</x:v>
      </x:c>
      <x:c r="AA15" s="22" t="str">
        <x:v>なし</x:v>
      </x:c>
      <x:c r="AB15" s="22" t="str">
        <x:v>-</x:v>
      </x:c>
      <x:c r="AC15" s="22" t="str"/>
      <x:c r="AD15" s="22" t="str">
        <x:v>専用・路外駐車を基本</x:v>
      </x:c>
      <x:c r="AE15" s="22" t="str"/>
    </x:row>
    <x:row r="16">
      <x:c r="A16" s="27" t="str">
        <x:v>D267</x:v>
      </x:c>
      <x:c r="B16" s="27" t="str">
        <x:v>東京シティ競馬 大井競馬場</x:v>
      </x:c>
      <x:c r="C16" s="27" t="str">
        <x:v>品川区・勝島</x:v>
      </x:c>
      <x:c r="D16" s="27" t="str">
        <x:v>ナイター競馬・照明・昭和娯楽Story</x:v>
      </x:c>
      <x:c r="E16" s="48" t="e">
        <x:f>HYPERLINK("https://www.google.com/maps/dir/?api=1&amp;destination=%E6%9D%B1%E4%BA%AC%E3%82%B7%E3%83%86%E3%82%A3%E7%AB%B6%E9%A6%AC%20%E5%A4%A7%E4%BA%95%E7%AB%B6%E9%A6%AC%E5%A0%B4&amp;travelmode=driving","現在地からナビ開始")</x:f>
      </x:c>
      <x:c r="F16" s="27" t="str">
        <x:v>照明、歓声、厩舎文化、運河沿いの巨大施設が一体となる。開催日は単なる観光地ではない強い夜の最終目的地になる。</x:v>
      </x:c>
      <x:c r="G16" s="27" t="str">
        <x:v>開催日の一般車駐車場・通常2,000円／特定繁忙日3,000円・予約制の場合あり</x:v>
      </x:c>
      <x:c r="H16" s="27" t="str">
        <x:v>開催日・開門時刻・最終競走は公式開催案内による</x:v>
      </x:c>
      <x:c r="I16" s="27" t="n">
        <x:v>5</x:v>
      </x:c>
      <x:c r="J16" s="27" t="n">
        <x:v>2</x:v>
      </x:c>
      <x:c r="K16" s="27" t="str">
        <x:v>非開催日は目的地として成立しにくい。繁忙日は完全予約制や料金変更あり。飲酒運転厳禁。</x:v>
      </x:c>
      <x:c r="L16" s="28" t="n">
        <x:v>46232</x:v>
      </x:c>
      <x:c r="M16" s="27" t="str">
        <x:v>一次確認済</x:v>
      </x:c>
      <x:c r="N16" s="27" t="str">
        <x:v>https://www.tokyocitykeiba.com/</x:v>
      </x:c>
      <x:c r="O16" s="27" t="str">
        <x:v>大井競馬場は『東京シティ競馬』の名称で夜間開催を定着させ、都市型ナイター競馬の代表例になった。</x:v>
      </x:c>
      <x:c r="P16" s="84" t="e">
        <x:f>HYPERLINK("https://ja.wikipedia.org/wiki/Special:Search?search=%E6%9D%B1%E4%BA%AC%E3%82%B7%E3%83%86%E3%82%A3%E7%AB%B6%E9%A6%AC%20%E5%A4%A7%E4%BA%95%E7%AB%B6%E9%A6%AC%E5%A0%B4","Wikipedia・関連項目")</x:f>
      </x:c>
      <x:c r="Q16" s="27" t="str">
        <x:v>4区重点追加・品川区</x:v>
      </x:c>
      <x:c r="R16" s="27" t="str">
        <x:v>0〜10km</x:v>
      </x:c>
      <x:c r="S16" s="27" t="str">
        <x:v>蒲田から約7〜10km</x:v>
      </x:c>
      <x:c r="T16" s="27" t="str">
        <x:v>通常20〜35分</x:v>
      </x:c>
      <x:c r="U16" s="27" t="str">
        <x:v>開催日夜・照明・娯楽Story</x:v>
      </x:c>
      <x:c r="V16" s="27" t="str">
        <x:v>90〜180分</x:v>
      </x:c>
      <x:c r="W16" s="27" t="n">
        <x:v>3</x:v>
      </x:c>
      <x:c r="X16" s="27" t="n">
        <x:v>2</x:v>
      </x:c>
      <x:c r="Y16" s="27" t="str">
        <x:v>しながわ区民公園</x:v>
      </x:c>
      <x:c r="Z16" s="27" t="str">
        <x:v>品川歴史館／大井ふ頭中央海浜公園</x:v>
      </x:c>
      <x:c r="AA16" s="22" t="str">
        <x:v>なし</x:v>
      </x:c>
      <x:c r="AB16" s="22" t="str">
        <x:v>-</x:v>
      </x:c>
      <x:c r="AC16" s="22" t="str"/>
      <x:c r="AD16" s="22" t="str">
        <x:v>専用・路外駐車を基本</x:v>
      </x:c>
      <x:c r="AE16" s="22" t="str"/>
    </x:row>
    <x:row r="17">
      <x:c r="A17" s="27" t="str">
        <x:v>D272</x:v>
      </x:c>
      <x:c r="B17" s="27" t="str">
        <x:v>東京都庁展望室</x:v>
      </x:c>
      <x:c r="C17" s="27" t="str">
        <x:v>新宿区・西新宿</x:v>
      </x:c>
      <x:c r="D17" s="27" t="str">
        <x:v>無料展望・超高層建築・都市夜景</x:v>
      </x:c>
      <x:c r="E17" s="48" t="e">
        <x:f>HYPERLINK("https://www.google.com/maps/dir/?api=1&amp;destination=%E6%9D%B1%E4%BA%AC%E9%83%BD%E5%BA%81%E5%B1%95%E6%9C%9B%E5%AE%A4&amp;travelmode=driving","現在地からナビ開始")</x:f>
      </x:c>
      <x:c r="F17" s="27" t="str">
        <x:v>無料で高層夜景を得られ、西新宿の建築群そのものがStoryになる。大田区からの都市ドライブの明確な終点。</x:v>
      </x:c>
      <x:c r="G17" s="27" t="str">
        <x:v>第一本庁舎駐車場・最初の1時間は30分150円、以降30分250円、当日上限2,000円</x:v>
      </x:c>
      <x:c r="H17" s="27" t="str">
        <x:v>駐車場入口8:00または8:30～21:30／出庫22:00まで／展望室は当日公式案内</x:v>
      </x:c>
      <x:c r="I17" s="27" t="n">
        <x:v>5</x:v>
      </x:c>
      <x:c r="J17" s="27" t="n">
        <x:v>2</x:v>
      </x:c>
      <x:c r="K17" s="27" t="str">
        <x:v>22:00を過ぎると出庫不可。都庁通り入口8:30、公園通り入口8:00、入庫締切21:30。展望室休室・入場待ちを確認。</x:v>
      </x:c>
      <x:c r="L17" s="28" t="n">
        <x:v>46232</x:v>
      </x:c>
      <x:c r="M17" s="27" t="str">
        <x:v>一次確認済</x:v>
      </x:c>
      <x:c r="N17" s="27" t="str">
        <x:v>https://www.zaimu.metro.tokyo.lg.jp/tochousha/goannai/shisetsu</x:v>
      </x:c>
      <x:c r="O17" s="27" t="str">
        <x:v>丹下健三設計の東京都庁第一本庁舎は1991年開庁で、西新宿超高層街を代表するポストモダン建築。</x:v>
      </x:c>
      <x:c r="P17" s="84" t="e">
        <x:f>HYPERLINK("https://ja.wikipedia.org/wiki/Special:Search?search=%E6%9D%B1%E4%BA%AC%E9%83%BD%E5%BA%81%E5%B1%95%E6%9C%9B%E5%AE%A4","Wikipedia・関連項目")</x:f>
      </x:c>
      <x:c r="Q17" s="27" t="str">
        <x:v>2026-07-29公式再確認：入口別開始時刻、入庫21:30、出庫22:00、当日上限2,000円を明記。</x:v>
      </x:c>
      <x:c r="R17" s="27" t="str">
        <x:v>10〜20km</x:v>
      </x:c>
      <x:c r="S17" s="27" t="str">
        <x:v>蒲田から約18〜23km</x:v>
      </x:c>
      <x:c r="T17" s="27" t="str">
        <x:v>通常40〜65分</x:v>
      </x:c>
      <x:c r="U17" s="27" t="str">
        <x:v>夜景・建築・無料展望</x:v>
      </x:c>
      <x:c r="V17" s="27" t="str">
        <x:v>45〜90分</x:v>
      </x:c>
      <x:c r="W17" s="27" t="n">
        <x:v>5</x:v>
      </x:c>
      <x:c r="X17" s="27" t="n">
        <x:v>1</x:v>
      </x:c>
      <x:c r="Y17" s="27" t="str">
        <x:v>東京タワー</x:v>
      </x:c>
      <x:c r="Z17" s="27" t="str">
        <x:v>新宿NSビル／新宿御苑</x:v>
      </x:c>
      <x:c r="AA17" s="22" t="str">
        <x:v>西新宿6丁目10付近 時間制限駐車区間</x:v>
      </x:c>
      <x:c r="AB17" s="22" t="str">
        <x:v>B</x:v>
      </x:c>
      <x:c r="AC17" s="22" t="str">
        <x:v>概ね9:00～19:00。詳細は現地標識を確認。</x:v>
      </x:c>
      <x:c r="AD17" s="22" t="str">
        <x:v>昼の外観・新宿中央公園・超高層街の短時間観察のみ。展望室利用や夜間は路外駐車。</x:v>
      </x:c>
      <x:c r="AE17" s="22" t="str">
        <x:v>19時以降を合法とみなさない。駐車禁止併設・工事休止を確認。</x:v>
      </x:c>
    </x:row>
    <x:row r="18">
      <x:c r="A18" s="27" t="str">
        <x:v>D246</x:v>
      </x:c>
      <x:c r="B18" s="27" t="str">
        <x:v>羽田空港 第1ターミナル展望デッキ</x:v>
      </x:c>
      <x:c r="C18" s="27" t="str">
        <x:v>大田区・羽田空港</x:v>
      </x:c>
      <x:c r="D18" s="27" t="str">
        <x:v>飛行機・国内線・空港</x:v>
      </x:c>
      <x:c r="E18" s="48" t="e">
        <x:f>HYPERLINK("https://www.google.com/maps/dir/?api=1&amp;destination=%E7%BE%BD%E7%94%B0%E7%A9%BA%E6%B8%AF%20%E7%AC%AC1%E3%82%BF%E3%83%BC%E3%83%9F%E3%83%8A%E3%83%AB%E5%B1%95%E6%9C%9B%E3%83%87%E3%83%83%E3%82%AD&amp;travelmode=driving","現在地からナビ開始")</x:f>
      </x:c>
      <x:c r="F18" s="27" t="str">
        <x:v>JAL系の国内線機材や滑走路運用を見ながら、空港飲食と組み合わせられる雨天対応の近距離Ending。</x:v>
      </x:c>
      <x:c r="G18" s="27" t="str">
        <x:v>P1 2,351台／P2 2,315台・料金は時期別</x:v>
      </x:c>
      <x:c r="H18" s="27" t="str">
        <x:v>展望デッキ6:30～22:00</x:v>
      </x:c>
      <x:c r="I18" s="27" t="n">
        <x:v>5</x:v>
      </x:c>
      <x:c r="J18" s="27" t="n">
        <x:v>2</x:v>
      </x:c>
      <x:c r="K18" s="27" t="str">
        <x:v>悪天候・保安上の閉鎖あり。多客期5:30～20:00は駐車場が数時間待ちになる場合がある。</x:v>
      </x:c>
      <x:c r="L18" s="28" t="n">
        <x:v>46232</x:v>
      </x:c>
      <x:c r="M18" s="27" t="str">
        <x:v>一次確認済</x:v>
      </x:c>
      <x:c r="N18" s="27" t="str">
        <x:v>https://tokyo-haneda.com/service/facilities/observation_deck.html</x:v>
      </x:c>
      <x:c r="O18" s="27" t="str">
        <x:v>1955年開業の旧国内線ターミナルを起源に持ち、現在も羽田国内線の主要拠点の一つ。</x:v>
      </x:c>
      <x:c r="P18" s="84" t="e">
        <x:f>HYPERLINK("https://ja.wikipedia.org/wiki/Special:Search?search=%E7%BE%BD%E7%94%B0%E7%A9%BA%E6%B8%AF%20%E7%AC%AC1%E3%82%BF%E3%83%BC%E3%83%9F%E3%83%8A%E3%83%AB%E5%B1%95%E6%9C%9B%E3%83%87%E3%83%83%E3%82%AD","Wikipedia・関連項目")</x:f>
      </x:c>
      <x:c r="Q18" s="27" t="str">
        <x:v>近距離コア新規追加</x:v>
      </x:c>
      <x:c r="R18" s="27" t="str">
        <x:v>0〜10km</x:v>
      </x:c>
      <x:c r="S18" s="27" t="str">
        <x:v>蒲田から約9〜13km</x:v>
      </x:c>
      <x:c r="T18" s="27" t="str">
        <x:v>通常20〜40分</x:v>
      </x:c>
      <x:c r="U18" s="27" t="str">
        <x:v>飛行機・雨天・食事</x:v>
      </x:c>
      <x:c r="V18" s="27" t="str">
        <x:v>30〜90分</x:v>
      </x:c>
      <x:c r="W18" s="27" t="n">
        <x:v>4</x:v>
      </x:c>
      <x:c r="X18" s="27" t="n">
        <x:v>2</x:v>
      </x:c>
      <x:c r="Y18" s="27" t="str">
        <x:v>羽田空港 第2ターミナル展望デッキ／FLIGHT DECK TOKYO</x:v>
      </x:c>
      <x:c r="Z18" s="27" t="str">
        <x:v>羽田空港 第3ターミナル展望デッキ／城南島海浜公園</x:v>
      </x:c>
      <x:c r="AA18" s="22" t="str">
        <x:v>なし</x:v>
      </x:c>
      <x:c r="AB18" s="22" t="str">
        <x:v>-</x:v>
      </x:c>
      <x:c r="AC18" s="22" t="str"/>
      <x:c r="AD18" s="22" t="str">
        <x:v>専用・路外駐車を基本</x:v>
      </x:c>
      <x:c r="AE18" s="22" t="str"/>
    </x:row>
    <x:row r="19">
      <x:c r="A19" s="27" t="str">
        <x:v>D247</x:v>
      </x:c>
      <x:c r="B19" s="27" t="str">
        <x:v>羽田空港 第2ターミナル展望デッキ／FLIGHT DECK TOKYO</x:v>
      </x:c>
      <x:c r="C19" s="27" t="str">
        <x:v>大田区・羽田空港</x:v>
      </x:c>
      <x:c r="D19" s="27" t="str">
        <x:v>飛行機・屋内展望・雨天</x:v>
      </x:c>
      <x:c r="E19" s="48" t="e">
        <x:f>HYPERLINK("https://www.google.com/maps/dir/?api=1&amp;destination=%E7%BE%BD%E7%94%B0%E7%A9%BA%E6%B8%AF%20%E7%AC%AC2%E3%82%BF%E3%83%BC%E3%83%9F%E3%83%8A%E3%83%AB%E5%B1%95%E6%9C%9B%E3%83%87%E3%83%83%E3%82%AD%EF%BC%8FFLIGHT%20DECK%20TOKYO&amp;travelmode=driving","現在地からナビ開始")</x:f>
      </x:c>
      <x:c r="F19" s="27" t="str">
        <x:v>屋外デッキと屋内展望フロアを使い分けられ、雨天や強風でも航空機を目的地化しやすい。</x:v>
      </x:c>
      <x:c r="G19" s="27" t="str">
        <x:v>P3 2,449台／P4 3,087台・有料</x:v>
      </x:c>
      <x:c r="H19" s="27" t="str">
        <x:v>屋外展望デッキ6:30～22:00／屋内FLIGHT DECK 5:00～23:00</x:v>
      </x:c>
      <x:c r="I19" s="27" t="n">
        <x:v>5</x:v>
      </x:c>
      <x:c r="J19" s="27" t="n">
        <x:v>2</x:v>
      </x:c>
      <x:c r="K19" s="27" t="str">
        <x:v>悪天候時は屋外閉鎖。多客期は駐車場混雑。雨天ルートでは屋内FLIGHT DECKを優先。</x:v>
      </x:c>
      <x:c r="L19" s="28" t="n">
        <x:v>46232</x:v>
      </x:c>
      <x:c r="M19" s="27" t="str">
        <x:v>一次確認済</x:v>
      </x:c>
      <x:c r="N19" s="27" t="str">
        <x:v>https://tokyo-haneda.com/service/facilities/observation_deck.html</x:v>
      </x:c>
      <x:c r="O19" s="27" t="str">
        <x:v>第2ターミナルはANA系国内線の拠点として開業し、現在は国際線機能も備える。</x:v>
      </x:c>
      <x:c r="P19" s="84" t="e">
        <x:f>HYPERLINK("https://ja.wikipedia.org/wiki/Special:Search?search=%E7%BE%BD%E7%94%B0%E7%A9%BA%E6%B8%AF%20%E7%AC%AC2%E3%82%BF%E3%83%BC%E3%83%9F%E3%83%8A%E3%83%AB%E5%B1%95%E6%9C%9B%E3%83%87%E3%83%83%E3%82%AD%EF%BC%8FFLIGHT%20DECK%20TOKYO","Wikipedia・関連項目")</x:f>
      </x:c>
      <x:c r="Q19" s="27" t="str">
        <x:v>2026-07-29公式再確認：屋外22時、屋内23時、大規模駐車場を反映。</x:v>
      </x:c>
      <x:c r="R19" s="27" t="str">
        <x:v>0〜10km</x:v>
      </x:c>
      <x:c r="S19" s="27" t="str">
        <x:v>蒲田から約10〜14km</x:v>
      </x:c>
      <x:c r="T19" s="27" t="str">
        <x:v>通常25〜45分</x:v>
      </x:c>
      <x:c r="U19" s="27" t="str">
        <x:v>飛行機・雨天・夜</x:v>
      </x:c>
      <x:c r="V19" s="27" t="str">
        <x:v>30〜90分</x:v>
      </x:c>
      <x:c r="W19" s="27" t="n">
        <x:v>5</x:v>
      </x:c>
      <x:c r="X19" s="27" t="n">
        <x:v>2</x:v>
      </x:c>
      <x:c r="Y19" s="27" t="str">
        <x:v>羽田空港 第1ターミナル展望デッキ</x:v>
      </x:c>
      <x:c r="Z19" s="27" t="str">
        <x:v>羽田空港 第3ターミナル展望デッキ／京浜島つばさ公園</x:v>
      </x:c>
      <x:c r="AA19" s="22" t="str">
        <x:v>なし</x:v>
      </x:c>
      <x:c r="AB19" s="22" t="str">
        <x:v>-</x:v>
      </x:c>
      <x:c r="AC19" s="22" t="str"/>
      <x:c r="AD19" s="22" t="str">
        <x:v>専用・路外駐車を基本</x:v>
      </x:c>
      <x:c r="AE19" s="22" t="str"/>
    </x:row>
    <x:row r="20">
      <x:c r="A20" s="27" t="str">
        <x:v>D003</x:v>
      </x:c>
      <x:c r="B20" s="27" t="str">
        <x:v>羽田空港 第3ターミナル展望デッキ</x:v>
      </x:c>
      <x:c r="C20" s="27" t="str">
        <x:v>大田区・羽田</x:v>
      </x:c>
      <x:c r="D20" s="27" t="str">
        <x:v>飛行機・展望</x:v>
      </x:c>
      <x:c r="E20" s="48" t="e">
        <x:f>HYPERLINK("https://www.google.com/maps/dir/?api=1&amp;destination=%E7%BE%BD%E7%94%B0%E7%A9%BA%E6%B8%AF%20%E7%AC%AC3%E3%82%BF%E3%83%BC%E3%83%9F%E3%83%8A%E3%83%AB%E5%B1%95%E6%9C%9B%E3%83%87%E3%83%83%E3%82%AD&amp;travelmode=driving","現在地からナビ開始")</x:f>
      </x:c>
      <x:c r="F20" s="27" t="str">
        <x:v>深夜でも滑走路灯火と航空機を楽しめる、安定性の高いEnding。</x:v>
      </x:c>
      <x:c r="G20" s="27" t="str">
        <x:v>P5 2,910台・24時間・有料</x:v>
      </x:c>
      <x:c r="H20" s="27" t="str">
        <x:v>展望デッキ24時間</x:v>
      </x:c>
      <x:c r="I20" s="27" t="n">
        <x:v>5</x:v>
      </x:c>
      <x:c r="J20" s="27" t="n">
        <x:v>2</x:v>
      </x:c>
      <x:c r="K20" s="27" t="str">
        <x:v>保安・悪天候・イベントで一時閉鎖の場合あり。多客期は駐車場混雑。</x:v>
      </x:c>
      <x:c r="L20" s="28" t="n">
        <x:v>46232</x:v>
      </x:c>
      <x:c r="M20" s="27" t="str">
        <x:v>一次確認済</x:v>
      </x:c>
      <x:c r="N20" s="27" t="str">
        <x:v>https://tokyo-haneda.com/service/facilities/observation_deck.html</x:v>
      </x:c>
      <x:c r="O20" s="27" t="str">
        <x:v>現在の第3ターミナルは2010年に国際線ターミナルとして開業し、2020年に現在の名称へ変更された。</x:v>
      </x:c>
      <x:c r="P20" s="84" t="e">
        <x:f>HYPERLINK("https://ja.wikipedia.org/wiki/Special:Search?search=%E7%BE%BD%E7%94%B0%E7%A9%BA%E6%B8%AF%20%E7%AC%AC3%E3%82%BF%E3%83%BC%E3%83%9F%E3%83%8A%E3%83%AB%E5%B1%95%E6%9C%9B%E3%83%87%E3%83%83%E3%82%AD","Wikipedia・関連項目")</x:f>
      </x:c>
      <x:c r="Q20" s="27" t="str">
        <x:v>2026-07-29公式再確認：T3展望デッキ24時間を深夜ルートのHard Gateなし条件へ反映。</x:v>
      </x:c>
      <x:c r="R20" s="27" t="str">
        <x:v>0〜10km</x:v>
      </x:c>
      <x:c r="S20" s="27" t="str">
        <x:v>概ね0〜10km</x:v>
      </x:c>
      <x:c r="T20" s="27" t="str">
        <x:v>通常10〜30分</x:v>
      </x:c>
      <x:c r="U20" s="27" t="str">
        <x:v>飛行機</x:v>
      </x:c>
      <x:c r="V20" s="27" t="str">
        <x:v>30〜60分</x:v>
      </x:c>
      <x:c r="W20" s="27" t="n">
        <x:v>2</x:v>
      </x:c>
      <x:c r="X20" s="27" t="n">
        <x:v>4</x:v>
      </x:c>
      <x:c r="Y20" s="27" t="str">
        <x:v>城南島海浜公園</x:v>
      </x:c>
      <x:c r="Z20" s="27" t="str">
        <x:v>京浜島つばさ公園／羽田空港 第3ターミナル展望デッキ</x:v>
      </x:c>
      <x:c r="AA20" s="22" t="str">
        <x:v>なし</x:v>
      </x:c>
      <x:c r="AB20" s="22" t="str">
        <x:v>-</x:v>
      </x:c>
      <x:c r="AC20" s="22" t="str"/>
      <x:c r="AD20" s="22" t="str">
        <x:v>専用・路外駐車を基本</x:v>
      </x:c>
      <x:c r="AE20" s="22" t="str"/>
    </x:row>
    <x:row r="21">
      <x:c r="A21" s="27" t="str">
        <x:v>D251</x:v>
      </x:c>
      <x:c r="B21" s="27" t="str">
        <x:v>お台場海浜公園</x:v>
      </x:c>
      <x:c r="C21" s="27" t="str">
        <x:v>港区・台場</x:v>
      </x:c>
      <x:c r="D21" s="27" t="str">
        <x:v>海浜・第三台場・都市夜景</x:v>
      </x:c>
      <x:c r="E21" s="48" t="e">
        <x:f>HYPERLINK("https://www.google.com/maps/dir/?api=1&amp;destination=%E3%81%8A%E5%8F%B0%E5%A0%B4%E6%B5%B7%E6%B5%9C%E5%85%AC%E5%9C%92&amp;travelmode=driving","現在地からナビ開始")</x:f>
      </x:c>
      <x:c r="F21" s="27" t="str">
        <x:v>レインボーブリッジ、砂浜、第三台場、都心夜景が一つにまとまり、近距離でも王道の到達感を得られる。</x:v>
      </x:c>
      <x:c r="G21" s="27" t="str">
        <x:v>中央101台／北口244台・有料・24時間</x:v>
      </x:c>
      <x:c r="H21" s="27" t="str">
        <x:v>公園・駐車場24時間</x:v>
      </x:c>
      <x:c r="I21" s="27" t="n">
        <x:v>5</x:v>
      </x:c>
      <x:c r="J21" s="27" t="n">
        <x:v>1</x:v>
      </x:c>
      <x:c r="K21" s="27" t="str">
        <x:v>大規模イベント時は駐車場閉鎖・交通規制あり。北口のみ24時間最大料金設定。</x:v>
      </x:c>
      <x:c r="L21" s="28" t="n">
        <x:v>46232</x:v>
      </x:c>
      <x:c r="M21" s="27" t="str">
        <x:v>一次確認済</x:v>
      </x:c>
      <x:c r="N21" s="27" t="str">
        <x:v>https://www.tptc.co.jp/park/01_02/access</x:v>
      </x:c>
      <x:c r="O21" s="27" t="str">
        <x:v>第三台場はペリー来航後に江戸幕府が東京湾防備のため築いた砲台跡で、公園から徒歩で入れる。</x:v>
      </x:c>
      <x:c r="P21" s="84" t="e">
        <x:f>HYPERLINK("https://ja.wikipedia.org/wiki/Special:Search?search=%E3%81%8A%E5%8F%B0%E5%A0%B4%E6%B5%B7%E6%B5%9C%E5%85%AC%E5%9C%92","Wikipedia・関連項目")</x:f>
      </x:c>
      <x:c r="Q21" s="27" t="str">
        <x:v>2026-07-29公式再確認：中央・北口とも24時間、台数・料金条件を反映。</x:v>
      </x:c>
      <x:c r="R21" s="27" t="str">
        <x:v>10〜20km</x:v>
      </x:c>
      <x:c r="S21" s="27" t="str">
        <x:v>蒲田から約12〜18km</x:v>
      </x:c>
      <x:c r="T21" s="27" t="str">
        <x:v>通常25〜45分</x:v>
      </x:c>
      <x:c r="U21" s="27" t="str">
        <x:v>平日夜・海・都市夜景</x:v>
      </x:c>
      <x:c r="V21" s="27" t="str">
        <x:v>45〜90分</x:v>
      </x:c>
      <x:c r="W21" s="27" t="n">
        <x:v>2</x:v>
      </x:c>
      <x:c r="X21" s="27" t="n">
        <x:v>3</x:v>
      </x:c>
      <x:c r="Y21" s="27" t="str">
        <x:v>潮風公園</x:v>
      </x:c>
      <x:c r="Z21" s="27" t="str">
        <x:v>晴海ふ頭公園／豊洲ぐるり公園</x:v>
      </x:c>
      <x:c r="AA21" s="22" t="str">
        <x:v>なし</x:v>
      </x:c>
      <x:c r="AB21" s="22" t="str">
        <x:v>-</x:v>
      </x:c>
      <x:c r="AC21" s="22" t="str"/>
      <x:c r="AD21" s="22" t="str">
        <x:v>専用・路外駐車を基本</x:v>
      </x:c>
      <x:c r="AE21" s="22" t="str"/>
    </x:row>
    <x:row r="22">
      <x:c r="A22" s="27" t="str">
        <x:v>D270</x:v>
      </x:c>
      <x:c r="B22" s="27" t="str">
        <x:v>六本木ヒルズ 東京シティビュー</x:v>
      </x:c>
      <x:c r="C22" s="27" t="str">
        <x:v>港区・六本木</x:v>
      </x:c>
      <x:c r="D22" s="27" t="str">
        <x:v>高層展望・現代都市・美術</x:v>
      </x:c>
      <x:c r="E22" s="48" t="e">
        <x:f>HYPERLINK("https://www.google.com/maps/dir/?api=1&amp;destination=%E5%85%AD%E6%9C%AC%E6%9C%A8%E3%83%92%E3%83%AB%E3%82%BA%20%E6%9D%B1%E4%BA%AC%E3%82%B7%E3%83%86%E3%82%A3%E3%83%93%E3%83%A5%E3%83%BC&amp;travelmode=driving","現在地からナビ開始")</x:f>
      </x:c>
      <x:c r="F22" s="27" t="str">
        <x:v>52階から東京タワーと都心を正面に見る構図が強く、建築・展望・美術を一体化した夜の最終目的地になる。</x:v>
      </x:c>
      <x:c r="G22" s="27" t="str">
        <x:v>六本木ヒルズ駐車場・24時間・15分200円を基本／入口制限あり</x:v>
      </x:c>
      <x:c r="H22" s="27" t="str">
        <x:v>2026年8月1日～10月26日は10:00～22:00（最終21:30）／2026年7月31日まで休館</x:v>
      </x:c>
      <x:c r="I22" s="27" t="n">
        <x:v>5</x:v>
      </x:c>
      <x:c r="J22" s="27" t="n">
        <x:v>1</x:v>
      </x:c>
      <x:c r="K22" s="27" t="str">
        <x:v>2026年7月29日現在は休館中。8月1日再開予定。企画展切替・貸切で営業時間変更あり。</x:v>
      </x:c>
      <x:c r="L22" s="28" t="n">
        <x:v>46232</x:v>
      </x:c>
      <x:c r="M22" s="27" t="str">
        <x:v>一次確認済</x:v>
      </x:c>
      <x:c r="N22" s="27" t="str">
        <x:v>https://art-view.roppongihills.com/en/info/index.html</x:v>
      </x:c>
      <x:c r="O22" s="27" t="str">
        <x:v>森タワー52階の展望施設で、美術館と都市眺望を同じ高層階で体験できる。</x:v>
      </x:c>
      <x:c r="P22" s="84" t="e">
        <x:f>HYPERLINK("https://ja.wikipedia.org/wiki/Special:Search?search=%E5%85%AD%E6%9C%AC%E6%9C%A8%E3%83%92%E3%83%AB%E3%82%BA%20%E6%9D%B1%E4%BA%AC%E3%82%B7%E3%83%86%E3%82%A3%E3%83%93%E3%83%A5%E3%83%BC","Wikipedia・関連項目")</x:f>
      </x:c>
      <x:c r="Q22" s="27" t="str">
        <x:v>4区重点追加・港区</x:v>
      </x:c>
      <x:c r="R22" s="27" t="str">
        <x:v>10〜20km</x:v>
      </x:c>
      <x:c r="S22" s="27" t="str">
        <x:v>蒲田から約15〜19km</x:v>
      </x:c>
      <x:c r="T22" s="27" t="str">
        <x:v>通常35〜60分</x:v>
      </x:c>
      <x:c r="U22" s="27" t="str">
        <x:v>夜景・建築・美術</x:v>
      </x:c>
      <x:c r="V22" s="27" t="str">
        <x:v>60〜120分</x:v>
      </x:c>
      <x:c r="W22" s="27" t="n">
        <x:v>5</x:v>
      </x:c>
      <x:c r="X22" s="27" t="n">
        <x:v>1</x:v>
      </x:c>
      <x:c r="Y22" s="27" t="str">
        <x:v>東京タワー</x:v>
      </x:c>
      <x:c r="Z22" s="27" t="str">
        <x:v>東京ミッドタウン／東京都庁展望室</x:v>
      </x:c>
      <x:c r="AA22" s="22" t="str">
        <x:v>なし</x:v>
      </x:c>
      <x:c r="AB22" s="22" t="str">
        <x:v>-</x:v>
      </x:c>
      <x:c r="AC22" s="22" t="str"/>
      <x:c r="AD22" s="22" t="str">
        <x:v>専用・路外駐車を基本</x:v>
      </x:c>
      <x:c r="AE22" s="22" t="str"/>
    </x:row>
    <x:row r="23">
      <x:c r="A23" s="27" t="str">
        <x:v>D268</x:v>
      </x:c>
      <x:c r="B23" s="27" t="str">
        <x:v>東京タワー</x:v>
      </x:c>
      <x:c r="C23" s="27" t="str">
        <x:v>港区・芝公園</x:v>
      </x:c>
      <x:c r="D23" s="27" t="str">
        <x:v>展望・建築・放送塔Story・夜景</x:v>
      </x:c>
      <x:c r="E23" s="48" t="e">
        <x:f>HYPERLINK("https://www.google.com/maps/dir/?api=1&amp;destination=%E6%9D%B1%E4%BA%AC%E3%82%BF%E3%83%AF%E3%83%BC&amp;travelmode=driving","現在地からナビ開始")</x:f>
      </x:c>
      <x:c r="F23" s="27" t="str">
        <x:v>大田区から1時間以内で、東京の象徴的建築と360度夜景を確実に回収できる。王道だが最終目的地力は非常に高い。</x:v>
      </x:c>
      <x:c r="G23" s="27" t="str">
        <x:v>地上駐車場を利用・最初の1時間800円、以降30分400円／地下駐車場はメンテナンスのため営業見合わせ中</x:v>
      </x:c>
      <x:c r="H23" s="27" t="str">
        <x:v>メインデッキ9:00～23:00（最終22:30）／駐車場は現地案内を優先</x:v>
      </x:c>
      <x:c r="I23" s="27" t="n">
        <x:v>5</x:v>
      </x:c>
      <x:c r="J23" s="27" t="n">
        <x:v>1</x:v>
      </x:c>
      <x:c r="K23" s="27" t="str">
        <x:v>地下駐車場は2026年6月1日以降、営業見合わせ中。地上駐車場満車時は近隣駐車場へ。最終入場22:30を過ぎたら外観鑑賞ルートへ変更。</x:v>
      </x:c>
      <x:c r="L23" s="28" t="n">
        <x:v>46232</x:v>
      </x:c>
      <x:c r="M23" s="27" t="str">
        <x:v>一次確認済</x:v>
      </x:c>
      <x:c r="N23" s="27" t="str">
        <x:v>https://www.tokyotower.co.jp/information/20260601000623/</x:v>
      </x:c>
      <x:c r="O23" s="27" t="str">
        <x:v>1958年完成、高さ333mの総合電波塔で、戦後東京の復興と放送技術の象徴になった。</x:v>
      </x:c>
      <x:c r="P23" s="84" t="e">
        <x:f>HYPERLINK("https://ja.wikipedia.org/wiki/Special:Search?search=%E6%9D%B1%E4%BA%AC%E3%82%BF%E3%83%AF%E3%83%BC","Wikipedia・関連項目")</x:f>
      </x:c>
      <x:c r="Q23" s="27" t="str">
        <x:v>2026-07-29公式再確認：地下駐車場の営業見合わせをOperational Truthとして独立管理。</x:v>
      </x:c>
      <x:c r="R23" s="27" t="str">
        <x:v>10〜20km</x:v>
      </x:c>
      <x:c r="S23" s="27" t="str">
        <x:v>蒲田から約13〜17km</x:v>
      </x:c>
      <x:c r="T23" s="27" t="str">
        <x:v>通常30〜50分</x:v>
      </x:c>
      <x:c r="U23" s="27" t="str">
        <x:v>夜景・建築・雨天</x:v>
      </x:c>
      <x:c r="V23" s="27" t="str">
        <x:v>60〜120分</x:v>
      </x:c>
      <x:c r="W23" s="27" t="n">
        <x:v>5</x:v>
      </x:c>
      <x:c r="X23" s="27" t="n">
        <x:v>2</x:v>
      </x:c>
      <x:c r="Y23" s="27" t="str">
        <x:v>東京都庁展望室</x:v>
      </x:c>
      <x:c r="Z23" s="27" t="str">
        <x:v>品川シーズンテラス／東京ミッドタウン</x:v>
      </x:c>
      <x:c r="AA23" s="22" t="str">
        <x:v>芝5丁目7付近 パーキング・チケット</x:v>
      </x:c>
      <x:c r="AB23" s="22" t="str">
        <x:v>A</x:v>
      </x:c>
      <x:c r="AC23" s="22" t="str">
        <x:v>9:00～19:00・60分・300円・日曜休日と1月1日～3日を除く。</x:v>
      </x:c>
      <x:c r="AD23" s="22" t="str">
        <x:v>芝・三田側の街歩きや外観撮影の補助。展望台利用には距離・時間とも不向き。</x:v>
      </x:c>
      <x:c r="AE23" s="22" t="str">
        <x:v>日曜休日は利用対象外。19時以降は駐車禁止併設の可能性を前提にする。</x:v>
      </x:c>
    </x:row>
    <x:row r="24">
      <x:c r="A24" s="27" t="str">
        <x:v>D269</x:v>
      </x:c>
      <x:c r="B24" s="27" t="str">
        <x:v>東京ミッドタウン／ミッドタウン・ガーデン</x:v>
      </x:c>
      <x:c r="C24" s="27" t="str">
        <x:v>港区・赤坂</x:v>
      </x:c>
      <x:c r="D24" s="27" t="str">
        <x:v>現代建築・庭園・美術・雨天</x:v>
      </x:c>
      <x:c r="E24" s="48" t="e">
        <x:f>HYPERLINK("https://www.google.com/maps/dir/?api=1&amp;destination=%E6%9D%B1%E4%BA%AC%E3%83%9F%E3%83%83%E3%83%89%E3%82%BF%E3%82%A6%E3%83%B3%EF%BC%8F%E3%83%9F%E3%83%83%E3%83%89%E3%82%BF%E3%82%A6%E3%83%B3%E3%83%BB%E3%82%AC%E3%83%BC%E3%83%87%E3%83%B3&amp;travelmode=driving","現在地からナビ開始")</x:f>
      </x:c>
      <x:c r="F24" s="27" t="str">
        <x:v>地下駐車から建築、庭園、美術館、飲食へ切り替えられ、天候と時間に合わせて滞在内容を調整しやすい。</x:v>
      </x:c>
      <x:c r="G24" s="27" t="str">
        <x:v>駐車場24時間・30分400円・台数は公式案内で当日確認</x:v>
      </x:c>
      <x:c r="H24" s="27" t="str">
        <x:v>駐車場24時間／店舗・庭園・美術館は個別時間</x:v>
      </x:c>
      <x:c r="I24" s="27" t="n">
        <x:v>5</x:v>
      </x:c>
      <x:c r="J24" s="27" t="n">
        <x:v>1</x:v>
      </x:c>
      <x:c r="K24" s="27" t="str">
        <x:v>イベント設営や季節催事で庭園動線が変わる。美術館・店舗の休館日を個別確認。</x:v>
      </x:c>
      <x:c r="L24" s="28" t="n">
        <x:v>46232</x:v>
      </x:c>
      <x:c r="M24" s="27" t="str">
        <x:v>一次確認済</x:v>
      </x:c>
      <x:c r="N24" s="27" t="str">
        <x:v>https://www.tokyo-midtown.com/jp/access/</x:v>
      </x:c>
      <x:c r="O24" s="27" t="str">
        <x:v>旧防衛庁跡地を再開発した複合街区で、檜町公園と現代建築・デザイン施設を一体化している。</x:v>
      </x:c>
      <x:c r="P24" s="84" t="e">
        <x:f>HYPERLINK("https://ja.wikipedia.org/wiki/Special:Search?search=%E6%9D%B1%E4%BA%AC%E3%83%9F%E3%83%83%E3%83%89%E3%82%BF%E3%82%A6%E3%83%B3%EF%BC%8F%E3%83%9F%E3%83%83%E3%83%89%E3%82%BF%E3%82%A6%E3%83%B3%E3%83%BB%E3%82%AC%E3%83%BC%E3%83%87%E3%83%B3","Wikipedia・関連項目")</x:f>
      </x:c>
      <x:c r="Q24" s="27" t="str">
        <x:v>4区重点追加・港区</x:v>
      </x:c>
      <x:c r="R24" s="27" t="str">
        <x:v>10〜20km</x:v>
      </x:c>
      <x:c r="S24" s="27" t="str">
        <x:v>蒲田から約15〜19km</x:v>
      </x:c>
      <x:c r="T24" s="27" t="str">
        <x:v>通常35〜55分</x:v>
      </x:c>
      <x:c r="U24" s="27" t="str">
        <x:v>雨天・建築・夜・食事</x:v>
      </x:c>
      <x:c r="V24" s="27" t="str">
        <x:v>60〜150分</x:v>
      </x:c>
      <x:c r="W24" s="27" t="n">
        <x:v>5</x:v>
      </x:c>
      <x:c r="X24" s="27" t="n">
        <x:v>2</x:v>
      </x:c>
      <x:c r="Y24" s="27" t="str">
        <x:v>六本木ヒルズ 東京シティビュー</x:v>
      </x:c>
      <x:c r="Z24" s="27" t="str">
        <x:v>東京タワー／有栖川宮記念公園</x:v>
      </x:c>
      <x:c r="AA24" s="22" t="str">
        <x:v>なし</x:v>
      </x:c>
      <x:c r="AB24" s="22" t="str">
        <x:v>-</x:v>
      </x:c>
      <x:c r="AC24" s="22" t="str"/>
      <x:c r="AD24" s="22" t="str">
        <x:v>専用・路外駐車を基本</x:v>
      </x:c>
      <x:c r="AE24" s="22" t="str"/>
    </x:row>
    <x:row r="25">
      <x:c r="A25" s="27" t="str">
        <x:v>D013</x:v>
      </x:c>
      <x:c r="B25" s="27" t="str">
        <x:v>横浜港大さん橋</x:v>
      </x:c>
      <x:c r="C25" s="27" t="str">
        <x:v>横浜市・中区</x:v>
      </x:c>
      <x:c r="D25" s="27" t="str">
        <x:v>港・都市夜景</x:v>
      </x:c>
      <x:c r="E25" s="48" t="e">
        <x:f>HYPERLINK("https://www.google.com/maps/dir/?api=1&amp;destination=%E6%A8%AA%E6%B5%9C%E6%B8%AF%E5%A4%A7%E3%81%95%E3%82%93%E6%A9%8B&amp;travelmode=driving","現在地からナビ開始")</x:f>
      </x:c>
      <x:c r="F25" s="27" t="str">
        <x:v>みなとみらいとベイブリッジを受け止める完成度の高い都市型Ending。</x:v>
      </x:c>
      <x:c r="G25" s="27" t="str">
        <x:v>あり・有料</x:v>
      </x:c>
      <x:c r="H25" s="27" t="str">
        <x:v>駐車場 24時間</x:v>
      </x:c>
      <x:c r="I25" s="27" t="n">
        <x:v>5</x:v>
      </x:c>
      <x:c r="J25" s="27" t="n">
        <x:v>1</x:v>
      </x:c>
      <x:c r="K25" s="27" t="str">
        <x:v>イベント日・客船入港日は混雑。穴場性より確実性重視。</x:v>
      </x:c>
      <x:c r="L25" s="28" t="n">
        <x:v>46232</x:v>
      </x:c>
      <x:c r="M25" s="27" t="str">
        <x:v>一次確認済</x:v>
      </x:c>
      <x:c r="N25" s="27" t="str">
        <x:v>https://osanbashi.jp/</x:v>
      </x:c>
      <x:c r="O25" s="27" t="str">
        <x:v>大さん橋の起源は1894年完成の鉄桟橋で、現在の客船ターミナルは波打つ屋上デッキを持つ建築として評価が高い。</x:v>
      </x:c>
      <x:c r="P25" s="84" t="e">
        <x:f>HYPERLINK("https://ja.wikipedia.org/wiki/Special:Search?search=%E6%A8%AA%E6%B5%9C%E6%B8%AF%E5%A4%A7%E3%81%95%E3%82%93%E6%A9%8B","Wikipedia・関連項目")</x:f>
      </x:c>
      <x:c r="Q25" s="27"/>
      <x:c r="R25" s="27" t="str">
        <x:v>20〜25km</x:v>
      </x:c>
      <x:c r="S25" s="27" t="str">
        <x:v>概ね20〜25km</x:v>
      </x:c>
      <x:c r="T25" s="27" t="str">
        <x:v>通常40〜70分</x:v>
      </x:c>
      <x:c r="U25" s="27" t="str">
        <x:v>海・港</x:v>
      </x:c>
      <x:c r="V25" s="27" t="str">
        <x:v>30〜60分</x:v>
      </x:c>
      <x:c r="W25" s="27" t="n">
        <x:v>2</x:v>
      </x:c>
      <x:c r="X25" s="27" t="n">
        <x:v>3</x:v>
      </x:c>
      <x:c r="Y25" s="27" t="str">
        <x:v>城南島海浜公園</x:v>
      </x:c>
      <x:c r="Z25" s="27" t="str">
        <x:v>潮風公園／晴海ふ頭公園</x:v>
      </x:c>
      <x:c r="AA25" s="22" t="str">
        <x:v>なし</x:v>
      </x:c>
      <x:c r="AB25" s="22" t="str">
        <x:v>-</x:v>
      </x:c>
      <x:c r="AC25" s="22" t="str"/>
      <x:c r="AD25" s="22" t="str">
        <x:v>専用・路外駐車を基本</x:v>
      </x:c>
      <x:c r="AE25" s="22" t="str"/>
    </x:row>
    <x:row r="26">
      <x:c r="A26" s="27" t="str">
        <x:v>D266</x:v>
      </x:c>
      <x:c r="B26" s="27" t="str">
        <x:v>八潮北公園</x:v>
      </x:c>
      <x:c r="C26" s="27" t="str">
        <x:v>品川区・八潮</x:v>
      </x:c>
      <x:c r="D26" s="27" t="str">
        <x:v>スケート・湾岸高架・工業景観</x:v>
      </x:c>
      <x:c r="E26" s="48" t="e">
        <x:f>HYPERLINK("https://www.google.com/maps/dir/?api=1&amp;destination=%E5%85%AB%E6%BD%AE%E5%8C%97%E5%85%AC%E5%9C%92&amp;travelmode=driving","現在地からナビ開始")</x:f>
      </x:c>
      <x:c r="F26" s="27" t="str">
        <x:v>首都高と物流街区の下でスケート施設や運動施設が成立する、東京湾岸らしい都市インフラ型の穴場経由地。</x:v>
      </x:c>
      <x:c r="G26" s="27" t="str">
        <x:v>有料駐車場あり・台数は公式案内で当日確認</x:v>
      </x:c>
      <x:c r="H26" s="27" t="str">
        <x:v>概ね7:00～21:00／施設ごとに異なる</x:v>
      </x:c>
      <x:c r="I26" s="27" t="n">
        <x:v>4</x:v>
      </x:c>
      <x:c r="J26" s="27" t="n">
        <x:v>5</x:v>
      </x:c>
      <x:c r="K26" s="27" t="str">
        <x:v>スケート場・球技利用で混雑。施設休場日と大会予定を確認。夜間は利用範囲と照明区域を守る。</x:v>
      </x:c>
      <x:c r="L26" s="28" t="n">
        <x:v>46232</x:v>
      </x:c>
      <x:c r="M26" s="27" t="str">
        <x:v>一次確認済</x:v>
      </x:c>
      <x:c r="N26" s="27" t="str">
        <x:v>https://www.city.shinagawa.tokyo.jp/PC/sangyo/sangyo-bunka/sangyo-bunka-kakushisetsu/sangyo-bunka-kakushisetsu-kouen/hpg000006479.html</x:v>
      </x:c>
      <x:c r="O26" s="27" t="str">
        <x:v>八潮は東京湾の埋立地に計画された住宅・物流地区で、高架道路と公園が近接する独特の都市景観を持つ。</x:v>
      </x:c>
      <x:c r="P26" s="84" t="e">
        <x:f>HYPERLINK("https://ja.wikipedia.org/wiki/Special:Search?search=%E5%85%AB%E6%BD%AE%E5%8C%97%E5%85%AC%E5%9C%92","Wikipedia・関連項目")</x:f>
      </x:c>
      <x:c r="Q26" s="27" t="str">
        <x:v>4区重点追加・品川区</x:v>
      </x:c>
      <x:c r="R26" s="27" t="str">
        <x:v>10〜20km</x:v>
      </x:c>
      <x:c r="S26" s="27" t="str">
        <x:v>蒲田から約9〜13km</x:v>
      </x:c>
      <x:c r="T26" s="27" t="str">
        <x:v>通常20〜40分</x:v>
      </x:c>
      <x:c r="U26" s="27" t="str">
        <x:v>夜・都市インフラ・穴場</x:v>
      </x:c>
      <x:c r="V26" s="27" t="str">
        <x:v>20〜50分</x:v>
      </x:c>
      <x:c r="W26" s="27" t="n">
        <x:v>1</x:v>
      </x:c>
      <x:c r="X26" s="27" t="n">
        <x:v>3</x:v>
      </x:c>
      <x:c r="Y26" s="27" t="str">
        <x:v>大井ふ頭中央海浜公園</x:v>
      </x:c>
      <x:c r="Z26" s="27" t="str">
        <x:v>天王洲公園／品川シーズンテラス</x:v>
      </x:c>
      <x:c r="AA26" s="22" t="str">
        <x:v>なし</x:v>
      </x:c>
      <x:c r="AB26" s="22" t="str">
        <x:v>-</x:v>
      </x:c>
      <x:c r="AC26" s="22" t="str"/>
      <x:c r="AD26" s="22" t="str">
        <x:v>専用・路外駐車を基本</x:v>
      </x:c>
      <x:c r="AE26" s="22" t="str"/>
    </x:row>
    <x:row r="27">
      <x:c r="A27" s="27" t="str">
        <x:v>D262</x:v>
      </x:c>
      <x:c r="B27" s="27" t="str">
        <x:v>昭和島二丁目公園</x:v>
      </x:c>
      <x:c r="C27" s="27" t="str">
        <x:v>大田区・昭和島</x:v>
      </x:c>
      <x:c r="D27" s="27" t="str">
        <x:v>工業島・運河・スポーツ・行き止まり</x:v>
      </x:c>
      <x:c r="E27" s="48" t="e">
        <x:f>HYPERLINK("https://www.google.com/maps/dir/?api=1&amp;destination=%E6%98%AD%E5%92%8C%E5%B3%B6%E4%BA%8C%E4%B8%81%E7%9B%AE%E5%85%AC%E5%9C%92&amp;travelmode=driving","現在地からナビ開始")</x:f>
      </x:c>
      <x:c r="F27" s="27" t="str">
        <x:v>工業専用島の奥まで走る到達感があり、運河、モノレール、工場の気配を近距離で味わえる。羽田系とは違う産業景観の終点。</x:v>
      </x:c>
      <x:c r="G27" s="27" t="str">
        <x:v>43台（身障者用1台含む）・30分100円</x:v>
      </x:c>
      <x:c r="H27" s="27" t="str">
        <x:v>2～11月6:30～22:00／12～1月7:30～21:00</x:v>
      </x:c>
      <x:c r="I27" s="27" t="n">
        <x:v>4</x:v>
      </x:c>
      <x:c r="J27" s="27" t="n">
        <x:v>5</x:v>
      </x:c>
      <x:c r="K27" s="27" t="str">
        <x:v>年末年始休場。競技利用・工事で混雑する場合あり。工場敷地や岸壁へ入らない。閉場後は出庫不可。</x:v>
      </x:c>
      <x:c r="L27" s="28" t="n">
        <x:v>46232</x:v>
      </x:c>
      <x:c r="M27" s="27" t="str">
        <x:v>一次確認済</x:v>
      </x:c>
      <x:c r="N27" s="27" t="str">
        <x:v>https://www.city.ota.tokyo.jp/shisetsu/park/shouwajima_ryokudou.html</x:v>
      </x:c>
      <x:c r="O27" s="27" t="str">
        <x:v>昭和島は東京湾の埋立地で、機械・金属加工などの工場が集積する工業島として整備された。</x:v>
      </x:c>
      <x:c r="P27" s="84" t="e">
        <x:f>HYPERLINK("https://ja.wikipedia.org/wiki/Special:Search?search=%E6%98%AD%E5%92%8C%E5%B3%B6%E4%BA%8C%E4%B8%81%E7%9B%AE%E5%85%AC%E5%9C%92","Wikipedia・関連項目")</x:f>
      </x:c>
      <x:c r="Q27" s="27" t="str">
        <x:v>4区重点追加・大田区</x:v>
      </x:c>
      <x:c r="R27" s="27" t="str">
        <x:v>0〜10km</x:v>
      </x:c>
      <x:c r="S27" s="27" t="str">
        <x:v>蒲田から約7〜10km</x:v>
      </x:c>
      <x:c r="T27" s="27" t="str">
        <x:v>通常20〜35分</x:v>
      </x:c>
      <x:c r="U27" s="27" t="str">
        <x:v>夕方・産業景観・穴場</x:v>
      </x:c>
      <x:c r="V27" s="27" t="str">
        <x:v>20〜50分</x:v>
      </x:c>
      <x:c r="W27" s="27" t="n">
        <x:v>1</x:v>
      </x:c>
      <x:c r="X27" s="27" t="n">
        <x:v>3</x:v>
      </x:c>
      <x:c r="Y27" s="27" t="str">
        <x:v>京浜島つばさ公園</x:v>
      </x:c>
      <x:c r="Z27" s="27" t="str">
        <x:v>大森 海苔のふるさと館／大井ふ頭中央海浜公園</x:v>
      </x:c>
      <x:c r="AA27" s="22" t="str">
        <x:v>なし</x:v>
      </x:c>
      <x:c r="AB27" s="22" t="str">
        <x:v>-</x:v>
      </x:c>
      <x:c r="AC27" s="22" t="str"/>
      <x:c r="AD27" s="22" t="str">
        <x:v>専用・路外駐車を基本</x:v>
      </x:c>
      <x:c r="AE27" s="22" t="str"/>
    </x:row>
    <x:row r="28">
      <x:c r="A28" s="27" t="str">
        <x:v>D263</x:v>
      </x:c>
      <x:c r="B28" s="27" t="str">
        <x:v>東糀谷防災公園</x:v>
      </x:c>
      <x:c r="C28" s="27" t="str">
        <x:v>大田区・東糀谷</x:v>
      </x:c>
      <x:c r="D28" s="27" t="str">
        <x:v>防災公園・ビオトープ・都市インフラ</x:v>
      </x:c>
      <x:c r="E28" s="48" t="e">
        <x:f>HYPERLINK("https://www.google.com/maps/dir/?api=1&amp;destination=%E6%9D%B1%E7%B3%80%E8%B0%B7%E9%98%B2%E7%81%BD%E5%85%AC%E5%9C%92&amp;travelmode=driving","現在地からナビ開始")</x:f>
      </x:c>
      <x:c r="F28" s="27" t="str">
        <x:v>24時間駐車できる小規模防災公園で、羽田周辺の短時間経由地として使いやすい。防災設備とビオトープという明確なStoryがある。</x:v>
      </x:c>
      <x:c r="G28" s="27" t="str">
        <x:v>一般用9台＋身障者用1台・30分100円・24時間</x:v>
      </x:c>
      <x:c r="H28" s="27" t="str">
        <x:v>公園・駐車場24時間</x:v>
      </x:c>
      <x:c r="I28" s="27" t="n">
        <x:v>4</x:v>
      </x:c>
      <x:c r="J28" s="27" t="n">
        <x:v>5</x:v>
      </x:c>
      <x:c r="K28" s="27" t="str">
        <x:v>駐車枠は合計10台だが一般枠は9台。満車時は待たずに萩中公園またはHICへ切替。災害時は防災拠点として一般利用制限の可能性あり。</x:v>
      </x:c>
      <x:c r="L28" s="28" t="n">
        <x:v>46232</x:v>
      </x:c>
      <x:c r="M28" s="27" t="str">
        <x:v>一次確認済</x:v>
      </x:c>
      <x:c r="N28" s="27" t="str">
        <x:v>https://www.city.ota.tokyo.jp/shisetsu/park/higasikoujiyabousai.html</x:v>
      </x:c>
      <x:c r="O28" s="27" t="str">
        <x:v>大田区で初めて防災機能を前面に設計した公園で、かまどベンチやマンホールトイレなどを備える。</x:v>
      </x:c>
      <x:c r="P28" s="84" t="e">
        <x:f>HYPERLINK("https://ja.wikipedia.org/wiki/Special:Search?search=%E6%9D%B1%E7%B3%80%E8%B0%B7%E9%98%B2%E7%81%BD%E5%85%AC%E5%9C%92","Wikipedia・関連項目")</x:f>
      </x:c>
      <x:c r="Q28" s="27" t="str">
        <x:v>2026-07-29公式再確認：一般9台＋身障者1台、24時間、30分100円を明記。</x:v>
      </x:c>
      <x:c r="R28" s="27" t="str">
        <x:v>0〜10km</x:v>
      </x:c>
      <x:c r="S28" s="27" t="str">
        <x:v>蒲田から約4〜7km</x:v>
      </x:c>
      <x:c r="T28" s="27" t="str">
        <x:v>通常15〜25分</x:v>
      </x:c>
      <x:c r="U28" s="27" t="str">
        <x:v>深夜短時間・防災Story</x:v>
      </x:c>
      <x:c r="V28" s="27" t="str">
        <x:v>15〜35分</x:v>
      </x:c>
      <x:c r="W28" s="27" t="n">
        <x:v>1</x:v>
      </x:c>
      <x:c r="X28" s="27" t="n">
        <x:v>3</x:v>
      </x:c>
      <x:c r="Y28" s="27" t="str">
        <x:v>萩中公園</x:v>
      </x:c>
      <x:c r="Z28" s="27" t="str">
        <x:v>HANEDA INNOVATION CITY 足湯スカイデッキ／森ケ崎公園</x:v>
      </x:c>
      <x:c r="AA28" s="22" t="str">
        <x:v>なし</x:v>
      </x:c>
      <x:c r="AB28" s="22" t="str">
        <x:v>-</x:v>
      </x:c>
      <x:c r="AC28" s="22" t="str"/>
      <x:c r="AD28" s="22" t="str">
        <x:v>専用・路外駐車を基本</x:v>
      </x:c>
      <x:c r="AE28" s="22" t="str"/>
    </x:row>
    <x:row r="29">
      <x:c r="A29" s="27" t="str">
        <x:v>D104</x:v>
      </x:c>
      <x:c r="B29" s="27" t="str">
        <x:v>殿町緑地</x:v>
      </x:c>
      <x:c r="C29" s="27" t="str">
        <x:v>川崎市・川崎区</x:v>
      </x:c>
      <x:c r="D29" s="27" t="str">
        <x:v>多摩川・飛行機・河川敷</x:v>
      </x:c>
      <x:c r="E29" s="48" t="e">
        <x:f>HYPERLINK("https://www.google.com/maps/dir/?api=1&amp;destination=%E6%AE%BF%E7%94%BA%E7%B7%91%E5%9C%B0&amp;travelmode=driving","現在地からナビ開始")</x:f>
      </x:c>
      <x:c r="F29" s="27" t="str">
        <x:v>羽田空港対岸の多摩川沿いで、橋・航空機・広い空を近距離で味わえる。</x:v>
      </x:c>
      <x:c r="G29" s="27" t="str">
        <x:v>あり・河川敷駐車場</x:v>
      </x:c>
      <x:c r="H29" s="27" t="str">
        <x:v>駐車時間は河川敷駐車場案内を当日確認</x:v>
      </x:c>
      <x:c r="I29" s="27" t="n">
        <x:v>4</x:v>
      </x:c>
      <x:c r="J29" s="27" t="n">
        <x:v>5</x:v>
      </x:c>
      <x:c r="K29" s="27" t="str">
        <x:v>増水・工事・閉鎖時は利用不可。緑地外や堤防上への駐車禁止。</x:v>
      </x:c>
      <x:c r="L29" s="28" t="n">
        <x:v>46232</x:v>
      </x:c>
      <x:c r="M29" s="27" t="str">
        <x:v>当日再確認</x:v>
      </x:c>
      <x:c r="N29" s="27" t="str">
        <x:v>https://www.city.kawasaki.jp/530/page/0000020718.html</x:v>
      </x:c>
      <x:c r="O29" s="27" t="str">
        <x:v>殿町周辺は現在『キングスカイフロント』と呼ばれる研究開発拠点へ変貌し、羽田対岸の国際戦略地区となった。</x:v>
      </x:c>
      <x:c r="P29" s="84" t="e">
        <x:f>HYPERLINK("https://ja.wikipedia.org/wiki/Special:Search?search=%E6%AE%BF%E7%94%BA%E7%B7%91%E5%9C%B0","Wikipedia・関連項目")</x:f>
      </x:c>
      <x:c r="Q29" s="27"/>
      <x:c r="R29" s="27" t="str">
        <x:v>0〜10km</x:v>
      </x:c>
      <x:c r="S29" s="27" t="str">
        <x:v>概ね0〜10km</x:v>
      </x:c>
      <x:c r="T29" s="27" t="str">
        <x:v>通常10〜30分</x:v>
      </x:c>
      <x:c r="U29" s="27" t="str">
        <x:v>飛行機</x:v>
      </x:c>
      <x:c r="V29" s="27" t="str">
        <x:v>30〜60分</x:v>
      </x:c>
      <x:c r="W29" s="27" t="n">
        <x:v>1</x:v>
      </x:c>
      <x:c r="X29" s="27" t="n">
        <x:v>4</x:v>
      </x:c>
      <x:c r="Y29" s="27" t="str">
        <x:v>城南島海浜公園</x:v>
      </x:c>
      <x:c r="Z29" s="27" t="str">
        <x:v>京浜島つばさ公園／羽田空港 第3ターミナル展望デッキ</x:v>
      </x:c>
      <x:c r="AA29" s="22" t="str">
        <x:v>なし</x:v>
      </x:c>
      <x:c r="AB29" s="22" t="str">
        <x:v>-</x:v>
      </x:c>
      <x:c r="AC29" s="22" t="str"/>
      <x:c r="AD29" s="22" t="str">
        <x:v>専用・路外駐車を基本</x:v>
      </x:c>
      <x:c r="AE29" s="22" t="str"/>
    </x:row>
    <x:row r="30">
      <x:c r="A30" s="27" t="str">
        <x:v>D271</x:v>
      </x:c>
      <x:c r="B30" s="27" t="str">
        <x:v>品川シーズンテラス／芝浦中央公園</x:v>
      </x:c>
      <x:c r="C30" s="27" t="str">
        <x:v>港区・港南</x:v>
      </x:c>
      <x:c r="D30" s="27" t="str">
        <x:v>水再生センター・屋上緑地・高層建築</x:v>
      </x:c>
      <x:c r="E30" s="48" t="e">
        <x:f>HYPERLINK("https://www.google.com/maps/dir/?api=1&amp;destination=%E5%93%81%E5%B7%9D%E3%82%B7%E3%83%BC%E3%82%BA%E3%83%B3%E3%83%86%E3%83%A9%E3%82%B9%EF%BC%8F%E8%8A%9D%E6%B5%A6%E4%B8%AD%E5%A4%AE%E5%85%AC%E5%9C%92&amp;travelmode=driving","現在地からナビ開始")</x:f>
      </x:c>
      <x:c r="F30" s="27" t="str">
        <x:v>水再生センター上部の広大な緑地と高層オフィスを同時に体験でき、都市インフラStoryが強い。品川・港区ルートの接続点。</x:v>
      </x:c>
      <x:c r="G30" s="27" t="str">
        <x:v>一般313台＋身障者用6台・7:00～23:00・最初の1時間600円、以降30分300円、最大2,600円</x:v>
      </x:c>
      <x:c r="H30" s="27" t="str">
        <x:v>一般利用・駐車場7:00～23:00</x:v>
      </x:c>
      <x:c r="I30" s="27" t="n">
        <x:v>4</x:v>
      </x:c>
      <x:c r="J30" s="27" t="n">
        <x:v>4</x:v>
      </x:c>
      <x:c r="K30" s="27" t="str">
        <x:v>イベント時は芝生・水景施設が制限される場合あり。23時以降は入出庫不可。オフィス利用者への配慮。</x:v>
      </x:c>
      <x:c r="L30" s="28" t="n">
        <x:v>46232</x:v>
      </x:c>
      <x:c r="M30" s="27" t="str">
        <x:v>一次確認済</x:v>
      </x:c>
      <x:c r="N30" s="27" t="str">
        <x:v>https://shinagawa-st.jp/access/parking.html</x:v>
      </x:c>
      <x:c r="O30" s="27" t="str">
        <x:v>芝浦水再生センターの上部空間を活用し、巨大な下水処理インフラの上に緑地と業務施設を整備した。</x:v>
      </x:c>
      <x:c r="P30" s="84" t="e">
        <x:f>HYPERLINK("https://ja.wikipedia.org/wiki/Special:Search?search=%E5%93%81%E5%B7%9D%E3%82%B7%E3%83%BC%E3%82%BA%E3%83%B3%E3%83%86%E3%83%A9%E3%82%B9%EF%BC%8F%E8%8A%9D%E6%B5%A6%E4%B8%AD%E5%A4%AE%E5%85%AC%E5%9C%92","Wikipedia・関連項目")</x:f>
      </x:c>
      <x:c r="Q30" s="27" t="str">
        <x:v>4区重点追加・港区</x:v>
      </x:c>
      <x:c r="R30" s="27" t="str">
        <x:v>10〜20km</x:v>
      </x:c>
      <x:c r="S30" s="27" t="str">
        <x:v>蒲田から約11〜15km</x:v>
      </x:c>
      <x:c r="T30" s="27" t="str">
        <x:v>通常25〜45分</x:v>
      </x:c>
      <x:c r="U30" s="27" t="str">
        <x:v>夕方・都市インフラ・建築</x:v>
      </x:c>
      <x:c r="V30" s="27" t="str">
        <x:v>30〜90分</x:v>
      </x:c>
      <x:c r="W30" s="27" t="n">
        <x:v>3</x:v>
      </x:c>
      <x:c r="X30" s="27" t="n">
        <x:v>2</x:v>
      </x:c>
      <x:c r="Y30" s="27" t="str">
        <x:v>森ケ崎公園</x:v>
      </x:c>
      <x:c r="Z30" s="27" t="str">
        <x:v>天王洲公園／東京タワー</x:v>
      </x:c>
      <x:c r="AA30" s="22" t="str">
        <x:v>港南3丁目2・6付近 時間制限駐車区間</x:v>
      </x:c>
      <x:c r="AB30" s="22" t="str">
        <x:v>B</x:v>
      </x:c>
      <x:c r="AC30" s="22" t="str">
        <x:v>概ね9:00～19:00。詳細は現地のメーター・標識を確認。</x:v>
      </x:c>
      <x:c r="AD30" s="22" t="str">
        <x:v>昼の30～60分以内の都市インフラ観察のみ。夜は施設駐車場を基本。</x:v>
      </x:c>
      <x:c r="AE30" s="22" t="str">
        <x:v>普通車枠か、貨物優先枠でないか、休日利用可否を現地確認。</x:v>
      </x:c>
    </x:row>
    <x:row r="31">
      <x:c r="A31" s="27" t="str">
        <x:v>D001</x:v>
      </x:c>
      <x:c r="B31" s="27" t="str">
        <x:v>城南島海浜公園</x:v>
      </x:c>
      <x:c r="C31" s="27" t="str">
        <x:v>大田区・城南島</x:v>
      </x:c>
      <x:c r="D31" s="27" t="str">
        <x:v>飛行機・海・港</x:v>
      </x:c>
      <x:c r="E31" s="48" t="e">
        <x:f>HYPERLINK("https://www.google.com/maps/dir/?api=1&amp;destination=%E5%9F%8E%E5%8D%97%E5%B3%B6%E6%B5%B7%E6%B5%9C%E5%85%AC%E5%9C%92&amp;travelmode=driving","現在地からナビ開始")</x:f>
      </x:c>
      <x:c r="F31" s="27" t="str">
        <x:v>羽田の航空機、東京湾、コンテナ港を同時に味わえる大田区起点の基準Ending。</x:v>
      </x:c>
      <x:c r="G31" s="27" t="str">
        <x:v>あり・有料</x:v>
      </x:c>
      <x:c r="H31" s="27" t="str">
        <x:v>駐車場 7:30～21:00</x:v>
      </x:c>
      <x:c r="I31" s="27" t="n">
        <x:v>4</x:v>
      </x:c>
      <x:c r="J31" s="27" t="n">
        <x:v>4</x:v>
      </x:c>
      <x:c r="K31" s="27" t="str">
        <x:v>21時以降は入出庫不可。臨時閉鎖と高さ制限を当日確認。</x:v>
      </x:c>
      <x:c r="L31" s="28" t="n">
        <x:v>46232</x:v>
      </x:c>
      <x:c r="M31" s="27" t="str">
        <x:v>一次確認済</x:v>
      </x:c>
      <x:c r="N31" s="27" t="str">
        <x:v>https://tokyo-south-seaside-parks.com/jonanjima/</x:v>
      </x:c>
      <x:c r="O31" s="27" t="str">
        <x:v>城南島は東京湾を埋め立てて造られた人工島で、大井ふ頭の物流機能を補う工業・港湾地区として整備された。</x:v>
      </x:c>
      <x:c r="P31" s="84" t="e">
        <x:f>HYPERLINK("https://ja.wikipedia.org/wiki/Special:Search?search=%E5%9F%8E%E5%8D%97%E5%B3%B6%E6%B5%B7%E6%B5%9C%E5%85%AC%E5%9C%92","Wikipedia・関連項目")</x:f>
      </x:c>
      <x:c r="Q31" s="27"/>
      <x:c r="R31" s="27" t="str">
        <x:v>0〜10km</x:v>
      </x:c>
      <x:c r="S31" s="27" t="str">
        <x:v>概ね0〜10km</x:v>
      </x:c>
      <x:c r="T31" s="27" t="str">
        <x:v>通常10〜30分</x:v>
      </x:c>
      <x:c r="U31" s="27" t="str">
        <x:v>飛行機</x:v>
      </x:c>
      <x:c r="V31" s="27" t="str">
        <x:v>30〜60分</x:v>
      </x:c>
      <x:c r="W31" s="27" t="n">
        <x:v>1</x:v>
      </x:c>
      <x:c r="X31" s="27" t="n">
        <x:v>4</x:v>
      </x:c>
      <x:c r="Y31" s="27" t="str">
        <x:v>城南島海浜公園</x:v>
      </x:c>
      <x:c r="Z31" s="27" t="str">
        <x:v>京浜島つばさ公園／羽田空港 第3ターミナル展望デッキ</x:v>
      </x:c>
      <x:c r="AA31" s="22" t="str">
        <x:v>なし</x:v>
      </x:c>
      <x:c r="AB31" s="22" t="str">
        <x:v>-</x:v>
      </x:c>
      <x:c r="AC31" s="22" t="str"/>
      <x:c r="AD31" s="22" t="str">
        <x:v>専用・路外駐車を基本</x:v>
      </x:c>
      <x:c r="AE31" s="22" t="str"/>
    </x:row>
    <x:row r="32">
      <x:c r="A32" s="27" t="str">
        <x:v>D103</x:v>
      </x:c>
      <x:c r="B32" s="27" t="str">
        <x:v>夢見ヶ崎動物公園</x:v>
      </x:c>
      <x:c r="C32" s="27" t="str">
        <x:v>川崎市・幸区</x:v>
      </x:c>
      <x:c r="D32" s="27" t="str">
        <x:v>高台・動物公園・夜景</x:v>
      </x:c>
      <x:c r="E32" s="48" t="e">
        <x:f>HYPERLINK("https://www.google.com/maps/dir/?api=1&amp;destination=%E5%A4%A2%E8%A6%8B%E3%83%B6%E5%B4%8E%E5%8B%95%E7%89%A9%E5%85%AC%E5%9C%92&amp;travelmode=driving","現在地からナビ開始")</x:f>
      </x:c>
      <x:c r="F32" s="27" t="str">
        <x:v>小高い丘の展望広場から住宅地の灯りを眺められ、近距離の静かな夜景Endingになる。</x:v>
      </x:c>
      <x:c r="G32" s="27" t="str">
        <x:v>あり・小規模</x:v>
      </x:c>
      <x:c r="H32" s="27" t="str">
        <x:v>公園は常時利用可、駐車場は現地掲示優先</x:v>
      </x:c>
      <x:c r="I32" s="27" t="n">
        <x:v>4</x:v>
      </x:c>
      <x:c r="J32" s="27" t="n">
        <x:v>4</x:v>
      </x:c>
      <x:c r="K32" s="27" t="str">
        <x:v>夜間は動物舎周辺へ近づかず、近隣住宅へ配慮。</x:v>
      </x:c>
      <x:c r="L32" s="28" t="n">
        <x:v>46232</x:v>
      </x:c>
      <x:c r="M32" s="27" t="str">
        <x:v>当日再確認</x:v>
      </x:c>
      <x:c r="N32" s="27" t="str">
        <x:v>https://www.city.kawasaki.jp/530/page/0000063423.html</x:v>
      </x:c>
      <x:c r="O32" s="27" t="str">
        <x:v>夢見ヶ崎の名は、太田道灌が城を築こうとした際に不吉な夢を見て断念したという伝説に由来する。</x:v>
      </x:c>
      <x:c r="P32" s="84" t="e">
        <x:f>HYPERLINK("https://ja.wikipedia.org/wiki/Special:Search?search=%E5%A4%A2%E8%A6%8B%E3%83%B6%E5%B4%8E%E5%8B%95%E7%89%A9%E5%85%AC%E5%9C%92","Wikipedia・関連項目")</x:f>
      </x:c>
      <x:c r="Q32" s="27"/>
      <x:c r="R32" s="27" t="str">
        <x:v>0〜10km</x:v>
      </x:c>
      <x:c r="S32" s="27" t="str">
        <x:v>概ね0〜10km</x:v>
      </x:c>
      <x:c r="T32" s="27" t="str">
        <x:v>通常10〜30分</x:v>
      </x:c>
      <x:c r="U32" s="27" t="str">
        <x:v>平日夜・深夜</x:v>
      </x:c>
      <x:c r="V32" s="27" t="str">
        <x:v>60〜150分</x:v>
      </x:c>
      <x:c r="W32" s="27" t="n">
        <x:v>1</x:v>
      </x:c>
      <x:c r="X32" s="27" t="n">
        <x:v>3</x:v>
      </x:c>
      <x:c r="Y32" s="27" t="str">
        <x:v>平和の森公園</x:v>
      </x:c>
      <x:c r="Z32" s="27" t="str">
        <x:v>大森ふるさとの浜辺公園／森ケ崎公園</x:v>
      </x:c>
      <x:c r="AA32" s="22" t="str">
        <x:v>なし</x:v>
      </x:c>
      <x:c r="AB32" s="22" t="str">
        <x:v>-</x:v>
      </x:c>
      <x:c r="AC32" s="22" t="str"/>
      <x:c r="AD32" s="22" t="str">
        <x:v>専用・路外駐車を基本</x:v>
      </x:c>
      <x:c r="AE32" s="22" t="str"/>
    </x:row>
    <x:row r="33">
      <x:c r="A33" s="27" t="str">
        <x:v>D064</x:v>
      </x:c>
      <x:c r="B33" s="27" t="str">
        <x:v>大井PA（東行き）</x:v>
      </x:c>
      <x:c r="C33" s="27" t="str">
        <x:v>品川区・八潮</x:v>
      </x:c>
      <x:c r="D33" s="27" t="str">
        <x:v>PA・湾岸・近距離休憩</x:v>
      </x:c>
      <x:c r="E33" s="48" t="e">
        <x:f>HYPERLINK("https://www.google.com/maps/dir/?api=1&amp;destination=%E5%A4%A7%E4%BA%95PA%EF%BC%88%E6%9D%B1%E8%A1%8C%E3%81%8D%EF%BC%89&amp;travelmode=driving","現在地からナビ開始")</x:f>
      </x:c>
      <x:c r="F33" s="27" t="str">
        <x:v>大田区から近く、短時間だけ湾岸を走りたい夜のミニマムEndingになる。</x:v>
      </x:c>
      <x:c r="G33" s="27" t="str">
        <x:v>あり・普通車19台</x:v>
      </x:c>
      <x:c r="H33" s="27" t="str">
        <x:v>原則24時間、工事閉鎖あり</x:v>
      </x:c>
      <x:c r="I33" s="27" t="n">
        <x:v>4</x:v>
      </x:c>
      <x:c r="J33" s="27" t="n">
        <x:v>4</x:v>
      </x:c>
      <x:c r="K33" s="27" t="str">
        <x:v>東行き専用で進行方向制約あり。工事情報を確認。</x:v>
      </x:c>
      <x:c r="L33" s="28" t="n">
        <x:v>46232</x:v>
      </x:c>
      <x:c r="M33" s="27" t="str">
        <x:v>当日再確認</x:v>
      </x:c>
      <x:c r="N33" s="27" t="str">
        <x:v>https://www.shutoko-sv.jp/pa/oi-eastbound</x:v>
      </x:c>
      <x:c r="O33" s="27" t="str">
        <x:v>大井PA周辺の八潮・大井ふ頭は東京港の主要物流拠点で、巨大な倉庫・コンテナ施設が集まる。</x:v>
      </x:c>
      <x:c r="P33" s="84" t="e">
        <x:f>HYPERLINK("https://ja.wikipedia.org/wiki/Special:Search?search=%E5%A4%A7%E4%BA%95PA%EF%BC%88%E6%9D%B1%E8%A1%8C%E3%81%8D%EF%BC%89","Wikipedia・関連項目")</x:f>
      </x:c>
      <x:c r="Q33" s="27"/>
      <x:c r="R33" s="27" t="str">
        <x:v>0〜10km</x:v>
      </x:c>
      <x:c r="S33" s="27" t="str">
        <x:v>概ね0〜10km</x:v>
      </x:c>
      <x:c r="T33" s="27" t="str">
        <x:v>通常10〜30分</x:v>
      </x:c>
      <x:c r="U33" s="27" t="str">
        <x:v>平日夜・深夜</x:v>
      </x:c>
      <x:c r="V33" s="27" t="str">
        <x:v>15〜30分</x:v>
      </x:c>
      <x:c r="W33" s="27" t="n">
        <x:v>4</x:v>
      </x:c>
      <x:c r="X33" s="27" t="n">
        <x:v>4</x:v>
      </x:c>
      <x:c r="Y33" s="27" t="str">
        <x:v>羽田空港 第3ターミナル展望デッキ</x:v>
      </x:c>
      <x:c r="Z33" s="27" t="str">
        <x:v>城南島海浜公園／潮風公園</x:v>
      </x:c>
      <x:c r="AA33" s="22" t="str">
        <x:v>なし</x:v>
      </x:c>
      <x:c r="AB33" s="22" t="str">
        <x:v>-</x:v>
      </x:c>
      <x:c r="AC33" s="22" t="str"/>
      <x:c r="AD33" s="22" t="str">
        <x:v>専用・路外駐車を基本</x:v>
      </x:c>
      <x:c r="AE33" s="22" t="str"/>
    </x:row>
    <x:row r="34">
      <x:c r="A34" s="27" t="str">
        <x:v>D096</x:v>
      </x:c>
      <x:c r="B34" s="27" t="str">
        <x:v>大島小松川公園</x:v>
      </x:c>
      <x:c r="C34" s="27" t="str">
        <x:v>江戸川区・小松川</x:v>
      </x:c>
      <x:c r="D34" s="27" t="str">
        <x:v>河川・高台・夜間公園</x:v>
      </x:c>
      <x:c r="E34" s="48" t="e">
        <x:f>HYPERLINK("https://www.google.com/maps/dir/?api=1&amp;destination=%E5%A4%A7%E5%B3%B6%E5%B0%8F%E6%9D%BE%E5%B7%9D%E5%85%AC%E5%9C%92&amp;travelmode=driving","現在地からナビ開始")</x:f>
      </x:c>
      <x:c r="F34" s="27" t="str">
        <x:v>旧中川と荒川に挟まれた高台公園で、都心東側を静かに終える24時間候補になる。</x:v>
      </x:c>
      <x:c r="G34" s="27" t="str">
        <x:v>あり・97台・有料</x:v>
      </x:c>
      <x:c r="H34" s="27" t="str">
        <x:v>駐車場 24時間</x:v>
      </x:c>
      <x:c r="I34" s="27" t="n">
        <x:v>4</x:v>
      </x:c>
      <x:c r="J34" s="27" t="n">
        <x:v>4</x:v>
      </x:c>
      <x:c r="K34" s="27" t="str">
        <x:v>夜は暗い区域を避ける。公道での入庫待ち・騒音行為は禁止。</x:v>
      </x:c>
      <x:c r="L34" s="28" t="n">
        <x:v>46232</x:v>
      </x:c>
      <x:c r="M34" s="27" t="str">
        <x:v>一次確認済</x:v>
      </x:c>
      <x:c r="N34" s="27" t="str">
        <x:v>https://www.tokyo-park.or.jp/park/ojima-komatsugawa/index.html</x:v>
      </x:c>
      <x:c r="O34" s="27" t="str">
        <x:v>大島小松川公園は荒川と旧中川に挟まれた防災拠点で、災害時には避難・救援空間として機能する。</x:v>
      </x:c>
      <x:c r="P34" s="84" t="e">
        <x:f>HYPERLINK("https://ja.wikipedia.org/wiki/Special:Search?search=%E5%A4%A7%E5%B3%B6%E5%B0%8F%E6%9D%BE%E5%B7%9D%E5%85%AC%E5%9C%92","Wikipedia・関連項目")</x:f>
      </x:c>
      <x:c r="Q34" s="27"/>
      <x:c r="R34" s="27" t="str">
        <x:v>20〜25km</x:v>
      </x:c>
      <x:c r="S34" s="27" t="str">
        <x:v>概ね20〜25km</x:v>
      </x:c>
      <x:c r="T34" s="27" t="str">
        <x:v>通常40〜70分</x:v>
      </x:c>
      <x:c r="U34" s="27" t="str">
        <x:v>水辺</x:v>
      </x:c>
      <x:c r="V34" s="27" t="str">
        <x:v>30〜90分</x:v>
      </x:c>
      <x:c r="W34" s="27" t="n">
        <x:v>1</x:v>
      </x:c>
      <x:c r="X34" s="27" t="n">
        <x:v>1</x:v>
      </x:c>
      <x:c r="Y34" s="27" t="str">
        <x:v>多摩川浅間神社</x:v>
      </x:c>
      <x:c r="Z34" s="27" t="str">
        <x:v>多摩川六郷橋緑地／多摩川ガス橋緑地</x:v>
      </x:c>
      <x:c r="AA34" s="22" t="str">
        <x:v>なし</x:v>
      </x:c>
      <x:c r="AB34" s="22" t="str">
        <x:v>-</x:v>
      </x:c>
      <x:c r="AC34" s="22" t="str"/>
      <x:c r="AD34" s="22" t="str">
        <x:v>専用・路外駐車を基本</x:v>
      </x:c>
      <x:c r="AE34" s="22" t="str"/>
    </x:row>
    <x:row r="35">
      <x:c r="A35" s="27" t="str">
        <x:v>D065</x:v>
      </x:c>
      <x:c r="B35" s="27" t="str">
        <x:v>平和島PA（上り）</x:v>
      </x:c>
      <x:c r="C35" s="27" t="str">
        <x:v>大田区・平和島</x:v>
      </x:c>
      <x:c r="D35" s="27" t="str">
        <x:v>PA・近距離・夜間休憩</x:v>
      </x:c>
      <x:c r="E35" s="48" t="e">
        <x:f>HYPERLINK("https://www.google.com/maps/dir/?api=1&amp;destination=%E5%B9%B3%E5%92%8C%E5%B3%B6PA%EF%BC%88%E4%B8%8A%E3%82%8A%EF%BC%89&amp;travelmode=driving","現在地からナビ開始")</x:f>
      </x:c>
      <x:c r="F35" s="27" t="str">
        <x:v>大田区内で最短の首都高体験を作れ、出発後すぐに気分転換したい夜に使える。</x:v>
      </x:c>
      <x:c r="G35" s="27" t="str">
        <x:v>あり・首都高PA</x:v>
      </x:c>
      <x:c r="H35" s="27" t="str">
        <x:v>原則24時間、工事閉鎖あり</x:v>
      </x:c>
      <x:c r="I35" s="27" t="n">
        <x:v>4</x:v>
      </x:c>
      <x:c r="J35" s="27" t="n">
        <x:v>4</x:v>
      </x:c>
      <x:c r="K35" s="27" t="str">
        <x:v>上り線専用。短時間休憩に限定し、周回目的の走行はしない。</x:v>
      </x:c>
      <x:c r="L35" s="28" t="n">
        <x:v>46232</x:v>
      </x:c>
      <x:c r="M35" s="27" t="str">
        <x:v>当日再確認</x:v>
      </x:c>
      <x:c r="N35" s="27" t="str">
        <x:v>https://www.shutoko-sv.jp/pa/heiwajima-up</x:v>
      </x:c>
      <x:c r="O35" s="27" t="str">
        <x:v>平和島は昭和期に造成された人工島で、『平和』を願う名称が町名として採用された。</x:v>
      </x:c>
      <x:c r="P35" s="84" t="e">
        <x:f>HYPERLINK("https://ja.wikipedia.org/wiki/Special:Search?search=%E5%B9%B3%E5%92%8C%E5%B3%B6PA%EF%BC%88%E4%B8%8A%E3%82%8A%EF%BC%89","Wikipedia・関連項目")</x:f>
      </x:c>
      <x:c r="Q35" s="27"/>
      <x:c r="R35" s="27" t="str">
        <x:v>0〜10km</x:v>
      </x:c>
      <x:c r="S35" s="27" t="str">
        <x:v>概ね0〜10km</x:v>
      </x:c>
      <x:c r="T35" s="27" t="str">
        <x:v>通常10〜30分</x:v>
      </x:c>
      <x:c r="U35" s="27" t="str">
        <x:v>平日夜・深夜</x:v>
      </x:c>
      <x:c r="V35" s="27" t="str">
        <x:v>15〜30分</x:v>
      </x:c>
      <x:c r="W35" s="27" t="n">
        <x:v>4</x:v>
      </x:c>
      <x:c r="X35" s="27" t="n">
        <x:v>4</x:v>
      </x:c>
      <x:c r="Y35" s="27" t="str">
        <x:v>羽田空港 第3ターミナル展望デッキ</x:v>
      </x:c>
      <x:c r="Z35" s="27" t="str">
        <x:v>城南島海浜公園／潮風公園</x:v>
      </x:c>
      <x:c r="AA35" s="22" t="str">
        <x:v>なし</x:v>
      </x:c>
      <x:c r="AB35" s="22" t="str">
        <x:v>-</x:v>
      </x:c>
      <x:c r="AC35" s="22" t="str"/>
      <x:c r="AD35" s="22" t="str">
        <x:v>専用・路外駐車を基本</x:v>
      </x:c>
      <x:c r="AE35" s="22" t="str"/>
    </x:row>
    <x:row r="36">
      <x:c r="A36" s="27" t="str">
        <x:v>D257</x:v>
      </x:c>
      <x:c r="B36" s="27" t="str">
        <x:v>東扇島中公園</x:v>
      </x:c>
      <x:c r="C36" s="27" t="str">
        <x:v>川崎市川崎区・東扇島</x:v>
      </x:c>
      <x:c r="D36" s="27" t="str">
        <x:v>芝生・港湾休憩・共有駐車</x:v>
      </x:c>
      <x:c r="E36" s="48" t="e">
        <x:f>HYPERLINK("https://www.google.com/maps/dir/?api=1&amp;destination=%E6%9D%B1%E6%89%87%E5%B3%B6%E4%B8%AD%E5%85%AC%E5%9C%92&amp;travelmode=driving","現在地からナビ開始")</x:f>
      </x:c>
      <x:c r="F36" s="27" t="str">
        <x:v>川崎マリエンに隣接し、芝生・港湾の空・休憩を短時間で取り込める。マリエンと1回の駐車で組み合わせられる。</x:v>
      </x:c>
      <x:c r="G36" s="27" t="str">
        <x:v>川崎マリエン駐車場を共用・有料</x:v>
      </x:c>
      <x:c r="H36" s="27" t="str">
        <x:v>公園24時間／駐車場22:30～6:00は入出場に一部制限</x:v>
      </x:c>
      <x:c r="I36" s="27" t="n">
        <x:v>4</x:v>
      </x:c>
      <x:c r="J36" s="27" t="n">
        <x:v>4</x:v>
      </x:c>
      <x:c r="K36" s="27" t="str">
        <x:v>深夜は駐車場の入出場制限を確認。公園単独で再駐車せず、川崎マリエンとの徒歩連結を基本とする。</x:v>
      </x:c>
      <x:c r="L36" s="28" t="n">
        <x:v>46232</x:v>
      </x:c>
      <x:c r="M36" s="27" t="str">
        <x:v>一次確認済</x:v>
      </x:c>
      <x:c r="N36" s="27" t="str">
        <x:v>https://www.city.kawasaki.jp/580/page/0000041705.html</x:v>
      </x:c>
      <x:c r="O36" s="27" t="str">
        <x:v>川崎マリエンに隣接する港湾公園で、芝生広場、バーベキュー場、キャンプサイトを備える。</x:v>
      </x:c>
      <x:c r="P36" s="84" t="e">
        <x:f>HYPERLINK("https://ja.wikipedia.org/wiki/Special:Search?search=%E6%9D%B1%E6%89%87%E5%B3%B6%E4%B8%AD%E5%85%AC%E5%9C%92","Wikipedia・関連項目")</x:f>
      </x:c>
      <x:c r="Q36" s="27" t="str">
        <x:v>近距離代替経由地プール追加</x:v>
      </x:c>
      <x:c r="R36" s="27" t="str">
        <x:v>10〜20km</x:v>
      </x:c>
      <x:c r="S36" s="27" t="str">
        <x:v>蒲田から約16〜21km</x:v>
      </x:c>
      <x:c r="T36" s="27" t="str">
        <x:v>通常35〜55分</x:v>
      </x:c>
      <x:c r="U36" s="27" t="str">
        <x:v>夕方・港湾休憩・共有駐車</x:v>
      </x:c>
      <x:c r="V36" s="27" t="str">
        <x:v>15〜45分</x:v>
      </x:c>
      <x:c r="W36" s="27" t="n">
        <x:v>1</x:v>
      </x:c>
      <x:c r="X36" s="27" t="n">
        <x:v>2</x:v>
      </x:c>
      <x:c r="Y36" s="27" t="str">
        <x:v>川崎マリエン</x:v>
      </x:c>
      <x:c r="Z36" s="27" t="str">
        <x:v>東扇島西公園／ちどり公園</x:v>
      </x:c>
      <x:c r="AA36" s="22" t="str">
        <x:v>なし</x:v>
      </x:c>
      <x:c r="AB36" s="22" t="str">
        <x:v>-</x:v>
      </x:c>
      <x:c r="AC36" s="22" t="str"/>
      <x:c r="AD36" s="22" t="str">
        <x:v>専用・路外駐車を基本</x:v>
      </x:c>
      <x:c r="AE36" s="22" t="str"/>
    </x:row>
    <x:row r="37">
      <x:c r="A37" s="27" t="str">
        <x:v>D044</x:v>
      </x:c>
      <x:c r="B37" s="27" t="str">
        <x:v>桜ヶ丘公園 ゆうひの丘</x:v>
      </x:c>
      <x:c r="C37" s="27" t="str">
        <x:v>多摩市・連光寺</x:v>
      </x:c>
      <x:c r="D37" s="27" t="str">
        <x:v>高台・夕景・夜景</x:v>
      </x:c>
      <x:c r="E37" s="48" t="e">
        <x:f>HYPERLINK("https://www.google.com/maps/dir/?api=1&amp;destination=%E6%A1%9C%E3%83%B6%E4%B8%98%E5%85%AC%E5%9C%92%20%E3%82%86%E3%81%86%E3%81%B2%E3%81%AE%E4%B8%98&amp;travelmode=driving","現在地からナビ開始")</x:f>
      </x:c>
      <x:c r="F37" s="27" t="str">
        <x:v>多摩丘陵から市街地を見下ろす夕景が強く、都心湾岸とは別系統の高台Endingになる。</x:v>
      </x:c>
      <x:c r="G37" s="27" t="str">
        <x:v>あり・無料・約38台</x:v>
      </x:c>
      <x:c r="H37" s="27" t="str">
        <x:v>ゆうひの丘側 8:45～20:00</x:v>
      </x:c>
      <x:c r="I37" s="27" t="n">
        <x:v>4</x:v>
      </x:c>
      <x:c r="J37" s="27" t="n">
        <x:v>4</x:v>
      </x:c>
      <x:c r="K37" s="27" t="str">
        <x:v>20時に夜間閉鎖。台数が少なく、公道での入庫待ちは不可。</x:v>
      </x:c>
      <x:c r="L37" s="28" t="n">
        <x:v>46232</x:v>
      </x:c>
      <x:c r="M37" s="27" t="str">
        <x:v>一次確認済</x:v>
      </x:c>
      <x:c r="N37" s="27" t="str">
        <x:v>https://www.tokyo-park.or.jp/park/sakuragaoka/index.html</x:v>
      </x:c>
      <x:c r="O37" s="27" t="str">
        <x:v>ゆうひの丘は多摩丘陵の高低差を生かした展望地で、テレビドラマや映像作品のロケ地としても使われてきた。</x:v>
      </x:c>
      <x:c r="P37" s="84" t="e">
        <x:f>HYPERLINK("https://ja.wikipedia.org/wiki/Special:Search?search=%E6%A1%9C%E3%83%B6%E4%B8%98%E5%85%AC%E5%9C%92%20%E3%82%86%E3%81%86%E3%81%B2%E3%81%AE%E4%B8%98","Wikipedia・関連項目")</x:f>
      </x:c>
      <x:c r="Q37" s="27"/>
      <x:c r="R37" s="27" t="str">
        <x:v>20〜25km</x:v>
      </x:c>
      <x:c r="S37" s="27" t="str">
        <x:v>概ね20〜25km</x:v>
      </x:c>
      <x:c r="T37" s="27" t="str">
        <x:v>通常40〜70分</x:v>
      </x:c>
      <x:c r="U37" s="27" t="str">
        <x:v>平日夜・深夜</x:v>
      </x:c>
      <x:c r="V37" s="27" t="str">
        <x:v>30〜60分</x:v>
      </x:c>
      <x:c r="W37" s="27" t="n">
        <x:v>1</x:v>
      </x:c>
      <x:c r="X37" s="27" t="n">
        <x:v>3</x:v>
      </x:c>
      <x:c r="Y37" s="27" t="str">
        <x:v>羽田空港 第3ターミナル展望デッキ</x:v>
      </x:c>
      <x:c r="Z37" s="27" t="str">
        <x:v>城南島海浜公園／潮風公園</x:v>
      </x:c>
      <x:c r="AA37" s="22" t="str">
        <x:v>なし</x:v>
      </x:c>
      <x:c r="AB37" s="22" t="str">
        <x:v>-</x:v>
      </x:c>
      <x:c r="AC37" s="22" t="str"/>
      <x:c r="AD37" s="22" t="str">
        <x:v>専用・路外駐車を基本</x:v>
      </x:c>
      <x:c r="AE37" s="22" t="str"/>
    </x:row>
    <x:row r="38">
      <x:c r="A38" s="27" t="str">
        <x:v>D243</x:v>
      </x:c>
      <x:c r="B38" s="27" t="str">
        <x:v>森ケ崎公園</x:v>
      </x:c>
      <x:c r="C38" s="27" t="str">
        <x:v>大田区・大森南</x:v>
      </x:c>
      <x:c r="D38" s="27" t="str">
        <x:v>屋上公園・飛行機・富士山</x:v>
      </x:c>
      <x:c r="E38" s="48" t="e">
        <x:f>HYPERLINK("https://www.google.com/maps/dir/?api=1&amp;destination=%E6%A3%AE%E3%82%B1%E5%B4%8E%E5%85%AC%E5%9C%92&amp;travelmode=driving","現在地からナビ開始")</x:f>
      </x:c>
      <x:c r="F38" s="27" t="str">
        <x:v>水再生センター屋上という特殊な立地から、羽田空港と富士山方向を望める。近いのに地上から切り離された感覚がある。</x:v>
      </x:c>
      <x:c r="G38" s="27" t="str">
        <x:v>あり・47台・30分100円</x:v>
      </x:c>
      <x:c r="H38" s="27" t="str">
        <x:v>4～11月・2～3月 6:30～21:30／12～1月 7:30～20:30</x:v>
      </x:c>
      <x:c r="I38" s="27" t="n">
        <x:v>4</x:v>
      </x:c>
      <x:c r="J38" s="27" t="n">
        <x:v>4</x:v>
      </x:c>
      <x:c r="K38" s="27" t="str">
        <x:v>利用時間外は入出庫不可。土日祝は入場待ちが発生しやすく、急ぐ場合は近隣民間駐車場へ切替。</x:v>
      </x:c>
      <x:c r="L38" s="28" t="n">
        <x:v>46232</x:v>
      </x:c>
      <x:c r="M38" s="27" t="str">
        <x:v>一次確認済</x:v>
      </x:c>
      <x:c r="N38" s="27" t="str">
        <x:v>https://www.city.ota.tokyo.jp/shisetsu/park/morigasaki.html</x:v>
      </x:c>
      <x:c r="O38" s="27" t="str">
        <x:v>森ケ崎水再生センターの屋上を公園として再利用した都市インフラ上の緑地である。</x:v>
      </x:c>
      <x:c r="P38" s="84" t="e">
        <x:f>HYPERLINK("https://ja.wikipedia.org/wiki/Special:Search?search=%E6%A3%AE%E3%82%B1%E5%B4%8E%E5%85%AC%E5%9C%92","Wikipedia・関連項目")</x:f>
      </x:c>
      <x:c r="Q38" s="27" t="str">
        <x:v>2026-07-29公式再確認：2026-04-01以降の延長時間と47台駐車場を反映。</x:v>
      </x:c>
      <x:c r="R38" s="27" t="str">
        <x:v>0〜10km</x:v>
      </x:c>
      <x:c r="S38" s="27" t="str">
        <x:v>蒲田から約5〜8km</x:v>
      </x:c>
      <x:c r="T38" s="27" t="str">
        <x:v>通常15〜30分</x:v>
      </x:c>
      <x:c r="U38" s="27" t="str">
        <x:v>夕景・飛行機・平日夜</x:v>
      </x:c>
      <x:c r="V38" s="27" t="str">
        <x:v>30〜60分</x:v>
      </x:c>
      <x:c r="W38" s="27" t="n">
        <x:v>1</x:v>
      </x:c>
      <x:c r="X38" s="27" t="n">
        <x:v>2</x:v>
      </x:c>
      <x:c r="Y38" s="27" t="str">
        <x:v>HANEDA INNOVATION CITY 足湯スカイデッキ</x:v>
      </x:c>
      <x:c r="Z38" s="27" t="str">
        <x:v>ソラムナード羽田緑地／城南島海浜公園</x:v>
      </x:c>
      <x:c r="AA38" s="22" t="str">
        <x:v>なし</x:v>
      </x:c>
      <x:c r="AB38" s="22" t="str">
        <x:v>-</x:v>
      </x:c>
      <x:c r="AC38" s="22" t="str"/>
      <x:c r="AD38" s="22" t="str">
        <x:v>専用・路外駐車を基本</x:v>
      </x:c>
      <x:c r="AE38" s="22" t="str"/>
    </x:row>
    <x:row r="39">
      <x:c r="A39" s="27" t="str">
        <x:v>D101</x:v>
      </x:c>
      <x:c r="B39" s="27" t="str">
        <x:v>武蔵野公園</x:v>
      </x:c>
      <x:c r="C39" s="27" t="str">
        <x:v>府中市・小金井市</x:v>
      </x:c>
      <x:c r="D39" s="27" t="str">
        <x:v>河川・草地・夜間公園</x:v>
      </x:c>
      <x:c r="E39" s="48" t="e">
        <x:f>HYPERLINK("https://www.google.com/maps/dir/?api=1&amp;destination=%E6%AD%A6%E8%94%B5%E9%87%8E%E5%85%AC%E5%9C%92&amp;travelmode=driving","現在地からナビ開始")</x:f>
      </x:c>
      <x:c r="F39" s="27" t="str">
        <x:v>野川沿いの広い草地と樹林があり、西東京方面の長い一般道ドライブを静かに終えられる。</x:v>
      </x:c>
      <x:c r="G39" s="27" t="str">
        <x:v>あり・122台・有料</x:v>
      </x:c>
      <x:c r="H39" s="27" t="str">
        <x:v>駐車場 24時間</x:v>
      </x:c>
      <x:c r="I39" s="27" t="n">
        <x:v>4</x:v>
      </x:c>
      <x:c r="J39" s="27" t="n">
        <x:v>4</x:v>
      </x:c>
      <x:c r="K39" s="27" t="str">
        <x:v>夜間は照明のある主要園路に限定。大型車不可。</x:v>
      </x:c>
      <x:c r="L39" s="28" t="n">
        <x:v>46232</x:v>
      </x:c>
      <x:c r="M39" s="27" t="str">
        <x:v>一次確認済</x:v>
      </x:c>
      <x:c r="N39" s="27" t="str">
        <x:v>https://www.s-park.jp/map/996</x:v>
      </x:c>
      <x:c r="O39" s="27" t="str">
        <x:v>武蔵野公園には東京都の街路樹を育てる苗圃があり、園内に多様な樹種が並ぶ理由になっている。</x:v>
      </x:c>
      <x:c r="P39" s="84" t="e">
        <x:f>HYPERLINK("https://ja.wikipedia.org/wiki/Special:Search?search=%E6%AD%A6%E8%94%B5%E9%87%8E%E5%85%AC%E5%9C%92","Wikipedia・関連項目")</x:f>
      </x:c>
      <x:c r="Q39" s="27"/>
      <x:c r="R39" s="27" t="str">
        <x:v>20〜25km</x:v>
      </x:c>
      <x:c r="S39" s="27" t="str">
        <x:v>概ね20〜25km</x:v>
      </x:c>
      <x:c r="T39" s="27" t="str">
        <x:v>通常40〜70分</x:v>
      </x:c>
      <x:c r="U39" s="27" t="str">
        <x:v>水辺</x:v>
      </x:c>
      <x:c r="V39" s="27" t="str">
        <x:v>30〜90分</x:v>
      </x:c>
      <x:c r="W39" s="27" t="n">
        <x:v>1</x:v>
      </x:c>
      <x:c r="X39" s="27" t="n">
        <x:v>1</x:v>
      </x:c>
      <x:c r="Y39" s="27" t="str">
        <x:v>多摩川浅間神社</x:v>
      </x:c>
      <x:c r="Z39" s="27" t="str">
        <x:v>多摩川六郷橋緑地／多摩川ガス橋緑地</x:v>
      </x:c>
      <x:c r="AA39" s="22" t="str">
        <x:v>なし</x:v>
      </x:c>
      <x:c r="AB39" s="22" t="str">
        <x:v>-</x:v>
      </x:c>
      <x:c r="AC39" s="22" t="str"/>
      <x:c r="AD39" s="22" t="str">
        <x:v>専用・路外駐車を基本</x:v>
      </x:c>
      <x:c r="AE39" s="22" t="str"/>
    </x:row>
    <x:row r="40">
      <x:c r="A40" s="27" t="str">
        <x:v>D097</x:v>
      </x:c>
      <x:c r="B40" s="27" t="str">
        <x:v>篠崎公園</x:v>
      </x:c>
      <x:c r="C40" s="27" t="str">
        <x:v>江戸川区・上篠崎</x:v>
      </x:c>
      <x:c r="D40" s="27" t="str">
        <x:v>河川敷・公園・夜間休憩</x:v>
      </x:c>
      <x:c r="E40" s="48" t="e">
        <x:f>HYPERLINK("https://www.google.com/maps/dir/?api=1&amp;destination=%E7%AF%A0%E5%B4%8E%E5%85%AC%E5%9C%92&amp;travelmode=driving","現在地からナビ開始")</x:f>
      </x:c>
      <x:c r="F40" s="27" t="str">
        <x:v>江戸川に近い広い公園で、東東京方面の長い一般道ドライブを落ち着かせられる。</x:v>
      </x:c>
      <x:c r="G40" s="27" t="str">
        <x:v>あり・第一駐車場有料</x:v>
      </x:c>
      <x:c r="H40" s="27" t="str">
        <x:v>駐車場 24時間</x:v>
      </x:c>
      <x:c r="I40" s="27" t="n">
        <x:v>4</x:v>
      </x:c>
      <x:c r="J40" s="27" t="n">
        <x:v>4</x:v>
      </x:c>
      <x:c r="K40" s="27" t="str">
        <x:v>花火大会日は駐車場利用制限あり。夜間は外灯のある区域に限定。</x:v>
      </x:c>
      <x:c r="L40" s="28" t="n">
        <x:v>46232</x:v>
      </x:c>
      <x:c r="M40" s="27" t="str">
        <x:v>一次確認済</x:v>
      </x:c>
      <x:c r="N40" s="27" t="str">
        <x:v>https://www.tokyo-park.or.jp/park/shinozaki/index.html</x:v>
      </x:c>
      <x:c r="O40" s="27" t="str">
        <x:v>篠崎公園は江戸川沿いの防災公園として計画され、広いオープンスペースを確保している。</x:v>
      </x:c>
      <x:c r="P40" s="84" t="e">
        <x:f>HYPERLINK("https://ja.wikipedia.org/wiki/Special:Search?search=%E7%AF%A0%E5%B4%8E%E5%85%AC%E5%9C%92","Wikipedia・関連項目")</x:f>
      </x:c>
      <x:c r="Q40" s="27"/>
      <x:c r="R40" s="27" t="str">
        <x:v>20〜25km</x:v>
      </x:c>
      <x:c r="S40" s="27" t="str">
        <x:v>概ね20〜25km</x:v>
      </x:c>
      <x:c r="T40" s="27" t="str">
        <x:v>通常40〜70分</x:v>
      </x:c>
      <x:c r="U40" s="27" t="str">
        <x:v>水辺</x:v>
      </x:c>
      <x:c r="V40" s="27" t="str">
        <x:v>30〜90分</x:v>
      </x:c>
      <x:c r="W40" s="27" t="n">
        <x:v>1</x:v>
      </x:c>
      <x:c r="X40" s="27" t="n">
        <x:v>1</x:v>
      </x:c>
      <x:c r="Y40" s="27" t="str">
        <x:v>多摩川浅間神社</x:v>
      </x:c>
      <x:c r="Z40" s="27" t="str">
        <x:v>多摩川六郷橋緑地／多摩川ガス橋緑地</x:v>
      </x:c>
      <x:c r="AA40" s="22" t="str">
        <x:v>なし</x:v>
      </x:c>
      <x:c r="AB40" s="22" t="str">
        <x:v>-</x:v>
      </x:c>
      <x:c r="AC40" s="22" t="str"/>
      <x:c r="AD40" s="22" t="str">
        <x:v>専用・路外駐車を基本</x:v>
      </x:c>
      <x:c r="AE40" s="22" t="str"/>
    </x:row>
    <x:row r="41">
      <x:c r="A41" s="27" t="str">
        <x:v>D108</x:v>
      </x:c>
      <x:c r="B41" s="27" t="str">
        <x:v>千葉公園</x:v>
      </x:c>
      <x:c r="C41" s="27" t="str">
        <x:v>千葉市・中央区</x:v>
      </x:c>
      <x:c r="D41" s="27" t="str">
        <x:v>池・都市公園・夜間散歩</x:v>
      </x:c>
      <x:c r="E41" s="48" t="e">
        <x:f>HYPERLINK("https://www.google.com/maps/dir/?api=1&amp;destination=%E5%8D%83%E8%91%89%E5%85%AC%E5%9C%92&amp;travelmode=driving","現在地からナビ開始")</x:f>
      </x:c>
      <x:c r="F41" s="27" t="str">
        <x:v>池とモノレール、市街地の灯りが重なり、千葉市中心部の落ち着いたEndingになる。</x:v>
      </x:c>
      <x:c r="G41" s="27" t="str">
        <x:v>あり・有料</x:v>
      </x:c>
      <x:c r="H41" s="27" t="str">
        <x:v>公園は常時開園、駐車場は最新案内確認</x:v>
      </x:c>
      <x:c r="I41" s="27" t="n">
        <x:v>4</x:v>
      </x:c>
      <x:c r="J41" s="27" t="n">
        <x:v>3</x:v>
      </x:c>
      <x:c r="K41" s="27" t="str">
        <x:v>イベント・ボート営業日で混雑。夜は主要園路のみ。</x:v>
      </x:c>
      <x:c r="L41" s="28" t="n">
        <x:v>46232</x:v>
      </x:c>
      <x:c r="M41" s="27" t="str">
        <x:v>当日再確認</x:v>
      </x:c>
      <x:c r="N41" s="27" t="str">
        <x:v>https://www.city.chiba.jp/toshi/koenryokuchi/kanri/chuo-inage/chibap02acces.html</x:v>
      </x:c>
      <x:c r="O41" s="27" t="str">
        <x:v>千葉公園の大賀ハスは、植物学者・大賀一郎が約2000年前とされる種子から発芽させた古代ハスである。</x:v>
      </x:c>
      <x:c r="P41" s="84" t="e">
        <x:f>HYPERLINK("https://ja.wikipedia.org/wiki/Special:Search?search=%E5%8D%83%E8%91%89%E5%85%AC%E5%9C%92","Wikipedia・関連項目")</x:f>
      </x:c>
      <x:c r="Q41" s="27"/>
      <x:c r="R41" s="27" t="str">
        <x:v>10〜20km</x:v>
      </x:c>
      <x:c r="S41" s="27" t="str">
        <x:v>概ね10〜20km</x:v>
      </x:c>
      <x:c r="T41" s="27" t="str">
        <x:v>通常25〜50分</x:v>
      </x:c>
      <x:c r="U41" s="27" t="str">
        <x:v>水辺</x:v>
      </x:c>
      <x:c r="V41" s="27" t="str">
        <x:v>30〜90分</x:v>
      </x:c>
      <x:c r="W41" s="27" t="n">
        <x:v>1</x:v>
      </x:c>
      <x:c r="X41" s="27" t="n">
        <x:v>1</x:v>
      </x:c>
      <x:c r="Y41" s="27" t="str">
        <x:v>多摩川浅間神社</x:v>
      </x:c>
      <x:c r="Z41" s="27" t="str">
        <x:v>多摩川六郷橋緑地／多摩川ガス橋緑地</x:v>
      </x:c>
      <x:c r="AA41" s="22" t="str">
        <x:v>なし</x:v>
      </x:c>
      <x:c r="AB41" s="22" t="str">
        <x:v>-</x:v>
      </x:c>
      <x:c r="AC41" s="22" t="str"/>
      <x:c r="AD41" s="22" t="str">
        <x:v>専用・路外駐車を基本</x:v>
      </x:c>
      <x:c r="AE41" s="22" t="str"/>
    </x:row>
    <x:row r="42">
      <x:c r="A42" s="27" t="str">
        <x:v>D255</x:v>
      </x:c>
      <x:c r="B42" s="27" t="str">
        <x:v>大井ふ頭中央海浜公園</x:v>
      </x:c>
      <x:c r="C42" s="27" t="str">
        <x:v>品川区・八潮／大田区・東海</x:v>
      </x:c>
      <x:c r="D42" s="27" t="str">
        <x:v>運河・干潟・スポーツ・産業景観</x:v>
      </x:c>
      <x:c r="E42" s="48" t="e">
        <x:f>HYPERLINK("https://www.google.com/maps/dir/?api=1&amp;destination=%E5%A4%A7%E4%BA%95%E3%81%B5%E9%A0%AD%E4%B8%AD%E5%A4%AE%E6%B5%B7%E6%B5%9C%E5%85%AC%E5%9C%92&amp;travelmode=driving","現在地からナビ開始")</x:f>
      </x:c>
      <x:c r="F42" s="27" t="str">
        <x:v>スポーツの森となぎさの森を使い分けられ、京浜運河、人工なぎさ、物流地帯の景観を近距離で回収できる。</x:v>
      </x:c>
      <x:c r="G42" s="27" t="str">
        <x:v>第2駐車場110台・1時間300円＋30分100円・現在24時間／第1駐車場190台は工事閉鎖中</x:v>
      </x:c>
      <x:c r="H42" s="27" t="str">
        <x:v>公園常時を基本／第2駐車場24時間は第1駐車場工事中のみ／12月30日～1月1日休業</x:v>
      </x:c>
      <x:c r="I42" s="27" t="n">
        <x:v>4</x:v>
      </x:c>
      <x:c r="J42" s="27" t="n">
        <x:v>3</x:v>
      </x:c>
      <x:c r="K42" s="27" t="str">
        <x:v>第1駐車場は2027年3月下旬予定まで閉鎖。自然観察路の立入制限や大会開催を当日確認。夜は明るい範囲のみ利用。</x:v>
      </x:c>
      <x:c r="L42" s="28" t="n">
        <x:v>46232</x:v>
      </x:c>
      <x:c r="M42" s="27" t="str">
        <x:v>一次確認済</x:v>
      </x:c>
      <x:c r="N42" s="27" t="str">
        <x:v>https://tokyo-south-seaside-parks.com/oi-hockey-access/</x:v>
      </x:c>
      <x:c r="O42" s="27" t="str">
        <x:v>公園は『スポーツの森』と『なぎさの森』に分かれ、東京湾岸のスポーツ拠点と水辺環境を一体化している。</x:v>
      </x:c>
      <x:c r="P42" s="84" t="e">
        <x:f>HYPERLINK("https://ja.wikipedia.org/wiki/Special:Search?search=%E5%A4%A7%E4%BA%95%E3%81%B5%E9%A0%AD%E4%B8%AD%E5%A4%AE%E6%B5%B7%E6%B5%9C%E5%85%AC%E5%9C%92","Wikipedia・関連項目")</x:f>
      </x:c>
      <x:c r="Q42" s="27" t="str">
        <x:v>近距離代替経由地プール追加</x:v>
      </x:c>
      <x:c r="R42" s="27" t="str">
        <x:v>0〜10km</x:v>
      </x:c>
      <x:c r="S42" s="27" t="str">
        <x:v>蒲田から約8〜12km</x:v>
      </x:c>
      <x:c r="T42" s="27" t="str">
        <x:v>通常20〜35分</x:v>
      </x:c>
      <x:c r="U42" s="27" t="str">
        <x:v>夕方・運河・短時間散歩</x:v>
      </x:c>
      <x:c r="V42" s="27" t="str">
        <x:v>30〜90分</x:v>
      </x:c>
      <x:c r="W42" s="27" t="n">
        <x:v>1</x:v>
      </x:c>
      <x:c r="X42" s="27" t="n">
        <x:v>2</x:v>
      </x:c>
      <x:c r="Y42" s="27" t="str">
        <x:v>東京港野鳥公園</x:v>
      </x:c>
      <x:c r="Z42" s="27" t="str">
        <x:v>しながわ区民公園／平和島公園</x:v>
      </x:c>
      <x:c r="AA42" s="22" t="str">
        <x:v>なし</x:v>
      </x:c>
      <x:c r="AB42" s="22" t="str">
        <x:v>-</x:v>
      </x:c>
      <x:c r="AC42" s="22" t="str"/>
      <x:c r="AD42" s="22" t="str">
        <x:v>専用・路外駐車を基本</x:v>
      </x:c>
      <x:c r="AE42" s="22" t="str"/>
    </x:row>
    <x:row r="43">
      <x:c r="A43" s="27" t="str">
        <x:v>D265</x:v>
      </x:c>
      <x:c r="B43" s="27" t="str">
        <x:v>天王洲公園</x:v>
      </x:c>
      <x:c r="C43" s="27" t="str">
        <x:v>品川区・東品川</x:v>
      </x:c>
      <x:c r="D43" s="27" t="str">
        <x:v>運河・倉庫街・スポーツ・アート街区</x:v>
      </x:c>
      <x:c r="E43" s="48" t="e">
        <x:f>HYPERLINK("https://www.google.com/maps/dir/?api=1&amp;destination=%E5%A4%A9%E7%8E%8B%E6%B4%B2%E5%85%AC%E5%9C%92&amp;travelmode=driving","現在地からナビ開始")</x:f>
      </x:c>
      <x:c r="F43" s="27" t="str">
        <x:v>天王洲運河と倉庫街再生の空気を味わえ、都心湾岸へ入る前の短時間経由地として使える。夜は橋・運河・高層建築の対比が出る。</x:v>
      </x:c>
      <x:c r="G43" s="27" t="str">
        <x:v>有料駐車場あり・台数は公式案内で当日確認</x:v>
      </x:c>
      <x:c r="H43" s="27" t="str">
        <x:v>公園常時／スポーツ施設は概ね7:00～21:00</x:v>
      </x:c>
      <x:c r="I43" s="27" t="n">
        <x:v>4</x:v>
      </x:c>
      <x:c r="J43" s="27" t="n">
        <x:v>3</x:v>
      </x:c>
      <x:c r="K43" s="27" t="str">
        <x:v>イベント・大会日は駐車混雑。運河沿いは強風時に体感が悪化。アート施設や店舗の営業時間は個別確認。</x:v>
      </x:c>
      <x:c r="L43" s="28" t="n">
        <x:v>46232</x:v>
      </x:c>
      <x:c r="M43" s="27" t="str">
        <x:v>一次確認済</x:v>
      </x:c>
      <x:c r="N43" s="27" t="str">
        <x:v>https://www.city.shinagawa.tokyo.jp/PC/sangyo/sangyo-bunka/sangyo-bunka-kakushisetsu/sangyo-bunka-kakushisetsu-kouen/hpg000006479.html</x:v>
      </x:c>
      <x:c r="O43" s="27" t="str">
        <x:v>物流倉庫街だった天王洲は、運河沿いの再開発とアート施設の集積で文化地区へ転換した。</x:v>
      </x:c>
      <x:c r="P43" s="84" t="e">
        <x:f>HYPERLINK("https://ja.wikipedia.org/wiki/Special:Search?search=%E5%A4%A9%E7%8E%8B%E6%B4%B2%E5%85%AC%E5%9C%92","Wikipedia・関連項目")</x:f>
      </x:c>
      <x:c r="Q43" s="27" t="str">
        <x:v>4区重点追加・品川区</x:v>
      </x:c>
      <x:c r="R43" s="27" t="str">
        <x:v>10〜20km</x:v>
      </x:c>
      <x:c r="S43" s="27" t="str">
        <x:v>蒲田から約10〜14km</x:v>
      </x:c>
      <x:c r="T43" s="27" t="str">
        <x:v>通常25〜40分</x:v>
      </x:c>
      <x:c r="U43" s="27" t="str">
        <x:v>夜・運河・建築・アート</x:v>
      </x:c>
      <x:c r="V43" s="27" t="str">
        <x:v>20〜60分</x:v>
      </x:c>
      <x:c r="W43" s="27" t="n">
        <x:v>2</x:v>
      </x:c>
      <x:c r="X43" s="27" t="n">
        <x:v>2</x:v>
      </x:c>
      <x:c r="Y43" s="27" t="str">
        <x:v>東品川海上公園</x:v>
      </x:c>
      <x:c r="Z43" s="27" t="str">
        <x:v>品川シーズンテラス／八潮北公園</x:v>
      </x:c>
      <x:c r="AA43" s="22" t="str">
        <x:v>東品川1丁目 時間制限駐車区間</x:v>
      </x:c>
      <x:c r="AB43" s="22" t="str">
        <x:v>B</x:v>
      </x:c>
      <x:c r="AC43" s="22" t="str">
        <x:v>概ね9:00～19:00。制限時間・手数料・休日条件は現地標識を確認。</x:v>
      </x:c>
      <x:c r="AD43" s="22" t="str">
        <x:v>昼の短時間散策・橋や運河の撮影のみ。夜間と長時間滞在は路外駐車。</x:v>
      </x:c>
      <x:c r="AE43" s="22" t="str">
        <x:v>白線枠・稼働表示・駐車禁止併設標識・工事休止を現地確認。</x:v>
      </x:c>
    </x:row>
    <x:row r="44">
      <x:c r="A44" s="27" t="str">
        <x:v>D157</x:v>
      </x:c>
      <x:c r="B44" s="27" t="str">
        <x:v>川崎市役所 展望ロビー・スカイデッキ</x:v>
      </x:c>
      <x:c r="C44" s="27" t="str">
        <x:v>川崎市・川崎区</x:v>
      </x:c>
      <x:c r="D44" s="27" t="str">
        <x:v>市役所・展望・都市史</x:v>
      </x:c>
      <x:c r="E44" s="48" t="e">
        <x:f>HYPERLINK("https://www.google.com/maps/dir/?api=1&amp;destination=%E5%B7%9D%E5%B4%8E%E5%B8%82%E5%BD%B9%E6%89%80%20%E5%B1%95%E6%9C%9B%E3%83%AD%E3%83%93%E3%83%BC%E3%83%BB%E3%82%B9%E3%82%AB%E3%82%A4%E3%83%87%E3%83%83%E3%82%AD&amp;travelmode=driving","現在地からナビ開始")</x:f>
      </x:c>
      <x:c r="F44" s="27" t="str">
        <x:v>無料の高層展望から川崎・東京・横浜方面を一望し、旧庁舎復元部の歴史展示も見られる。</x:v>
      </x:c>
      <x:c r="G44" s="27" t="str">
        <x:v>本庁舎駐車場あり・展望利用は無料措置対象外</x:v>
      </x:c>
      <x:c r="H44" s="27" t="str">
        <x:v>展望フロア利用時間は公式最新情報確認</x:v>
      </x:c>
      <x:c r="I44" s="27" t="n">
        <x:v>4</x:v>
      </x:c>
      <x:c r="J44" s="27" t="n">
        <x:v>3</x:v>
      </x:c>
      <x:c r="K44" s="27" t="str">
        <x:v>駐車料金が発生。行政行事・荒天でスカイデッキ閉鎖あり。</x:v>
      </x:c>
      <x:c r="L44" s="28" t="n">
        <x:v>46232</x:v>
      </x:c>
      <x:c r="M44" s="27" t="str">
        <x:v>一次確認済</x:v>
      </x:c>
      <x:c r="N44" s="27" t="str">
        <x:v>https://www.city.kawasaki.jp/170/page/0000153797.html</x:v>
      </x:c>
      <x:c r="O44" s="27" t="str">
        <x:v>復元棟は旧川崎市役所本庁舎の象徴的外観を再現し、都市の記憶を新庁舎へ継承している。</x:v>
      </x:c>
      <x:c r="P44" s="84" t="e">
        <x:f>HYPERLINK("https://ja.wikipedia.org/wiki/Special:Search?search=%E5%B7%9D%E5%B4%8E%E5%B8%82%E5%BD%B9%E6%89%80%20%E5%B1%95%E6%9C%9B%E3%83%AD%E3%83%93%E3%83%BC%E3%83%BB%E3%82%B9%E3%82%AB%E3%82%A4%E3%83%87%E3%83%83%E3%82%AD","Wikipedia・関連項目")</x:f>
      </x:c>
      <x:c r="Q44" s="27"/>
      <x:c r="R44" s="27" t="str">
        <x:v>0〜10km</x:v>
      </x:c>
      <x:c r="S44" s="27" t="str">
        <x:v>概ね0〜10km</x:v>
      </x:c>
      <x:c r="T44" s="27" t="str">
        <x:v>通常10〜30分</x:v>
      </x:c>
      <x:c r="U44" s="27" t="str">
        <x:v>平日夜・深夜</x:v>
      </x:c>
      <x:c r="V44" s="27" t="str">
        <x:v>30〜60分</x:v>
      </x:c>
      <x:c r="W44" s="27" t="n">
        <x:v>2</x:v>
      </x:c>
      <x:c r="X44" s="27" t="n">
        <x:v>1</x:v>
      </x:c>
      <x:c r="Y44" s="27" t="str">
        <x:v>羽田空港 第3ターミナル展望デッキ</x:v>
      </x:c>
      <x:c r="Z44" s="27" t="str">
        <x:v>城南島海浜公園／潮風公園</x:v>
      </x:c>
      <x:c r="AA44" s="22" t="str">
        <x:v>なし</x:v>
      </x:c>
      <x:c r="AB44" s="22" t="str">
        <x:v>-</x:v>
      </x:c>
      <x:c r="AC44" s="22" t="str"/>
      <x:c r="AD44" s="22" t="str">
        <x:v>専用・路外駐車を基本</x:v>
      </x:c>
      <x:c r="AE44" s="22" t="str"/>
    </x:row>
    <x:row r="45">
      <x:c r="A45" s="27" t="str">
        <x:v>D253</x:v>
      </x:c>
      <x:c r="B45" s="27" t="str">
        <x:v>平和島公園</x:v>
      </x:c>
      <x:c r="C45" s="27" t="str">
        <x:v>大田区・平和島</x:v>
      </x:c>
      <x:c r="D45" s="27" t="str">
        <x:v>総合公園・防災・24時間駐車</x:v>
      </x:c>
      <x:c r="E45" s="48" t="e">
        <x:f>HYPERLINK("https://www.google.com/maps/dir/?api=1&amp;destination=%E5%B9%B3%E5%92%8C%E5%B3%B6%E5%85%AC%E5%9C%92&amp;travelmode=driving","現在地からナビ開始")</x:f>
      </x:c>
      <x:c r="F45" s="27" t="str">
        <x:v>蒲田から近く、80台の24時間駐車場がある。遠出する気力がない夜でも、緑・広場・水施設で短時間のリセット先になる。</x:v>
      </x:c>
      <x:c r="G45" s="27" t="str">
        <x:v>第1駐車場60台＋第2駐車場20台・30分100円・24時間</x:v>
      </x:c>
      <x:c r="H45" s="27" t="str">
        <x:v>公園・駐車場24時間</x:v>
      </x:c>
      <x:c r="I45" s="27" t="n">
        <x:v>4</x:v>
      </x:c>
      <x:c r="J45" s="27" t="n">
        <x:v>3</x:v>
      </x:c>
      <x:c r="K45" s="27" t="str">
        <x:v>休日は入庫待ちが長くなる場合がある。公園利用以外の駐車は禁止。夜間は住宅・スポーツ利用者へ配慮。</x:v>
      </x:c>
      <x:c r="L45" s="28" t="n">
        <x:v>46232</x:v>
      </x:c>
      <x:c r="M45" s="27" t="str">
        <x:v>一次確認済</x:v>
      </x:c>
      <x:c r="N45" s="27" t="str">
        <x:v>https://www.city.ota.tokyo.jp/shisetsu/park/heiwajima.html</x:v>
      </x:c>
      <x:c r="O45" s="27" t="str">
        <x:v>京浜運河沿いの埋立地に整備された公園で、スポーツ・レクリエーションと防災機能を兼ねる。</x:v>
      </x:c>
      <x:c r="P45" s="84" t="e">
        <x:f>HYPERLINK("https://ja.wikipedia.org/wiki/Special:Search?search=%E5%B9%B3%E5%92%8C%E5%B3%B6%E5%85%AC%E5%9C%92","Wikipedia・関連項目")</x:f>
      </x:c>
      <x:c r="Q45" s="27" t="str">
        <x:v>近距離代替経由地プール追加</x:v>
      </x:c>
      <x:c r="R45" s="27" t="str">
        <x:v>0〜10km</x:v>
      </x:c>
      <x:c r="S45" s="27" t="str">
        <x:v>蒲田から約4〜7km</x:v>
      </x:c>
      <x:c r="T45" s="27" t="str">
        <x:v>通常15〜25分</x:v>
      </x:c>
      <x:c r="U45" s="27" t="str">
        <x:v>平日夜・短時間休憩</x:v>
      </x:c>
      <x:c r="V45" s="27" t="str">
        <x:v>20〜50分</x:v>
      </x:c>
      <x:c r="W45" s="27" t="n">
        <x:v>1</x:v>
      </x:c>
      <x:c r="X45" s="27" t="n">
        <x:v>2</x:v>
      </x:c>
      <x:c r="Y45" s="27" t="str">
        <x:v>平和の森公園</x:v>
      </x:c>
      <x:c r="Z45" s="27" t="str">
        <x:v>しながわ区民公園／大森ふるさとの浜辺公園</x:v>
      </x:c>
      <x:c r="AA45" s="22" t="str">
        <x:v>なし</x:v>
      </x:c>
      <x:c r="AB45" s="22" t="str">
        <x:v>-</x:v>
      </x:c>
      <x:c r="AC45" s="22" t="str"/>
      <x:c r="AD45" s="22" t="str">
        <x:v>専用・路外駐車を基本</x:v>
      </x:c>
      <x:c r="AE45" s="22" t="str"/>
    </x:row>
    <x:row r="46">
      <x:c r="A46" s="27" t="str">
        <x:v>D152</x:v>
      </x:c>
      <x:c r="B46" s="27" t="str">
        <x:v>府中の森公園</x:v>
      </x:c>
      <x:c r="C46" s="27" t="str">
        <x:v>府中市・浅間町</x:v>
      </x:c>
      <x:c r="D46" s="27" t="str">
        <x:v>並木・文化施設・24時間駐車</x:v>
      </x:c>
      <x:c r="E46" s="48" t="e">
        <x:f>HYPERLINK("https://www.google.com/maps/dir/?api=1&amp;destination=%E5%BA%9C%E4%B8%AD%E3%81%AE%E6%A3%AE%E5%85%AC%E5%9C%92&amp;travelmode=driving","現在地からナビ開始")</x:f>
      </x:c>
      <x:c r="F46" s="27" t="str">
        <x:v>整った並木と文化施設があり、西東京の夜間休憩地点として安定する。</x:v>
      </x:c>
      <x:c r="G46" s="27" t="str">
        <x:v>あり・有料・24時間</x:v>
      </x:c>
      <x:c r="H46" s="27" t="str">
        <x:v>公園常時／駐車場24時間</x:v>
      </x:c>
      <x:c r="I46" s="27" t="n">
        <x:v>4</x:v>
      </x:c>
      <x:c r="J46" s="27" t="n">
        <x:v>3</x:v>
      </x:c>
      <x:c r="K46" s="27" t="str">
        <x:v>イベント時は駐車場混雑。住宅地に近いため夜間は静粛に利用。</x:v>
      </x:c>
      <x:c r="L46" s="28" t="n">
        <x:v>46232</x:v>
      </x:c>
      <x:c r="M46" s="27" t="str">
        <x:v>一次確認済</x:v>
      </x:c>
      <x:c r="N46" s="27" t="str">
        <x:v>https://www.tokyo-park.or.jp/park/fuchunomori/index.html</x:v>
      </x:c>
      <x:c r="O46" s="27" t="str">
        <x:v>周辺は旧米軍府中基地跡地を含む公共施設集積地で、戦後の土地利用転換を感じられる。</x:v>
      </x:c>
      <x:c r="P46" s="84" t="e">
        <x:f>HYPERLINK("https://ja.wikipedia.org/wiki/Special:Search?search=%E5%BA%9C%E4%B8%AD%E3%81%AE%E6%A3%AE%E5%85%AC%E5%9C%92","Wikipedia・関連項目")</x:f>
      </x:c>
      <x:c r="Q46" s="27" t="str">
        <x:v>2026-07-29公式再確認：駐車場24時間営業を反映。</x:v>
      </x:c>
      <x:c r="R46" s="27" t="str">
        <x:v>20〜25km</x:v>
      </x:c>
      <x:c r="S46" s="27" t="str">
        <x:v>概ね20〜25km</x:v>
      </x:c>
      <x:c r="T46" s="27" t="str">
        <x:v>通常40〜70分</x:v>
      </x:c>
      <x:c r="U46" s="27" t="str">
        <x:v>平日夜・深夜</x:v>
      </x:c>
      <x:c r="V46" s="27" t="str">
        <x:v>30〜60分</x:v>
      </x:c>
      <x:c r="W46" s="27" t="n">
        <x:v>2</x:v>
      </x:c>
      <x:c r="X46" s="27" t="n">
        <x:v>1</x:v>
      </x:c>
      <x:c r="Y46" s="27" t="str">
        <x:v>羽田空港 第3ターミナル展望デッキ</x:v>
      </x:c>
      <x:c r="Z46" s="27" t="str">
        <x:v>城南島海浜公園／潮風公園</x:v>
      </x:c>
      <x:c r="AA46" s="22" t="str">
        <x:v>なし</x:v>
      </x:c>
      <x:c r="AB46" s="22" t="str">
        <x:v>-</x:v>
      </x:c>
      <x:c r="AC46" s="22" t="str"/>
      <x:c r="AD46" s="22" t="str">
        <x:v>専用・路外駐車を基本</x:v>
      </x:c>
      <x:c r="AE46" s="22" t="str"/>
    </x:row>
    <x:row r="47">
      <x:c r="A47" s="27" t="str">
        <x:v>D275</x:v>
      </x:c>
      <x:c r="B47" s="27" t="str">
        <x:v>新宿NSビル アトリウム・大時計</x:v>
      </x:c>
      <x:c r="C47" s="27" t="str">
        <x:v>新宿区・西新宿</x:v>
      </x:c>
      <x:c r="D47" s="27" t="str">
        <x:v>巨大吹抜け・大時計・超高層建築・雨天</x:v>
      </x:c>
      <x:c r="E47" s="48" t="e">
        <x:f>HYPERLINK("https://www.google.com/maps/dir/?api=1&amp;destination=%E6%96%B0%E5%AE%BFNS%E3%83%93%E3%83%AB%20%E3%82%A2%E3%83%88%E3%83%AA%E3%82%A6%E3%83%A0%E3%83%BB%E5%A4%A7%E6%99%82%E8%A8%88&amp;travelmode=driving","現在地からナビ開始")</x:f>
      </x:c>
      <x:c r="F47" s="27" t="str">
        <x:v>巨大アトリウムと大時計を短時間で見られ、雨天でも西新宿の超高層建築体験を作れる。都庁前の実用的な経由地。</x:v>
      </x:c>
      <x:c r="G47" s="27" t="str">
        <x:v>駐車場336台・時間貸し約100台・6:30～23:30・30分300円</x:v>
      </x:c>
      <x:c r="H47" s="27" t="str">
        <x:v>駐車場6:30～23:30／館内施設は個別時間</x:v>
      </x:c>
      <x:c r="I47" s="27" t="n">
        <x:v>4</x:v>
      </x:c>
      <x:c r="J47" s="27" t="n">
        <x:v>3</x:v>
      </x:c>
      <x:c r="K47" s="27" t="str">
        <x:v>イベント・テナント営業時間を確認。深夜はアトリウム立入範囲が限定される場合あり。</x:v>
      </x:c>
      <x:c r="L47" s="28" t="n">
        <x:v>46232</x:v>
      </x:c>
      <x:c r="M47" s="27" t="str">
        <x:v>一次確認済</x:v>
      </x:c>
      <x:c r="N47" s="27" t="str">
        <x:v>https://www.shinjuku-ns.jp/access/</x:v>
      </x:c>
      <x:c r="O47" s="27" t="str">
        <x:v>西新宿超高層街を代表する建築の一つで、中央の巨大吹抜けと大時計が内部空間の象徴になっている。</x:v>
      </x:c>
      <x:c r="P47" s="84" t="e">
        <x:f>HYPERLINK("https://ja.wikipedia.org/wiki/Special:Search?search=%E6%96%B0%E5%AE%BFNS%E3%83%93%E3%83%AB%20%E3%82%A2%E3%83%88%E3%83%AA%E3%82%A6%E3%83%A0%E3%83%BB%E5%A4%A7%E6%99%82%E8%A8%88","Wikipedia・関連項目")</x:f>
      </x:c>
      <x:c r="Q47" s="27" t="str">
        <x:v>4区重点追加・新宿区</x:v>
      </x:c>
      <x:c r="R47" s="27" t="str">
        <x:v>10〜20km</x:v>
      </x:c>
      <x:c r="S47" s="27" t="str">
        <x:v>蒲田から約18〜23km</x:v>
      </x:c>
      <x:c r="T47" s="27" t="str">
        <x:v>通常40〜65分</x:v>
      </x:c>
      <x:c r="U47" s="27" t="str">
        <x:v>雨天・建築・夜</x:v>
      </x:c>
      <x:c r="V47" s="27" t="str">
        <x:v>30〜75分</x:v>
      </x:c>
      <x:c r="W47" s="27" t="n">
        <x:v>5</x:v>
      </x:c>
      <x:c r="X47" s="27" t="n">
        <x:v>2</x:v>
      </x:c>
      <x:c r="Y47" s="27" t="str">
        <x:v>東京都庁展望室</x:v>
      </x:c>
      <x:c r="Z47" s="27" t="str">
        <x:v>新宿御苑／聖徳記念絵画館</x:v>
      </x:c>
      <x:c r="AA47" s="22" t="str">
        <x:v>西新宿6丁目10付近 時間制限駐車区間</x:v>
      </x:c>
      <x:c r="AB47" s="22" t="str">
        <x:v>B</x:v>
      </x:c>
      <x:c r="AC47" s="22" t="str">
        <x:v>概ね9:00～19:00。詳細は現地標識を確認。</x:v>
      </x:c>
      <x:c r="AD47" s="22" t="str">
        <x:v>昼の30～60分以内の建築観察用。夜間・イベント滞在はNSビル駐車場。</x:v>
      </x:c>
      <x:c r="AE47" s="22" t="str">
        <x:v>枠内駐車、制限時間、利用曜日、駐車禁止時間を確認。</x:v>
      </x:c>
    </x:row>
    <x:row r="48">
      <x:c r="A48" s="27" t="str">
        <x:v>D098</x:v>
      </x:c>
      <x:c r="B48" s="27" t="str">
        <x:v>木場公園</x:v>
      </x:c>
      <x:c r="C48" s="27" t="str">
        <x:v>江東区・木場</x:v>
      </x:c>
      <x:c r="D48" s="27" t="str">
        <x:v>都市公園・橋・夜間休憩</x:v>
      </x:c>
      <x:c r="E48" s="48" t="e">
        <x:f>HYPERLINK("https://www.google.com/maps/dir/?api=1&amp;destination=%E6%9C%A8%E5%A0%B4%E5%85%AC%E5%9C%92&amp;travelmode=driving","現在地からナビ開始")</x:f>
      </x:c>
      <x:c r="F48" s="27" t="str">
        <x:v>木場公園大橋と広い芝生があり、湾岸・都心走行を緑の空間で終えられる。</x:v>
      </x:c>
      <x:c r="G48" s="27" t="str">
        <x:v>あり・有料</x:v>
      </x:c>
      <x:c r="H48" s="27" t="str">
        <x:v>駐車場 24時間</x:v>
      </x:c>
      <x:c r="I48" s="27" t="n">
        <x:v>4</x:v>
      </x:c>
      <x:c r="J48" s="27" t="n">
        <x:v>3</x:v>
      </x:c>
      <x:c r="K48" s="27" t="str">
        <x:v>イベント時は混雑。公道での入庫待ち禁止。商用撮影は申請が必要。</x:v>
      </x:c>
      <x:c r="L48" s="28" t="n">
        <x:v>46232</x:v>
      </x:c>
      <x:c r="M48" s="27" t="str">
        <x:v>一次確認済</x:v>
      </x:c>
      <x:c r="N48" s="27" t="str">
        <x:v>https://www.tokyo-park.or.jp/park/kiba/index.html</x:v>
      </x:c>
      <x:c r="O48" s="27" t="str">
        <x:v>木場という地名は、江戸時代に材木を保管・取引した『木場』が置かれたことに由来する。</x:v>
      </x:c>
      <x:c r="P48" s="84" t="e">
        <x:f>HYPERLINK("https://ja.wikipedia.org/wiki/Special:Search?search=%E6%9C%A8%E5%A0%B4%E5%85%AC%E5%9C%92","Wikipedia・関連項目")</x:f>
      </x:c>
      <x:c r="Q48" s="27"/>
      <x:c r="R48" s="27" t="str">
        <x:v>10〜20km</x:v>
      </x:c>
      <x:c r="S48" s="27" t="str">
        <x:v>概ね10〜20km</x:v>
      </x:c>
      <x:c r="T48" s="27" t="str">
        <x:v>通常25〜50分</x:v>
      </x:c>
      <x:c r="U48" s="27" t="str">
        <x:v>平日夜・深夜</x:v>
      </x:c>
      <x:c r="V48" s="27" t="str">
        <x:v>30〜90分</x:v>
      </x:c>
      <x:c r="W48" s="27" t="n">
        <x:v>1</x:v>
      </x:c>
      <x:c r="X48" s="27" t="n">
        <x:v>1</x:v>
      </x:c>
      <x:c r="Y48" s="27" t="str">
        <x:v>平和の森公園</x:v>
      </x:c>
      <x:c r="Z48" s="27" t="str">
        <x:v>大森ふるさとの浜辺公園／森ケ崎公園</x:v>
      </x:c>
      <x:c r="AA48" s="22" t="str">
        <x:v>なし</x:v>
      </x:c>
      <x:c r="AB48" s="22" t="str">
        <x:v>-</x:v>
      </x:c>
      <x:c r="AC48" s="22" t="str"/>
      <x:c r="AD48" s="22" t="str">
        <x:v>専用・路外駐車を基本</x:v>
      </x:c>
      <x:c r="AE48" s="22" t="str"/>
    </x:row>
    <x:row r="49">
      <x:c r="A49" s="27" t="str">
        <x:v>D222</x:v>
      </x:c>
      <x:c r="B49" s="27" t="str">
        <x:v>東品川海上公園</x:v>
      </x:c>
      <x:c r="C49" s="27" t="str">
        <x:v>東京都品川区</x:v>
      </x:c>
      <x:c r="D49" s="27" t="str">
        <x:v>運河・屋上庭園・Story</x:v>
      </x:c>
      <x:c r="E49" s="48" t="e">
        <x:f>HYPERLINK("https://www.google.com/maps/dir/?api=1&amp;destination=%E6%9D%B1%E5%93%81%E5%B7%9D%E6%B5%B7%E4%B8%8A%E5%85%AC%E5%9C%92&amp;travelmode=driving","現在地からナビ開始")</x:f>
      </x:c>
      <x:c r="F49" s="27" t="str">
        <x:v>目黒川が天王洲南運河へ注ぐ河口で、運河、橋、ポンプ場屋上庭園、ミッフィー花壇を短時間で巡れる。</x:v>
      </x:c>
      <x:c r="G49" s="27" t="str">
        <x:v>園内専用なし／隣接時間貸し19台・24時間</x:v>
      </x:c>
      <x:c r="H49" s="27" t="str">
        <x:v>公園常時利用可／工事・イベント範囲は当日確認</x:v>
      </x:c>
      <x:c r="I49" s="27" t="n">
        <x:v>4</x:v>
      </x:c>
      <x:c r="J49" s="27" t="n">
        <x:v>3</x:v>
      </x:c>
      <x:c r="K49" s="27" t="str">
        <x:v>専用駐車場はない。必ず合法な時間貸し駐車場を利用し、周辺道路での乗降・待機をしない。Park-PFI工事確認。</x:v>
      </x:c>
      <x:c r="L49" s="28" t="n">
        <x:v>46232</x:v>
      </x:c>
      <x:c r="M49" s="27" t="str">
        <x:v>条件付き採用</x:v>
      </x:c>
      <x:c r="N49" s="27" t="str">
        <x:v>https://shinagawa-kanko.or.jp/spot/higasishinagawakaijoukouen/</x:v>
      </x:c>
      <x:c r="O49" s="27" t="str">
        <x:v>天王洲の運河景観に、下水ポンプ場上部の屋上庭園を重ねた立体的な都市公園。ディック・ブルーナの意匠もある。</x:v>
      </x:c>
      <x:c r="P49" s="84" t="e">
        <x:f>HYPERLINK("https://ja.wikipedia.org/wiki/Special:Search?search=%E6%9D%B1%E5%93%81%E5%B7%9D%E6%B5%B7%E4%B8%8A%E5%85%AC%E5%9C%92","Wikipedia・関連項目")</x:f>
      </x:c>
      <x:c r="Q49" s="27" t="str">
        <x:v>新規追加。駐車場条件を明示した近距離・短時間Ending。</x:v>
      </x:c>
      <x:c r="R49" s="27" t="str">
        <x:v>0〜10km</x:v>
      </x:c>
      <x:c r="S49" s="27" t="str">
        <x:v>概ね0〜10km</x:v>
      </x:c>
      <x:c r="T49" s="27" t="str">
        <x:v>通常10〜30分</x:v>
      </x:c>
      <x:c r="U49" s="27" t="str">
        <x:v>Story</x:v>
      </x:c>
      <x:c r="V49" s="27" t="str">
        <x:v>30〜90分</x:v>
      </x:c>
      <x:c r="W49" s="27" t="n">
        <x:v>1</x:v>
      </x:c>
      <x:c r="X49" s="27" t="n">
        <x:v>1</x:v>
      </x:c>
      <x:c r="Y49" s="27" t="str">
        <x:v>羽田空港 第3ターミナル展望デッキ</x:v>
      </x:c>
      <x:c r="Z49" s="27" t="str">
        <x:v>城南島海浜公園／潮風公園</x:v>
      </x:c>
      <x:c r="AA49" s="22" t="str">
        <x:v>なし</x:v>
      </x:c>
      <x:c r="AB49" s="22" t="str">
        <x:v>-</x:v>
      </x:c>
      <x:c r="AC49" s="22" t="str"/>
      <x:c r="AD49" s="22" t="str">
        <x:v>専用・路外駐車を基本</x:v>
      </x:c>
      <x:c r="AE49" s="22" t="str"/>
    </x:row>
    <x:row r="50">
      <x:c r="A50" s="27" t="str">
        <x:v>D080</x:v>
      </x:c>
      <x:c r="B50" s="27" t="str">
        <x:v>根岸森林公園</x:v>
      </x:c>
      <x:c r="C50" s="27" t="str">
        <x:v>横浜市・中区</x:v>
      </x:c>
      <x:c r="D50" s="27" t="str">
        <x:v>高台・芝生・都市近郊</x:v>
      </x:c>
      <x:c r="E50" s="48" t="e">
        <x:f>HYPERLINK("https://www.google.com/maps/dir/?api=1&amp;destination=%E6%A0%B9%E5%B2%B8%E6%A3%AE%E6%9E%97%E5%85%AC%E5%9C%92&amp;travelmode=driving","現在地からナビ開始")</x:f>
      </x:c>
      <x:c r="F50" s="27" t="str">
        <x:v>広い芝生と旧競馬場の高台景観があり、横浜中心部の後に静けさを作れる。</x:v>
      </x:c>
      <x:c r="G50" s="27" t="str">
        <x:v>第1・第2駐車場 各約100台・有料</x:v>
      </x:c>
      <x:c r="H50" s="27" t="str">
        <x:v>公園常時／駐車場は運営案内・現地表示を確認</x:v>
      </x:c>
      <x:c r="I50" s="27" t="n">
        <x:v>4</x:v>
      </x:c>
      <x:c r="J50" s="27" t="n">
        <x:v>3</x:v>
      </x:c>
      <x:c r="K50" s="27" t="str">
        <x:v>桜期・休日は満車と周辺渋滞。路上待機禁止。閉場時刻は当日表示を優先。</x:v>
      </x:c>
      <x:c r="L50" s="28" t="n">
        <x:v>46232</x:v>
      </x:c>
      <x:c r="M50" s="27" t="str">
        <x:v>一次確認済</x:v>
      </x:c>
      <x:c r="N50" s="27" t="str">
        <x:v>https://www.city.yokohama.lg.jp/kurashi/machizukuri-kankyo/midori-koen/koen/koen/daihyoteki/negishi/kouen010.html</x:v>
      </x:c>
      <x:c r="O50" s="27" t="str">
        <x:v>根岸森林公園は日本初の本格的な洋式競馬場・横浜競馬場の跡地で、旧一等馬見所が今も残る。</x:v>
      </x:c>
      <x:c r="P50" s="84" t="e">
        <x:f>HYPERLINK("https://ja.wikipedia.org/wiki/Special:Search?search=%E6%A0%B9%E5%B2%B8%E6%A3%AE%E6%9E%97%E5%85%AC%E5%9C%92","Wikipedia・関連項目")</x:f>
      </x:c>
      <x:c r="Q50" s="27" t="str">
        <x:v>2026-07-29公式再確認：駐車場合計約200台と競馬場跡Storyを経由地設計へ反映。</x:v>
      </x:c>
      <x:c r="R50" s="27" t="str">
        <x:v>20〜25km</x:v>
      </x:c>
      <x:c r="S50" s="27" t="str">
        <x:v>概ね20〜25km</x:v>
      </x:c>
      <x:c r="T50" s="27" t="str">
        <x:v>通常40〜70分</x:v>
      </x:c>
      <x:c r="U50" s="27" t="str">
        <x:v>平日夜・深夜</x:v>
      </x:c>
      <x:c r="V50" s="27" t="str">
        <x:v>30〜60分</x:v>
      </x:c>
      <x:c r="W50" s="27" t="n">
        <x:v>1</x:v>
      </x:c>
      <x:c r="X50" s="27" t="n">
        <x:v>1</x:v>
      </x:c>
      <x:c r="Y50" s="27" t="str">
        <x:v>羽田空港 第3ターミナル展望デッキ</x:v>
      </x:c>
      <x:c r="Z50" s="27" t="str">
        <x:v>城南島海浜公園／潮風公園</x:v>
      </x:c>
      <x:c r="AA50" s="22" t="str">
        <x:v>なし</x:v>
      </x:c>
      <x:c r="AB50" s="22" t="str">
        <x:v>-</x:v>
      </x:c>
      <x:c r="AC50" s="22" t="str"/>
      <x:c r="AD50" s="22" t="str">
        <x:v>専用・路外駐車を基本</x:v>
      </x:c>
      <x:c r="AE50" s="22" t="str"/>
    </x:row>
    <x:row r="51">
      <x:c r="A51" s="27" t="str">
        <x:v>D143</x:v>
      </x:c>
      <x:c r="B51" s="27" t="str">
        <x:v>桜ヶ丘公園 ゆうひの丘</x:v>
      </x:c>
      <x:c r="C51" s="27" t="str">
        <x:v>多摩市・連光寺</x:v>
      </x:c>
      <x:c r="D51" s="27" t="str">
        <x:v>高台・夕景・夜景</x:v>
      </x:c>
      <x:c r="E51" s="48" t="e">
        <x:f>HYPERLINK("https://www.google.com/maps/dir/?api=1&amp;destination=%E6%A1%9C%E3%83%B6%E4%B8%98%E5%85%AC%E5%9C%92%20%E3%82%86%E3%81%86%E3%81%B2%E3%81%AE%E4%B8%98&amp;travelmode=driving","現在地からナビ開始")</x:f>
      </x:c>
      <x:c r="F51" s="27" t="str">
        <x:v>多摩丘陵の高台から市街地の夕景を眺められ、短い徒歩で到達感が得られる。</x:v>
      </x:c>
      <x:c r="G51" s="27" t="str">
        <x:v>あり・ゆうひの丘側約38台、無料</x:v>
      </x:c>
      <x:c r="H51" s="27" t="str">
        <x:v>8:45～20:00、夜間閉鎖</x:v>
      </x:c>
      <x:c r="I51" s="27" t="n">
        <x:v>4</x:v>
      </x:c>
      <x:c r="J51" s="27" t="n">
        <x:v>3</x:v>
      </x:c>
      <x:c r="K51" s="27" t="str">
        <x:v>20時閉鎖。週末は満車時の公道待機禁止。住宅地のため静粛必須。</x:v>
      </x:c>
      <x:c r="L51" s="28" t="n">
        <x:v>46232</x:v>
      </x:c>
      <x:c r="M51" s="27" t="str">
        <x:v>一次確認済</x:v>
      </x:c>
      <x:c r="N51" s="27" t="str">
        <x:v>https://www.tokyo-park.or.jp/park/sakuragaoka/index.html</x:v>
      </x:c>
      <x:c r="O51" s="27" t="str">
        <x:v>園内には旧多摩聖蹟記念館があり、『聖蹟』は明治天皇が当地を訪れたことに由来する。</x:v>
      </x:c>
      <x:c r="P51" s="84" t="e">
        <x:f>HYPERLINK("https://ja.wikipedia.org/wiki/Special:Search?search=%E6%A1%9C%E3%83%B6%E4%B8%98%E5%85%AC%E5%9C%92%20%E3%82%86%E3%81%86%E3%81%B2%E3%81%AE%E4%B8%98","Wikipedia・関連項目")</x:f>
      </x:c>
      <x:c r="Q51" s="27"/>
      <x:c r="R51" s="27" t="str">
        <x:v>20〜25km</x:v>
      </x:c>
      <x:c r="S51" s="27" t="str">
        <x:v>概ね20〜25km</x:v>
      </x:c>
      <x:c r="T51" s="27" t="str">
        <x:v>通常40〜70分</x:v>
      </x:c>
      <x:c r="U51" s="27" t="str">
        <x:v>平日夜・深夜</x:v>
      </x:c>
      <x:c r="V51" s="27" t="str">
        <x:v>30〜60分</x:v>
      </x:c>
      <x:c r="W51" s="27" t="n">
        <x:v>1</x:v>
      </x:c>
      <x:c r="X51" s="27" t="n">
        <x:v>3</x:v>
      </x:c>
      <x:c r="Y51" s="27" t="str">
        <x:v>羽田空港 第3ターミナル展望デッキ</x:v>
      </x:c>
      <x:c r="Z51" s="27" t="str">
        <x:v>城南島海浜公園／潮風公園</x:v>
      </x:c>
      <x:c r="AA51" s="22" t="str">
        <x:v>なし</x:v>
      </x:c>
      <x:c r="AB51" s="22" t="str">
        <x:v>-</x:v>
      </x:c>
      <x:c r="AC51" s="22" t="str"/>
      <x:c r="AD51" s="22" t="str">
        <x:v>専用・路外駐車を基本</x:v>
      </x:c>
      <x:c r="AE51" s="22" t="str"/>
    </x:row>
    <x:row r="52">
      <x:c r="A52" s="27" t="str">
        <x:v>D063</x:v>
      </x:c>
      <x:c r="B52" s="27" t="str">
        <x:v>芝浦PA</x:v>
      </x:c>
      <x:c r="C52" s="27" t="str">
        <x:v>港区・海岸</x:v>
      </x:c>
      <x:c r="D52" s="27" t="str">
        <x:v>PA・高架・都市夜景</x:v>
      </x:c>
      <x:c r="E52" s="48" t="e">
        <x:f>HYPERLINK("https://www.google.com/maps/dir/?api=1&amp;destination=%E8%8A%9D%E6%B5%A6PA&amp;travelmode=driving","現在地からナビ開始")</x:f>
      </x:c>
      <x:c r="F52" s="27" t="str">
        <x:v>レインボーブリッジ手前の高架空間で、都心湾岸ルートの余韻を短く残せる。</x:v>
      </x:c>
      <x:c r="G52" s="27" t="str">
        <x:v>あり・小規模</x:v>
      </x:c>
      <x:c r="H52" s="27" t="str">
        <x:v>原則24時間、夜間・工事閉鎖あり</x:v>
      </x:c>
      <x:c r="I52" s="27" t="n">
        <x:v>4</x:v>
      </x:c>
      <x:c r="J52" s="27" t="n">
        <x:v>3</x:v>
      </x:c>
      <x:c r="K52" s="27" t="str">
        <x:v>閉鎖措置が入りやすい。満車時は通過し、待機しない。</x:v>
      </x:c>
      <x:c r="L52" s="28" t="n">
        <x:v>46232</x:v>
      </x:c>
      <x:c r="M52" s="27" t="str">
        <x:v>当日再確認</x:v>
      </x:c>
      <x:c r="N52" s="27" t="str">
        <x:v>https://www.shutoko-sv.jp/pa/shibaura</x:v>
      </x:c>
      <x:c r="O52" s="27" t="str">
        <x:v>芝浦PAはレインボーブリッジへ続く11号台場線上にあり、都心高架と港湾景観が交差する。</x:v>
      </x:c>
      <x:c r="P52" s="84" t="e">
        <x:f>HYPERLINK("https://ja.wikipedia.org/wiki/Special:Search?search=%E8%8A%9D%E6%B5%A6PA","Wikipedia・関連項目")</x:f>
      </x:c>
      <x:c r="Q52" s="27"/>
      <x:c r="R52" s="27" t="str">
        <x:v>10〜20km</x:v>
      </x:c>
      <x:c r="S52" s="27" t="str">
        <x:v>概ね10〜20km</x:v>
      </x:c>
      <x:c r="T52" s="27" t="str">
        <x:v>通常25〜50分</x:v>
      </x:c>
      <x:c r="U52" s="27" t="str">
        <x:v>平日夜・深夜</x:v>
      </x:c>
      <x:c r="V52" s="27" t="str">
        <x:v>15〜30分</x:v>
      </x:c>
      <x:c r="W52" s="27" t="n">
        <x:v>4</x:v>
      </x:c>
      <x:c r="X52" s="27" t="n">
        <x:v>4</x:v>
      </x:c>
      <x:c r="Y52" s="27" t="str">
        <x:v>羽田空港 第3ターミナル展望デッキ</x:v>
      </x:c>
      <x:c r="Z52" s="27" t="str">
        <x:v>城南島海浜公園／潮風公園</x:v>
      </x:c>
      <x:c r="AA52" s="22" t="str">
        <x:v>なし</x:v>
      </x:c>
      <x:c r="AB52" s="22" t="str">
        <x:v>-</x:v>
      </x:c>
      <x:c r="AC52" s="22" t="str"/>
      <x:c r="AD52" s="22" t="str">
        <x:v>専用・路外駐車を基本</x:v>
      </x:c>
      <x:c r="AE52" s="22" t="str"/>
    </x:row>
    <x:row r="53">
      <x:c r="A53" s="27" t="str">
        <x:v>D006</x:v>
      </x:c>
      <x:c r="B53" s="27" t="str">
        <x:v>若洲海浜公園</x:v>
      </x:c>
      <x:c r="C53" s="27" t="str">
        <x:v>江東区・若洲</x:v>
      </x:c>
      <x:c r="D53" s="27" t="str">
        <x:v>橋・海・港</x:v>
      </x:c>
      <x:c r="E53" s="48" t="e">
        <x:f>HYPERLINK("https://www.google.com/maps/dir/?api=1&amp;destination=%E8%8B%A5%E6%B4%B2%E6%B5%B7%E6%B5%9C%E5%85%AC%E5%9C%92&amp;travelmode=driving","現在地からナビ開始")</x:f>
      </x:c>
      <x:c r="F53" s="27" t="str">
        <x:v>東京ゲートブリッジを間近に感じ、東京港の最奥へ走る感覚が強い。</x:v>
      </x:c>
      <x:c r="G53" s="27" t="str">
        <x:v>東京都立若洲海浜公園駐車場322台・有料</x:v>
      </x:c>
      <x:c r="H53" s="27" t="str">
        <x:v>駐車場6:00～22:00／年末年始休場</x:v>
      </x:c>
      <x:c r="I53" s="27" t="n">
        <x:v>4</x:v>
      </x:c>
      <x:c r="J53" s="27" t="n">
        <x:v>3</x:v>
      </x:c>
      <x:c r="K53" s="27" t="str">
        <x:v>江東区立若洲公園はリニューアル工事中で、駐車場の一部・キャンプ場・貸自転車等が利用休止。強風時は滞在短縮。</x:v>
      </x:c>
      <x:c r="L53" s="28" t="n">
        <x:v>46232</x:v>
      </x:c>
      <x:c r="M53" s="27" t="str">
        <x:v>一次確認済</x:v>
      </x:c>
      <x:c r="N53" s="27" t="str">
        <x:v>https://www.tptc.co.jp/park/03_07/access</x:v>
      </x:c>
      <x:c r="O53" s="27" t="str">
        <x:v>東京ゲートブリッジはトラス部分の形から『恐竜橋』とも呼ばれ、羽田空港の航空制限を避けるため吊橋ではなくトラス橋になった。</x:v>
      </x:c>
      <x:c r="P53" s="84" t="e">
        <x:f>HYPERLINK("https://ja.wikipedia.org/wiki/Special:Search?search=%E8%8B%A5%E6%B4%B2%E6%B5%B7%E6%B5%9C%E5%85%AC%E5%9C%92","Wikipedia・関連項目")</x:f>
      </x:c>
      <x:c r="Q53" s="27" t="str">
        <x:v>2026-07-29公式再確認：駐車場322台・6:00～22:00と、リニューアル工事による一部利用休止を反映。</x:v>
      </x:c>
      <x:c r="R53" s="27" t="str">
        <x:v>10〜20km</x:v>
      </x:c>
      <x:c r="S53" s="27" t="str">
        <x:v>概ね10〜20km</x:v>
      </x:c>
      <x:c r="T53" s="27" t="str">
        <x:v>通常25〜50分</x:v>
      </x:c>
      <x:c r="U53" s="27" t="str">
        <x:v>海・港</x:v>
      </x:c>
      <x:c r="V53" s="27" t="str">
        <x:v>30〜90分</x:v>
      </x:c>
      <x:c r="W53" s="27" t="n">
        <x:v>1</x:v>
      </x:c>
      <x:c r="X53" s="27" t="n">
        <x:v>3</x:v>
      </x:c>
      <x:c r="Y53" s="27" t="str">
        <x:v>城南島海浜公園</x:v>
      </x:c>
      <x:c r="Z53" s="27" t="str">
        <x:v>潮風公園／晴海ふ頭公園</x:v>
      </x:c>
      <x:c r="AA53" s="22" t="str">
        <x:v>なし</x:v>
      </x:c>
      <x:c r="AB53" s="22" t="str">
        <x:v>-</x:v>
      </x:c>
      <x:c r="AC53" s="22" t="str"/>
      <x:c r="AD53" s="22" t="str">
        <x:v>専用・路外駐車を基本</x:v>
      </x:c>
      <x:c r="AE53" s="22" t="str"/>
    </x:row>
    <x:row r="54">
      <x:c r="A54" s="27" t="str">
        <x:v>D260</x:v>
      </x:c>
      <x:c r="B54" s="27" t="str">
        <x:v>萩中公園</x:v>
      </x:c>
      <x:c r="C54" s="27" t="str">
        <x:v>大田区・萩中</x:v>
      </x:c>
      <x:c r="D54" s="27" t="str">
        <x:v>交通公園・SL・プール・家族Story</x:v>
      </x:c>
      <x:c r="E54" s="48" t="e">
        <x:f>HYPERLINK("https://www.google.com/maps/dir/?api=1&amp;destination=%E8%90%A9%E4%B8%AD%E5%85%AC%E5%9C%92&amp;travelmode=driving","現在地からナビ開始")</x:f>
      </x:c>
      <x:c r="F54" s="27" t="str">
        <x:v>蒸気機関車や路面電車、交通公園、屋内外プールがまとまり、飛行機以外の羽田周辺Storyを作れる近距離の大型公園。</x:v>
      </x:c>
      <x:c r="G54" s="27" t="str">
        <x:v>一般用45台（平日）／63台（休日）＋身障者用2台・普通車30分100円・24時間</x:v>
      </x:c>
      <x:c r="H54" s="27" t="str">
        <x:v>公園・駐車場24時間／児童交通公園貸出9:00～16:00／ガラクタ公園9:00～17:00／ローラースケート場8:30～20:00</x:v>
      </x:c>
      <x:c r="I54" s="27" t="n">
        <x:v>4</x:v>
      </x:c>
      <x:c r="J54" s="27" t="n">
        <x:v>3</x:v>
      </x:c>
      <x:c r="K54" s="27" t="str">
        <x:v>夜間は公園・駐車のみ成立し、保存車両・交通公園・遊具Storyは17時までが主力。土日祝は駐車場混雑。プール利用者専用駐車場ではない。</x:v>
      </x:c>
      <x:c r="L54" s="28" t="n">
        <x:v>46232</x:v>
      </x:c>
      <x:c r="M54" s="27" t="str">
        <x:v>一次確認済</x:v>
      </x:c>
      <x:c r="N54" s="27" t="str">
        <x:v>https://www.city.ota.tokyo.jp/shisetsu/park/haginaka.html</x:v>
      </x:c>
      <x:c r="O54" s="27" t="str">
        <x:v>園内には蒸気機関車と都電車両が保存され、戦後の交通史を身近に感じられる。</x:v>
      </x:c>
      <x:c r="P54" s="84" t="e">
        <x:f>HYPERLINK("https://ja.wikipedia.org/wiki/Special:Search?search=%E8%90%A9%E4%B8%AD%E5%85%AC%E5%9C%92","Wikipedia・関連項目")</x:f>
      </x:c>
      <x:c r="Q54" s="27" t="str">
        <x:v>2026-07-29公式再確認：駐車場24時間、一般45/63台＋身障者2台、交通公園・ガラクタ公園・スケート場の個別時間を分離。</x:v>
      </x:c>
      <x:c r="R54" s="27" t="str">
        <x:v>0〜10km</x:v>
      </x:c>
      <x:c r="S54" s="27" t="str">
        <x:v>蒲田から約3〜6km</x:v>
      </x:c>
      <x:c r="T54" s="27" t="str">
        <x:v>通常10〜20分</x:v>
      </x:c>
      <x:c r="U54" s="27" t="str">
        <x:v>家族・交通Story・短時間</x:v>
      </x:c>
      <x:c r="V54" s="27" t="str">
        <x:v>30〜120分</x:v>
      </x:c>
      <x:c r="W54" s="27" t="n">
        <x:v>3</x:v>
      </x:c>
      <x:c r="X54" s="27" t="n">
        <x:v>2</x:v>
      </x:c>
      <x:c r="Y54" s="27" t="str">
        <x:v>東糀谷防災公園</x:v>
      </x:c>
      <x:c r="Z54" s="27" t="str">
        <x:v>HANEDA INNOVATION CITY 足湯スカイデッキ／穴守稲荷神社</x:v>
      </x:c>
      <x:c r="AA54" s="22" t="str">
        <x:v>なし</x:v>
      </x:c>
      <x:c r="AB54" s="22" t="str">
        <x:v>-</x:v>
      </x:c>
      <x:c r="AC54" s="22" t="str"/>
      <x:c r="AD54" s="22" t="str">
        <x:v>専用・路外駐車を基本</x:v>
      </x:c>
      <x:c r="AE54" s="22" t="str"/>
    </x:row>
    <x:row r="55">
      <x:c r="A55" s="27" t="str">
        <x:v>D241</x:v>
      </x:c>
      <x:c r="B55" s="27" t="str">
        <x:v>大森ふるさとの浜辺公園</x:v>
      </x:c>
      <x:c r="C55" s="27" t="str">
        <x:v>大田区・大森東</x:v>
      </x:c>
      <x:c r="D55" s="27" t="str">
        <x:v>人工海浜・干潟・海苔Story</x:v>
      </x:c>
      <x:c r="E55" s="48" t="e">
        <x:f>HYPERLINK("https://www.google.com/maps/dir/?api=1&amp;destination=%E5%A4%A7%E6%A3%AE%E3%81%B5%E3%82%8B%E3%81%95%E3%81%A8%E3%81%AE%E6%B5%9C%E8%BE%BA%E5%85%AC%E5%9C%92&amp;travelmode=driving","現在地からナビ開始")</x:f>
      </x:c>
      <x:c r="F55" s="27" t="str">
        <x:v>蒲田から短時間で、砂浜・干潟・芝生・運河を味わえる。遠出せず『海へ来た感覚』を得られる近距離の主力Ending。</x:v>
      </x:c>
      <x:c r="G55" s="27" t="str">
        <x:v>共用駐車場・平日121台／土日祝142台・30分100円・24時間</x:v>
      </x:c>
      <x:c r="H55" s="27" t="str">
        <x:v>広場エリア終日／浜辺エリア5:30～21:00</x:v>
      </x:c>
      <x:c r="I55" s="27" t="n">
        <x:v>4</x:v>
      </x:c>
      <x:c r="J55" s="27" t="n">
        <x:v>2</x:v>
      </x:c>
      <x:c r="K55" s="27" t="str">
        <x:v>浜辺は21時閉門。休日は駐車待ちが発生。遊泳・釣り・火気は禁止。</x:v>
      </x:c>
      <x:c r="L55" s="28" t="n">
        <x:v>46232</x:v>
      </x:c>
      <x:c r="M55" s="27" t="str">
        <x:v>一次確認済</x:v>
      </x:c>
      <x:c r="N55" s="27" t="str">
        <x:v>https://www.city.ota.tokyo.jp/shisetsu/park/oomorifurusatonohamabe.html</x:v>
      </x:c>
      <x:c r="O55" s="27" t="str">
        <x:v>かつて海苔養殖で栄えた大森海岸の記憶を、人工海浜と隣接する海苔のふるさと館が伝えている。</x:v>
      </x:c>
      <x:c r="P55" s="84" t="e">
        <x:f>HYPERLINK("https://ja.wikipedia.org/wiki/Special:Search?search=%E5%A4%A7%E6%A3%AE%E3%81%B5%E3%82%8B%E3%81%95%E3%81%A8%E3%81%AE%E6%B5%9C%E8%BE%BA%E5%85%AC%E5%9C%92","Wikipedia・関連項目")</x:f>
      </x:c>
      <x:c r="Q55" s="27" t="str">
        <x:v>2026-07-29公式再確認：駐車台数、24時間駐車、浜辺21時閉門を更新。</x:v>
      </x:c>
      <x:c r="R55" s="27" t="str">
        <x:v>0〜10km</x:v>
      </x:c>
      <x:c r="S55" s="27" t="str">
        <x:v>蒲田から約4〜7km</x:v>
      </x:c>
      <x:c r="T55" s="27" t="str">
        <x:v>通常15〜25分</x:v>
      </x:c>
      <x:c r="U55" s="27" t="str">
        <x:v>平日夜・休日短時間</x:v>
      </x:c>
      <x:c r="V55" s="27" t="str">
        <x:v>30〜75分</x:v>
      </x:c>
      <x:c r="W55" s="27" t="n">
        <x:v>1</x:v>
      </x:c>
      <x:c r="X55" s="27" t="n">
        <x:v>2</x:v>
      </x:c>
      <x:c r="Y55" s="27" t="str">
        <x:v>平和の森公園</x:v>
      </x:c>
      <x:c r="Z55" s="27" t="str">
        <x:v>平和の森公園／城南島海浜公園</x:v>
      </x:c>
      <x:c r="AA55" s="22" t="str">
        <x:v>なし</x:v>
      </x:c>
      <x:c r="AB55" s="22" t="str">
        <x:v>-</x:v>
      </x:c>
      <x:c r="AC55" s="22" t="str"/>
      <x:c r="AD55" s="22" t="str">
        <x:v>専用・路外駐車を基本</x:v>
      </x:c>
      <x:c r="AE55" s="22" t="str"/>
    </x:row>
    <x:row r="56">
      <x:c r="A56" s="27" t="str">
        <x:v>D242</x:v>
      </x:c>
      <x:c r="B56" s="27" t="str">
        <x:v>平和の森公園</x:v>
      </x:c>
      <x:c r="C56" s="27" t="str">
        <x:v>大田区・平和の森公園</x:v>
      </x:c>
      <x:c r="D56" s="27" t="str">
        <x:v>大規模公園・池・平和Story</x:v>
      </x:c>
      <x:c r="E56" s="48" t="e">
        <x:f>HYPERLINK("https://www.google.com/maps/dir/?api=1&amp;destination=%E5%B9%B3%E5%92%8C%E3%81%AE%E6%A3%AE%E5%85%AC%E5%9C%92&amp;travelmode=driving","現在地からナビ開始")</x:f>
      </x:c>
      <x:c r="F56" s="27" t="str">
        <x:v>区内最大級の公園で、ひょうたん池、梅、広場、アスレチックを近距離で選べる。浜辺公園とのセット性能が高い。</x:v>
      </x:c>
      <x:c r="G56" s="27" t="str">
        <x:v>あり・186台・30分100円</x:v>
      </x:c>
      <x:c r="H56" s="27" t="str">
        <x:v>公園常時利用可／施設ごとに時間制</x:v>
      </x:c>
      <x:c r="I56" s="27" t="n">
        <x:v>4</x:v>
      </x:c>
      <x:c r="J56" s="27" t="n">
        <x:v>2</x:v>
      </x:c>
      <x:c r="K56" s="27" t="str">
        <x:v>施設利用時間は個別。休日は大森ふるさとの浜辺公園と共用で混雑する。</x:v>
      </x:c>
      <x:c r="L56" s="28" t="n">
        <x:v>46232</x:v>
      </x:c>
      <x:c r="M56" s="27" t="str">
        <x:v>一次確認済</x:v>
      </x:c>
      <x:c r="N56" s="27" t="str">
        <x:v>https://www.city.ota.tokyo.jp/shisetsu/park/heiwanomori.html</x:v>
      </x:c>
      <x:c r="O56" s="27" t="str">
        <x:v>名称には大田区の恒久平和への願いが込められ、平和都市宣言を象徴する像が置かれている。</x:v>
      </x:c>
      <x:c r="P56" s="84" t="e">
        <x:f>HYPERLINK("https://ja.wikipedia.org/wiki/Special:Search?search=%E5%B9%B3%E5%92%8C%E3%81%AE%E6%A3%AE%E5%85%AC%E5%9C%92","Wikipedia・関連項目")</x:f>
      </x:c>
      <x:c r="Q56" s="27" t="str">
        <x:v>近距離コア新規追加</x:v>
      </x:c>
      <x:c r="R56" s="27" t="str">
        <x:v>0〜10km</x:v>
      </x:c>
      <x:c r="S56" s="27" t="str">
        <x:v>蒲田から約4〜7km</x:v>
      </x:c>
      <x:c r="T56" s="27" t="str">
        <x:v>通常15〜25分</x:v>
      </x:c>
      <x:c r="U56" s="27" t="str">
        <x:v>平日夜・休日半日</x:v>
      </x:c>
      <x:c r="V56" s="27" t="str">
        <x:v>30〜90分</x:v>
      </x:c>
      <x:c r="W56" s="27" t="n">
        <x:v>1</x:v>
      </x:c>
      <x:c r="X56" s="27" t="n">
        <x:v>1</x:v>
      </x:c>
      <x:c r="Y56" s="27" t="str">
        <x:v>大森ふるさとの浜辺公園</x:v>
      </x:c>
      <x:c r="Z56" s="27" t="str">
        <x:v>大森ふるさとの浜辺公園／都堀公園</x:v>
      </x:c>
      <x:c r="AA56" s="22" t="str">
        <x:v>なし</x:v>
      </x:c>
      <x:c r="AB56" s="22" t="str">
        <x:v>-</x:v>
      </x:c>
      <x:c r="AC56" s="22" t="str"/>
      <x:c r="AD56" s="22" t="str">
        <x:v>専用・路外駐車を基本</x:v>
      </x:c>
      <x:c r="AE56" s="22" t="str"/>
    </x:row>
    <x:row r="57">
      <x:c r="A57" s="27" t="str">
        <x:v>D207</x:v>
      </x:c>
      <x:c r="B57" s="27" t="str">
        <x:v>生田緑地・枡形山展望台</x:v>
      </x:c>
      <x:c r="C57" s="27" t="str">
        <x:v>川崎市・多摩区</x:v>
      </x:c>
      <x:c r="D57" s="27" t="str">
        <x:v>高台・展望・文化施設</x:v>
      </x:c>
      <x:c r="E57" s="48" t="e">
        <x:f>HYPERLINK("https://www.google.com/maps/dir/?api=1&amp;destination=%E7%94%9F%E7%94%B0%E7%B7%91%E5%9C%B0%E3%83%BB%E6%9E%A1%E5%BD%A2%E5%B1%B1%E5%B1%95%E6%9C%9B%E5%8F%B0&amp;travelmode=driving","現在地からナビ開始")</x:f>
      </x:c>
      <x:c r="F57" s="27" t="str">
        <x:v>枡形山の展望、民家園、岡本太郎美術館、プラネタリウムを組み合わせ、自然と文化の両方で目的地化できる。</x:v>
      </x:c>
      <x:c r="G57" s="27" t="str">
        <x:v>あり・東口約140台、西口約50台・有料</x:v>
      </x:c>
      <x:c r="H57" s="27" t="str">
        <x:v>駐車場入庫5:00～22:00／出庫は22:00以降も可</x:v>
      </x:c>
      <x:c r="I57" s="27" t="n">
        <x:v>4</x:v>
      </x:c>
      <x:c r="J57" s="27" t="n">
        <x:v>2</x:v>
      </x:c>
      <x:c r="K57" s="27" t="str">
        <x:v>展望台や園路は夜に暗い。施設営業時間は別。休日は東口駐車場が混雑。</x:v>
      </x:c>
      <x:c r="L57" s="28" t="n">
        <x:v>46232</x:v>
      </x:c>
      <x:c r="M57" s="27" t="str">
        <x:v>一次確認済</x:v>
      </x:c>
      <x:c r="N57" s="27" t="str">
        <x:v>https://www.ikutaryokuti.jp/access.html</x:v>
      </x:c>
      <x:c r="O57" s="27" t="str">
        <x:v>多摩丘陵の自然を残す川崎市最大級の緑地で、日本民家園や岡本太郎美術館など複数の文化施設が集まる。</x:v>
      </x:c>
      <x:c r="P57" s="84" t="e">
        <x:f>HYPERLINK("https://ja.wikipedia.org/wiki/Special:Search?search=%E7%94%9F%E7%94%B0%E7%B7%91%E5%9C%B0%E3%83%BB%E6%9E%A1%E5%BD%A2%E5%B1%B1%E5%B1%95%E6%9C%9B%E5%8F%B0","Wikipedia・関連項目")</x:f>
      </x:c>
      <x:c r="Q57" s="27" t="str">
        <x:v>新規追加。夜は駐車場と明るい園路中心、展望台は日没前後向け。</x:v>
      </x:c>
      <x:c r="R57" s="27" t="str">
        <x:v>20〜25km</x:v>
      </x:c>
      <x:c r="S57" s="27" t="str">
        <x:v>概ね20〜25km</x:v>
      </x:c>
      <x:c r="T57" s="27" t="str">
        <x:v>通常40〜70分</x:v>
      </x:c>
      <x:c r="U57" s="27" t="str">
        <x:v>平日夜・深夜</x:v>
      </x:c>
      <x:c r="V57" s="27" t="str">
        <x:v>30〜60分</x:v>
      </x:c>
      <x:c r="W57" s="27" t="n">
        <x:v>1</x:v>
      </x:c>
      <x:c r="X57" s="27" t="n">
        <x:v>1</x:v>
      </x:c>
      <x:c r="Y57" s="27" t="str">
        <x:v>羽田空港 第3ターミナル展望デッキ</x:v>
      </x:c>
      <x:c r="Z57" s="27" t="str">
        <x:v>城南島海浜公園／潮風公園</x:v>
      </x:c>
      <x:c r="AA57" s="22" t="str">
        <x:v>なし</x:v>
      </x:c>
      <x:c r="AB57" s="22" t="str">
        <x:v>-</x:v>
      </x:c>
      <x:c r="AC57" s="22" t="str"/>
      <x:c r="AD57" s="22" t="str">
        <x:v>専用・路外駐車を基本</x:v>
      </x:c>
      <x:c r="AE57" s="22" t="str"/>
    </x:row>
    <x:row r="58">
      <x:c r="A58" s="27" t="str">
        <x:v>D221</x:v>
      </x:c>
      <x:c r="B58" s="27" t="str">
        <x:v>葛西海浜公園</x:v>
      </x:c>
      <x:c r="C58" s="27" t="str">
        <x:v>東京都江戸川区</x:v>
      </x:c>
      <x:c r="D58" s="27" t="str">
        <x:v>干潟・海浜・東京湾</x:v>
      </x:c>
      <x:c r="E58" s="48" t="e">
        <x:f>HYPERLINK("https://www.google.com/maps/dir/?api=1&amp;destination=%E8%91%9B%E8%A5%BF%E6%B5%B7%E6%B5%9C%E5%85%AC%E5%9C%92&amp;travelmode=driving","現在地からナビ開始")</x:f>
      </x:c>
      <x:c r="F58" s="27" t="str">
        <x:v>都心近くで干潟と東京湾の水平線を感じられ、臨海公園の人工景観から自然海浜へ抜けるEndingになる。</x:v>
      </x:c>
      <x:c r="G58" s="27" t="str">
        <x:v>葛西臨海公園駐車場を利用・有料</x:v>
      </x:c>
      <x:c r="H58" s="27" t="str">
        <x:v>駐車場24時間／西なぎさ利用は季節・潮位条件を確認</x:v>
      </x:c>
      <x:c r="I58" s="27" t="n">
        <x:v>4</x:v>
      </x:c>
      <x:c r="J58" s="27" t="n">
        <x:v>2</x:v>
      </x:c>
      <x:c r="K58" s="27" t="str">
        <x:v>大型連休は早朝から満車。入庫規制中の路上待機禁止。荒天・高波・潮位上昇時は海浜へ入らない。</x:v>
      </x:c>
      <x:c r="L58" s="28" t="n">
        <x:v>46232</x:v>
      </x:c>
      <x:c r="M58" s="27" t="str">
        <x:v>一次確認済</x:v>
      </x:c>
      <x:c r="N58" s="27" t="str">
        <x:v>https://www.tokyo-park.or.jp/park/kasaikaihin/index.html</x:v>
      </x:c>
      <x:c r="O58" s="27" t="str">
        <x:v>葛西沖の干潟を保全・再生した海浜公園で、西なぎさは東京23区内で海へ直接近づける数少ない公共海浜。</x:v>
      </x:c>
      <x:c r="P58" s="84" t="e">
        <x:f>HYPERLINK("https://ja.wikipedia.org/wiki/Special:Search?search=%E8%91%9B%E8%A5%BF%E6%B5%B7%E6%B5%9C%E5%85%AC%E5%9C%92","Wikipedia・関連項目")</x:f>
      </x:c>
      <x:c r="Q58" s="27" t="str">
        <x:v>新規追加。既存の葛西臨海公園とは『干潟・海へ降りる体験』で差別化。</x:v>
      </x:c>
      <x:c r="R58" s="27" t="str">
        <x:v>20〜25km</x:v>
      </x:c>
      <x:c r="S58" s="27" t="str">
        <x:v>概ね20〜25km</x:v>
      </x:c>
      <x:c r="T58" s="27" t="str">
        <x:v>通常40〜70分</x:v>
      </x:c>
      <x:c r="U58" s="27" t="str">
        <x:v>海・港</x:v>
      </x:c>
      <x:c r="V58" s="27" t="str">
        <x:v>30〜60分</x:v>
      </x:c>
      <x:c r="W58" s="27" t="n">
        <x:v>1</x:v>
      </x:c>
      <x:c r="X58" s="27" t="n">
        <x:v>3</x:v>
      </x:c>
      <x:c r="Y58" s="27" t="str">
        <x:v>城南島海浜公園</x:v>
      </x:c>
      <x:c r="Z58" s="27" t="str">
        <x:v>潮風公園／晴海ふ頭公園</x:v>
      </x:c>
      <x:c r="AA58" s="22" t="str">
        <x:v>なし</x:v>
      </x:c>
      <x:c r="AB58" s="22" t="str">
        <x:v>-</x:v>
      </x:c>
      <x:c r="AC58" s="22" t="str"/>
      <x:c r="AD58" s="22" t="str">
        <x:v>専用・路外駐車を基本</x:v>
      </x:c>
      <x:c r="AE58" s="22" t="str"/>
    </x:row>
    <x:row r="59">
      <x:c r="A59" s="27" t="str">
        <x:v>D007</x:v>
      </x:c>
      <x:c r="B59" s="27" t="str">
        <x:v>葛西臨海公園</x:v>
      </x:c>
      <x:c r="C59" s="27" t="str">
        <x:v>江戸川区・臨海町</x:v>
      </x:c>
      <x:c r="D59" s="27" t="str">
        <x:v>海・観覧車・公園</x:v>
      </x:c>
      <x:c r="E59" s="48" t="e">
        <x:f>HYPERLINK("https://www.google.com/maps/dir/?api=1&amp;destination=%E8%91%9B%E8%A5%BF%E8%87%A8%E6%B5%B7%E5%85%AC%E5%9C%92&amp;travelmode=driving","現在地からナビ開始")</x:f>
      </x:c>
      <x:c r="F59" s="27" t="str">
        <x:v>湾岸道路の先に海辺と観覧車が現れ、東側の安定Endingになる。</x:v>
      </x:c>
      <x:c r="G59" s="27" t="str">
        <x:v>あり・有料</x:v>
      </x:c>
      <x:c r="H59" s="27" t="str">
        <x:v>駐車場 24時間</x:v>
      </x:c>
      <x:c r="I59" s="27" t="n">
        <x:v>4</x:v>
      </x:c>
      <x:c r="J59" s="27" t="n">
        <x:v>2</x:v>
      </x:c>
      <x:c r="K59" s="27" t="str">
        <x:v>休日は混雑。深夜は暗い園路や人通りの少ない区域を避ける。</x:v>
      </x:c>
      <x:c r="L59" s="28" t="n">
        <x:v>46232</x:v>
      </x:c>
      <x:c r="M59" s="27" t="str">
        <x:v>一次確認済</x:v>
      </x:c>
      <x:c r="N59" s="27" t="str">
        <x:v>https://www.tokyo-park.or.jp/park/kasairinkai/index.html</x:v>
      </x:c>
      <x:c r="O59" s="27" t="str">
        <x:v>園内の葛西臨海水族園は、ドーナツ形の大型水槽でクロマグロを群泳展示したことで世界的にも知られた。</x:v>
      </x:c>
      <x:c r="P59" s="84" t="e">
        <x:f>HYPERLINK("https://ja.wikipedia.org/wiki/Special:Search?search=%E8%91%9B%E8%A5%BF%E8%87%A8%E6%B5%B7%E5%85%AC%E5%9C%92","Wikipedia・関連項目")</x:f>
      </x:c>
      <x:c r="Q59" s="27"/>
      <x:c r="R59" s="27" t="str">
        <x:v>20〜25km</x:v>
      </x:c>
      <x:c r="S59" s="27" t="str">
        <x:v>概ね20〜25km</x:v>
      </x:c>
      <x:c r="T59" s="27" t="str">
        <x:v>通常40〜70分</x:v>
      </x:c>
      <x:c r="U59" s="27" t="str">
        <x:v>海・港</x:v>
      </x:c>
      <x:c r="V59" s="27" t="str">
        <x:v>30〜90分</x:v>
      </x:c>
      <x:c r="W59" s="27" t="n">
        <x:v>1</x:v>
      </x:c>
      <x:c r="X59" s="27" t="n">
        <x:v>3</x:v>
      </x:c>
      <x:c r="Y59" s="27" t="str">
        <x:v>城南島海浜公園</x:v>
      </x:c>
      <x:c r="Z59" s="27" t="str">
        <x:v>潮風公園／晴海ふ頭公園</x:v>
      </x:c>
      <x:c r="AA59" s="22" t="str">
        <x:v>なし</x:v>
      </x:c>
      <x:c r="AB59" s="22" t="str">
        <x:v>-</x:v>
      </x:c>
      <x:c r="AC59" s="22" t="str"/>
      <x:c r="AD59" s="22" t="str">
        <x:v>専用・路外駐車を基本</x:v>
      </x:c>
      <x:c r="AE59" s="22" t="str"/>
    </x:row>
    <x:row r="60">
      <x:c r="A60" s="27" t="str">
        <x:v>D159</x:v>
      </x:c>
      <x:c r="B60" s="27" t="str">
        <x:v>青葉の森公園</x:v>
      </x:c>
      <x:c r="C60" s="27" t="str">
        <x:v>千葉市・中央区</x:v>
      </x:c>
      <x:c r="D60" s="27" t="str">
        <x:v>大規模公園・文化施設・夜間</x:v>
      </x:c>
      <x:c r="E60" s="48" t="e">
        <x:f>HYPERLINK("https://www.google.com/maps/dir/?api=1&amp;destination=%E9%9D%92%E8%91%89%E3%81%AE%E6%A3%AE%E5%85%AC%E5%9C%92&amp;travelmode=driving","現在地からナビ開始")</x:f>
      </x:c>
      <x:c r="F60" s="27" t="str">
        <x:v>広い芝生、博物館、芸術文化ホールが集まり、千葉市内の文化系Endingとして安定する。</x:v>
      </x:c>
      <x:c r="G60" s="27" t="str">
        <x:v>あり・普通車573台ほか、有料</x:v>
      </x:c>
      <x:c r="H60" s="27" t="str">
        <x:v>公園24時間／駐車場6:00～22:00</x:v>
      </x:c>
      <x:c r="I60" s="27" t="n">
        <x:v>4</x:v>
      </x:c>
      <x:c r="J60" s="27" t="n">
        <x:v>2</x:v>
      </x:c>
      <x:c r="K60" s="27" t="str">
        <x:v>22時閉鎖。イベント日は満車、周辺路上駐車禁止。</x:v>
      </x:c>
      <x:c r="L60" s="28" t="n">
        <x:v>46232</x:v>
      </x:c>
      <x:c r="M60" s="27" t="str">
        <x:v>一次確認済</x:v>
      </x:c>
      <x:c r="N60" s="27" t="str">
        <x:v>https://www.cue-net.or.jp/kouen/aoba/annai/parking.html</x:v>
      </x:c>
      <x:c r="O60" s="27" t="str">
        <x:v>園内の千葉県立中央博物館は房総の自然と歴史を総合的に扱う県立博物館。</x:v>
      </x:c>
      <x:c r="P60" s="84" t="e">
        <x:f>HYPERLINK("https://ja.wikipedia.org/wiki/Special:Search?search=%E9%9D%92%E8%91%89%E3%81%AE%E6%A3%AE%E5%85%AC%E5%9C%92","Wikipedia・関連項目")</x:f>
      </x:c>
      <x:c r="Q60" s="27"/>
      <x:c r="R60" s="27" t="str">
        <x:v>10〜20km</x:v>
      </x:c>
      <x:c r="S60" s="27" t="str">
        <x:v>概ね10〜20km</x:v>
      </x:c>
      <x:c r="T60" s="27" t="str">
        <x:v>通常25〜50分</x:v>
      </x:c>
      <x:c r="U60" s="27" t="str">
        <x:v>平日夜・深夜</x:v>
      </x:c>
      <x:c r="V60" s="27" t="str">
        <x:v>30〜90分</x:v>
      </x:c>
      <x:c r="W60" s="27" t="n">
        <x:v>1</x:v>
      </x:c>
      <x:c r="X60" s="27" t="n">
        <x:v>1</x:v>
      </x:c>
      <x:c r="Y60" s="27" t="str">
        <x:v>平和の森公園</x:v>
      </x:c>
      <x:c r="Z60" s="27" t="str">
        <x:v>大森ふるさとの浜辺公園／森ケ崎公園</x:v>
      </x:c>
      <x:c r="AA60" s="22" t="str">
        <x:v>なし</x:v>
      </x:c>
      <x:c r="AB60" s="22" t="str">
        <x:v>-</x:v>
      </x:c>
      <x:c r="AC60" s="22" t="str"/>
      <x:c r="AD60" s="22" t="str">
        <x:v>専用・路外駐車を基本</x:v>
      </x:c>
      <x:c r="AE60" s="22" t="str"/>
    </x:row>
    <x:row r="61">
      <x:c r="A61" s="27" t="str">
        <x:v>D145</x:v>
      </x:c>
      <x:c r="B61" s="27" t="str">
        <x:v>駒沢オリンピック公園</x:v>
      </x:c>
      <x:c r="C61" s="27" t="str">
        <x:v>世田谷区・駒沢</x:v>
      </x:c>
      <x:c r="D61" s="27" t="str">
        <x:v>オリンピック・建築・24時間駐車</x:v>
      </x:c>
      <x:c r="E61" s="48" t="e">
        <x:f>HYPERLINK("https://www.google.com/maps/dir/?api=1&amp;destination=%E9%A7%92%E6%B2%A2%E3%82%AA%E3%83%AA%E3%83%B3%E3%83%94%E3%83%83%E3%82%AF%E5%85%AC%E5%9C%92&amp;travelmode=driving","現在地からナビ開始")</x:f>
      </x:c>
      <x:c r="F61" s="27" t="str">
        <x:v>1964年東京大会の競技施設群を夜間でも眺められ、建築と都市史のStory Layerが強い。</x:v>
      </x:c>
      <x:c r="G61" s="27" t="str">
        <x:v>あり・第1駐車場ほか、有料</x:v>
      </x:c>
      <x:c r="H61" s="27" t="str">
        <x:v>第1駐車場 24時間</x:v>
      </x:c>
      <x:c r="I61" s="27" t="n">
        <x:v>4</x:v>
      </x:c>
      <x:c r="J61" s="27" t="n">
        <x:v>2</x:v>
      </x:c>
      <x:c r="K61" s="27" t="str">
        <x:v>大会・イベント日は混雑。第一駐車場は工事による一部閉鎖情報を確認。</x:v>
      </x:c>
      <x:c r="L61" s="28" t="n">
        <x:v>46232</x:v>
      </x:c>
      <x:c r="M61" s="27" t="str">
        <x:v>一次確認済</x:v>
      </x:c>
      <x:c r="N61" s="27" t="str">
        <x:v>https://www.tokyo-park.or.jp/park/komazawa-olympic/index.html</x:v>
      </x:c>
      <x:c r="O61" s="27" t="str">
        <x:v>1964年東京オリンピックではレスリングやバレーボールなどの会場となった。</x:v>
      </x:c>
      <x:c r="P61" s="84" t="e">
        <x:f>HYPERLINK("https://ja.wikipedia.org/wiki/Special:Search?search=%E9%A7%92%E6%B2%A2%E3%82%AA%E3%83%AA%E3%83%B3%E3%83%94%E3%83%83%E3%82%AF%E5%85%AC%E5%9C%92","Wikipedia・関連項目")</x:f>
      </x:c>
      <x:c r="Q61" s="27"/>
      <x:c r="R61" s="27" t="str">
        <x:v>10〜20km</x:v>
      </x:c>
      <x:c r="S61" s="27" t="str">
        <x:v>概ね10〜20km</x:v>
      </x:c>
      <x:c r="T61" s="27" t="str">
        <x:v>通常25〜50分</x:v>
      </x:c>
      <x:c r="U61" s="27" t="str">
        <x:v>平日夜・深夜</x:v>
      </x:c>
      <x:c r="V61" s="27" t="str">
        <x:v>30〜60分</x:v>
      </x:c>
      <x:c r="W61" s="27" t="n">
        <x:v>2</x:v>
      </x:c>
      <x:c r="X61" s="27" t="n">
        <x:v>1</x:v>
      </x:c>
      <x:c r="Y61" s="27" t="str">
        <x:v>羽田空港 第3ターミナル展望デッキ</x:v>
      </x:c>
      <x:c r="Z61" s="27" t="str">
        <x:v>城南島海浜公園／潮風公園</x:v>
      </x:c>
      <x:c r="AA61" s="22" t="str">
        <x:v>なし</x:v>
      </x:c>
      <x:c r="AB61" s="22" t="str">
        <x:v>-</x:v>
      </x:c>
      <x:c r="AC61" s="22" t="str"/>
      <x:c r="AD61" s="22" t="str">
        <x:v>専用・路外駐車を基本</x:v>
      </x:c>
      <x:c r="AE61" s="22" t="str"/>
    </x:row>
    <x:row r="62">
      <x:c r="A62" s="27" t="str">
        <x:v>D109</x:v>
      </x:c>
      <x:c r="B62" s="27" t="str">
        <x:v>亥鼻公園</x:v>
      </x:c>
      <x:c r="C62" s="27" t="str">
        <x:v>千葉市・中央区</x:v>
      </x:c>
      <x:c r="D62" s="27" t="str">
        <x:v>城址・高台・Story</x:v>
      </x:c>
      <x:c r="E62" s="48" t="e">
        <x:f>HYPERLINK("https://www.google.com/maps/dir/?api=1&amp;destination=%E4%BA%A5%E9%BC%BB%E5%85%AC%E5%9C%92&amp;travelmode=driving","現在地からナビ開始")</x:f>
      </x:c>
      <x:c r="F62" s="27" t="str">
        <x:v>千葉城と歴史公園の高台景観があり、都市ドライブに物語性を加えられる。</x:v>
      </x:c>
      <x:c r="G62" s="27" t="str">
        <x:v>周辺有料駐車場利用</x:v>
      </x:c>
      <x:c r="H62" s="27" t="str">
        <x:v>公園は常時利用可、施設時間は別</x:v>
      </x:c>
      <x:c r="I62" s="27" t="n">
        <x:v>3</x:v>
      </x:c>
      <x:c r="J62" s="27" t="n">
        <x:v>4</x:v>
      </x:c>
      <x:c r="K62" s="27" t="str">
        <x:v>桜祭り時は混雑。千葉城施設の営業時間と駐車位置を確認。</x:v>
      </x:c>
      <x:c r="L62" s="28" t="n">
        <x:v>46232</x:v>
      </x:c>
      <x:c r="M62" s="27" t="str">
        <x:v>当日再確認</x:v>
      </x:c>
      <x:c r="N62" s="27" t="str">
        <x:v>https://www.city.chiba.jp/toshi/koenryokuchi/kanri/chuo-mihama/inohanap-top.html</x:v>
      </x:c>
      <x:c r="O62" s="27" t="str">
        <x:v>亥鼻公園の模擬天守は千葉市立郷土博物館で、中世に千葉氏が拠点とした亥鼻城をイメージしている。</x:v>
      </x:c>
      <x:c r="P62" s="84" t="e">
        <x:f>HYPERLINK("https://ja.wikipedia.org/wiki/Special:Search?search=%E4%BA%A5%E9%BC%BB%E5%85%AC%E5%9C%92","Wikipedia・関連項目")</x:f>
      </x:c>
      <x:c r="Q62" s="27"/>
      <x:c r="R62" s="27" t="str">
        <x:v>10〜20km</x:v>
      </x:c>
      <x:c r="S62" s="27" t="str">
        <x:v>概ね10〜20km</x:v>
      </x:c>
      <x:c r="T62" s="27" t="str">
        <x:v>通常25〜50分</x:v>
      </x:c>
      <x:c r="U62" s="27" t="str">
        <x:v>Story</x:v>
      </x:c>
      <x:c r="V62" s="27" t="str">
        <x:v>30〜60分</x:v>
      </x:c>
      <x:c r="W62" s="27" t="n">
        <x:v>1</x:v>
      </x:c>
      <x:c r="X62" s="27" t="n">
        <x:v>1</x:v>
      </x:c>
      <x:c r="Y62" s="27" t="str">
        <x:v>羽田空港 第3ターミナル展望デッキ</x:v>
      </x:c>
      <x:c r="Z62" s="27" t="str">
        <x:v>城南島海浜公園／潮風公園</x:v>
      </x:c>
      <x:c r="AA62" s="22" t="str">
        <x:v>なし</x:v>
      </x:c>
      <x:c r="AB62" s="22" t="str">
        <x:v>-</x:v>
      </x:c>
      <x:c r="AC62" s="22" t="str"/>
      <x:c r="AD62" s="22" t="str">
        <x:v>専用・路外駐車を基本</x:v>
      </x:c>
      <x:c r="AE62" s="22" t="str"/>
    </x:row>
    <x:row r="63">
      <x:c r="A63" s="27" t="str">
        <x:v>D147</x:v>
      </x:c>
      <x:c r="B63" s="27" t="str">
        <x:v>北八朔公園</x:v>
      </x:c>
      <x:c r="C63" s="27" t="str">
        <x:v>横浜市・緑区</x:v>
      </x:c>
      <x:c r="D63" s="27" t="str">
        <x:v>谷戸・里山・風致公園</x:v>
      </x:c>
      <x:c r="E63" s="48" t="e">
        <x:f>HYPERLINK("https://www.google.com/maps/dir/?api=1&amp;destination=%E5%8C%97%E5%85%AB%E6%9C%94%E5%85%AC%E5%9C%92&amp;travelmode=driving","現在地からナビ開始")</x:f>
      </x:c>
      <x:c r="F63" s="27" t="str">
        <x:v>谷戸地形と樹林が残る横浜北部の静かな公園で、都市部から自然へ切り替える経由地になる。</x:v>
      </x:c>
      <x:c r="G63" s="27" t="str">
        <x:v>あり・普通車39台、有料</x:v>
      </x:c>
      <x:c r="H63" s="27" t="str">
        <x:v>駐車場は24時間運用情報あり</x:v>
      </x:c>
      <x:c r="I63" s="27" t="n">
        <x:v>3</x:v>
      </x:c>
      <x:c r="J63" s="27" t="n">
        <x:v>4</x:v>
      </x:c>
      <x:c r="K63" s="27" t="str">
        <x:v>夜間は暗い。主要園路のみ利用し、自然保護区域へ入らない。</x:v>
      </x:c>
      <x:c r="L63" s="28" t="n">
        <x:v>46232</x:v>
      </x:c>
      <x:c r="M63" s="27" t="str">
        <x:v>一次確認済</x:v>
      </x:c>
      <x:c r="N63" s="27" t="str">
        <x:v>https://www.city.yokohama.lg.jp/kurashi/machizukuri-kankyo/midori-koen/koen/koen/daihyoteki/kitahassaku_park.html</x:v>
      </x:c>
      <x:c r="O63" s="27" t="str">
        <x:v>『八朔』は旧暦8月1日を指し、地名には農村の年中行事や旧村名の記憶が残る場合がある。</x:v>
      </x:c>
      <x:c r="P63" s="84" t="e">
        <x:f>HYPERLINK("https://ja.wikipedia.org/wiki/Special:Search?search=%E5%8C%97%E5%85%AB%E6%9C%94%E5%85%AC%E5%9C%92","Wikipedia・関連項目")</x:f>
      </x:c>
      <x:c r="Q63" s="27"/>
      <x:c r="R63" s="27" t="str">
        <x:v>20〜25km</x:v>
      </x:c>
      <x:c r="S63" s="27" t="str">
        <x:v>概ね20〜25km</x:v>
      </x:c>
      <x:c r="T63" s="27" t="str">
        <x:v>通常40〜70分</x:v>
      </x:c>
      <x:c r="U63" s="27" t="str">
        <x:v>休日半日</x:v>
      </x:c>
      <x:c r="V63" s="27" t="str">
        <x:v>30〜90分</x:v>
      </x:c>
      <x:c r="W63" s="27" t="n">
        <x:v>1</x:v>
      </x:c>
      <x:c r="X63" s="27" t="n">
        <x:v>1</x:v>
      </x:c>
      <x:c r="Y63" s="27" t="str">
        <x:v>平和の森公園</x:v>
      </x:c>
      <x:c r="Z63" s="27" t="str">
        <x:v>大森ふるさとの浜辺公園／森ケ崎公園</x:v>
      </x:c>
      <x:c r="AA63" s="22" t="str">
        <x:v>なし</x:v>
      </x:c>
      <x:c r="AB63" s="22" t="str">
        <x:v>-</x:v>
      </x:c>
      <x:c r="AC63" s="22" t="str"/>
      <x:c r="AD63" s="22" t="str">
        <x:v>専用・路外駐車を基本</x:v>
      </x:c>
      <x:c r="AE63" s="22" t="str"/>
    </x:row>
    <x:row r="64">
      <x:c r="A64" s="27" t="str">
        <x:v>D008</x:v>
      </x:c>
      <x:c r="B64" s="27" t="str">
        <x:v>夢の島公園</x:v>
      </x:c>
      <x:c r="C64" s="27" t="str">
        <x:v>江東区・夢の島</x:v>
      </x:c>
      <x:c r="D64" s="27" t="str">
        <x:v>静かな休憩・公園</x:v>
      </x:c>
      <x:c r="E64" s="48" t="e">
        <x:f>HYPERLINK("https://www.google.com/maps/dir/?api=1&amp;destination=%E5%A4%A2%E3%81%AE%E5%B3%B6%E5%85%AC%E5%9C%92&amp;travelmode=driving","現在地からナビ開始")</x:f>
      </x:c>
      <x:c r="F64" s="27" t="str">
        <x:v>派手さはないが、湾岸走行後に静かに休むEndingとして使いやすい。</x:v>
      </x:c>
      <x:c r="G64" s="27" t="str">
        <x:v>あり・有料</x:v>
      </x:c>
      <x:c r="H64" s="27" t="str">
        <x:v>最新時間は公式確認</x:v>
      </x:c>
      <x:c r="I64" s="27" t="n">
        <x:v>3</x:v>
      </x:c>
      <x:c r="J64" s="27" t="n">
        <x:v>4</x:v>
      </x:c>
      <x:c r="K64" s="27" t="str">
        <x:v>一部閉鎖やイベントを確認。夜は奥まった区域を避ける。</x:v>
      </x:c>
      <x:c r="L64" s="28" t="n">
        <x:v>46232</x:v>
      </x:c>
      <x:c r="M64" s="27" t="str">
        <x:v>当日再確認</x:v>
      </x:c>
      <x:c r="N64" s="27" t="str">
        <x:v>https://www.tokyo-park.or.jp/park/yumenoshima/index.html</x:v>
      </x:c>
      <x:c r="O64" s="27" t="str">
        <x:v>夢の島は戦前に新空港建設地として計画され、戦後は海水浴場を経てごみ埋立地となったという劇的な履歴を持つ。</x:v>
      </x:c>
      <x:c r="P64" s="84" t="e">
        <x:f>HYPERLINK("https://ja.wikipedia.org/wiki/Special:Search?search=%E5%A4%A2%E3%81%AE%E5%B3%B6%E5%85%AC%E5%9C%92","Wikipedia・関連項目")</x:f>
      </x:c>
      <x:c r="Q64" s="27"/>
      <x:c r="R64" s="27" t="str">
        <x:v>10〜20km</x:v>
      </x:c>
      <x:c r="S64" s="27" t="str">
        <x:v>概ね10〜20km</x:v>
      </x:c>
      <x:c r="T64" s="27" t="str">
        <x:v>通常25〜50分</x:v>
      </x:c>
      <x:c r="U64" s="27" t="str">
        <x:v>休日半日</x:v>
      </x:c>
      <x:c r="V64" s="27" t="str">
        <x:v>30〜90分</x:v>
      </x:c>
      <x:c r="W64" s="27" t="n">
        <x:v>1</x:v>
      </x:c>
      <x:c r="X64" s="27" t="n">
        <x:v>1</x:v>
      </x:c>
      <x:c r="Y64" s="27" t="str">
        <x:v>平和の森公園</x:v>
      </x:c>
      <x:c r="Z64" s="27" t="str">
        <x:v>大森ふるさとの浜辺公園／森ケ崎公園</x:v>
      </x:c>
      <x:c r="AA64" s="22" t="str">
        <x:v>なし</x:v>
      </x:c>
      <x:c r="AB64" s="22" t="str">
        <x:v>-</x:v>
      </x:c>
      <x:c r="AC64" s="22" t="str"/>
      <x:c r="AD64" s="22" t="str">
        <x:v>専用・路外駐車を基本</x:v>
      </x:c>
      <x:c r="AE64" s="22" t="str"/>
    </x:row>
    <x:row r="65">
      <x:c r="A65" s="27" t="str">
        <x:v>D164</x:v>
      </x:c>
      <x:c r="B65" s="27" t="str">
        <x:v>本牧山頂公園</x:v>
      </x:c>
      <x:c r="C65" s="27" t="str">
        <x:v>横浜市・中区</x:v>
      </x:c>
      <x:c r="D65" s="27" t="str">
        <x:v>高台・港・草地・都市展望</x:v>
      </x:c>
      <x:c r="E65" s="48" t="e">
        <x:f>HYPERLINK("https://www.google.com/maps/dir/?api=1&amp;destination=%E6%9C%AC%E7%89%A7%E5%B1%B1%E9%A0%82%E5%85%AC%E5%9C%92&amp;travelmode=driving","現在地からナビ開始")</x:f>
      </x:c>
      <x:c r="F65" s="27" t="str">
        <x:v>本牧の尾根上を歩きながら横浜港と住宅地を見下ろせ、港湾ドライブの最後に地形の高さを加えられる。</x:v>
      </x:c>
      <x:c r="G65" s="27" t="str">
        <x:v>あり・有料</x:v>
      </x:c>
      <x:c r="H65" s="27" t="str">
        <x:v>駐車場時間は指定管理者の当日案内確認</x:v>
      </x:c>
      <x:c r="I65" s="27" t="n">
        <x:v>3</x:v>
      </x:c>
      <x:c r="J65" s="27" t="n">
        <x:v>4</x:v>
      </x:c>
      <x:c r="K65" s="27" t="str">
        <x:v>住宅地に接するため夜間の騒音厳禁。駐車場の入出庫時間を出発前に確認。</x:v>
      </x:c>
      <x:c r="L65" s="28" t="n">
        <x:v>46232</x:v>
      </x:c>
      <x:c r="M65" s="27" t="str">
        <x:v>当日再確認</x:v>
      </x:c>
      <x:c r="N65" s="27" t="str">
        <x:v>https://www.city.yokohama.lg.jp/kenko-iryo-fukushi/fukushi-kaigo/fuku-machi/barrierfree/shisetsu/shisetsu/06092.html</x:v>
      </x:c>
      <x:c r="O65" s="27" t="str">
        <x:v>本牧はかつて海沿いの景勝地だったが、戦後の接収と埋立・再開発で現在の港湾都市景観へ変化した。</x:v>
      </x:c>
      <x:c r="P65" s="84" t="e">
        <x:f>HYPERLINK("https://ja.wikipedia.org/wiki/Special:Search?search=%E6%9C%AC%E7%89%A7%E5%B1%B1%E9%A0%82%E5%85%AC%E5%9C%92","Wikipedia・関連項目")</x:f>
      </x:c>
      <x:c r="Q65" s="27"/>
      <x:c r="R65" s="27" t="str">
        <x:v>20〜25km</x:v>
      </x:c>
      <x:c r="S65" s="27" t="str">
        <x:v>概ね20〜25km</x:v>
      </x:c>
      <x:c r="T65" s="27" t="str">
        <x:v>通常40〜70分</x:v>
      </x:c>
      <x:c r="U65" s="27" t="str">
        <x:v>海・港</x:v>
      </x:c>
      <x:c r="V65" s="27" t="str">
        <x:v>30〜60分</x:v>
      </x:c>
      <x:c r="W65" s="27" t="n">
        <x:v>1</x:v>
      </x:c>
      <x:c r="X65" s="27" t="n">
        <x:v>3</x:v>
      </x:c>
      <x:c r="Y65" s="27" t="str">
        <x:v>城南島海浜公園</x:v>
      </x:c>
      <x:c r="Z65" s="27" t="str">
        <x:v>潮風公園／晴海ふ頭公園</x:v>
      </x:c>
      <x:c r="AA65" s="22" t="str">
        <x:v>なし</x:v>
      </x:c>
      <x:c r="AB65" s="22" t="str">
        <x:v>-</x:v>
      </x:c>
      <x:c r="AC65" s="22" t="str"/>
      <x:c r="AD65" s="22" t="str">
        <x:v>専用・路外駐車を基本</x:v>
      </x:c>
      <x:c r="AE65" s="22" t="str"/>
    </x:row>
    <x:row r="66">
      <x:c r="A66" s="27" t="str">
        <x:v>D010</x:v>
      </x:c>
      <x:c r="B66" s="27" t="str">
        <x:v>東扇島東公園</x:v>
      </x:c>
      <x:c r="C66" s="27" t="str">
        <x:v>川崎市・東扇島</x:v>
      </x:c>
      <x:c r="D66" s="27" t="str">
        <x:v>人工海浜・港</x:v>
      </x:c>
      <x:c r="E66" s="48" t="e">
        <x:f>HYPERLINK("https://www.google.com/maps/dir/?api=1&amp;destination=%E6%9D%B1%E6%89%87%E5%B3%B6%E6%9D%B1%E5%85%AC%E5%9C%92&amp;travelmode=driving","現在地からナビ開始")</x:f>
      </x:c>
      <x:c r="F66" s="27" t="str">
        <x:v>人工海浜、航空機、港湾設備を低い目線で眺める夕方Ending。</x:v>
      </x:c>
      <x:c r="G66" s="27" t="str">
        <x:v>あり・有料</x:v>
      </x:c>
      <x:c r="H66" s="27" t="str">
        <x:v>20:30～翌5:00は入庫不可</x:v>
      </x:c>
      <x:c r="I66" s="27" t="n">
        <x:v>3</x:v>
      </x:c>
      <x:c r="J66" s="27" t="n">
        <x:v>4</x:v>
      </x:c>
      <x:c r="K66" s="27" t="str">
        <x:v>夜遅い出発には不向き。入庫制限時刻を厳守。</x:v>
      </x:c>
      <x:c r="L66" s="28" t="n">
        <x:v>46232</x:v>
      </x:c>
      <x:c r="M66" s="27" t="str">
        <x:v>一次確認済</x:v>
      </x:c>
      <x:c r="N66" s="27" t="str">
        <x:v>https://www.city.kawasaki.jp/580/page/0000001282.html</x:v>
      </x:c>
      <x:c r="O66" s="27" t="str">
        <x:v>東扇島は川崎港の人工島で、公園の人工海浜は京浜工業地帯の中に造られた珍しい砂浜である。</x:v>
      </x:c>
      <x:c r="P66" s="84" t="e">
        <x:f>HYPERLINK("https://ja.wikipedia.org/wiki/Special:Search?search=%E6%9D%B1%E6%89%87%E5%B3%B6%E6%9D%B1%E5%85%AC%E5%9C%92","Wikipedia・関連項目")</x:f>
      </x:c>
      <x:c r="Q66" s="27"/>
      <x:c r="R66" s="27" t="str">
        <x:v>10〜20km</x:v>
      </x:c>
      <x:c r="S66" s="27" t="str">
        <x:v>概ね10〜20km</x:v>
      </x:c>
      <x:c r="T66" s="27" t="str">
        <x:v>通常25〜50分</x:v>
      </x:c>
      <x:c r="U66" s="27" t="str">
        <x:v>海・港</x:v>
      </x:c>
      <x:c r="V66" s="27" t="str">
        <x:v>30〜90分</x:v>
      </x:c>
      <x:c r="W66" s="27" t="n">
        <x:v>1</x:v>
      </x:c>
      <x:c r="X66" s="27" t="n">
        <x:v>3</x:v>
      </x:c>
      <x:c r="Y66" s="27" t="str">
        <x:v>城南島海浜公園</x:v>
      </x:c>
      <x:c r="Z66" s="27" t="str">
        <x:v>潮風公園／晴海ふ頭公園</x:v>
      </x:c>
      <x:c r="AA66" s="22" t="str">
        <x:v>なし</x:v>
      </x:c>
      <x:c r="AB66" s="22" t="str">
        <x:v>-</x:v>
      </x:c>
      <x:c r="AC66" s="22" t="str"/>
      <x:c r="AD66" s="22" t="str">
        <x:v>専用・路外駐車を基本</x:v>
      </x:c>
      <x:c r="AE66" s="22" t="str"/>
    </x:row>
    <x:row r="67">
      <x:c r="A67" s="27" t="str">
        <x:v>D156</x:v>
      </x:c>
      <x:c r="B67" s="27" t="str">
        <x:v>稲田公園</x:v>
      </x:c>
      <x:c r="C67" s="27" t="str">
        <x:v>川崎市・多摩区</x:v>
      </x:c>
      <x:c r="D67" s="27" t="str">
        <x:v>多摩川・くじら遊具・近距離</x:v>
      </x:c>
      <x:c r="E67" s="48" t="e">
        <x:f>HYPERLINK("https://www.google.com/maps/dir/?api=1&amp;destination=%E7%A8%B2%E7%94%B0%E5%85%AC%E5%9C%92&amp;travelmode=driving","現在地からナビ開始")</x:f>
      </x:c>
      <x:c r="F67" s="27" t="str">
        <x:v>多摩川沿いの開放感と象徴的なくじらモニュメントがあり、近距離のStory系公園になる。</x:v>
      </x:c>
      <x:c r="G67" s="27" t="str">
        <x:v>あり・約32台、有料</x:v>
      </x:c>
      <x:c r="H67" s="27" t="str">
        <x:v>利用時間は駐車場掲示を当日確認</x:v>
      </x:c>
      <x:c r="I67" s="27" t="n">
        <x:v>3</x:v>
      </x:c>
      <x:c r="J67" s="27" t="n">
        <x:v>4</x:v>
      </x:c>
      <x:c r="K67" s="27" t="str">
        <x:v>河川増水時は避ける。夏季プール営業日は混雑。</x:v>
      </x:c>
      <x:c r="L67" s="28" t="n">
        <x:v>46232</x:v>
      </x:c>
      <x:c r="M67" s="27" t="str">
        <x:v>当日再確認</x:v>
      </x:c>
      <x:c r="N67" s="27" t="str">
        <x:v>https://www.city.kawasaki.jp/530/cmsfiles/contents/0000109/109446/syoukai.pdf</x:v>
      </x:c>
      <x:c r="O67" s="27" t="str">
        <x:v>稲田堤は多摩川の堤防と渡河の歴史を背景に発展し、現在も河川景観が地域の骨格。</x:v>
      </x:c>
      <x:c r="P67" s="84" t="e">
        <x:f>HYPERLINK("https://ja.wikipedia.org/wiki/Special:Search?search=%E7%A8%B2%E7%94%B0%E5%85%AC%E5%9C%92","Wikipedia・関連項目")</x:f>
      </x:c>
      <x:c r="Q67" s="27"/>
      <x:c r="R67" s="27" t="str">
        <x:v>20〜25km</x:v>
      </x:c>
      <x:c r="S67" s="27" t="str">
        <x:v>概ね20〜25km</x:v>
      </x:c>
      <x:c r="T67" s="27" t="str">
        <x:v>通常40〜70分</x:v>
      </x:c>
      <x:c r="U67" s="27" t="str">
        <x:v>休日半日</x:v>
      </x:c>
      <x:c r="V67" s="27" t="str">
        <x:v>30〜60分</x:v>
      </x:c>
      <x:c r="W67" s="27" t="n">
        <x:v>2</x:v>
      </x:c>
      <x:c r="X67" s="27" t="n">
        <x:v>1</x:v>
      </x:c>
      <x:c r="Y67" s="27" t="str">
        <x:v>羽田空港 第3ターミナル展望デッキ</x:v>
      </x:c>
      <x:c r="Z67" s="27" t="str">
        <x:v>城南島海浜公園／潮風公園</x:v>
      </x:c>
      <x:c r="AA67" s="22" t="str">
        <x:v>なし</x:v>
      </x:c>
      <x:c r="AB67" s="22" t="str">
        <x:v>-</x:v>
      </x:c>
      <x:c r="AC67" s="22" t="str"/>
      <x:c r="AD67" s="22" t="str">
        <x:v>専用・路外駐車を基本</x:v>
      </x:c>
      <x:c r="AE67" s="22" t="str"/>
    </x:row>
    <x:row r="68">
      <x:c r="A68" s="27" t="str">
        <x:v>D116</x:v>
      </x:c>
      <x:c r="B68" s="27" t="str">
        <x:v>大師公園</x:v>
      </x:c>
      <x:c r="C68" s="27" t="str">
        <x:v>川崎市・川崎区</x:v>
      </x:c>
      <x:c r="D68" s="27" t="str">
        <x:v>大規模公園・Story・近距離</x:v>
      </x:c>
      <x:c r="E68" s="48" t="e">
        <x:f>HYPERLINK("https://www.google.com/maps/dir/?api=1&amp;destination=%E5%A4%A7%E5%B8%AB%E5%85%AC%E5%9C%92&amp;travelmode=driving","現在地からナビ開始")</x:f>
      </x:c>
      <x:c r="F68" s="27" t="str">
        <x:v>川崎大師周辺の街並みと公園を組み合わせ、短距離のStory Layerとして使える。</x:v>
      </x:c>
      <x:c r="G68" s="27" t="str">
        <x:v>周辺駐車場利用</x:v>
      </x:c>
      <x:c r="H68" s="27" t="str">
        <x:v>公園は常時利用可</x:v>
      </x:c>
      <x:c r="I68" s="27" t="n">
        <x:v>3</x:v>
      </x:c>
      <x:c r="J68" s="27" t="n">
        <x:v>3</x:v>
      </x:c>
      <x:c r="K68" s="27" t="str">
        <x:v>祭事日は道路規制と大混雑。路上駐車禁止。</x:v>
      </x:c>
      <x:c r="L68" s="28" t="n">
        <x:v>46232</x:v>
      </x:c>
      <x:c r="M68" s="27" t="str">
        <x:v>当日再確認</x:v>
      </x:c>
      <x:c r="N68" s="27" t="str">
        <x:v>https://www.city.kawasaki.jp/170/cmsfiles/contents/0000187/187611/04.pdf</x:v>
      </x:c>
      <x:c r="O68" s="27" t="str">
        <x:v>大師公園は川崎大師平間寺に隣接し、正月の初詣文化と中国庭園『瀋秀園』を同時に楽しめる。</x:v>
      </x:c>
      <x:c r="P68" s="84" t="e">
        <x:f>HYPERLINK("https://ja.wikipedia.org/wiki/Special:Search?search=%E5%A4%A7%E5%B8%AB%E5%85%AC%E5%9C%92","Wikipedia・関連項目")</x:f>
      </x:c>
      <x:c r="Q68" s="27"/>
      <x:c r="R68" s="27" t="str">
        <x:v>0〜10km</x:v>
      </x:c>
      <x:c r="S68" s="27" t="str">
        <x:v>概ね0〜10km</x:v>
      </x:c>
      <x:c r="T68" s="27" t="str">
        <x:v>通常10〜30分</x:v>
      </x:c>
      <x:c r="U68" s="27" t="str">
        <x:v>Story</x:v>
      </x:c>
      <x:c r="V68" s="27" t="str">
        <x:v>30〜90分</x:v>
      </x:c>
      <x:c r="W68" s="27" t="n">
        <x:v>1</x:v>
      </x:c>
      <x:c r="X68" s="27" t="n">
        <x:v>1</x:v>
      </x:c>
      <x:c r="Y68" s="27" t="str">
        <x:v>平和の森公園</x:v>
      </x:c>
      <x:c r="Z68" s="27" t="str">
        <x:v>大森ふるさとの浜辺公園／森ケ崎公園</x:v>
      </x:c>
      <x:c r="AA68" s="22" t="str">
        <x:v>なし</x:v>
      </x:c>
      <x:c r="AB68" s="22" t="str">
        <x:v>-</x:v>
      </x:c>
      <x:c r="AC68" s="22" t="str"/>
      <x:c r="AD68" s="22" t="str">
        <x:v>専用・路外駐車を基本</x:v>
      </x:c>
      <x:c r="AE68" s="22" t="str"/>
    </x:row>
    <x:row r="69">
      <x:c r="A69" s="27" t="str">
        <x:v>D117</x:v>
      </x:c>
      <x:c r="B69" s="27" t="str">
        <x:v>富士見公園</x:v>
      </x:c>
      <x:c r="C69" s="27" t="str">
        <x:v>川崎市・川崎区</x:v>
      </x:c>
      <x:c r="D69" s="27" t="str">
        <x:v>都市公園・スポーツ・夜間休憩</x:v>
      </x:c>
      <x:c r="E69" s="48" t="e">
        <x:f>HYPERLINK("https://www.google.com/maps/dir/?api=1&amp;destination=%E5%AF%8C%E5%A3%AB%E8%A6%8B%E5%85%AC%E5%9C%92&amp;travelmode=driving","現在地からナビ開始")</x:f>
      </x:c>
      <x:c r="F69" s="27" t="str">
        <x:v>川崎中心部で広い公園に切り替えられ、工場夜景前後の休憩地点になる。</x:v>
      </x:c>
      <x:c r="G69" s="27" t="str">
        <x:v>あり・周辺駐車場</x:v>
      </x:c>
      <x:c r="H69" s="27" t="str">
        <x:v>施設・駐車場時間は当日確認</x:v>
      </x:c>
      <x:c r="I69" s="27" t="n">
        <x:v>3</x:v>
      </x:c>
      <x:c r="J69" s="27" t="n">
        <x:v>3</x:v>
      </x:c>
      <x:c r="K69" s="27" t="str">
        <x:v>イベント・競技開催日は混雑。工事範囲確認。</x:v>
      </x:c>
      <x:c r="L69" s="28" t="n">
        <x:v>46232</x:v>
      </x:c>
      <x:c r="M69" s="27" t="str">
        <x:v>当日再確認</x:v>
      </x:c>
      <x:c r="N69" s="27" t="str">
        <x:v>https://www.city.kawasaki.jp/170/cmsfiles/contents/0000187/187611/04.pdf</x:v>
      </x:c>
      <x:c r="O69" s="27" t="str">
        <x:v>富士見公園一帯にはかつて川崎球場があり、大洋ホエールズやロッテオリオンズの本拠地として使われた。</x:v>
      </x:c>
      <x:c r="P69" s="84" t="e">
        <x:f>HYPERLINK("https://ja.wikipedia.org/wiki/Special:Search?search=%E5%AF%8C%E5%A3%AB%E8%A6%8B%E5%85%AC%E5%9C%92","Wikipedia・関連項目")</x:f>
      </x:c>
      <x:c r="Q69" s="27"/>
      <x:c r="R69" s="27" t="str">
        <x:v>0〜10km</x:v>
      </x:c>
      <x:c r="S69" s="27" t="str">
        <x:v>概ね0〜10km</x:v>
      </x:c>
      <x:c r="T69" s="27" t="str">
        <x:v>通常10〜30分</x:v>
      </x:c>
      <x:c r="U69" s="27" t="str">
        <x:v>休日半日</x:v>
      </x:c>
      <x:c r="V69" s="27" t="str">
        <x:v>30〜90分</x:v>
      </x:c>
      <x:c r="W69" s="27" t="n">
        <x:v>1</x:v>
      </x:c>
      <x:c r="X69" s="27" t="n">
        <x:v>1</x:v>
      </x:c>
      <x:c r="Y69" s="27" t="str">
        <x:v>平和の森公園</x:v>
      </x:c>
      <x:c r="Z69" s="27" t="str">
        <x:v>大森ふるさとの浜辺公園／森ケ崎公園</x:v>
      </x:c>
      <x:c r="AA69" s="22" t="str">
        <x:v>なし</x:v>
      </x:c>
      <x:c r="AB69" s="22" t="str">
        <x:v>-</x:v>
      </x:c>
      <x:c r="AC69" s="22" t="str"/>
      <x:c r="AD69" s="22" t="str">
        <x:v>専用・路外駐車を基本</x:v>
      </x:c>
      <x:c r="AE69" s="22" t="str"/>
    </x:row>
    <x:row r="70">
      <x:c r="A70" s="27" t="str">
        <x:v>D112</x:v>
      </x:c>
      <x:c r="B70" s="27" t="str">
        <x:v>県立三ツ池公園</x:v>
      </x:c>
      <x:c r="C70" s="27" t="str">
        <x:v>横浜市・鶴見区</x:v>
      </x:c>
      <x:c r="D70" s="27" t="str">
        <x:v>池・丘陵・大規模公園</x:v>
      </x:c>
      <x:c r="E70" s="48" t="e">
        <x:f>HYPERLINK("https://www.google.com/maps/dir/?api=1&amp;destination=%E7%9C%8C%E7%AB%8B%E4%B8%89%E3%83%84%E6%B1%A0%E5%85%AC%E5%9C%92&amp;travelmode=driving","現在地からナビ開始")</x:f>
      </x:c>
      <x:c r="F70" s="27" t="str">
        <x:v>三つの池と丘陵があり、大田区から近いのに都市感を切れる。</x:v>
      </x:c>
      <x:c r="G70" s="27" t="str">
        <x:v>あり・有料・計146台</x:v>
      </x:c>
      <x:c r="H70" s="27" t="str">
        <x:v>公園24時間／駐車場は営業時間あり</x:v>
      </x:c>
      <x:c r="I70" s="27" t="n">
        <x:v>3</x:v>
      </x:c>
      <x:c r="J70" s="27" t="n">
        <x:v>3</x:v>
      </x:c>
      <x:c r="K70" s="27" t="str">
        <x:v>駐車場閉鎖時刻を当日確認。桜期は大混雑。</x:v>
      </x:c>
      <x:c r="L70" s="28" t="n">
        <x:v>46232</x:v>
      </x:c>
      <x:c r="M70" s="27" t="str">
        <x:v>当日再確認</x:v>
      </x:c>
      <x:c r="N70" s="27" t="str">
        <x:v>https://iju-sumu.city.yokohama.lg.jp/tips/2255/</x:v>
      </x:c>
      <x:c r="O70" s="27" t="str">
        <x:v>三ツ池公園は上・中・下の三つの池に由来する名称で、『日本さくら名所100選』にも選ばれている。</x:v>
      </x:c>
      <x:c r="P70" s="84" t="e">
        <x:f>HYPERLINK("https://ja.wikipedia.org/wiki/Special:Search?search=%E7%9C%8C%E7%AB%8B%E4%B8%89%E3%83%84%E6%B1%A0%E5%85%AC%E5%9C%92","Wikipedia・関連項目")</x:f>
      </x:c>
      <x:c r="Q70" s="27"/>
      <x:c r="R70" s="27" t="str">
        <x:v>10〜20km</x:v>
      </x:c>
      <x:c r="S70" s="27" t="str">
        <x:v>概ね10〜20km</x:v>
      </x:c>
      <x:c r="T70" s="27" t="str">
        <x:v>通常25〜50分</x:v>
      </x:c>
      <x:c r="U70" s="27" t="str">
        <x:v>水辺</x:v>
      </x:c>
      <x:c r="V70" s="27" t="str">
        <x:v>30〜90分</x:v>
      </x:c>
      <x:c r="W70" s="27" t="n">
        <x:v>1</x:v>
      </x:c>
      <x:c r="X70" s="27" t="n">
        <x:v>1</x:v>
      </x:c>
      <x:c r="Y70" s="27" t="str">
        <x:v>多摩川浅間神社</x:v>
      </x:c>
      <x:c r="Z70" s="27" t="str">
        <x:v>多摩川六郷橋緑地／多摩川ガス橋緑地</x:v>
      </x:c>
      <x:c r="AA70" s="22" t="str">
        <x:v>なし</x:v>
      </x:c>
      <x:c r="AB70" s="22" t="str">
        <x:v>-</x:v>
      </x:c>
      <x:c r="AC70" s="22" t="str"/>
      <x:c r="AD70" s="22" t="str">
        <x:v>専用・路外駐車を基本</x:v>
      </x:c>
      <x:c r="AE70" s="22" t="str"/>
    </x:row>
    <x:row r="71">
      <x:c r="A71" s="27" t="str">
        <x:v>D102</x:v>
      </x:c>
      <x:c r="B71" s="27" t="str">
        <x:v>砧公園</x:v>
      </x:c>
      <x:c r="C71" s="27" t="str">
        <x:v>世田谷区・砧公園</x:v>
      </x:c>
      <x:c r="D71" s="27" t="str">
        <x:v>芝生・樹林・近距離</x:v>
      </x:c>
      <x:c r="E71" s="48" t="e">
        <x:f>HYPERLINK("https://www.google.com/maps/dir/?api=1&amp;destination=%E7%A0%A7%E5%85%AC%E5%9C%92&amp;travelmode=driving","現在地からナビ開始")</x:f>
      </x:c>
      <x:c r="F71" s="27" t="str">
        <x:v>大田区から短距離で到達でき、広い芝生と樹林で都市走行の緊張を落とせる。</x:v>
      </x:c>
      <x:c r="G71" s="27" t="str">
        <x:v>あり・有料</x:v>
      </x:c>
      <x:c r="H71" s="27" t="str">
        <x:v>駐車場時間は公式確認</x:v>
      </x:c>
      <x:c r="I71" s="27" t="n">
        <x:v>3</x:v>
      </x:c>
      <x:c r="J71" s="27" t="n">
        <x:v>3</x:v>
      </x:c>
      <x:c r="K71" s="27" t="str">
        <x:v>2026年は一部立入制限情報あり。当日公式確認。</x:v>
      </x:c>
      <x:c r="L71" s="28" t="n">
        <x:v>46232</x:v>
      </x:c>
      <x:c r="M71" s="27" t="str">
        <x:v>一次確認済</x:v>
      </x:c>
      <x:c r="N71" s="27" t="str">
        <x:v>https://www.tokyo-park.or.jp/park/kinuta/news/2026/park_info_42.html</x:v>
      </x:c>
      <x:c r="O71" s="27" t="str">
        <x:v>砧公園は紀元2600年記念事業の都市計画緑地を起源とし、戦後はゴルフ場を経て家族向け公園へ転換した。</x:v>
      </x:c>
      <x:c r="P71" s="84" t="e">
        <x:f>HYPERLINK("https://ja.wikipedia.org/wiki/Special:Search?search=%E7%A0%A7%E5%85%AC%E5%9C%92","Wikipedia・関連項目")</x:f>
      </x:c>
      <x:c r="Q71" s="27" t="str">
        <x:v>2026-07-29再点検：駐車場は利用再開済み。桜期・イベント時の満車と周辺渋滞を主注意へ維持。</x:v>
      </x:c>
      <x:c r="R71" s="27" t="str">
        <x:v>10〜20km</x:v>
      </x:c>
      <x:c r="S71" s="27" t="str">
        <x:v>概ね10〜20km</x:v>
      </x:c>
      <x:c r="T71" s="27" t="str">
        <x:v>通常25〜50分</x:v>
      </x:c>
      <x:c r="U71" s="27" t="str">
        <x:v>休日半日</x:v>
      </x:c>
      <x:c r="V71" s="27" t="str">
        <x:v>30〜60分</x:v>
      </x:c>
      <x:c r="W71" s="27" t="n">
        <x:v>2</x:v>
      </x:c>
      <x:c r="X71" s="27" t="n">
        <x:v>1</x:v>
      </x:c>
      <x:c r="Y71" s="27" t="str">
        <x:v>羽田空港 第3ターミナル展望デッキ</x:v>
      </x:c>
      <x:c r="Z71" s="27" t="str">
        <x:v>城南島海浜公園／潮風公園</x:v>
      </x:c>
      <x:c r="AA71" s="22" t="str">
        <x:v>なし</x:v>
      </x:c>
      <x:c r="AB71" s="22" t="str">
        <x:v>-</x:v>
      </x:c>
      <x:c r="AC71" s="22" t="str"/>
      <x:c r="AD71" s="22" t="str">
        <x:v>専用・路外駐車を基本</x:v>
      </x:c>
      <x:c r="AE71" s="22" t="str"/>
    </x:row>
    <x:row r="72">
      <x:c r="A72" s="22" t="str">
        <x:v>D254</x:v>
      </x:c>
      <x:c r="B72" s="22" t="str">
        <x:v>しながわ区民公園</x:v>
      </x:c>
      <x:c r="C72" s="22" t="str">
        <x:v>品川区・勝島</x:v>
      </x:c>
      <x:c r="D72" s="22" t="str">
        <x:v>人工湖・松並木・防災公園</x:v>
      </x:c>
      <x:c r="E72" s="22" t="e">
        <x:f>HYPERLINK("https://www.google.com/maps/dir/?api=1&amp;destination=%E3%81%97%E3%81%AA%E3%81%8C%E3%82%8F%E5%8C%BA%E6%B0%91%E5%85%AC%E5%9C%92&amp;travelmode=driving","現在地からナビ開始")</x:f>
      </x:c>
      <x:c r="F72" s="22" t="str">
        <x:v>人工湖『勝島の海』、松並木、広場がまとまり、大森海岸からすぐに水と緑へ切り替えられる近距離の昼～夕方候補。</x:v>
      </x:c>
      <x:c r="G72" s="22" t="str">
        <x:v>有料駐車場50台・20分100円</x:v>
      </x:c>
      <x:c r="H72" s="22" t="str">
        <x:v>公園6:00～20:30</x:v>
      </x:c>
      <x:c r="I72" s="22" t="n">
        <x:v>3</x:v>
      </x:c>
      <x:c r="J72" s="22" t="n">
        <x:v>2</x:v>
      </x:c>
      <x:c r="K72" s="22" t="str">
        <x:v>犬の入園不可。休日・水族館営業日は混雑。20時30分閉園のため夜遅くは使わない。</x:v>
      </x:c>
      <x:c r="L72" s="23" t="n">
        <x:v>46232</x:v>
      </x:c>
      <x:c r="M72" s="22" t="str">
        <x:v>一次確認済</x:v>
      </x:c>
      <x:c r="N72" s="22" t="str">
        <x:v>https://www.city.shinagawa.tokyo.jp/PC/shisetsu/shisetsu-bunka/shisetsu-bunka-kouen/hpg000000342.html</x:v>
      </x:c>
      <x:c r="O72" s="22" t="str">
        <x:v>勝島運河を埋め立てて整備され、約6,500平方メートルの海水人工湖『勝島の海』を持つ。</x:v>
      </x:c>
      <x:c r="P72" s="22" t="e">
        <x:f>HYPERLINK("https://ja.wikipedia.org/wiki/Special:Search?search=%E3%81%97%E3%81%AA%E3%81%8C%E3%82%8F%E5%8C%BA%E6%B0%91%E5%85%AC%E5%9C%92","Wikipedia・関連項目")</x:f>
      </x:c>
      <x:c r="Q72" s="22" t="str">
        <x:v>近距離代替経由地プール追加</x:v>
      </x:c>
      <x:c r="R72" s="22" t="str">
        <x:v>0〜10km</x:v>
      </x:c>
      <x:c r="S72" s="22" t="str">
        <x:v>蒲田から約6〜9km</x:v>
      </x:c>
      <x:c r="T72" s="22" t="str">
        <x:v>通常15〜30分</x:v>
      </x:c>
      <x:c r="U72" s="22" t="str">
        <x:v>夕方・水辺・静かな散歩</x:v>
      </x:c>
      <x:c r="V72" s="22" t="str">
        <x:v>30〜75分</x:v>
      </x:c>
      <x:c r="W72" s="22" t="n">
        <x:v>1</x:v>
      </x:c>
      <x:c r="X72" s="22" t="n">
        <x:v>1</x:v>
      </x:c>
      <x:c r="Y72" s="22" t="str">
        <x:v>平和島公園</x:v>
      </x:c>
      <x:c r="Z72" s="22" t="str">
        <x:v>大井ふ頭中央海浜公園／大森ふるさとの浜辺公園</x:v>
      </x:c>
      <x:c r="AA72" s="22" t="str">
        <x:v>なし</x:v>
      </x:c>
      <x:c r="AB72" s="22" t="str">
        <x:v>-</x:v>
      </x:c>
      <x:c r="AC72" s="22" t="str"/>
      <x:c r="AD72" s="22" t="str">
        <x:v>専用・路外駐車を基本</x:v>
      </x:c>
      <x:c r="AE72" s="22" t="str"/>
    </x:row>
    <x:row r="73">
      <x:c r="A73" s="22" t="str">
        <x:v>D154</x:v>
      </x:c>
      <x:c r="B73" s="22" t="str">
        <x:v>神代植物公園・深大寺</x:v>
      </x:c>
      <x:c r="C73" s="22" t="str">
        <x:v>調布市・深大寺</x:v>
      </x:c>
      <x:c r="D73" s="22" t="str">
        <x:v>植物園・寺社・Story</x:v>
      </x:c>
      <x:c r="E73" s="22" t="e">
        <x:f>HYPERLINK("https://www.google.com/maps/dir/?api=1&amp;destination=%E7%A5%9E%E4%BB%A3%E6%A4%8D%E7%89%A9%E5%85%AC%E5%9C%92%E3%83%BB%E6%B7%B1%E5%A4%A7%E5%AF%BA&amp;travelmode=driving","現在地からナビ開始")</x:f>
      </x:c>
      <x:c r="F73" s="22" t="str">
        <x:v>植物園と深大寺の門前町を組み合わせられ、季節景観と歴史を一度に楽しめる。</x:v>
      </x:c>
      <x:c r="G73" s="22" t="str">
        <x:v>あり・第1/第2駐車場、有料</x:v>
      </x:c>
      <x:c r="H73" s="22" t="str">
        <x:v>駐車場 24時間／植物園は日中開園</x:v>
      </x:c>
      <x:c r="I73" s="22" t="n">
        <x:v>3</x:v>
      </x:c>
      <x:c r="J73" s="22" t="n">
        <x:v>2</x:v>
      </x:c>
      <x:c r="K73" s="22" t="str">
        <x:v>植物園閉園後は深大寺周辺散策のみ。行楽期は満車。</x:v>
      </x:c>
      <x:c r="L73" s="23" t="n">
        <x:v>46232</x:v>
      </x:c>
      <x:c r="M73" s="22" t="str">
        <x:v>一次確認済</x:v>
      </x:c>
      <x:c r="N73" s="22" t="str">
        <x:v>https://www.tokyo-park.or.jp/park/jindai/index.html</x:v>
      </x:c>
      <x:c r="O73" s="22" t="str">
        <x:v>深大寺は東京都内では浅草寺に次ぐ古刹とされ、門前の深大寺そばでも知られる。</x:v>
      </x:c>
      <x:c r="P73" s="22" t="e">
        <x:f>HYPERLINK("https://ja.wikipedia.org/wiki/Special:Search?search=%E7%A5%9E%E4%BB%A3%E6%A4%8D%E7%89%A9%E5%85%AC%E5%9C%92%E3%83%BB%E6%B7%B1%E5%A4%A7%E5%AF%BA","Wikipedia・関連項目")</x:f>
      </x:c>
      <x:c r="Q73" s="22"/>
      <x:c r="R73" s="22" t="str">
        <x:v>20〜25km</x:v>
      </x:c>
      <x:c r="S73" s="22" t="str">
        <x:v>概ね20〜25km</x:v>
      </x:c>
      <x:c r="T73" s="22" t="str">
        <x:v>通常40〜70分</x:v>
      </x:c>
      <x:c r="U73" s="22" t="str">
        <x:v>Story</x:v>
      </x:c>
      <x:c r="V73" s="22" t="str">
        <x:v>60〜150分</x:v>
      </x:c>
      <x:c r="W73" s="22" t="n">
        <x:v>2</x:v>
      </x:c>
      <x:c r="X73" s="22" t="n">
        <x:v>1</x:v>
      </x:c>
      <x:c r="Y73" s="22" t="str">
        <x:v>羽田空港 第3ターミナル展望デッキ</x:v>
      </x:c>
      <x:c r="Z73" s="22" t="str">
        <x:v>城南島海浜公園／潮風公園</x:v>
      </x:c>
      <x:c r="AA73" s="22" t="str">
        <x:v>なし</x:v>
      </x:c>
      <x:c r="AB73" s="22" t="str">
        <x:v>-</x:v>
      </x:c>
      <x:c r="AC73" s="22" t="str"/>
      <x:c r="AD73" s="22" t="str">
        <x:v>専用・路外駐車を基本</x:v>
      </x:c>
      <x:c r="AE73" s="22" t="str"/>
    </x:row>
    <x:row r="74">
      <x:c r="A74" s="22" t="str">
        <x:v>D231</x:v>
      </x:c>
      <x:c r="B74" s="22" t="str">
        <x:v>野川公園</x:v>
      </x:c>
      <x:c r="C74" s="22" t="str">
        <x:v>東京都調布市・小金井市・三鷹市</x:v>
      </x:c>
      <x:c r="D74" s="22" t="str">
        <x:v>湧水・河川・草地</x:v>
      </x:c>
      <x:c r="E74" s="22" t="e">
        <x:f>HYPERLINK("https://www.google.com/maps/dir/?api=1&amp;destination=%E9%87%8E%E5%B7%9D%E5%85%AC%E5%9C%92&amp;travelmode=driving","現在地からナビ開始")</x:f>
      </x:c>
      <x:c r="F74" s="22" t="str">
        <x:v>国分寺崖線の湧水と野川、広い草地がつながり、都市西部で水と地形を感じる静かなEnding。</x:v>
      </x:c>
      <x:c r="G74" s="22" t="str">
        <x:v>あり・有料</x:v>
      </x:c>
      <x:c r="H74" s="22" t="str">
        <x:v>入庫7:00～20:00／出庫24時間</x:v>
      </x:c>
      <x:c r="I74" s="22" t="n">
        <x:v>3</x:v>
      </x:c>
      <x:c r="J74" s="22" t="n">
        <x:v>2</x:v>
      </x:c>
      <x:c r="K74" s="22" t="str">
        <x:v>20時以降入庫不可。自然観察園等の施設時間は別。休日は満車になりやすい。</x:v>
      </x:c>
      <x:c r="L74" s="23" t="n">
        <x:v>46232</x:v>
      </x:c>
      <x:c r="M74" s="22" t="str">
        <x:v>一次確認済</x:v>
      </x:c>
      <x:c r="N74" s="22" t="str">
        <x:v>https://www.tokyo-park.or.jp/park/nogawa/index.html</x:v>
      </x:c>
      <x:c r="O74" s="22" t="str">
        <x:v>国際基督教大学のゴルフ場跡を公園化し、国分寺崖線の湧水と野川の自然を保全している。</x:v>
      </x:c>
      <x:c r="P74" s="22" t="e">
        <x:f>HYPERLINK("https://ja.wikipedia.org/wiki/Special:Search?search=%E9%87%8E%E5%B7%9D%E5%85%AC%E5%9C%92","Wikipedia・関連項目")</x:f>
      </x:c>
      <x:c r="Q74" s="22" t="str">
        <x:v>新規追加。武蔵野公園とは湧水・自然観察の密度で差別化。</x:v>
      </x:c>
      <x:c r="R74" s="22" t="str">
        <x:v>20〜25km</x:v>
      </x:c>
      <x:c r="S74" s="22" t="str">
        <x:v>概ね20〜25km</x:v>
      </x:c>
      <x:c r="T74" s="22" t="str">
        <x:v>通常40〜70分</x:v>
      </x:c>
      <x:c r="U74" s="22" t="str">
        <x:v>水辺</x:v>
      </x:c>
      <x:c r="V74" s="22" t="str">
        <x:v>30〜90分</x:v>
      </x:c>
      <x:c r="W74" s="22" t="n">
        <x:v>1</x:v>
      </x:c>
      <x:c r="X74" s="22" t="n">
        <x:v>1</x:v>
      </x:c>
      <x:c r="Y74" s="22" t="str">
        <x:v>多摩川浅間神社</x:v>
      </x:c>
      <x:c r="Z74" s="22" t="str">
        <x:v>多摩川六郷橋緑地／多摩川ガス橋緑地</x:v>
      </x:c>
      <x:c r="AA74" s="22" t="str">
        <x:v>なし</x:v>
      </x:c>
      <x:c r="AB74" s="22" t="str">
        <x:v>-</x:v>
      </x:c>
      <x:c r="AC74" s="22" t="str"/>
      <x:c r="AD74" s="22" t="str">
        <x:v>専用・路外駐車を基本</x:v>
      </x:c>
      <x:c r="AE74" s="22" t="str"/>
    </x:row>
    <x:row r="75">
      <x:c r="A75" s="22" t="str">
        <x:v>D119</x:v>
      </x:c>
      <x:c r="B75" s="22" t="str">
        <x:v>殿町第2公園</x:v>
      </x:c>
      <x:c r="C75" s="22" t="str">
        <x:v>川崎市・川崎区</x:v>
      </x:c>
      <x:c r="D75" s="22" t="str">
        <x:v>飛行機・多摩川・小展望</x:v>
      </x:c>
      <x:c r="E75" s="22" t="e">
        <x:f>HYPERLINK("https://www.google.com/maps/dir/?api=1&amp;destination=%E6%AE%BF%E7%94%BA%E7%AC%AC2%E5%85%AC%E5%9C%92&amp;travelmode=driving","現在地からナビ開始")</x:f>
      </x:c>
      <x:c r="F75" s="22" t="str">
        <x:v>羽田空港、多摩川、橋を望む小規模公園で、近距離の航空機経由地として面白い。</x:v>
      </x:c>
      <x:c r="G75" s="22" t="str">
        <x:v>専用駐車場なし</x:v>
      </x:c>
      <x:c r="H75" s="22" t="str">
        <x:v>周辺合法駐車場から徒歩</x:v>
      </x:c>
      <x:c r="I75" s="22" t="n">
        <x:v>2</x:v>
      </x:c>
      <x:c r="J75" s="22" t="n">
        <x:v>5</x:v>
      </x:c>
      <x:c r="K75" s="22" t="str">
        <x:v>路上駐車前提では使用しない。経由地専用候補。</x:v>
      </x:c>
      <x:c r="L75" s="23" t="n">
        <x:v>46232</x:v>
      </x:c>
      <x:c r="M75" s="22" t="str">
        <x:v>当日再確認</x:v>
      </x:c>
      <x:c r="N75" s="22" t="str">
        <x:v>https://www.city.kawasaki.jp/170/cmsfiles/contents/0000187/187611/04.pdf</x:v>
      </x:c>
      <x:c r="O75" s="22" t="str">
        <x:v>殿町は羽田空港対岸という立地を生かし、医療・生命科学分野の研究拠点へ再編された。</x:v>
      </x:c>
      <x:c r="P75" s="22" t="e">
        <x:f>HYPERLINK("https://ja.wikipedia.org/wiki/Special:Search?search=%E6%AE%BF%E7%94%BA%E7%AC%AC2%E5%85%AC%E5%9C%92","Wikipedia・関連項目")</x:f>
      </x:c>
      <x:c r="Q75" s="22"/>
      <x:c r="R75" s="22" t="str">
        <x:v>0〜10km</x:v>
      </x:c>
      <x:c r="S75" s="22" t="str">
        <x:v>概ね0〜10km</x:v>
      </x:c>
      <x:c r="T75" s="22" t="str">
        <x:v>通常10〜30分</x:v>
      </x:c>
      <x:c r="U75" s="22" t="str">
        <x:v>飛行機</x:v>
      </x:c>
      <x:c r="V75" s="22" t="str">
        <x:v>30〜60分</x:v>
      </x:c>
      <x:c r="W75" s="22" t="n">
        <x:v>2</x:v>
      </x:c>
      <x:c r="X75" s="22" t="n">
        <x:v>4</x:v>
      </x:c>
      <x:c r="Y75" s="22" t="str">
        <x:v>城南島海浜公園</x:v>
      </x:c>
      <x:c r="Z75" s="22" t="str">
        <x:v>京浜島つばさ公園／羽田空港 第3ターミナル展望デッキ</x:v>
      </x:c>
      <x:c r="AA75" s="22" t="str">
        <x:v>なし</x:v>
      </x:c>
      <x:c r="AB75" s="22" t="str">
        <x:v>-</x:v>
      </x:c>
      <x:c r="AC75" s="22" t="str"/>
      <x:c r="AD75" s="22" t="str">
        <x:v>専用・路外駐車を基本</x:v>
      </x:c>
      <x:c r="AE75" s="22" t="str"/>
    </x:row>
    <x:row r="76">
      <x:c r="A76" s="22" t="str">
        <x:v>D105</x:v>
      </x:c>
      <x:c r="B76" s="22" t="str">
        <x:v>鷺沼北公園</x:v>
      </x:c>
      <x:c r="C76" s="22" t="str">
        <x:v>川崎市・宮前区</x:v>
      </x:c>
      <x:c r="D76" s="22" t="str">
        <x:v>高台・都市展望</x:v>
      </x:c>
      <x:c r="E76" s="22" t="e">
        <x:f>HYPERLINK("https://www.google.com/maps/dir/?api=1&amp;destination=%E9%B7%BA%E6%B2%BC%E5%8C%97%E5%85%AC%E5%9C%92&amp;travelmode=driving","現在地からナビ開始")</x:f>
      </x:c>
      <x:c r="F76" s="22" t="str">
        <x:v>東京タワーやスカイツリー方面を望める小規模な展望公園で、近隣型穴場Endingになる。</x:v>
      </x:c>
      <x:c r="G76" s="22" t="str">
        <x:v>専用駐車場なし</x:v>
      </x:c>
      <x:c r="H76" s="22" t="str">
        <x:v>周辺の合法駐車場利用を前提</x:v>
      </x:c>
      <x:c r="I76" s="22" t="n">
        <x:v>2</x:v>
      </x:c>
      <x:c r="J76" s="22" t="n">
        <x:v>5</x:v>
      </x:c>
      <x:c r="K76" s="22" t="str">
        <x:v>路上駐車禁止。徒歩移動を伴うため最終目的地より経由地向き。</x:v>
      </x:c>
      <x:c r="L76" s="23" t="n">
        <x:v>46232</x:v>
      </x:c>
      <x:c r="M76" s="22" t="str">
        <x:v>当日再確認</x:v>
      </x:c>
      <x:c r="N76" s="22" t="str">
        <x:v>https://www.city.kawasaki.jp/530/page/0000063423.html</x:v>
      </x:c>
      <x:c r="O76" s="22" t="str">
        <x:v>鷺沼という地名は、かつてサギが集まる沼地だったという説に結び付けられている。</x:v>
      </x:c>
      <x:c r="P76" s="22" t="e">
        <x:f>HYPERLINK("https://ja.wikipedia.org/wiki/Special:Search?search=%E9%B7%BA%E6%B2%BC%E5%8C%97%E5%85%AC%E5%9C%92","Wikipedia・関連項目")</x:f>
      </x:c>
      <x:c r="Q76" s="22"/>
      <x:c r="R76" s="22" t="str">
        <x:v>10〜20km</x:v>
      </x:c>
      <x:c r="S76" s="22" t="str">
        <x:v>概ね10〜20km</x:v>
      </x:c>
      <x:c r="T76" s="22" t="str">
        <x:v>通常25〜50分</x:v>
      </x:c>
      <x:c r="U76" s="22" t="str">
        <x:v>休日半日</x:v>
      </x:c>
      <x:c r="V76" s="22" t="str">
        <x:v>30〜60分</x:v>
      </x:c>
      <x:c r="W76" s="22" t="n">
        <x:v>1</x:v>
      </x:c>
      <x:c r="X76" s="22" t="n">
        <x:v>1</x:v>
      </x:c>
      <x:c r="Y76" s="22" t="str">
        <x:v>羽田空港 第3ターミナル展望デッキ</x:v>
      </x:c>
      <x:c r="Z76" s="22" t="str">
        <x:v>城南島海浜公園／潮風公園</x:v>
      </x:c>
      <x:c r="AA76" s="22" t="str">
        <x:v>なし</x:v>
      </x:c>
      <x:c r="AB76" s="22" t="str">
        <x:v>-</x:v>
      </x:c>
      <x:c r="AC76" s="22" t="str"/>
      <x:c r="AD76" s="22" t="str">
        <x:v>専用・路外駐車を基本</x:v>
      </x:c>
      <x:c r="AE76" s="22" t="str"/>
    </x:row>
    <x:row r="77">
      <x:c r="A77" s="22" t="str">
        <x:v>D256</x:v>
      </x:c>
      <x:c r="B77" s="22" t="str">
        <x:v>ちどり公園</x:v>
      </x:c>
      <x:c r="C77" s="22" t="str">
        <x:v>川崎市川崎区・千鳥町</x:v>
      </x:c>
      <x:c r="D77" s="22" t="str">
        <x:v>川崎港・運河・小展望台</x:v>
      </x:c>
      <x:c r="E77" s="22" t="e">
        <x:f>HYPERLINK("https://www.google.com/maps/dir/?api=1&amp;destination=%E3%81%A1%E3%81%A9%E3%82%8A%E5%85%AC%E5%9C%92&amp;travelmode=driving","現在地からナビ開始")</x:f>
      </x:c>
      <x:c r="F77" s="22" t="str">
        <x:v>高さ約7mの展望台から京浜運河、船、東扇島を眺められ、工場夜景へ入る前の昼間導入地点として機能する。</x:v>
      </x:c>
      <x:c r="G77" s="22" t="str">
        <x:v>あり・約30台・無料</x:v>
      </x:c>
      <x:c r="H77" s="22" t="str">
        <x:v>公園24時間／駐車場9:00～18:00</x:v>
      </x:c>
      <x:c r="I77" s="22" t="n">
        <x:v>2</x:v>
      </x:c>
      <x:c r="J77" s="22" t="n">
        <x:v>4</x:v>
      </x:c>
      <x:c r="K77" s="22" t="str">
        <x:v>車利用は18時まで。30台程度で満車時は待たない。釣り禁止。工場敷地・岸壁へ入らない。</x:v>
      </x:c>
      <x:c r="L77" s="23" t="n">
        <x:v>46232</x:v>
      </x:c>
      <x:c r="M77" s="22" t="str">
        <x:v>一次確認済</x:v>
      </x:c>
      <x:c r="N77" s="22" t="str">
        <x:v>https://www.city.kawasaki.jp/580/page/0000167054.html</x:v>
      </x:c>
      <x:c r="O77" s="22" t="str">
        <x:v>川崎港の運河に面する約4万平方メートルの臨海公園で、船舶と港湾施設を見渡せる展望台を持つ。</x:v>
      </x:c>
      <x:c r="P77" s="22" t="e">
        <x:f>HYPERLINK("https://ja.wikipedia.org/wiki/Special:Search?search=%E3%81%A1%E3%81%A9%E3%82%8A%E5%85%AC%E5%9C%92","Wikipedia・関連項目")</x:f>
      </x:c>
      <x:c r="Q77" s="22" t="str">
        <x:v>近距離代替経由地プール追加</x:v>
      </x:c>
      <x:c r="R77" s="22" t="str">
        <x:v>10〜20km</x:v>
      </x:c>
      <x:c r="S77" s="22" t="str">
        <x:v>蒲田から約12〜17km</x:v>
      </x:c>
      <x:c r="T77" s="22" t="str">
        <x:v>通常30〜50分</x:v>
      </x:c>
      <x:c r="U77" s="22" t="str">
        <x:v>昼・川崎港Story</x:v>
      </x:c>
      <x:c r="V77" s="22" t="str">
        <x:v>20〜45分</x:v>
      </x:c>
      <x:c r="W77" s="22" t="n">
        <x:v>1</x:v>
      </x:c>
      <x:c r="X77" s="22" t="n">
        <x:v>2</x:v>
      </x:c>
      <x:c r="Y77" s="22" t="str">
        <x:v>川崎マリエン</x:v>
      </x:c>
      <x:c r="Z77" s="22" t="str">
        <x:v>東扇島中公園／富士見公園</x:v>
      </x:c>
      <x:c r="AA77" s="22" t="str">
        <x:v>なし</x:v>
      </x:c>
      <x:c r="AB77" s="22" t="str">
        <x:v>-</x:v>
      </x:c>
      <x:c r="AC77" s="22" t="str"/>
      <x:c r="AD77" s="22" t="str">
        <x:v>専用・路外駐車を基本</x:v>
      </x:c>
      <x:c r="AE77" s="22" t="str"/>
    </x:row>
    <x:row r="78">
      <x:c r="A78" s="22" t="str">
        <x:v>D250</x:v>
      </x:c>
      <x:c r="B78" s="22" t="str">
        <x:v>多摩川ガス橋緑地</x:v>
      </x:c>
      <x:c r="C78" s="22" t="str">
        <x:v>大田区・下丸子</x:v>
      </x:c>
      <x:c r="D78" s="22" t="str">
        <x:v>河川敷・橋・芝生</x:v>
      </x:c>
      <x:c r="E78" s="22" t="e">
        <x:f>HYPERLINK("https://www.google.com/maps/dir/?api=1&amp;destination=%E5%A4%9A%E6%91%A9%E5%B7%9D%E3%82%AC%E3%82%B9%E6%A9%8B%E7%B7%91%E5%9C%B0&amp;travelmode=driving","現在地からナビ開始")</x:f>
      </x:c>
      <x:c r="F78" s="22" t="str">
        <x:v>ガス橋の構造、武蔵小杉方面の空、広い河川敷を近距離で楽しめる。休日の短時間リセットに向く。</x:v>
      </x:c>
      <x:c r="G78" s="22" t="str">
        <x:v>あり・196台・土日祝のみ・1日500円</x:v>
      </x:c>
      <x:c r="H78" s="22" t="str">
        <x:v>季節により5:30～19:30／冬7:30～17:30</x:v>
      </x:c>
      <x:c r="I78" s="22" t="n">
        <x:v>2</x:v>
      </x:c>
      <x:c r="J78" s="22" t="n">
        <x:v>4</x:v>
      </x:c>
      <x:c r="K78" s="22" t="str">
        <x:v>平日は駐車場閉鎖。閉鎖時刻後は出庫不可。増水・台風・イベント時は閉鎖。</x:v>
      </x:c>
      <x:c r="L78" s="23" t="n">
        <x:v>46232</x:v>
      </x:c>
      <x:c r="M78" s="22" t="str">
        <x:v>一次確認済</x:v>
      </x:c>
      <x:c r="N78" s="22" t="str">
        <x:v>https://www.city.ota.tokyo.jp/shisetsu/kuei_park/gasbashiryokuchi_chusyajyo.html</x:v>
      </x:c>
      <x:c r="O78" s="22" t="str">
        <x:v>ガス橋は東京ガスのガス管を通す橋として架けられ、現在は道路橋として多摩川両岸を結ぶ。</x:v>
      </x:c>
      <x:c r="P78" s="22" t="e">
        <x:f>HYPERLINK("https://ja.wikipedia.org/wiki/Special:Search?search=%E5%A4%9A%E6%91%A9%E5%B7%9D%E3%82%AC%E3%82%B9%E6%A9%8B%E7%B7%91%E5%9C%B0","Wikipedia・関連項目")</x:f>
      </x:c>
      <x:c r="Q78" s="22" t="str">
        <x:v>近距離コア新規追加</x:v>
      </x:c>
      <x:c r="R78" s="22" t="str">
        <x:v>0〜10km</x:v>
      </x:c>
      <x:c r="S78" s="22" t="str">
        <x:v>蒲田から約4〜7km</x:v>
      </x:c>
      <x:c r="T78" s="22" t="str">
        <x:v>通常15〜25分</x:v>
      </x:c>
      <x:c r="U78" s="22" t="str">
        <x:v>休日朝夕・河川</x:v>
      </x:c>
      <x:c r="V78" s="22" t="str">
        <x:v>30〜60分</x:v>
      </x:c>
      <x:c r="W78" s="22" t="n">
        <x:v>1</x:v>
      </x:c>
      <x:c r="X78" s="22" t="n">
        <x:v>3</x:v>
      </x:c>
      <x:c r="Y78" s="22" t="str">
        <x:v>多摩川六郷橋緑地</x:v>
      </x:c>
      <x:c r="Z78" s="22" t="str">
        <x:v>多摩川浅間神社／御幸公園</x:v>
      </x:c>
      <x:c r="AA78" s="22" t="str">
        <x:v>なし</x:v>
      </x:c>
      <x:c r="AB78" s="22" t="str">
        <x:v>-</x:v>
      </x:c>
      <x:c r="AC78" s="22" t="str"/>
      <x:c r="AD78" s="22" t="str">
        <x:v>専用・路外駐車を基本</x:v>
      </x:c>
      <x:c r="AE78" s="22" t="str"/>
    </x:row>
    <x:row r="79">
      <x:c r="A79" s="22" t="str">
        <x:v>D249</x:v>
      </x:c>
      <x:c r="B79" s="22" t="str">
        <x:v>多摩川六郷橋緑地</x:v>
      </x:c>
      <x:c r="C79" s="22" t="str">
        <x:v>大田区・東六郷</x:v>
      </x:c>
      <x:c r="D79" s="22" t="str">
        <x:v>河川敷・橋・広い空</x:v>
      </x:c>
      <x:c r="E79" s="22" t="e">
        <x:f>HYPERLINK("https://www.google.com/maps/dir/?api=1&amp;destination=%E5%A4%9A%E6%91%A9%E5%B7%9D%E5%85%AD%E9%83%B7%E6%A9%8B%E7%B7%91%E5%9C%B0&amp;travelmode=driving","現在地からナビ開始")</x:f>
      </x:c>
      <x:c r="F79" s="22" t="str">
        <x:v>蒲田から極めて近く、六郷橋と多摩川の広い空を車で気軽に取りに行ける週末型Ending。</x:v>
      </x:c>
      <x:c r="G79" s="22" t="str">
        <x:v>あり・195台・土日祝のみ・1日500円</x:v>
      </x:c>
      <x:c r="H79" s="22" t="str">
        <x:v>季節により5:30～19:30／冬7:30～17:30</x:v>
      </x:c>
      <x:c r="I79" s="22" t="n">
        <x:v>2</x:v>
      </x:c>
      <x:c r="J79" s="22" t="n">
        <x:v>4</x:v>
      </x:c>
      <x:c r="K79" s="22" t="str">
        <x:v>平日は駐車場閉鎖。閉鎖時刻後は出庫不可。台風・増水・イベント時は閉鎖。</x:v>
      </x:c>
      <x:c r="L79" s="23" t="n">
        <x:v>46232</x:v>
      </x:c>
      <x:c r="M79" s="22" t="str">
        <x:v>一次確認済</x:v>
      </x:c>
      <x:c r="N79" s="22" t="str">
        <x:v>https://www.city.ota.tokyo.jp/shisetsu/kuei_park/rokugobashiryokuchi_chusyajyo.html</x:v>
      </x:c>
      <x:c r="O79" s="22" t="str">
        <x:v>六郷は東海道の多摩川渡河点として栄え、六郷橋は東京と川崎を結ぶ歴史的な交通軸に位置する。</x:v>
      </x:c>
      <x:c r="P79" s="22" t="e">
        <x:f>HYPERLINK("https://ja.wikipedia.org/wiki/Special:Search?search=%E5%A4%9A%E6%91%A9%E5%B7%9D%E5%85%AD%E9%83%B7%E6%A9%8B%E7%B7%91%E5%9C%B0","Wikipedia・関連項目")</x:f>
      </x:c>
      <x:c r="Q79" s="22" t="str">
        <x:v>近距離コア新規追加</x:v>
      </x:c>
      <x:c r="R79" s="22" t="str">
        <x:v>0〜10km</x:v>
      </x:c>
      <x:c r="S79" s="22" t="str">
        <x:v>蒲田から約3〜6km</x:v>
      </x:c>
      <x:c r="T79" s="22" t="str">
        <x:v>通常10〜20分</x:v>
      </x:c>
      <x:c r="U79" s="22" t="str">
        <x:v>休日朝夕・河川</x:v>
      </x:c>
      <x:c r="V79" s="22" t="str">
        <x:v>30〜60分</x:v>
      </x:c>
      <x:c r="W79" s="22" t="n">
        <x:v>1</x:v>
      </x:c>
      <x:c r="X79" s="22" t="n">
        <x:v>3</x:v>
      </x:c>
      <x:c r="Y79" s="22" t="str">
        <x:v>多摩川ガス橋緑地</x:v>
      </x:c>
      <x:c r="Z79" s="22" t="str">
        <x:v>多摩川浅間神社／御幸公園</x:v>
      </x:c>
      <x:c r="AA79" s="22" t="str">
        <x:v>なし</x:v>
      </x:c>
      <x:c r="AB79" s="22" t="str">
        <x:v>-</x:v>
      </x:c>
      <x:c r="AC79" s="22" t="str"/>
      <x:c r="AD79" s="22" t="str">
        <x:v>専用・路外駐車を基本</x:v>
      </x:c>
      <x:c r="AE79" s="22" t="str"/>
    </x:row>
    <x:row r="80">
      <x:c r="A80" s="22" t="str">
        <x:v>D118</x:v>
      </x:c>
      <x:c r="B80" s="22" t="str">
        <x:v>御幸公園</x:v>
      </x:c>
      <x:c r="C80" s="22" t="str">
        <x:v>川崎市・幸区</x:v>
      </x:c>
      <x:c r="D80" s="22" t="str">
        <x:v>多摩川・梅林・河川景観</x:v>
      </x:c>
      <x:c r="E80" s="22" t="e">
        <x:f>HYPERLINK("https://www.google.com/maps/dir/?api=1&amp;destination=%E5%BE%A1%E5%B9%B8%E5%85%AC%E5%9C%92&amp;travelmode=driving","現在地からナビ開始")</x:f>
      </x:c>
      <x:c r="F80" s="22" t="str">
        <x:v>多摩川沿いの開放感と梅林があり、川崎北側の穏やかな昼Endingになる。</x:v>
      </x:c>
      <x:c r="G80" s="22" t="str">
        <x:v>周辺駐車場利用</x:v>
      </x:c>
      <x:c r="H80" s="22" t="str">
        <x:v>公園利用時間は現地掲示優先</x:v>
      </x:c>
      <x:c r="I80" s="22" t="n">
        <x:v>2</x:v>
      </x:c>
      <x:c r="J80" s="22" t="n">
        <x:v>4</x:v>
      </x:c>
      <x:c r="K80" s="22" t="str">
        <x:v>専用駐車条件を当日確認。河川増水時は避ける。</x:v>
      </x:c>
      <x:c r="L80" s="23" t="n">
        <x:v>46232</x:v>
      </x:c>
      <x:c r="M80" s="22" t="str">
        <x:v>当日再確認</x:v>
      </x:c>
      <x:c r="N80" s="22" t="str">
        <x:v>https://www.city.kawasaki.jp/170/cmsfiles/contents/0000187/187611/04.pdf</x:v>
      </x:c>
      <x:c r="O80" s="22" t="str">
        <x:v>『御幸』の名は、明治天皇が当地の梅林へ行幸したことに由来する。</x:v>
      </x:c>
      <x:c r="P80" s="22" t="e">
        <x:f>HYPERLINK("https://ja.wikipedia.org/wiki/Special:Search?search=%E5%BE%A1%E5%B9%B8%E5%85%AC%E5%9C%92","Wikipedia・関連項目")</x:f>
      </x:c>
      <x:c r="Q80" s="22"/>
      <x:c r="R80" s="22" t="str">
        <x:v>0〜10km</x:v>
      </x:c>
      <x:c r="S80" s="22" t="str">
        <x:v>概ね0〜10km</x:v>
      </x:c>
      <x:c r="T80" s="22" t="str">
        <x:v>通常10〜30分</x:v>
      </x:c>
      <x:c r="U80" s="22" t="str">
        <x:v>水辺</x:v>
      </x:c>
      <x:c r="V80" s="22" t="str">
        <x:v>30〜90分</x:v>
      </x:c>
      <x:c r="W80" s="22" t="n">
        <x:v>1</x:v>
      </x:c>
      <x:c r="X80" s="22" t="n">
        <x:v>1</x:v>
      </x:c>
      <x:c r="Y80" s="22" t="str">
        <x:v>多摩川浅間神社</x:v>
      </x:c>
      <x:c r="Z80" s="22" t="str">
        <x:v>多摩川六郷橋緑地／多摩川ガス橋緑地</x:v>
      </x:c>
      <x:c r="AA80" s="22" t="str">
        <x:v>なし</x:v>
      </x:c>
      <x:c r="AB80" s="22" t="str">
        <x:v>-</x:v>
      </x:c>
      <x:c r="AC80" s="22" t="str"/>
      <x:c r="AD80" s="22" t="str">
        <x:v>専用・路外駐車を基本</x:v>
      </x:c>
      <x:c r="AE80" s="22" t="str"/>
    </x:row>
    <x:row r="81">
      <x:c r="A81" s="22" t="str">
        <x:v>D258</x:v>
      </x:c>
      <x:c r="B81" s="22" t="str">
        <x:v>横浜市高齢者保養研修施設 ふれーゆ</x:v>
      </x:c>
      <x:c r="C81" s="22" t="str">
        <x:v>横浜市鶴見区・末広町</x:v>
      </x:c>
      <x:c r="D81" s="22" t="str">
        <x:v>大浴場・プール・横浜港展望・雨天</x:v>
      </x:c>
      <x:c r="E81" s="22" t="e">
        <x:f>HYPERLINK("https://www.google.com/maps/dir/?api=1&amp;destination=%E6%A8%AA%E6%B5%9C%E5%B8%82%E9%AB%98%E9%BD%A2%E8%80%85%E4%BF%9D%E9%A4%8A%E7%A0%94%E4%BF%AE%E6%96%BD%E8%A8%AD%20%E3%81%B5%E3%82%8C%E3%83%BC%E3%82%86&amp;travelmode=driving","現在地からナビ開始")</x:f>
      </x:c>
      <x:c r="F81" s="22" t="str">
        <x:v>大浴場やプールで天候に左右されず滞在でき、大窓からベイブリッジ、鶴見つばさ橋、横浜港を望める。</x:v>
      </x:c>
      <x:c r="G81" s="22" t="str">
        <x:v>専用駐車場245台・有料</x:v>
      </x:c>
      <x:c r="H81" s="22" t="str">
        <x:v>4～9月 平日9:00～19:00・火曜18:00・土日祝20:00／10～3月 平日18:00・土日祝19:00</x:v>
      </x:c>
      <x:c r="I81" s="22" t="n">
        <x:v>2</x:v>
      </x:c>
      <x:c r="J81" s="22" t="n">
        <x:v>4</x:v>
      </x:c>
      <x:c r="K81" s="22" t="str">
        <x:v>毎月第2火曜休館（7・8月を除く）。駐車場の最終入庫は閉館1時間前。施設点検による長期休館を確認。</x:v>
      </x:c>
      <x:c r="L81" s="23" t="n">
        <x:v>46232</x:v>
      </x:c>
      <x:c r="M81" s="22" t="str">
        <x:v>一次確認済</x:v>
      </x:c>
      <x:c r="N81" s="22" t="str">
        <x:v>https://fure-yu.jp/access/</x:v>
      </x:c>
      <x:c r="O81" s="22" t="str">
        <x:v>横浜市の保養研修施設として整備され、港湾最奥部の大窓から横浜港と二つの大型橋を見渡せる。</x:v>
      </x:c>
      <x:c r="P81" s="22" t="e">
        <x:f>HYPERLINK("https://ja.wikipedia.org/wiki/Special:Search?search=%E6%A8%AA%E6%B5%9C%E5%B8%82%E9%AB%98%E9%BD%A2%E8%80%85%E4%BF%9D%E9%A4%8A%E7%A0%94%E4%BF%AE%E6%96%BD%E8%A8%AD%20%E3%81%B5%E3%82%8C%E3%83%BC%E3%82%86","Wikipedia・関連項目")</x:f>
      </x:c>
      <x:c r="Q81" s="22" t="str">
        <x:v>近距離代替経由地プール追加</x:v>
      </x:c>
      <x:c r="R81" s="22" t="str">
        <x:v>10〜20km</x:v>
      </x:c>
      <x:c r="S81" s="22" t="str">
        <x:v>蒲田から約15〜20km</x:v>
      </x:c>
      <x:c r="T81" s="22" t="str">
        <x:v>通常35〜55分</x:v>
      </x:c>
      <x:c r="U81" s="22" t="str">
        <x:v>雨天・入浴・港湾Story</x:v>
      </x:c>
      <x:c r="V81" s="22" t="str">
        <x:v>60〜150分</x:v>
      </x:c>
      <x:c r="W81" s="22" t="n">
        <x:v>5</x:v>
      </x:c>
      <x:c r="X81" s="22" t="n">
        <x:v>3</x:v>
      </x:c>
      <x:c r="Y81" s="22" t="str">
        <x:v>横浜港大さん橋</x:v>
      </x:c>
      <x:c r="Z81" s="22" t="str">
        <x:v>ちどり公園／横浜港シンボルタワー</x:v>
      </x:c>
      <x:c r="AA81" s="22" t="str">
        <x:v>なし</x:v>
      </x:c>
      <x:c r="AB81" s="22" t="str">
        <x:v>-</x:v>
      </x:c>
      <x:c r="AC81" s="22" t="str"/>
      <x:c r="AD81" s="22" t="str">
        <x:v>専用・路外駐車を基本</x:v>
      </x:c>
      <x:c r="AE81" s="22" t="str"/>
    </x:row>
    <x:row r="82">
      <x:c r="A82" s="22" t="str">
        <x:v>D075</x:v>
      </x:c>
      <x:c r="B82" s="22" t="str">
        <x:v>県立四季の森公園</x:v>
      </x:c>
      <x:c r="C82" s="22" t="str">
        <x:v>横浜市・緑区</x:v>
      </x:c>
      <x:c r="D82" s="22" t="str">
        <x:v>谷戸・池・森林</x:v>
      </x:c>
      <x:c r="E82" s="22" t="e">
        <x:f>HYPERLINK("https://www.google.com/maps/dir/?api=1&amp;destination=%E7%9C%8C%E7%AB%8B%E5%9B%9B%E5%AD%A3%E3%81%AE%E6%A3%AE%E5%85%AC%E5%9C%92&amp;travelmode=driving","現在地からナビ開始")</x:f>
      </x:c>
      <x:c r="F82" s="22" t="str">
        <x:v>横浜市内ながら谷戸と水田、森が残り、昼の回復系Endingに向く。</x:v>
      </x:c>
      <x:c r="G82" s="22" t="str">
        <x:v>あり・有料</x:v>
      </x:c>
      <x:c r="H82" s="22" t="str">
        <x:v>駐車場時間は季節・公式案内を確認</x:v>
      </x:c>
      <x:c r="I82" s="22" t="n">
        <x:v>2</x:v>
      </x:c>
      <x:c r="J82" s="22" t="n">
        <x:v>4</x:v>
      </x:c>
      <x:c r="K82" s="22" t="str">
        <x:v>イベント・工事情報と閉場時刻を確認。夜は暗い。</x:v>
      </x:c>
      <x:c r="L82" s="23" t="n">
        <x:v>46232</x:v>
      </x:c>
      <x:c r="M82" s="22" t="str">
        <x:v>当日再確認</x:v>
      </x:c>
      <x:c r="N82" s="22" t="str">
        <x:v>https://www.kanagawa-park.or.jp/shikinomori/</x:v>
      </x:c>
      <x:c r="O82" s="22" t="str">
        <x:v>四季の森公園は横浜に残る谷戸の地形と雑木林を保全し、水田や炭焼きの里山文化を伝える。</x:v>
      </x:c>
      <x:c r="P82" s="22" t="e">
        <x:f>HYPERLINK("https://ja.wikipedia.org/wiki/Special:Search?search=%E7%9C%8C%E7%AB%8B%E5%9B%9B%E5%AD%A3%E3%81%AE%E6%A3%AE%E5%85%AC%E5%9C%92","Wikipedia・関連項目")</x:f>
      </x:c>
      <x:c r="Q82" s="22"/>
      <x:c r="R82" s="22" t="str">
        <x:v>20〜25km</x:v>
      </x:c>
      <x:c r="S82" s="22" t="str">
        <x:v>概ね20〜25km</x:v>
      </x:c>
      <x:c r="T82" s="22" t="str">
        <x:v>通常40〜70分</x:v>
      </x:c>
      <x:c r="U82" s="22" t="str">
        <x:v>水辺</x:v>
      </x:c>
      <x:c r="V82" s="22" t="str">
        <x:v>30〜90分</x:v>
      </x:c>
      <x:c r="W82" s="22" t="n">
        <x:v>1</x:v>
      </x:c>
      <x:c r="X82" s="22" t="n">
        <x:v>1</x:v>
      </x:c>
      <x:c r="Y82" s="22" t="str">
        <x:v>多摩川浅間神社</x:v>
      </x:c>
      <x:c r="Z82" s="22" t="str">
        <x:v>多摩川六郷橋緑地／多摩川ガス橋緑地</x:v>
      </x:c>
      <x:c r="AA82" s="22" t="str">
        <x:v>なし</x:v>
      </x:c>
      <x:c r="AB82" s="22" t="str">
        <x:v>-</x:v>
      </x:c>
      <x:c r="AC82" s="22" t="str"/>
      <x:c r="AD82" s="22" t="str">
        <x:v>専用・路外駐車を基本</x:v>
      </x:c>
      <x:c r="AE82" s="22" t="str"/>
    </x:row>
    <x:row r="83">
      <x:c r="A83" s="22" t="str">
        <x:v>D208</x:v>
      </x:c>
      <x:c r="B83" s="22" t="str">
        <x:v>県立東高根森林公園</x:v>
      </x:c>
      <x:c r="C83" s="22" t="str">
        <x:v>川崎市・宮前区</x:v>
      </x:c>
      <x:c r="D83" s="22" t="str">
        <x:v>森林・遺跡・シラカシ林</x:v>
      </x:c>
      <x:c r="E83" s="22" t="e">
        <x:f>HYPERLINK("https://www.google.com/maps/dir/?api=1&amp;destination=%E7%9C%8C%E7%AB%8B%E6%9D%B1%E9%AB%98%E6%A0%B9%E6%A3%AE%E6%9E%97%E5%85%AC%E5%9C%92&amp;travelmode=driving","現在地からナビ開始")</x:f>
      </x:c>
      <x:c r="F83" s="22" t="str">
        <x:v>古代遺跡の上に広がるシラカシ林と湿生植物園を歩き、住宅地の中で急に深い森へ入れる。</x:v>
      </x:c>
      <x:c r="G83" s="22" t="str">
        <x:v>あり・112台</x:v>
      </x:c>
      <x:c r="H83" s="22" t="str">
        <x:v>8:30～19:00</x:v>
      </x:c>
      <x:c r="I83" s="22" t="n">
        <x:v>2</x:v>
      </x:c>
      <x:c r="J83" s="22" t="n">
        <x:v>4</x:v>
      </x:c>
      <x:c r="K83" s="22" t="str">
        <x:v>19時を過ぎると翌朝まで出庫不可。土日祝の有料期間は季節で変わるため当日確認。</x:v>
      </x:c>
      <x:c r="L83" s="23" t="n">
        <x:v>46232</x:v>
      </x:c>
      <x:c r="M83" s="22" t="str">
        <x:v>一次確認済</x:v>
      </x:c>
      <x:c r="N83" s="22" t="str">
        <x:v>https://higashitakane.com/about</x:v>
      </x:c>
      <x:c r="O83" s="22" t="str">
        <x:v>園内には県指定史跡の東高根遺跡と、県指定天然記念物のシラカシ林が共存している。</x:v>
      </x:c>
      <x:c r="P83" s="22" t="e">
        <x:f>HYPERLINK("https://ja.wikipedia.org/wiki/Special:Search?search=%E7%9C%8C%E7%AB%8B%E6%9D%B1%E9%AB%98%E6%A0%B9%E6%A3%AE%E6%9E%97%E5%85%AC%E5%9C%92","Wikipedia・関連項目")</x:f>
      </x:c>
      <x:c r="Q83" s="22" t="str">
        <x:v>新規追加。歴史・植生・防災避難地の三層Storyを持つ。</x:v>
      </x:c>
      <x:c r="R83" s="22" t="str">
        <x:v>10〜20km</x:v>
      </x:c>
      <x:c r="S83" s="22" t="str">
        <x:v>概ね10〜20km</x:v>
      </x:c>
      <x:c r="T83" s="22" t="str">
        <x:v>通常25〜50分</x:v>
      </x:c>
      <x:c r="U83" s="22" t="str">
        <x:v>休日半日</x:v>
      </x:c>
      <x:c r="V83" s="22" t="str">
        <x:v>30〜90分</x:v>
      </x:c>
      <x:c r="W83" s="22" t="n">
        <x:v>1</x:v>
      </x:c>
      <x:c r="X83" s="22" t="n">
        <x:v>1</x:v>
      </x:c>
      <x:c r="Y83" s="22" t="str">
        <x:v>平和の森公園</x:v>
      </x:c>
      <x:c r="Z83" s="22" t="str">
        <x:v>大森ふるさとの浜辺公園／森ケ崎公園</x:v>
      </x:c>
      <x:c r="AA83" s="22" t="str">
        <x:v>なし</x:v>
      </x:c>
      <x:c r="AB83" s="22" t="str">
        <x:v>-</x:v>
      </x:c>
      <x:c r="AC83" s="22" t="str"/>
      <x:c r="AD83" s="22" t="str">
        <x:v>専用・路外駐車を基本</x:v>
      </x:c>
      <x:c r="AE83" s="22" t="str"/>
    </x:row>
    <x:row r="84">
      <x:c r="A84" s="22" t="str">
        <x:v>D106</x:v>
      </x:c>
      <x:c r="B84" s="22" t="str">
        <x:v>菅生緑地</x:v>
      </x:c>
      <x:c r="C84" s="22" t="str">
        <x:v>川崎市・宮前区</x:v>
      </x:c>
      <x:c r="D84" s="22" t="str">
        <x:v>高台・展望・里山</x:v>
      </x:c>
      <x:c r="E84" s="22" t="e">
        <x:f>HYPERLINK("https://www.google.com/maps/dir/?api=1&amp;destination=%E8%8F%85%E7%94%9F%E7%B7%91%E5%9C%B0&amp;travelmode=driving","現在地からナビ開始")</x:f>
      </x:c>
      <x:c r="F84" s="22" t="str">
        <x:v>高台の展望デッキと里山的な緑があり、川崎北部で静かな昼Endingになる。</x:v>
      </x:c>
      <x:c r="G84" s="22" t="str">
        <x:v>駐車場は区域ごとに要確認</x:v>
      </x:c>
      <x:c r="H84" s="22" t="str">
        <x:v>昼間利用推奨</x:v>
      </x:c>
      <x:c r="I84" s="22" t="n">
        <x:v>2</x:v>
      </x:c>
      <x:c r="J84" s="22" t="n">
        <x:v>4</x:v>
      </x:c>
      <x:c r="K84" s="22" t="str">
        <x:v>夜間不向き。駐車場所と閉鎖時刻を当日確認。</x:v>
      </x:c>
      <x:c r="L84" s="23" t="n">
        <x:v>46232</x:v>
      </x:c>
      <x:c r="M84" s="22" t="str">
        <x:v>当日再確認</x:v>
      </x:c>
      <x:c r="N84" s="22" t="str">
        <x:v>https://www.city.kawasaki.jp/530/page/0000063423.html</x:v>
      </x:c>
      <x:c r="O84" s="22" t="str">
        <x:v>菅生は多摩丘陵の谷戸と雑木林が残る地域で、都市化した川崎北部の中に里山景観を保つ。</x:v>
      </x:c>
      <x:c r="P84" s="22" t="e">
        <x:f>HYPERLINK("https://ja.wikipedia.org/wiki/Special:Search?search=%E8%8F%85%E7%94%9F%E7%B7%91%E5%9C%B0","Wikipedia・関連項目")</x:f>
      </x:c>
      <x:c r="Q84" s="22"/>
      <x:c r="R84" s="22" t="str">
        <x:v>10〜20km</x:v>
      </x:c>
      <x:c r="S84" s="22" t="str">
        <x:v>概ね10〜20km</x:v>
      </x:c>
      <x:c r="T84" s="22" t="str">
        <x:v>通常25〜50分</x:v>
      </x:c>
      <x:c r="U84" s="22" t="str">
        <x:v>休日半日</x:v>
      </x:c>
      <x:c r="V84" s="22" t="str">
        <x:v>30〜60分</x:v>
      </x:c>
      <x:c r="W84" s="22" t="n">
        <x:v>1</x:v>
      </x:c>
      <x:c r="X84" s="22" t="n">
        <x:v>1</x:v>
      </x:c>
      <x:c r="Y84" s="22" t="str">
        <x:v>羽田空港 第3ターミナル展望デッキ</x:v>
      </x:c>
      <x:c r="Z84" s="22" t="str">
        <x:v>城南島海浜公園／潮風公園</x:v>
      </x:c>
      <x:c r="AA84" s="22" t="str">
        <x:v>なし</x:v>
      </x:c>
      <x:c r="AB84" s="22" t="str">
        <x:v>-</x:v>
      </x:c>
      <x:c r="AC84" s="22" t="str"/>
      <x:c r="AD84" s="22" t="str">
        <x:v>専用・路外駐車を基本</x:v>
      </x:c>
      <x:c r="AE84" s="22" t="str"/>
    </x:row>
    <x:row r="85">
      <x:c r="A85" s="22" t="str">
        <x:v>D004</x:v>
      </x:c>
      <x:c r="B85" s="22" t="str">
        <x:v>多摩川浅間神社</x:v>
      </x:c>
      <x:c r="C85" s="22" t="str">
        <x:v>大田区・田園調布</x:v>
      </x:c>
      <x:c r="D85" s="22" t="str">
        <x:v>高台・Story</x:v>
      </x:c>
      <x:c r="E85" s="22" t="e">
        <x:f>HYPERLINK("https://www.google.com/maps/dir/?api=1&amp;destination=%E5%A4%9A%E6%91%A9%E5%B7%9D%E6%B5%85%E9%96%93%E7%A5%9E%E7%A4%BE&amp;travelmode=driving","現在地からナビ開始")</x:f>
      </x:c>
      <x:c r="F85" s="22" t="str">
        <x:v>多摩川と武蔵小杉方面を見下ろし、『シン・ゴジラ』の物語性も重ねられる。</x:v>
      </x:c>
      <x:c r="G85" s="22" t="str">
        <x:v>あり・約20台</x:v>
      </x:c>
      <x:c r="H85" s="22" t="str">
        <x:v>授与所 10:00～16:00、参拝は現地掲示優先</x:v>
      </x:c>
      <x:c r="I85" s="22" t="n">
        <x:v>2</x:v>
      </x:c>
      <x:c r="J85" s="22" t="n">
        <x:v>3</x:v>
      </x:c>
      <x:c r="K85" s="22" t="str">
        <x:v>住宅地と神社のため静粛必須。夜遅くより夕暮れ向け。</x:v>
      </x:c>
      <x:c r="L85" s="23" t="n">
        <x:v>46232</x:v>
      </x:c>
      <x:c r="M85" s="22" t="str">
        <x:v>一次確認済</x:v>
      </x:c>
      <x:c r="N85" s="22" t="str">
        <x:v>https://sengenjinja.info/</x:v>
      </x:c>
      <x:c r="O85" s="22" t="str">
        <x:v>社伝では源頼朝の時代に北条政子が富士浅間大神を勧請したとされ、『シン・ゴジラ』のロケ地としても知られる。</x:v>
      </x:c>
      <x:c r="P85" s="22" t="e">
        <x:f>HYPERLINK("https://ja.wikipedia.org/wiki/Special:Search?search=%E5%A4%9A%E6%91%A9%E5%B7%9D%E6%B5%85%E9%96%93%E7%A5%9E%E7%A4%BE","Wikipedia・関連項目")</x:f>
      </x:c>
      <x:c r="Q85" s="22"/>
      <x:c r="R85" s="22" t="str">
        <x:v>0〜10km</x:v>
      </x:c>
      <x:c r="S85" s="22" t="str">
        <x:v>概ね0〜10km</x:v>
      </x:c>
      <x:c r="T85" s="22" t="str">
        <x:v>通常10〜30分</x:v>
      </x:c>
      <x:c r="U85" s="22" t="str">
        <x:v>Story</x:v>
      </x:c>
      <x:c r="V85" s="22" t="str">
        <x:v>30〜60分</x:v>
      </x:c>
      <x:c r="W85" s="22" t="n">
        <x:v>1</x:v>
      </x:c>
      <x:c r="X85" s="22" t="n">
        <x:v>1</x:v>
      </x:c>
      <x:c r="Y85" s="22" t="str">
        <x:v>羽田空港 第3ターミナル展望デッキ</x:v>
      </x:c>
      <x:c r="Z85" s="22" t="str">
        <x:v>城南島海浜公園／潮風公園</x:v>
      </x:c>
      <x:c r="AA85" s="22" t="str">
        <x:v>なし</x:v>
      </x:c>
      <x:c r="AB85" s="22" t="str">
        <x:v>-</x:v>
      </x:c>
      <x:c r="AC85" s="22" t="str"/>
      <x:c r="AD85" s="22" t="str">
        <x:v>専用・路外駐車を基本</x:v>
      </x:c>
      <x:c r="AE85" s="22" t="str"/>
    </x:row>
    <x:row r="86">
      <x:c r="A86" s="22" t="str">
        <x:v>D274</x:v>
      </x:c>
      <x:c r="B86" s="22" t="str">
        <x:v>明治神宮外苑 聖徳記念絵画館</x:v>
      </x:c>
      <x:c r="C86" s="22" t="str">
        <x:v>新宿区・霞ヶ丘町</x:v>
      </x:c>
      <x:c r="D86" s="22" t="str">
        <x:v>近代建築・絵画・明治史Story</x:v>
      </x:c>
      <x:c r="E86" s="22" t="e">
        <x:f>HYPERLINK("https://www.google.com/maps/dir/?api=1&amp;destination=%E6%98%8E%E6%B2%BB%E7%A5%9E%E5%AE%AE%E5%A4%96%E8%8B%91%20%E8%81%96%E5%BE%B3%E8%A8%98%E5%BF%B5%E7%B5%B5%E7%94%BB%E9%A4%A8&amp;travelmode=driving","現在地からナビ開始")</x:f>
      </x:c>
      <x:c r="F86" s="22" t="str">
        <x:v>重厚な石造建築と明治史を描く大壁画群があり、庭園・建築・歴史を一度に回収できる昼の経由地。</x:v>
      </x:c>
      <x:c r="G86" s="22" t="str">
        <x:v>絵画館駐車場・通常396台だが保存修理工事中は約100台減少・5:30～21:00・普通車1日2,000円</x:v>
      </x:c>
      <x:c r="H86" s="22" t="str">
        <x:v>絵画館10:00～16:30（最終16:00）／水曜休館</x:v>
      </x:c>
      <x:c r="I86" s="22" t="n">
        <x:v>2</x:v>
      </x:c>
      <x:c r="J86" s="22" t="n">
        <x:v>3</x:v>
      </x:c>
      <x:c r="K86" s="22" t="str">
        <x:v>日曜・祝日の交通規制、イベント・スポーツ開催による駐車制限を確認。保存修理工事中は通常396台から約100台減少。</x:v>
      </x:c>
      <x:c r="L86" s="23" t="n">
        <x:v>46232</x:v>
      </x:c>
      <x:c r="M86" s="22" t="str">
        <x:v>一次確認済</x:v>
      </x:c>
      <x:c r="N86" s="22" t="str">
        <x:v>https://www.meijijingugaien.jp/parking/</x:v>
      </x:c>
      <x:c r="O86" s="22" t="str">
        <x:v>1926年竣工の絵画館には、明治天皇の生涯と明治期の出来事を描く大型絵画が展示される。</x:v>
      </x:c>
      <x:c r="P86" s="22" t="e">
        <x:f>HYPERLINK("https://ja.wikipedia.org/wiki/Special:Search?search=%E6%98%8E%E6%B2%BB%E7%A5%9E%E5%AE%AE%E5%A4%96%E8%8B%91%20%E8%81%96%E5%BE%B3%E8%A8%98%E5%BF%B5%E7%B5%B5%E7%94%BB%E9%A4%A8","Wikipedia・関連項目")</x:f>
      </x:c>
      <x:c r="Q86" s="22" t="str">
        <x:v>2026-07-29公式再確認：普通車料金2,000円、保存修理工事中の収容台数約100台減少を反映。</x:v>
      </x:c>
      <x:c r="R86" s="22" t="str">
        <x:v>10〜20km</x:v>
      </x:c>
      <x:c r="S86" s="22" t="str">
        <x:v>蒲田から約16〜21km</x:v>
      </x:c>
      <x:c r="T86" s="22" t="str">
        <x:v>通常35〜60分</x:v>
      </x:c>
      <x:c r="U86" s="22" t="str">
        <x:v>建築・歴史Story・昼</x:v>
      </x:c>
      <x:c r="V86" s="22" t="str">
        <x:v>45〜90分</x:v>
      </x:c>
      <x:c r="W86" s="22" t="n">
        <x:v>4</x:v>
      </x:c>
      <x:c r="X86" s="22" t="n">
        <x:v>1</x:v>
      </x:c>
      <x:c r="Y86" s="22" t="str">
        <x:v>新宿御苑</x:v>
      </x:c>
      <x:c r="Z86" s="22" t="str">
        <x:v>東京都庁展望室／東京ミッドタウン</x:v>
      </x:c>
      <x:c r="AA86" s="22" t="str">
        <x:v>なし</x:v>
      </x:c>
      <x:c r="AB86" s="22" t="str">
        <x:v>-</x:v>
      </x:c>
      <x:c r="AC86" s="22" t="str"/>
      <x:c r="AD86" s="22" t="str">
        <x:v>専用・路外駐車を基本</x:v>
      </x:c>
      <x:c r="AE86" s="22" t="str"/>
    </x:row>
    <x:row r="87">
      <x:c r="A87" s="22" t="str">
        <x:v>D025</x:v>
      </x:c>
      <x:c r="B87" s="22" t="str">
        <x:v>海の森公園</x:v>
      </x:c>
      <x:c r="C87" s="22" t="str">
        <x:v>江東区・海の森</x:v>
      </x:c>
      <x:c r="D87" s="22" t="str">
        <x:v>高台・東京港・新景観</x:v>
      </x:c>
      <x:c r="E87" s="22" t="e">
        <x:f>HYPERLINK("https://www.google.com/maps/dir/?api=1&amp;destination=%E6%B5%B7%E3%81%AE%E6%A3%AE%E5%85%AC%E5%9C%92&amp;travelmode=driving","現在地からナビ開始")</x:f>
      </x:c>
      <x:c r="F87" s="22" t="str">
        <x:v>東京港の埋立地を高い視点から眺め、空の広さを体験できる。</x:v>
      </x:c>
      <x:c r="G87" s="22" t="str">
        <x:v>あり・普通車268台・有料</x:v>
      </x:c>
      <x:c r="H87" s="22" t="str">
        <x:v>閉園17:00／開園開始時刻は公式ページ間で7:00・9:00表記があるため当日確認</x:v>
      </x:c>
      <x:c r="I87" s="22" t="n">
        <x:v>1</x:v>
      </x:c>
      <x:c r="J87" s="22" t="n">
        <x:v>5</x:v>
      </x:c>
      <x:c r="K87" s="22" t="str">
        <x:v>時間外は出庫不可。イベント・団体利用・公式ページの当日案内を確認。</x:v>
      </x:c>
      <x:c r="L87" s="23" t="n">
        <x:v>46232</x:v>
      </x:c>
      <x:c r="M87" s="22" t="str">
        <x:v>一次確認済</x:v>
      </x:c>
      <x:c r="N87" s="22" t="str">
        <x:v>https://uminomoripark.com/faq/</x:v>
      </x:c>
      <x:c r="O87" s="22" t="str">
        <x:v>海の森は中央防波堤内側埋立地を森へ変える事業で、市民が育てた苗木も植えられている。</x:v>
      </x:c>
      <x:c r="P87" s="22" t="e">
        <x:f>HYPERLINK("https://ja.wikipedia.org/wiki/Special:Search?search=%E6%B5%B7%E3%81%AE%E6%A3%AE%E5%85%AC%E5%9C%92","Wikipedia・関連項目")</x:f>
      </x:c>
      <x:c r="Q87" s="22" t="str">
        <x:v>2026-07-29公式再確認：普通車268台、閉園17:00を反映。開始時刻は公式表記差があるため当日確認へ。</x:v>
      </x:c>
      <x:c r="R87" s="22" t="str">
        <x:v>10〜20km</x:v>
      </x:c>
      <x:c r="S87" s="22" t="str">
        <x:v>概ね10〜20km</x:v>
      </x:c>
      <x:c r="T87" s="22" t="str">
        <x:v>通常25〜50分</x:v>
      </x:c>
      <x:c r="U87" s="22" t="str">
        <x:v>海・港</x:v>
      </x:c>
      <x:c r="V87" s="22" t="str">
        <x:v>30〜90分</x:v>
      </x:c>
      <x:c r="W87" s="22" t="n">
        <x:v>1</x:v>
      </x:c>
      <x:c r="X87" s="22" t="n">
        <x:v>3</x:v>
      </x:c>
      <x:c r="Y87" s="22" t="str">
        <x:v>城南島海浜公園</x:v>
      </x:c>
      <x:c r="Z87" s="22" t="str">
        <x:v>潮風公園／晴海ふ頭公園</x:v>
      </x:c>
      <x:c r="AA87" s="22" t="str">
        <x:v>なし</x:v>
      </x:c>
      <x:c r="AB87" s="22" t="str">
        <x:v>-</x:v>
      </x:c>
      <x:c r="AC87" s="22" t="str"/>
      <x:c r="AD87" s="22" t="str">
        <x:v>専用・路外駐車を基本</x:v>
      </x:c>
      <x:c r="AE87" s="22" t="str"/>
    </x:row>
    <x:row r="88">
      <x:c r="A88" s="22" t="str">
        <x:v>D264</x:v>
      </x:c>
      <x:c r="B88" s="22" t="str">
        <x:v>品川区立 品川歴史館</x:v>
      </x:c>
      <x:c r="C88" s="22" t="str">
        <x:v>品川区・大井</x:v>
      </x:c>
      <x:c r="D88" s="22" t="str">
        <x:v>東海道・大森貝塚・地域史・雨天</x:v>
      </x:c>
      <x:c r="E88" s="22" t="e">
        <x:f>HYPERLINK("https://www.google.com/maps/dir/?api=1&amp;destination=%E5%93%81%E5%B7%9D%E5%8C%BA%E7%AB%8B%20%E5%93%81%E5%B7%9D%E6%AD%B4%E5%8F%B2%E9%A4%A8&amp;travelmode=driving","現在地からナビ開始")</x:f>
      </x:c>
      <x:c r="F88" s="22" t="str">
        <x:v>東海道品川宿、大森貝塚、品川の地形と産業を一館で理解できる。大田区から近い雨天Story経由地として優秀。</x:v>
      </x:c>
      <x:c r="G88" s="22" t="str">
        <x:v>玄関前3台・無料</x:v>
      </x:c>
      <x:c r="H88" s="22" t="str">
        <x:v>9:00～17:00／入館16:30まで</x:v>
      </x:c>
      <x:c r="I88" s="22" t="n">
        <x:v>1</x:v>
      </x:c>
      <x:c r="J88" s="22" t="n">
        <x:v>4</x:v>
      </x:c>
      <x:c r="K88" s="22" t="str">
        <x:v>月曜・年末年始休館。駐車は3台のみで館利用者限定。満車時は大井町・大森周辺の時間貸し駐車場へ切替。</x:v>
      </x:c>
      <x:c r="L88" s="23" t="n">
        <x:v>46232</x:v>
      </x:c>
      <x:c r="M88" s="22" t="str">
        <x:v>一次確認済</x:v>
      </x:c>
      <x:c r="N88" s="22" t="str">
        <x:v>https://www.city.shinagawa.tokyo.jp/jigyo/06/historyhp/raikan/raikan.html</x:v>
      </x:c>
      <x:c r="O88" s="22" t="str">
        <x:v>1985年開館、2024年に全面改修を終え、原始から現代までの品川の歴史を模型・映像で再構成した。</x:v>
      </x:c>
      <x:c r="P88" s="22" t="e">
        <x:f>HYPERLINK("https://ja.wikipedia.org/wiki/Special:Search?search=%E5%93%81%E5%B7%9D%E5%8C%BA%E7%AB%8B%20%E5%93%81%E5%B7%9D%E6%AD%B4%E5%8F%B2%E9%A4%A8","Wikipedia・関連項目")</x:f>
      </x:c>
      <x:c r="Q88" s="22" t="str">
        <x:v>4区重点追加・品川区</x:v>
      </x:c>
      <x:c r="R88" s="22" t="str">
        <x:v>0〜10km</x:v>
      </x:c>
      <x:c r="S88" s="22" t="str">
        <x:v>蒲田から約6〜9km</x:v>
      </x:c>
      <x:c r="T88" s="22" t="str">
        <x:v>通常15〜30分</x:v>
      </x:c>
      <x:c r="U88" s="22" t="str">
        <x:v>雨天・東海道Story・昼</x:v>
      </x:c>
      <x:c r="V88" s="22" t="str">
        <x:v>45〜90分</x:v>
      </x:c>
      <x:c r="W88" s="22" t="n">
        <x:v>5</x:v>
      </x:c>
      <x:c r="X88" s="22" t="n">
        <x:v>1</x:v>
      </x:c>
      <x:c r="Y88" s="22" t="str">
        <x:v>大田区立郷土博物館</x:v>
      </x:c>
      <x:c r="Z88" s="22" t="str">
        <x:v>しながわ区民公園／大井競馬場</x:v>
      </x:c>
      <x:c r="AA88" s="22" t="str">
        <x:v>なし</x:v>
      </x:c>
      <x:c r="AB88" s="22" t="str">
        <x:v>-</x:v>
      </x:c>
      <x:c r="AC88" s="22" t="str"/>
      <x:c r="AD88" s="22" t="str">
        <x:v>専用・路外駐車を基本</x:v>
      </x:c>
      <x:c r="AE88" s="22" t="str"/>
    </x:row>
    <x:row r="89">
      <x:c r="A89" s="22" t="str">
        <x:v>D259</x:v>
      </x:c>
      <x:c r="B89" s="22" t="str">
        <x:v>大森 海苔のふるさと館</x:v>
      </x:c>
      <x:c r="C89" s="22" t="str">
        <x:v>大田区・平和の森公園</x:v>
      </x:c>
      <x:c r="D89" s="22" t="str">
        <x:v>産業遺産・海苔・博物館Story</x:v>
      </x:c>
      <x:c r="E89" s="22" t="e">
        <x:f>HYPERLINK("https://www.google.com/maps/dir/?api=1&amp;destination=%E5%A4%A7%E6%A3%AE%20%E6%B5%B7%E8%8B%94%E3%81%AE%E3%81%B5%E3%82%8B%E3%81%95%E3%81%A8%E9%A4%A8&amp;travelmode=driving","現在地からナビ開始")</x:f>
      </x:c>
      <x:c r="F89" s="22" t="str">
        <x:v>大森の海苔養殖と加工の歴史を、実物資料と復元展示で短時間に理解できる。大森海岸ルートの物語密度を一気に上げる経由地。</x:v>
      </x:c>
      <x:c r="G89" s="22" t="str">
        <x:v>隣接する平和の森公園有料駐車場を利用</x:v>
      </x:c>
      <x:c r="H89" s="22" t="str">
        <x:v>9:00～17:00／6～8月は19:00まで</x:v>
      </x:c>
      <x:c r="I89" s="22" t="n">
        <x:v>1</x:v>
      </x:c>
      <x:c r="J89" s="22" t="n">
        <x:v>4</x:v>
      </x:c>
      <x:c r="K89" s="22" t="str">
        <x:v>第3月曜（祝日の場合は翌日）と年末年始は休館。駐車場混雑時は大森ふるさとの浜辺公園側へ切替。</x:v>
      </x:c>
      <x:c r="L89" s="23" t="n">
        <x:v>46232</x:v>
      </x:c>
      <x:c r="M89" s="22" t="str">
        <x:v>一次確認済</x:v>
      </x:c>
      <x:c r="N89" s="22" t="str">
        <x:v>https://www.city.ota.tokyo.jp/shisetsu/hakubutsukan/oomori_norinofurusatokan.html</x:v>
      </x:c>
      <x:c r="O89" s="22" t="str">
        <x:v>大森は東京湾を代表する海苔養殖地で、館内ではかつての海苔船や乾燥作業の道具を保存する。</x:v>
      </x:c>
      <x:c r="P89" s="22" t="e">
        <x:f>HYPERLINK("https://ja.wikipedia.org/wiki/Special:Search?search=%E5%A4%A7%E6%A3%AE%20%E6%B5%B7%E8%8B%94%E3%81%AE%E3%81%B5%E3%82%8B%E3%81%95%E3%81%A8%E9%A4%A8","Wikipedia・関連項目")</x:f>
      </x:c>
      <x:c r="Q89" s="22" t="str">
        <x:v>4区重点追加・大田区</x:v>
      </x:c>
      <x:c r="R89" s="22" t="str">
        <x:v>0〜10km</x:v>
      </x:c>
      <x:c r="S89" s="22" t="str">
        <x:v>蒲田から約4〜7km</x:v>
      </x:c>
      <x:c r="T89" s="22" t="str">
        <x:v>通常15〜25分</x:v>
      </x:c>
      <x:c r="U89" s="22" t="str">
        <x:v>昼・産業Story・雨天</x:v>
      </x:c>
      <x:c r="V89" s="22" t="str">
        <x:v>45〜90分</x:v>
      </x:c>
      <x:c r="W89" s="22" t="n">
        <x:v>5</x:v>
      </x:c>
      <x:c r="X89" s="22" t="n">
        <x:v>1</x:v>
      </x:c>
      <x:c r="Y89" s="22" t="str">
        <x:v>大田区立郷土博物館</x:v>
      </x:c>
      <x:c r="Z89" s="22" t="str">
        <x:v>大森ふるさとの浜辺公園／平和の森公園</x:v>
      </x:c>
      <x:c r="AA89" s="22" t="str">
        <x:v>なし</x:v>
      </x:c>
      <x:c r="AB89" s="22" t="str">
        <x:v>-</x:v>
      </x:c>
      <x:c r="AC89" s="22" t="str"/>
      <x:c r="AD89" s="22" t="str">
        <x:v>専用・路外駐車を基本</x:v>
      </x:c>
      <x:c r="AE89" s="22" t="str"/>
    </x:row>
    <x:row r="90">
      <x:c r="A90" s="22" t="str">
        <x:v>D261</x:v>
      </x:c>
      <x:c r="B90" s="22" t="str">
        <x:v>大田区立郷土博物館</x:v>
      </x:c>
      <x:c r="C90" s="22" t="str">
        <x:v>大田区・南馬込</x:v>
      </x:c>
      <x:c r="D90" s="22" t="str">
        <x:v>郷土史・考古・民俗・雨天</x:v>
      </x:c>
      <x:c r="E90" s="22" t="e">
        <x:f>HYPERLINK("https://www.google.com/maps/dir/?api=1&amp;destination=%E5%A4%A7%E7%94%B0%E5%8C%BA%E7%AB%8B%E9%83%B7%E5%9C%9F%E5%8D%9A%E7%89%A9%E9%A4%A8&amp;travelmode=driving","現在地からナビ開始")</x:f>
      </x:c>
      <x:c r="F90" s="22" t="str">
        <x:v>大田区の地形、古墳、馬込文士村、海苔産業まで横断できる。Project CruiseのStory Layerを補強する雨天向け拠点。</x:v>
      </x:c>
      <x:c r="G90" s="22" t="str">
        <x:v>敷地内約6台・無料</x:v>
      </x:c>
      <x:c r="H90" s="22" t="str">
        <x:v>9:00～17:00</x:v>
      </x:c>
      <x:c r="I90" s="22" t="n">
        <x:v>1</x:v>
      </x:c>
      <x:c r="J90" s="22" t="n">
        <x:v>4</x:v>
      </x:c>
      <x:c r="K90" s="22" t="str">
        <x:v>月曜・年末年始等休館。2026年11月30日～2027年3月31日は改修休館予定。駐車台数が少ないため満車時は周辺民間駐車場へ。</x:v>
      </x:c>
      <x:c r="L90" s="23" t="n">
        <x:v>46232</x:v>
      </x:c>
      <x:c r="M90" s="22" t="str">
        <x:v>一次確認済</x:v>
      </x:c>
      <x:c r="N90" s="22" t="str">
        <x:v>https://www.city.ota.tokyo.jp/seikatsu/manabu/hakubutsukan/R8_kyoudohakubutsukan_annai.html</x:v>
      </x:c>
      <x:c r="O90" s="22" t="str">
        <x:v>馬込文士村や大森貝塚、古墳群など、大田区の複数の歴史層をまとめて扱う地域博物館。</x:v>
      </x:c>
      <x:c r="P90" s="22" t="e">
        <x:f>HYPERLINK("https://ja.wikipedia.org/wiki/Special:Search?search=%E5%A4%A7%E7%94%B0%E5%8C%BA%E7%AB%8B%E9%83%B7%E5%9C%9F%E5%8D%9A%E7%89%A9%E9%A4%A8","Wikipedia・関連項目")</x:f>
      </x:c>
      <x:c r="Q90" s="22" t="str">
        <x:v>4区重点追加・大田区</x:v>
      </x:c>
      <x:c r="R90" s="22" t="str">
        <x:v>0〜10km</x:v>
      </x:c>
      <x:c r="S90" s="22" t="str">
        <x:v>蒲田から約5〜8km</x:v>
      </x:c>
      <x:c r="T90" s="22" t="str">
        <x:v>通常15〜30分</x:v>
      </x:c>
      <x:c r="U90" s="22" t="str">
        <x:v>雨天・歴史Story・昼</x:v>
      </x:c>
      <x:c r="V90" s="22" t="str">
        <x:v>45〜90分</x:v>
      </x:c>
      <x:c r="W90" s="22" t="n">
        <x:v>5</x:v>
      </x:c>
      <x:c r="X90" s="22" t="n">
        <x:v>1</x:v>
      </x:c>
      <x:c r="Y90" s="22" t="str">
        <x:v>品川歴史館</x:v>
      </x:c>
      <x:c r="Z90" s="22" t="str">
        <x:v>池上梅園／大森 海苔のふるさと館</x:v>
      </x:c>
      <x:c r="AA90" s="22" t="str">
        <x:v>なし</x:v>
      </x:c>
      <x:c r="AB90" s="22" t="str">
        <x:v>-</x:v>
      </x:c>
      <x:c r="AC90" s="22" t="str"/>
      <x:c r="AD90" s="22" t="str">
        <x:v>専用・路外駐車を基本</x:v>
      </x:c>
      <x:c r="AE90" s="22" t="str"/>
    </x:row>
    <x:row r="91">
      <x:c r="A91" s="22" t="str">
        <x:v>D024</x:v>
      </x:c>
      <x:c r="B91" s="22" t="str">
        <x:v>東京港野鳥公園</x:v>
      </x:c>
      <x:c r="C91" s="22" t="str">
        <x:v>大田区・東海</x:v>
      </x:c>
      <x:c r="D91" s="22" t="str">
        <x:v>自然・水辺</x:v>
      </x:c>
      <x:c r="E91" s="22" t="e">
        <x:f>HYPERLINK("https://www.google.com/maps/dir/?api=1&amp;destination=%E6%9D%B1%E4%BA%AC%E6%B8%AF%E9%87%8E%E9%B3%A5%E5%85%AC%E5%9C%92&amp;travelmode=driving","現在地からナビ開始")</x:f>
      </x:c>
      <x:c r="F91" s="22" t="str">
        <x:v>物流・空港エリアの中に湿地が残り、昼の静かな終点になる。</x:v>
      </x:c>
      <x:c r="G91" s="22" t="str">
        <x:v>あり・無料</x:v>
      </x:c>
      <x:c r="H91" s="22" t="str">
        <x:v>開園 9:00～17:00前後</x:v>
      </x:c>
      <x:c r="I91" s="22" t="n">
        <x:v>1</x:v>
      </x:c>
      <x:c r="J91" s="22" t="n">
        <x:v>4</x:v>
      </x:c>
      <x:c r="K91" s="22" t="str">
        <x:v>休園日を確認。夕方以降は使用不可。</x:v>
      </x:c>
      <x:c r="L91" s="23" t="n">
        <x:v>46232</x:v>
      </x:c>
      <x:c r="M91" s="22" t="str">
        <x:v>当日再確認</x:v>
      </x:c>
      <x:c r="N91" s="22" t="str">
        <x:v>https://www.tptc.co.jp/park/03_08</x:v>
      </x:c>
      <x:c r="O91" s="22" t="str">
        <x:v>東京港野鳥公園は埋立地に自然発生した池や湿地へ鳥が集まったことから、その環境を保全して公園化された。</x:v>
      </x:c>
      <x:c r="P91" s="22" t="e">
        <x:f>HYPERLINK("https://ja.wikipedia.org/wiki/Special:Search?search=%E6%9D%B1%E4%BA%AC%E6%B8%AF%E9%87%8E%E9%B3%A5%E5%85%AC%E5%9C%92","Wikipedia・関連項目")</x:f>
      </x:c>
      <x:c r="Q91" s="22"/>
      <x:c r="R91" s="22" t="str">
        <x:v>0〜10km</x:v>
      </x:c>
      <x:c r="S91" s="22" t="str">
        <x:v>概ね0〜10km</x:v>
      </x:c>
      <x:c r="T91" s="22" t="str">
        <x:v>通常10〜30分</x:v>
      </x:c>
      <x:c r="U91" s="22" t="str">
        <x:v>休日半日</x:v>
      </x:c>
      <x:c r="V91" s="22" t="str">
        <x:v>30〜60分</x:v>
      </x:c>
      <x:c r="W91" s="22" t="n">
        <x:v>2</x:v>
      </x:c>
      <x:c r="X91" s="22" t="n">
        <x:v>1</x:v>
      </x:c>
      <x:c r="Y91" s="22" t="str">
        <x:v>羽田空港 第3ターミナル展望デッキ</x:v>
      </x:c>
      <x:c r="Z91" s="22" t="str">
        <x:v>城南島海浜公園／潮風公園</x:v>
      </x:c>
      <x:c r="AA91" s="22" t="str">
        <x:v>なし</x:v>
      </x:c>
      <x:c r="AB91" s="22" t="str">
        <x:v>-</x:v>
      </x:c>
      <x:c r="AC91" s="22" t="str"/>
      <x:c r="AD91" s="22" t="str">
        <x:v>専用・路外駐車を基本</x:v>
      </x:c>
      <x:c r="AE91" s="22" t="str"/>
    </x:row>
    <x:row r="92">
      <x:c r="A92" s="22" t="str">
        <x:v>D248</x:v>
      </x:c>
      <x:c r="B92" s="22" t="str">
        <x:v>池上梅園</x:v>
      </x:c>
      <x:c r="C92" s="22" t="str">
        <x:v>大田区・池上</x:v>
      </x:c>
      <x:c r="D92" s="22" t="str">
        <x:v>日本庭園・梅・茶室Story</x:v>
      </x:c>
      <x:c r="E92" s="22" t="e">
        <x:f>HYPERLINK("https://www.google.com/maps/dir/?api=1&amp;destination=%E6%B1%A0%E4%B8%8A%E6%A2%85%E5%9C%92&amp;travelmode=driving","現在地からナビ開始")</x:f>
      </x:c>
      <x:c r="F92" s="22" t="str">
        <x:v>丘陵斜面を使った小さな庭園で、短時間でも季節と静けさを得られる。近距離の昼Endingとして密度が高い。</x:v>
      </x:c>
      <x:c r="G92" s="22" t="str">
        <x:v>あり・一般6台＋身障者1台・30分100円</x:v>
      </x:c>
      <x:c r="H92" s="22" t="str">
        <x:v>9:00～16:30／入園16:00まで</x:v>
      </x:c>
      <x:c r="I92" s="22" t="n">
        <x:v>1</x:v>
      </x:c>
      <x:c r="J92" s="22" t="n">
        <x:v>4</x:v>
      </x:c>
      <x:c r="K92" s="22" t="str">
        <x:v>梅見頃の2月・3月上旬の土日祝は駐車場利用不可。月曜休園期あり。</x:v>
      </x:c>
      <x:c r="L92" s="23" t="n">
        <x:v>46232</x:v>
      </x:c>
      <x:c r="M92" s="22" t="str">
        <x:v>一次確認済</x:v>
      </x:c>
      <x:c r="N92" s="22" t="str">
        <x:v>https://www.city.ota.tokyo.jp/shisetsu/park/ikegamibaien.html</x:v>
      </x:c>
      <x:c r="O92" s="22" t="str">
        <x:v>園内の聴雨庵は、戦時中に東条内閣打倒の密議が行われたとされる茶室を移築したもの。</x:v>
      </x:c>
      <x:c r="P92" s="22" t="e">
        <x:f>HYPERLINK("https://ja.wikipedia.org/wiki/Special:Search?search=%E6%B1%A0%E4%B8%8A%E6%A2%85%E5%9C%92","Wikipedia・関連項目")</x:f>
      </x:c>
      <x:c r="Q92" s="22" t="str">
        <x:v>近距離コア新規追加</x:v>
      </x:c>
      <x:c r="R92" s="22" t="str">
        <x:v>0〜10km</x:v>
      </x:c>
      <x:c r="S92" s="22" t="str">
        <x:v>蒲田から約4〜7km</x:v>
      </x:c>
      <x:c r="T92" s="22" t="str">
        <x:v>通常15〜25分</x:v>
      </x:c>
      <x:c r="U92" s="22" t="str">
        <x:v>静かな昼・季節Story</x:v>
      </x:c>
      <x:c r="V92" s="22" t="str">
        <x:v>30〜60分</x:v>
      </x:c>
      <x:c r="W92" s="22" t="n">
        <x:v>2</x:v>
      </x:c>
      <x:c r="X92" s="22" t="n">
        <x:v>1</x:v>
      </x:c>
      <x:c r="Y92" s="22" t="str">
        <x:v>平和の森公園</x:v>
      </x:c>
      <x:c r="Z92" s="22" t="str">
        <x:v>池上本門寺周辺／大森ふるさとの浜辺公園</x:v>
      </x:c>
      <x:c r="AA92" s="22" t="str">
        <x:v>なし</x:v>
      </x:c>
      <x:c r="AB92" s="22" t="str">
        <x:v>-</x:v>
      </x:c>
      <x:c r="AC92" s="22" t="str"/>
      <x:c r="AD92" s="22" t="str">
        <x:v>専用・路外駐車を基本</x:v>
      </x:c>
      <x:c r="AE92" s="22" t="str"/>
    </x:row>
    <x:row r="93">
      <x:c r="A93" s="22" t="str">
        <x:v>D205</x:v>
      </x:c>
      <x:c r="B93" s="22" t="str">
        <x:v>三溪園</x:v>
      </x:c>
      <x:c r="C93" s="22" t="str">
        <x:v>横浜市・中区本牧</x:v>
      </x:c>
      <x:c r="D93" s="22" t="str">
        <x:v>日本庭園・古建築・Story</x:v>
      </x:c>
      <x:c r="E93" s="22" t="e">
        <x:f>HYPERLINK("https://www.google.com/maps/dir/?api=1&amp;destination=%E4%B8%89%E6%BA%AA%E5%9C%92&amp;travelmode=driving","現在地からナビ開始")</x:f>
      </x:c>
      <x:c r="F93" s="22" t="str">
        <x:v>池、谷戸、三重塔、移築古建築を巡り、横浜港の近代都市景観とは別の時間軸へ入れる文化系Ending。</x:v>
      </x:c>
      <x:c r="G93" s="22" t="str">
        <x:v>あり・通常最大約60台・有料</x:v>
      </x:c>
      <x:c r="H93" s="22" t="str">
        <x:v>9:00～17:00／最終入園・入庫16:30</x:v>
      </x:c>
      <x:c r="I93" s="22" t="n">
        <x:v>1</x:v>
      </x:c>
      <x:c r="J93" s="22" t="n">
        <x:v>2</x:v>
      </x:c>
      <x:c r="K93" s="22" t="str">
        <x:v>12月26～31日休園。桜・紅葉・夜間開園は満車。2026年は一部古建築の公開休止・修繕情報あり。</x:v>
      </x:c>
      <x:c r="L93" s="23" t="n">
        <x:v>46232</x:v>
      </x:c>
      <x:c r="M93" s="22" t="str">
        <x:v>一次確認済</x:v>
      </x:c>
      <x:c r="N93" s="22" t="str">
        <x:v>https://www.sankeien.or.jp/price-service/</x:v>
      </x:c>
      <x:c r="O93" s="22" t="str">
        <x:v>実業家・原三溪が京都や鎌倉などから歴史的建造物を移築して公開した庭園で、近代日本の美術家支援の舞台にもなった。</x:v>
      </x:c>
      <x:c r="P93" s="22" t="e">
        <x:f>HYPERLINK("https://ja.wikipedia.org/wiki/Special:Search?search=%E4%B8%89%E6%BA%AA%E5%9C%92","Wikipedia・関連項目")</x:f>
      </x:c>
      <x:c r="Q93" s="22" t="str">
        <x:v>新規追加。建築・庭園・実業史が一地点で重なる高密度Story。</x:v>
      </x:c>
      <x:c r="R93" s="22" t="str">
        <x:v>20〜25km</x:v>
      </x:c>
      <x:c r="S93" s="22" t="str">
        <x:v>概ね20〜25km</x:v>
      </x:c>
      <x:c r="T93" s="22" t="str">
        <x:v>通常40〜70分</x:v>
      </x:c>
      <x:c r="U93" s="22" t="str">
        <x:v>Story</x:v>
      </x:c>
      <x:c r="V93" s="22" t="str">
        <x:v>30〜90分</x:v>
      </x:c>
      <x:c r="W93" s="22" t="n">
        <x:v>1</x:v>
      </x:c>
      <x:c r="X93" s="22" t="n">
        <x:v>1</x:v>
      </x:c>
      <x:c r="Y93" s="22" t="str">
        <x:v>羽田空港 第3ターミナル展望デッキ</x:v>
      </x:c>
      <x:c r="Z93" s="22" t="str">
        <x:v>城南島海浜公園／潮風公園</x:v>
      </x:c>
      <x:c r="AA93" s="22" t="str">
        <x:v>なし</x:v>
      </x:c>
      <x:c r="AB93" s="22" t="str">
        <x:v>-</x:v>
      </x:c>
      <x:c r="AC93" s="22" t="str"/>
      <x:c r="AD93" s="22" t="str">
        <x:v>専用・路外駐車を基本</x:v>
      </x:c>
      <x:c r="AE93" s="22" t="str"/>
    </x:row>
    <x:row r="94">
      <x:c r="A94" s="22" t="str">
        <x:v>D273</x:v>
      </x:c>
      <x:c r="B94" s="22" t="str">
        <x:v>新宿御苑</x:v>
      </x:c>
      <x:c r="C94" s="22" t="str">
        <x:v>新宿区・内藤町</x:v>
      </x:c>
      <x:c r="D94" s="22" t="str">
        <x:v>庭園・温室・都市の静けさ・Story</x:v>
      </x:c>
      <x:c r="E94" s="22" t="e">
        <x:f>HYPERLINK("https://www.google.com/maps/dir/?api=1&amp;destination=%E6%96%B0%E5%AE%BF%E5%BE%A1%E8%8B%91&amp;travelmode=driving","現在地からナビ開始")</x:f>
      </x:c>
      <x:c r="F94" s="22" t="str">
        <x:v>日本庭園、風景式庭園、温室を大都市中心部で体験でき、休日半日の最終目的地として密度が高い。</x:v>
      </x:c>
      <x:c r="G94" s="22" t="str">
        <x:v>普通車200台・7:30～21:00・入園者は120分600円、以降30分200円、最大2,900円</x:v>
      </x:c>
      <x:c r="H94" s="22" t="str">
        <x:v>季節変動：7月31日まで9:00～19:00（最終18:30）／駐車場7:30～21:00・出庫24時間可</x:v>
      </x:c>
      <x:c r="I94" s="22" t="n">
        <x:v>1</x:v>
      </x:c>
      <x:c r="J94" s="22" t="n">
        <x:v>1</x:v>
      </x:c>
      <x:c r="K94" s="22" t="str">
        <x:v>開園時間は季節変動。酒類持込・遊具等の規制あり。花見期は駐車混雑と入場制限を想定。</x:v>
      </x:c>
      <x:c r="L94" s="23" t="n">
        <x:v>46232</x:v>
      </x:c>
      <x:c r="M94" s="22" t="str">
        <x:v>一次確認済</x:v>
      </x:c>
      <x:c r="N94" s="22" t="str">
        <x:v>https://policies.env.go.jp/national-garden/shinjukugyoen/guide/information/</x:v>
      </x:c>
      <x:c r="O94" s="22" t="str">
        <x:v>江戸期の内藤家屋敷地を起源とし、皇室庭園を経て戦後に国民公園として公開された。</x:v>
      </x:c>
      <x:c r="P94" s="22" t="e">
        <x:f>HYPERLINK("https://ja.wikipedia.org/wiki/Special:Search?search=%E6%96%B0%E5%AE%BF%E5%BE%A1%E8%8B%91","Wikipedia・関連項目")</x:f>
      </x:c>
      <x:c r="Q94" s="22" t="str">
        <x:v>4区重点追加・新宿区</x:v>
      </x:c>
      <x:c r="R94" s="22" t="str">
        <x:v>10〜20km</x:v>
      </x:c>
      <x:c r="S94" s="22" t="str">
        <x:v>蒲田から約17〜22km</x:v>
      </x:c>
      <x:c r="T94" s="22" t="str">
        <x:v>通常40〜65分</x:v>
      </x:c>
      <x:c r="U94" s="22" t="str">
        <x:v>休日半日・庭園・雨天温室</x:v>
      </x:c>
      <x:c r="V94" s="22" t="str">
        <x:v>90〜180分</x:v>
      </x:c>
      <x:c r="W94" s="22" t="n">
        <x:v>4</x:v>
      </x:c>
      <x:c r="X94" s="22" t="n">
        <x:v>1</x:v>
      </x:c>
      <x:c r="Y94" s="22" t="str">
        <x:v>明治神宮外苑 聖徳記念絵画館</x:v>
      </x:c>
      <x:c r="Z94" s="22" t="str">
        <x:v>東京都庁展望室／新宿NSビル</x:v>
      </x:c>
      <x:c r="AA94" s="22" t="str">
        <x:v>新宿3丁目37付近 パーキング・メーター</x:v>
      </x:c>
      <x:c r="AB94" s="22" t="str">
        <x:v>A</x:v>
      </x:c>
      <x:c r="AC94" s="22" t="str">
        <x:v>7:00～20:00・40分・200円・1月1日～3日を除く。現地標識優先。</x:v>
      </x:c>
      <x:c r="AD94" s="22" t="str">
        <x:v>入口・外周・短時間撮影だけ。園内を回る通常滞在には使用しない。</x:v>
      </x:c>
      <x:c r="AE94" s="22" t="str">
        <x:v>40分を超えない。枠外・延長利用不可。イベント規制を確認。</x:v>
      </x:c>
    </x:row>
  </x:sheetData>
  <x:conditionalFormatting sqref="I2:J71">
    <x:cfRule type="colorScale" priority="1">
      <x:colorScale>
        <x:cfvo type="min"/>
        <x:cfvo type="percentile" val="50"/>
        <x:cfvo type="max"/>
        <x:color rgb="FFFEE2E2"/>
        <x:color rgb="FFFEF3C7"/>
        <x:color rgb="FFDCFCE7"/>
      </x:colorScale>
    </x:cfRule>
  </x:conditionalFormatting>
  <x:conditionalFormatting sqref="W2:X71">
    <x:cfRule type="colorScale" priority="2">
      <x:colorScale>
        <x:cfvo type="min"/>
        <x:cfvo type="percentile" val="50"/>
        <x:cfvo type="max"/>
        <x:color rgb="FFFEE2E2"/>
        <x:color rgb="FFFEF3C7"/>
        <x:color rgb="FFDCFCE7"/>
      </x:colorScale>
    </x:cfRule>
  </x:conditionalFormatting>
  <x:conditionalFormatting sqref="I2:J77">
    <x:cfRule type="colorScale" priority="3">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e9c4898d9fb6496b"/>
  </x:tableParts>
</x:worksheet>
</file>

<file path=xl/worksheets/sheet10.xml><?xml version="1.0" encoding="utf-8"?>
<x:worksheet xmlns:x="http://schemas.openxmlformats.org/spreadsheetml/2006/main">
  <x:sheetFormatPr defaultRowHeight="15"/>
  <x:sheetData>
    <x:row r="1">
      <x:c r="A1" s="406" t="str">
        <x:v>ルートID</x:v>
      </x:c>
      <x:c r="B1" s="406" t="str">
        <x:v>タイトル</x:v>
      </x:c>
      <x:c r="C1" s="406" t="str">
        <x:v>テーマ</x:v>
      </x:c>
      <x:c r="D1" s="406" t="str">
        <x:v>起点</x:v>
      </x:c>
      <x:c r="E1" s="406" t="str">
        <x:v>経由地1</x:v>
      </x:c>
      <x:c r="F1" s="406" t="str">
        <x:v>経由地2</x:v>
      </x:c>
      <x:c r="G1" s="406" t="str">
        <x:v>経由地3</x:v>
      </x:c>
      <x:c r="H1" s="406" t="str">
        <x:v>最終目的地</x:v>
      </x:c>
      <x:c r="I1" s="406" t="str">
        <x:v>想定総時間</x:v>
      </x:c>
      <x:c r="J1" s="406" t="str">
        <x:v>夜間適性（並べ替え可）</x:v>
      </x:c>
      <x:c r="K1" s="406" t="str">
        <x:v>注意事項</x:v>
      </x:c>
      <x:c r="L1" s="406" t="str">
        <x:v>現在地→経由地→最終目的地（クリック）</x:v>
      </x:c>
      <x:c r="M1" s="407" t="str">
        <x:v>ルート区分</x:v>
      </x:c>
      <x:c r="N1" s="407" t="str">
        <x:v>経由地品質(0-100)</x:v>
      </x:c>
      <x:c r="O1" s="407" t="str">
        <x:v>改善状態</x:v>
      </x:c>
      <x:c r="P1" s="407" t="str">
        <x:v>経由地設計意図</x:v>
      </x:c>
      <x:c r="Q1" s="407" t="str">
        <x:v>差替え・役割履歴</x:v>
      </x:c>
      <x:c r="R1" s="407" t="str">
        <x:v>更新日</x:v>
      </x:c>
      <x:c r="S1" s="407" t="str">
        <x:v>経由地多様性</x:v>
      </x:c>
      <x:c r="T1" s="407" t="str">
        <x:v>使用過多ペナルティ</x:v>
      </x:c>
      <x:c r="U1" s="407" t="str">
        <x:v>体験遷移</x:v>
      </x:c>
      <x:c r="V1" s="407" t="str">
        <x:v>推奨滞在配分</x:v>
      </x:c>
      <x:c r="W1" s="407" t="str">
        <x:v>駐車方式</x:v>
      </x:c>
      <x:c r="X1" s="407" t="str">
        <x:v>スキップ基準</x:v>
      </x:c>
      <x:c r="Y1" s="407" t="str">
        <x:v>ルート系統</x:v>
      </x:c>
      <x:c r="Z1" s="407" t="str">
        <x:v>走行演出</x:v>
      </x:c>
    </x:row>
    <x:row r="2">
      <x:c r="A2" s="22" t="str">
        <x:v>R001</x:v>
      </x:c>
      <x:c r="B2" s="22" t="str">
        <x:v>羽田・航空機ショート</x:v>
      </x:c>
      <x:c r="C2" s="22" t="str">
        <x:v>足湯／空港展望／飛行機</x:v>
      </x:c>
      <x:c r="D2" s="22" t="str">
        <x:v>蒲田駅</x:v>
      </x:c>
      <x:c r="E2" s="22" t="str">
        <x:v>HANEDA INNOVATION CITY 足湯スカイデッキ</x:v>
      </x:c>
      <x:c r="F2" s="22" t="str">
        <x:v>羽田空港 第3ターミナル展望デッキ</x:v>
      </x:c>
      <x:c r="G2" s="22"/>
      <x:c r="H2" s="22" t="str">
        <x:v>京浜島つばさ公園</x:v>
      </x:c>
      <x:c r="I2" s="22" t="str">
        <x:v>85～120分</x:v>
      </x:c>
      <x:c r="J2" s="22" t="n">
        <x:v>5</x:v>
      </x:c>
      <x:c r="K2" s="22" t="str">
        <x:v>HIC P1で足湯を短時間利用し、T3を経て京浜島へ。京浜島満車時はT3で終了。</x:v>
      </x:c>
      <x:c r="L2" s="95" t="e">
        <x:f>HYPERLINK("https://www.google.com/maps/dir/?api=1&amp;destination=%E4%BA%AC%E6%B5%9C%E5%B3%B6%E3%81%A4%E3%81%B0%E3%81%95%E5%85%AC%E5%9C%92&amp;travelmode=driving&amp;waypoints=HANEDA%20INNOVATION%20CITY%20%E8%B6%B3%E6%B9%AF%E3%82%B9%E3%82%AB%E3%82%A4%E3%83%87%E3%83%83%E3%82%AD%7C%E7%BE%BD%E7%94%B0%E7%A9%BA%E6%B8%AF%20%E7%AC%AC3%E3%82%BF%E3%83%BC%E3%83%9F%E3%83%8A%E3%83%AB%E5%B1%95%E6%9C%9B%E3%83%87%E3%83%83%E3%82%AD","現在地からルート開始")</x:f>
      </x:c>
      <x:c r="M2" s="22" t="str">
        <x:v>通常</x:v>
      </x:c>
      <x:c r="N2" s="22" t="n">
        <x:v>80</x:v>
      </x:c>
      <x:c r="O2" s="22" t="str">
        <x:v>差替え済</x:v>
      </x:c>
      <x:c r="P2" s="22" t="str">
        <x:v>足湯で身体を切り替え、空港建築と航空機を見た後、工業島の低い視点で飛行機の迫力を回収する。</x:v>
      </x:c>
      <x:c r="Q2" s="22" t="str">
        <x:v>曖昧名称『羽田イノベーションシティ』を、DB登録済みの足湯スカイデッキへ統一。</x:v>
      </x:c>
      <x:c r="R2" s="23" t="n">
        <x:v>46232</x:v>
      </x:c>
      <x:c r="S2" s="22" t="n">
        <x:v>49</x:v>
      </x:c>
      <x:c r="T2" s="22" t="n">
        <x:v>30</x:v>
      </x:c>
      <x:c r="U2" s="22" t="str">
        <x:v>飛行機・都市夜景 → 飛行機・都市夜景 → 飛行機・都市夜景 → 飛行機・工場夜景</x:v>
      </x:c>
      <x:c r="V2" s="22" t="str">
        <x:v>HANEDA INNOVATION CITY 足湯スカイデッキ:25分／羽田空港 第3ターミナル展望デッキ:25分／京浜島つばさ公園:40分</x:v>
      </x:c>
      <x:c r="W2" s="22" t="str">
        <x:v>専用・公式駐車場へ直接入庫／小規模。満車なら待たずに省略</x:v>
      </x:c>
      <x:c r="X2" s="22" t="str">
        <x:v>23:30に間に合わない時／工事・閉鎖時／満車時</x:v>
      </x:c>
      <x:c r="Y2" s="22" t="str">
        <x:v>羽田・航空</x:v>
      </x:c>
      <x:c r="Z2" s="22"/>
    </x:row>
    <x:row r="3">
      <x:c r="A3" s="22" t="str">
        <x:v>R002</x:v>
      </x:c>
      <x:c r="B3" s="22" t="str">
        <x:v>大森海岸から飛行機へ</x:v>
      </x:c>
      <x:c r="C3" s="22" t="str">
        <x:v>海苔Story／飛行機／海</x:v>
      </x:c>
      <x:c r="D3" s="22" t="str">
        <x:v>蒲田駅</x:v>
      </x:c>
      <x:c r="E3" s="22" t="str">
        <x:v>大森ふるさとの浜辺公園</x:v>
      </x:c>
      <x:c r="F3" s="22" t="str">
        <x:v>京浜島つばさ公園</x:v>
      </x:c>
      <x:c r="G3" s="22"/>
      <x:c r="H3" s="22" t="str">
        <x:v>城南島海浜公園</x:v>
      </x:c>
      <x:c r="I3" s="22" t="str">
        <x:v>90～130分</x:v>
      </x:c>
      <x:c r="J3" s="22" t="n">
        <x:v>4</x:v>
      </x:c>
      <x:c r="K3" s="22" t="str">
        <x:v>浜辺エリアと城南島駐車場は21時まで。20時以降は大森を省略し、京浜島→城南島へ短縮。</x:v>
      </x:c>
      <x:c r="L3" s="95" t="e">
        <x:f>HYPERLINK("https://www.google.com/maps/dir/?api=1&amp;destination=%E5%9F%8E%E5%8D%97%E5%B3%B6%E6%B5%B7%E6%B5%9C%E5%85%AC%E5%9C%92&amp;travelmode=driving&amp;waypoints=%E5%A4%A7%E6%A3%AE%E3%81%B5%E3%82%8B%E3%81%95%E3%81%A8%E3%81%AE%E6%B5%9C%E8%BE%BA%E5%85%AC%E5%9C%92%7C%E4%BA%AC%E6%B5%9C%E5%B3%B6%E3%81%A4%E3%81%B0%E3%81%95%E5%85%AC%E5%9C%92","現在地からルート開始")</x:f>
      </x:c>
      <x:c r="M3" s="22" t="str">
        <x:v>通常</x:v>
      </x:c>
      <x:c r="N3" s="22" t="n">
        <x:v>79</x:v>
      </x:c>
      <x:c r="O3" s="22" t="str">
        <x:v>差替え済</x:v>
      </x:c>
      <x:c r="P3" s="22" t="str">
        <x:v>大森の海苔・人工海浜から工業島の航空機へ進み、城南島の海と飛行機で終える一方向の流れ。</x:v>
      </x:c>
      <x:c r="Q3" s="22" t="str">
        <x:v>多摩川浅間神社と羽田T3の大きな往復を解消。大森浜辺と京浜島へ差替え。</x:v>
      </x:c>
      <x:c r="R3" s="23" t="n">
        <x:v>46232</x:v>
      </x:c>
      <x:c r="S3" s="22" t="n">
        <x:v>67</x:v>
      </x:c>
      <x:c r="T3" s="22" t="n">
        <x:v>18</x:v>
      </x:c>
      <x:c r="U3" s="22" t="str">
        <x:v>海・港・Story → 飛行機・工場夜景 → 飛行機・工場夜景 → 飛行機・海・港</x:v>
      </x:c>
      <x:c r="V3" s="22" t="str">
        <x:v>大森ふるさとの浜辺公園:20分／京浜島つばさ公園:25分／城南島海浜公園:40分</x:v>
      </x:c>
      <x:c r="W3" s="22" t="str">
        <x:v>専用・公式駐車場へ直接入庫／小規模。満車なら待たずに省略</x:v>
      </x:c>
      <x:c r="X3" s="22" t="str">
        <x:v>臨時閉鎖・イベント混雑時／満車時／21:00に間に合わない時／工事・閉鎖時</x:v>
      </x:c>
      <x:c r="Y3" s="22" t="str">
        <x:v>羽田・航空</x:v>
      </x:c>
      <x:c r="Z3" s="22"/>
    </x:row>
    <x:row r="4">
      <x:c r="A4" s="22" t="str">
        <x:v>R003</x:v>
      </x:c>
      <x:c r="B4" s="22" t="str">
        <x:v>東京港最奥ナイト</x:v>
      </x:c>
      <x:c r="C4" s="22" t="str">
        <x:v>港／行き止まり／都市夜景</x:v>
      </x:c>
      <x:c r="D4" s="22" t="str">
        <x:v>蒲田駅</x:v>
      </x:c>
      <x:c r="E4" s="22" t="str">
        <x:v>晴海ふ頭公園</x:v>
      </x:c>
      <x:c r="F4" s="22" t="str">
        <x:v>豊洲ぐるり公園</x:v>
      </x:c>
      <x:c r="G4" s="22"/>
      <x:c r="H4" s="22" t="str">
        <x:v>暁ふ頭公園</x:v>
      </x:c>
      <x:c r="I4" s="22" t="str">
        <x:v>120～160分</x:v>
      </x:c>
      <x:c r="J4" s="22" t="n">
        <x:v>5</x:v>
      </x:c>
      <x:c r="K4" s="22" t="str">
        <x:v>強風時は暁ふ頭を潮風公園へ変更。</x:v>
      </x:c>
      <x:c r="L4" s="95" t="e">
        <x:f>HYPERLINK("https://www.google.com/maps/dir/?api=1&amp;destination=%E6%9A%81%E3%81%B5%E9%A0%AD%E5%85%AC%E5%9C%92&amp;travelmode=driving&amp;waypoints=%E6%99%B4%E6%B5%B7%E3%81%B5%E9%A0%AD%E5%85%AC%E5%9C%92%7C%E8%B1%8A%E6%B4%B2%E3%81%90%E3%82%8B%E3%82%8A%E5%85%AC%E5%9C%92","現在地からルート開始")</x:f>
      </x:c>
      <x:c r="M4" s="22" t="str">
        <x:v>通常</x:v>
      </x:c>
      <x:c r="N4" s="22" t="n">
        <x:v>77</x:v>
      </x:c>
      <x:c r="O4" s="22" t="str">
        <x:v>維持</x:v>
      </x:c>
      <x:c r="P4" s="22" t="str">
        <x:v>晴海ふ頭公園 → 豊洲ぐるり公園 → 暁ふ頭公園 の順に、景観と滞在強度を変化させる。</x:v>
      </x:c>
      <x:c r="Q4" s="22"/>
      <x:c r="R4" s="23" t="n">
        <x:v>46232</x:v>
      </x:c>
      <x:c r="S4" s="22" t="n">
        <x:v>85</x:v>
      </x:c>
      <x:c r="T4" s="22" t="n">
        <x:v>0</x:v>
      </x:c>
      <x:c r="U4" s="22" t="str">
        <x:v>海・港・都市夜景 → 都市夜景 → 都市夜景 → 海・港・休息</x:v>
      </x:c>
      <x:c r="V4" s="22" t="str">
        <x:v>晴海ふ頭公園:20分／豊洲ぐるり公園:18分／暁ふ頭公園:45分</x:v>
      </x:c>
      <x:c r="W4" s="22" t="str">
        <x:v>小規模。満車なら待たずに省略／専用・公式駐車場へ直接入庫</x:v>
      </x:c>
      <x:c r="X4" s="22" t="str">
        <x:v>満車時／臨時閉鎖・イベント混雑時／満車時／工事・閉鎖時</x:v>
      </x:c>
      <x:c r="Y4" s="22" t="str">
        <x:v>東京港・水辺</x:v>
      </x:c>
      <x:c r="Z4" s="22"/>
    </x:row>
    <x:row r="5">
      <x:c r="A5" s="22" t="str">
        <x:v>R004</x:v>
      </x:c>
      <x:c r="B5" s="22" t="str">
        <x:v>ゲートブリッジ夜景ショート</x:v>
      </x:c>
      <x:c r="C5" s="22" t="str">
        <x:v>都市夜景／橋の走行演出／海</x:v>
      </x:c>
      <x:c r="D5" s="22" t="str">
        <x:v>蒲田駅</x:v>
      </x:c>
      <x:c r="E5" s="22" t="str">
        <x:v>潮風公園</x:v>
      </x:c>
      <x:c r="F5" s="22" t="str">
        <x:v>東京ゲートブリッジ</x:v>
      </x:c>
      <x:c r="G5" s="22"/>
      <x:c r="H5" s="22" t="str">
        <x:v>若洲海浜公園</x:v>
      </x:c>
      <x:c r="I5" s="22" t="str">
        <x:v>105～145分</x:v>
      </x:c>
      <x:c r="J5" s="22" t="n">
        <x:v>5</x:v>
      </x:c>
      <x:c r="K5" s="22" t="str">
        <x:v>東京ゲートブリッジは停車せず走行演出として通過。若洲駐車場は6:00～22:00で、一部工事情報を当日確認。</x:v>
      </x:c>
      <x:c r="L5" s="95" t="e">
        <x:f>HYPERLINK("https://www.google.com/maps/dir/?api=1&amp;destination=%E8%8B%A5%E6%B4%B2%E6%B5%B7%E6%B5%9C%E5%85%AC%E5%9C%92&amp;travelmode=driving&amp;waypoints=%E6%BD%AE%E9%A2%A8%E5%85%AC%E5%9C%92%7C%E6%9D%B1%E4%BA%AC%E3%82%B2%E3%83%BC%E3%83%88%E3%83%96%E3%83%AA%E3%83%83%E3%82%B8","現在地からルート開始")</x:f>
      </x:c>
      <x:c r="M5" s="22" t="str">
        <x:v>走行演出あり</x:v>
      </x:c>
      <x:c r="N5" s="22" t="n">
        <x:v>80</x:v>
      </x:c>
      <x:c r="O5" s="22" t="str">
        <x:v>差替え済</x:v>
      </x:c>
      <x:c r="P5" s="22" t="str">
        <x:v>お台場の都市夜景から橋を走り抜け、若洲側で橋そのものを海越しに見返して終える。</x:v>
      </x:c>
      <x:c r="Q5" s="22" t="str">
        <x:v>橋を通常経由地として扱う誤りを修正。『走行演出・滞在0分』として明文化し、若洲を最終地点へ。</x:v>
      </x:c>
      <x:c r="R5" s="23" t="n">
        <x:v>46232</x:v>
      </x:c>
      <x:c r="S5" s="22" t="n">
        <x:v>68</x:v>
      </x:c>
      <x:c r="T5" s="22" t="n">
        <x:v>0</x:v>
      </x:c>
      <x:c r="U5" s="22" t="str">
        <x:v>海・港・都市夜景 → 海・港 → 海・港 → 海・港</x:v>
      </x:c>
      <x:c r="V5" s="22" t="str">
        <x:v>潮風公園:20分／東京ゲートブリッジ:0分／若洲海浜公園:45分</x:v>
      </x:c>
      <x:c r="W5" s="22" t="str">
        <x:v>専用・公式駐車場へ直接入庫／停車しない／小規模。満車なら待たずに省略</x:v>
      </x:c>
      <x:c r="X5" s="22" t="str">
        <x:v>工事・閉鎖時／渋滞・通行規制時は走行演出を省略／満車時／22:00に間に合わない時／強風・高潮・増水時／工事・閉鎖時</x:v>
      </x:c>
      <x:c r="Y5" s="22" t="str">
        <x:v>東京港・水辺</x:v>
      </x:c>
      <x:c r="Z5" s="22" t="str">
        <x:v>東京ゲートブリッジを停車せず通過</x:v>
      </x:c>
    </x:row>
    <x:row r="6">
      <x:c r="A6" s="22" t="str">
        <x:v>R005</x:v>
      </x:c>
      <x:c r="B6" s="22" t="str">
        <x:v>東京港・環境再生ライン</x:v>
      </x:c>
      <x:c r="C6" s="22" t="str">
        <x:v>湿地／埋立地再生／橋景観</x:v>
      </x:c>
      <x:c r="D6" s="22" t="str">
        <x:v>蒲田駅</x:v>
      </x:c>
      <x:c r="E6" s="22" t="str">
        <x:v>東京港野鳥公園</x:v>
      </x:c>
      <x:c r="F6" s="22" t="str">
        <x:v>海の森公園</x:v>
      </x:c>
      <x:c r="G6" s="22"/>
      <x:c r="H6" s="22" t="str">
        <x:v>若洲海浜公園</x:v>
      </x:c>
      <x:c r="I6" s="22" t="str">
        <x:v>150～210分</x:v>
      </x:c>
      <x:c r="J6" s="22" t="n">
        <x:v>1</x:v>
      </x:c>
      <x:c r="K6" s="22" t="str">
        <x:v>昼専用。野鳥公園と海の森は17時まで。若洲駐車場は22時までだが、工事による一部利用休止を確認。</x:v>
      </x:c>
      <x:c r="L6" s="95" t="e">
        <x:f>HYPERLINK("https://www.google.com/maps/dir/?api=1&amp;destination=%E8%8B%A5%E6%B4%B2%E6%B5%B7%E6%B5%9C%E5%85%AC%E5%9C%92&amp;travelmode=driving&amp;waypoints=%E6%9D%B1%E4%BA%AC%E6%B8%AF%E9%87%8E%E9%B3%A5%E5%85%AC%E5%9C%92%7C%E6%B5%B7%E3%81%AE%E6%A3%AE%E5%85%AC%E5%9C%92","現在地からルート開始")</x:f>
      </x:c>
      <x:c r="M6" s="22" t="str">
        <x:v>昼専用</x:v>
      </x:c>
      <x:c r="N6" s="22" t="n">
        <x:v>80</x:v>
      </x:c>
      <x:c r="O6" s="22" t="str">
        <x:v>差替え済</x:v>
      </x:c>
      <x:c r="P6" s="22" t="str">
        <x:v>埋立地に生まれた湿地、廃棄物処分場から育てた森、巨大橋と海という東京港の環境変化を順に読む。</x:v>
      </x:c>
      <x:c r="Q6" s="22" t="str">
        <x:v>海の森から晴海へ戻る逆方向を解消し、若洲海浜公園を最終地点へ変更。</x:v>
      </x:c>
      <x:c r="R6" s="23" t="n">
        <x:v>46232</x:v>
      </x:c>
      <x:c r="S6" s="22" t="n">
        <x:v>79</x:v>
      </x:c>
      <x:c r="T6" s="22" t="n">
        <x:v>0</x:v>
      </x:c>
      <x:c r="U6" s="22" t="str">
        <x:v>飛行機・海・港 → 海・港・都市夜景 → 海・港・都市夜景 → 海・港</x:v>
      </x:c>
      <x:c r="V6" s="22" t="str">
        <x:v>東京港野鳥公園:25分／海の森公園:20分／若洲海浜公園:45分</x:v>
      </x:c>
      <x:c r="W6" s="22" t="str">
        <x:v>専用・公式駐車場へ直接入庫／小規模。満車なら待たずに省略</x:v>
      </x:c>
      <x:c r="X6" s="22" t="str">
        <x:v>17:00に間に合わない時／満車時／22:00に間に合わない時／強風・高潮・増水時／工事・閉鎖時</x:v>
      </x:c>
      <x:c r="Y6" s="22" t="str">
        <x:v>東京港・水辺</x:v>
      </x:c>
      <x:c r="Z6" s="22"/>
    </x:row>
    <x:row r="7">
      <x:c r="A7" s="22" t="str">
        <x:v>R006</x:v>
      </x:c>
      <x:c r="B7" s="22" t="str">
        <x:v>京浜島から東扇島西端へ</x:v>
      </x:c>
      <x:c r="C7" s="22" t="str">
        <x:v>飛行機／高所展望／港の行き止まり</x:v>
      </x:c>
      <x:c r="D7" s="22" t="str">
        <x:v>蒲田駅</x:v>
      </x:c>
      <x:c r="E7" s="22" t="str">
        <x:v>京浜島つばさ公園</x:v>
      </x:c>
      <x:c r="F7" s="22" t="str">
        <x:v>川崎マリエン</x:v>
      </x:c>
      <x:c r="G7" s="22"/>
      <x:c r="H7" s="22" t="str">
        <x:v>東扇島西公園</x:v>
      </x:c>
      <x:c r="I7" s="22" t="str">
        <x:v>120～170分</x:v>
      </x:c>
      <x:c r="J7" s="22" t="n">
        <x:v>5</x:v>
      </x:c>
      <x:c r="K7" s="22" t="str">
        <x:v>川崎マリエン展望室は21時まで。遅れた場合はマリエンを省略し、24時間利用可能な東扇島西公園へ直行。</x:v>
      </x:c>
      <x:c r="L7" s="95" t="e">
        <x:f>HYPERLINK("https://www.google.com/maps/dir/?api=1&amp;destination=%E6%9D%B1%E6%89%87%E5%B3%B6%E8%A5%BF%E5%85%AC%E5%9C%92&amp;travelmode=driving&amp;waypoints=%E4%BA%AC%E6%B5%9C%E5%B3%B6%E3%81%A4%E3%81%B0%E3%81%95%E5%85%AC%E5%9C%92%7C%E5%B7%9D%E5%B4%8E%E3%83%9E%E3%83%AA%E3%82%A8%E3%83%B3","現在地からルート開始")</x:f>
      </x:c>
      <x:c r="M7" s="22" t="str">
        <x:v>通常</x:v>
      </x:c>
      <x:c r="N7" s="22" t="n">
        <x:v>75</x:v>
      </x:c>
      <x:c r="O7" s="22" t="str">
        <x:v>差替え済</x:v>
      </x:c>
      <x:c r="P7" s="22" t="str">
        <x:v>低い目線の航空機→高所の港湾展望→24時間の島端Endingへ、景観高度と到達感を段階的に変える。</x:v>
      </x:c>
      <x:c r="Q7" s="22" t="str">
        <x:v>20:30以降入庫不可の東扇島東公園を外し、24時間駐車の東扇島西公園を最終地点へ。</x:v>
      </x:c>
      <x:c r="R7" s="23" t="n">
        <x:v>46232</x:v>
      </x:c>
      <x:c r="S7" s="22" t="n">
        <x:v>70</x:v>
      </x:c>
      <x:c r="T7" s="22" t="n">
        <x:v>9</x:v>
      </x:c>
      <x:c r="U7" s="22" t="str">
        <x:v>飛行機・工場夜景 → 海・港・工場夜景 → 海・港・工場夜景 → 海・港・工場夜景</x:v>
      </x:c>
      <x:c r="V7" s="22" t="str">
        <x:v>京浜島つばさ公園:25分／川崎マリエン:25分／東扇島西公園:45分</x:v>
      </x:c>
      <x:c r="W7" s="22" t="str">
        <x:v>小規模。満車なら待たずに省略／専用・公式駐車場へ直接入庫／車の経由地には不向き。合法駐車から徒歩のみ</x:v>
      </x:c>
      <x:c r="X7" s="22" t="str">
        <x:v>満車時／工事・閉鎖時</x:v>
      </x:c>
      <x:c r="Y7" s="22" t="str">
        <x:v>羽田・航空</x:v>
      </x:c>
      <x:c r="Z7" s="22"/>
    </x:row>
    <x:row r="8">
      <x:c r="A8" s="22" t="str">
        <x:v>R008</x:v>
      </x:c>
      <x:c r="B8" s="22" t="str">
        <x:v>本牧ふ頭の行き止まり</x:v>
      </x:c>
      <x:c r="C8" s="22" t="str">
        <x:v>横浜港／ふ頭／船</x:v>
      </x:c>
      <x:c r="D8" s="22" t="str">
        <x:v>蒲田駅</x:v>
      </x:c>
      <x:c r="E8" s="22" t="str">
        <x:v>横浜港大さん橋</x:v>
      </x:c>
      <x:c r="F8" s="22" t="str">
        <x:v>本牧山頂公園</x:v>
      </x:c>
      <x:c r="G8" s="22"/>
      <x:c r="H8" s="22" t="str">
        <x:v>横浜港シンボルタワー</x:v>
      </x:c>
      <x:c r="I8" s="22" t="str">
        <x:v>150～200分</x:v>
      </x:c>
      <x:c r="J8" s="22" t="n">
        <x:v>3</x:v>
      </x:c>
      <x:c r="K8" s="22" t="str">
        <x:v>季節別閉場時間に合わせる夕方専用。</x:v>
      </x:c>
      <x:c r="L8" s="95" t="e">
        <x:f>HYPERLINK("https://www.google.com/maps/dir/?api=1&amp;destination=%E6%A8%AA%E6%B5%9C%E6%B8%AF%E3%82%B7%E3%83%B3%E3%83%9C%E3%83%AB%E3%82%BF%E3%83%AF%E3%83%BC&amp;travelmode=driving&amp;waypoints=%E6%A8%AA%E6%B5%9C%E6%B8%AF%E5%A4%A7%E3%81%95%E3%82%93%E6%A9%8B%7C%E6%9C%AC%E7%89%A7%E5%B1%B1%E9%A0%82%E5%85%AC%E5%9C%92","現在地からルート開始")</x:f>
      </x:c>
      <x:c r="M8" s="22" t="str">
        <x:v>通常</x:v>
      </x:c>
      <x:c r="N8" s="22" t="n">
        <x:v>78</x:v>
      </x:c>
      <x:c r="O8" s="22" t="str">
        <x:v>維持</x:v>
      </x:c>
      <x:c r="P8" s="22" t="str">
        <x:v>横浜港大さん橋 → 本牧山頂公園 → 横浜港シンボルタワー の順に、景観と滞在強度を変化させる。</x:v>
      </x:c>
      <x:c r="Q8" s="22"/>
      <x:c r="R8" s="23" t="n">
        <x:v>46232</x:v>
      </x:c>
      <x:c r="S8" s="22" t="n">
        <x:v>68</x:v>
      </x:c>
      <x:c r="T8" s="22" t="n">
        <x:v>3</x:v>
      </x:c>
      <x:c r="U8" s="22" t="str">
        <x:v>海・港・都市夜景 → 海・港・工場夜景 → 海・港・工場夜景 → 海・港・都市夜景</x:v>
      </x:c>
      <x:c r="V8" s="22" t="str">
        <x:v>横浜港大さん橋:20分／本牧山頂公園:25分／横浜港シンボルタワー:40分</x:v>
      </x:c>
      <x:c r="W8" s="22" t="str">
        <x:v>専用・公式駐車場へ直接入庫</x:v>
      </x:c>
      <x:c r="X8" s="22" t="str">
        <x:v>臨時閉鎖・イベント混雑時／20:00に間に合わない時／工事・閉鎖時</x:v>
      </x:c>
      <x:c r="Y8" s="22" t="str">
        <x:v>東京港・水辺</x:v>
      </x:c>
      <x:c r="Z8" s="22"/>
    </x:row>
    <x:row r="9">
      <x:c r="A9" s="22" t="str">
        <x:v>R009</x:v>
      </x:c>
      <x:c r="B9" s="22" t="str">
        <x:v>金沢シーサイド</x:v>
      </x:c>
      <x:c r="C9" s="22" t="str">
        <x:v>人工海浜／島／静けさ</x:v>
      </x:c>
      <x:c r="D9" s="22" t="str">
        <x:v>蒲田駅</x:v>
      </x:c>
      <x:c r="E9" s="22" t="str">
        <x:v>本牧山頂公園</x:v>
      </x:c>
      <x:c r="F9" s="22" t="str">
        <x:v>海の公園</x:v>
      </x:c>
      <x:c r="G9" s="22"/>
      <x:c r="H9" s="22" t="str">
        <x:v>野島公園</x:v>
      </x:c>
      <x:c r="I9" s="22" t="str">
        <x:v>170～220分</x:v>
      </x:c>
      <x:c r="J9" s="22" t="n">
        <x:v>4</x:v>
      </x:c>
      <x:c r="K9" s="22" t="str">
        <x:v>野島公園23時閉鎖。潮干狩り期は避ける。</x:v>
      </x:c>
      <x:c r="L9" s="95" t="e">
        <x:f>HYPERLINK("https://www.google.com/maps/dir/?api=1&amp;destination=%E9%87%8E%E5%B3%B6%E5%85%AC%E5%9C%92&amp;travelmode=driving&amp;waypoints=%E6%9C%AC%E7%89%A7%E5%B1%B1%E9%A0%82%E5%85%AC%E5%9C%92%7C%E6%B5%B7%E3%81%AE%E5%85%AC%E5%9C%92","現在地からルート開始")</x:f>
      </x:c>
      <x:c r="M9" s="22" t="str">
        <x:v>通常</x:v>
      </x:c>
      <x:c r="N9" s="22" t="n">
        <x:v>77</x:v>
      </x:c>
      <x:c r="O9" s="22" t="str">
        <x:v>維持</x:v>
      </x:c>
      <x:c r="P9" s="22" t="str">
        <x:v>本牧山頂公園 → 海の公園 → 野島公園 の順に、景観と滞在強度を変化させる。</x:v>
      </x:c>
      <x:c r="Q9" s="22"/>
      <x:c r="R9" s="23" t="n">
        <x:v>46232</x:v>
      </x:c>
      <x:c r="S9" s="22" t="n">
        <x:v>76</x:v>
      </x:c>
      <x:c r="T9" s="22" t="n">
        <x:v>3</x:v>
      </x:c>
      <x:c r="U9" s="22" t="str">
        <x:v>海・港・工場夜景 → 海・港 → 海・港 → 海・港・都市夜景</x:v>
      </x:c>
      <x:c r="V9" s="22" t="str">
        <x:v>本牧山頂公園:25分／海の公園:20分／野島公園:40分</x:v>
      </x:c>
      <x:c r="W9" s="22" t="str">
        <x:v>専用・公式駐車場へ直接入庫</x:v>
      </x:c>
      <x:c r="X9" s="22" t="str">
        <x:v>臨時閉鎖・イベント混雑時／工事・閉鎖時／23:00に間に合わない時</x:v>
      </x:c>
      <x:c r="Y9" s="22" t="str">
        <x:v>東京港・水辺</x:v>
      </x:c>
      <x:c r="Z9" s="22"/>
    </x:row>
    <x:row r="10">
      <x:c r="A10" s="22" t="str">
        <x:v>R025</x:v>
      </x:c>
      <x:c r="B10" s="22" t="str">
        <x:v>首都高ミニマム・ナイト</x:v>
      </x:c>
      <x:c r="C10" s="22" t="str">
        <x:v>PA／近距離／高架</x:v>
      </x:c>
      <x:c r="D10" s="22" t="str">
        <x:v>蒲田駅</x:v>
      </x:c>
      <x:c r="E10" s="22" t="str">
        <x:v>平和島PA（上り）</x:v>
      </x:c>
      <x:c r="F10" s="22" t="str">
        <x:v>芝浦PA</x:v>
      </x:c>
      <x:c r="G10" s="22"/>
      <x:c r="H10" s="22" t="str">
        <x:v>辰巳第一PA</x:v>
      </x:c>
      <x:c r="I10" s="22" t="str">
        <x:v>75～110分</x:v>
      </x:c>
      <x:c r="J10" s="22" t="n">
        <x:v>5</x:v>
      </x:c>
      <x:c r="K10" s="22" t="str">
        <x:v>各PAの臨時閉鎖確認。短時間休憩だけに限定。</x:v>
      </x:c>
      <x:c r="L10" s="95" t="e">
        <x:f>HYPERLINK("https://www.google.com/maps/dir/?api=1&amp;destination=%E8%BE%B0%E5%B7%B3%E7%AC%AC%E4%B8%80PA&amp;travelmode=driving&amp;waypoints=%E5%B9%B3%E5%92%8C%E5%B3%B6PA%EF%BC%88%E4%B8%8A%E3%82%8A%EF%BC%89%7C%E8%8A%9D%E6%B5%A6PA","現在地からルート開始")</x:f>
      </x:c>
      <x:c r="M10" s="22" t="str">
        <x:v>高速方向制約</x:v>
      </x:c>
      <x:c r="N10" s="22" t="n">
        <x:v>81</x:v>
      </x:c>
      <x:c r="O10" s="22" t="str">
        <x:v>維持</x:v>
      </x:c>
      <x:c r="P10" s="22" t="str">
        <x:v>平和島PA（上り） → 芝浦PA → 辰巳第一PA の順に、景観と滞在強度を変化させる。</x:v>
      </x:c>
      <x:c r="Q10" s="22"/>
      <x:c r="R10" s="23" t="n">
        <x:v>46232</x:v>
      </x:c>
      <x:c r="S10" s="22" t="n">
        <x:v>71</x:v>
      </x:c>
      <x:c r="T10" s="22" t="n">
        <x:v>0</x:v>
      </x:c>
      <x:c r="U10" s="22" t="str">
        <x:v>休息 → 海・港・都市夜景 → 海・港・都市夜景 → 海・港・都市夜景</x:v>
      </x:c>
      <x:c r="V10" s="22" t="str">
        <x:v>平和島PA（上り）:12分／芝浦PA:12分／辰巳第一PA:20分</x:v>
      </x:c>
      <x:c r="W10" s="22" t="str">
        <x:v>専用・公式駐車場へ直接入庫／小規模。満車なら待たずに省略</x:v>
      </x:c>
      <x:c r="X10" s="22" t="str">
        <x:v>工事・閉鎖時／満車時／工事・閉鎖時</x:v>
      </x:c>
      <x:c r="Y10" s="22" t="str">
        <x:v>PA・高速</x:v>
      </x:c>
      <x:c r="Z10" s="22"/>
    </x:row>
    <x:row r="11">
      <x:c r="A11" s="22" t="str">
        <x:v>R037</x:v>
      </x:c>
      <x:c r="B11" s="22" t="str">
        <x:v>東東京・水辺ナイト</x:v>
      </x:c>
      <x:c r="C11" s="22" t="str">
        <x:v>都市公園／河川／夜間</x:v>
      </x:c>
      <x:c r="D11" s="22" t="str">
        <x:v>蒲田駅</x:v>
      </x:c>
      <x:c r="E11" s="22" t="str">
        <x:v>木場公園</x:v>
      </x:c>
      <x:c r="F11" s="22" t="str">
        <x:v>大島小松川公園</x:v>
      </x:c>
      <x:c r="G11" s="22"/>
      <x:c r="H11" s="22" t="str">
        <x:v>篠崎公園</x:v>
      </x:c>
      <x:c r="I11" s="22" t="str">
        <x:v>150～210分</x:v>
      </x:c>
      <x:c r="J11" s="22" t="n">
        <x:v>4</x:v>
      </x:c>
      <x:c r="K11" s="22" t="str">
        <x:v>24時間駐車場をつなぐ夜間用。木場公園の重複採用は湾岸から東東京へ切り替える休憩点として有効。</x:v>
      </x:c>
      <x:c r="L11" s="95" t="e">
        <x:f>HYPERLINK("https://www.google.com/maps/dir/?api=1&amp;destination=%E7%AF%A0%E5%B4%8E%E5%85%AC%E5%9C%92&amp;travelmode=driving&amp;waypoints=%E6%9C%A8%E5%A0%B4%E5%85%AC%E5%9C%92%7C%E5%A4%A7%E5%B3%B6%E5%B0%8F%E6%9D%BE%E5%B7%9D%E5%85%AC%E5%9C%92","現在地からルート開始")</x:f>
      </x:c>
      <x:c r="M11" s="22" t="str">
        <x:v>通常</x:v>
      </x:c>
      <x:c r="N11" s="22" t="n">
        <x:v>87</x:v>
      </x:c>
      <x:c r="O11" s="22" t="str">
        <x:v>維持</x:v>
      </x:c>
      <x:c r="P11" s="22" t="str">
        <x:v>木場公園 → 大島小松川公園 → 篠崎公園 の順に、景観と滞在強度を変化させる。</x:v>
      </x:c>
      <x:c r="Q11" s="22"/>
      <x:c r="R11" s="23" t="n">
        <x:v>46232</x:v>
      </x:c>
      <x:c r="S11" s="22" t="n">
        <x:v>79</x:v>
      </x:c>
      <x:c r="T11" s="22" t="n">
        <x:v>0</x:v>
      </x:c>
      <x:c r="U11" s="22" t="str">
        <x:v>海・港・自然 → 都市夜景・自然 → 都市夜景・自然 → 自然・休息</x:v>
      </x:c>
      <x:c r="V11" s="22" t="str">
        <x:v>木場公園:20分／大島小松川公園:20分／篠崎公園:45分</x:v>
      </x:c>
      <x:c r="W11" s="22" t="str">
        <x:v>専用・公式駐車場へ直接入庫</x:v>
      </x:c>
      <x:c r="X11" s="22" t="str">
        <x:v>臨時閉鎖・イベント混雑時</x:v>
      </x:c>
      <x:c r="Y11" s="22" t="str">
        <x:v>河川・多摩川</x:v>
      </x:c>
      <x:c r="Z11" s="22"/>
    </x:row>
    <x:row r="12">
      <x:c r="A12" s="22" t="str">
        <x:v>R048</x:v>
      </x:c>
      <x:c r="B12" s="22" t="str">
        <x:v>東側・確実な休憩ルート</x:v>
      </x:c>
      <x:c r="C12" s="22" t="str">
        <x:v>公園／道の駅／夜間</x:v>
      </x:c>
      <x:c r="D12" s="22" t="str">
        <x:v>蒲田駅</x:v>
      </x:c>
      <x:c r="E12" s="22" t="str">
        <x:v>木場公園</x:v>
      </x:c>
      <x:c r="F12" s="22" t="str">
        <x:v>大島小松川公園</x:v>
      </x:c>
      <x:c r="G12" s="22"/>
      <x:c r="H12" s="22" t="str">
        <x:v>道の駅 いちかわ</x:v>
      </x:c>
      <x:c r="I12" s="22" t="str">
        <x:v>140～200分</x:v>
      </x:c>
      <x:c r="J12" s="22" t="n">
        <x:v>4</x:v>
      </x:c>
      <x:c r="K12" s="22" t="str">
        <x:v>木場・大島小松川の重複は、都心から外環方面へ段階的に休息を入れるため。</x:v>
      </x:c>
      <x:c r="L12" s="95" t="e">
        <x:f>HYPERLINK("https://www.google.com/maps/dir/?api=1&amp;destination=%E9%81%93%E3%81%AE%E9%A7%85%20%E3%81%84%E3%81%A1%E3%81%8B%E3%82%8F&amp;travelmode=driving&amp;waypoints=%E6%9C%A8%E5%A0%B4%E5%85%AC%E5%9C%92%7C%E5%A4%A7%E5%B3%B6%E5%B0%8F%E6%9D%BE%E5%B7%9D%E5%85%AC%E5%9C%92","現在地からルート開始")</x:f>
      </x:c>
      <x:c r="M12" s="22" t="str">
        <x:v>通常</x:v>
      </x:c>
      <x:c r="N12" s="22" t="n">
        <x:v>85</x:v>
      </x:c>
      <x:c r="O12" s="22" t="str">
        <x:v>維持</x:v>
      </x:c>
      <x:c r="P12" s="22" t="str">
        <x:v>木場公園 → 大島小松川公園 → 道の駅 いちかわ の順に、景観と滞在強度を変化させる。</x:v>
      </x:c>
      <x:c r="Q12" s="22"/>
      <x:c r="R12" s="23" t="n">
        <x:v>46232</x:v>
      </x:c>
      <x:c r="S12" s="22" t="n">
        <x:v>88</x:v>
      </x:c>
      <x:c r="T12" s="22" t="n">
        <x:v>0</x:v>
      </x:c>
      <x:c r="U12" s="22" t="str">
        <x:v>海・港・自然 → 都市夜景・自然 → 都市夜景・自然 → その他</x:v>
      </x:c>
      <x:c r="V12" s="22" t="str">
        <x:v>木場公園:20分／大島小松川公園:20分／道の駅 いちかわ:35分</x:v>
      </x:c>
      <x:c r="W12" s="22" t="str">
        <x:v>専用・公式駐車場へ直接入庫</x:v>
      </x:c>
      <x:c r="X12" s="22" t="str">
        <x:v>臨時閉鎖・イベント混雑時／22:00に間に合わない時</x:v>
      </x:c>
      <x:c r="Y12" s="22" t="str">
        <x:v>都市公園・休憩</x:v>
      </x:c>
      <x:c r="Z12" s="22"/>
    </x:row>
    <x:row r="13">
      <x:c r="A13" s="22" t="str">
        <x:v>R049</x:v>
      </x:c>
      <x:c r="B13" s="22" t="str">
        <x:v>羽田河口から川崎港へ</x:v>
      </x:c>
      <x:c r="C13" s="22" t="str">
        <x:v>足湯／河口／工場夜景</x:v>
      </x:c>
      <x:c r="D13" s="22" t="str">
        <x:v>現在地</x:v>
      </x:c>
      <x:c r="E13" s="22" t="str">
        <x:v>HANEDA INNOVATION CITY 足湯スカイデッキ</x:v>
      </x:c>
      <x:c r="F13" s="22" t="str">
        <x:v>ソラムナード羽田緑地</x:v>
      </x:c>
      <x:c r="G13" s="22"/>
      <x:c r="H13" s="22" t="str">
        <x:v>川崎マリエン</x:v>
      </x:c>
      <x:c r="I13" s="22" t="str">
        <x:v>90～135分</x:v>
      </x:c>
      <x:c r="J13" s="22" t="n">
        <x:v>5</x:v>
      </x:c>
      <x:c r="K13" s="22" t="str">
        <x:v>HIC P1に駐車し、足湯とソラムナードは徒歩連結。川崎マリエン展望室は21時まで。</x:v>
      </x:c>
      <x:c r="L13" s="95" t="e">
        <x:f>HYPERLINK("https://www.google.com/maps/dir/?api=1&amp;destination=%E5%B7%9D%E5%B4%8E%E3%83%9E%E3%83%AA%E3%82%A8%E3%83%B3&amp;travelmode=driving&amp;waypoints=HANEDA%20INNOVATION%20CITY%20%E8%B6%B3%E6%B9%AF%E3%82%B9%E3%82%AB%E3%82%A4%E3%83%87%E3%83%83%E3%82%AD%7C%E3%82%BD%E3%83%A9%E3%83%A0%E3%83%8A%E3%83%BC%E3%83%89%E7%BE%BD%E7%94%B0%E7%B7%91%E5%9C%B0","現在地からルート開始")</x:f>
      </x:c>
      <x:c r="M13" s="22" t="str">
        <x:v>通常</x:v>
      </x:c>
      <x:c r="N13" s="22" t="n">
        <x:v>83</x:v>
      </x:c>
      <x:c r="O13" s="22" t="str">
        <x:v>差替え済</x:v>
      </x:c>
      <x:c r="P13" s="22" t="str">
        <x:v>足湯で旅を始め、多摩川河口を歩き、川を越えて川崎港の工場夜景を高所から見る。</x:v>
      </x:c>
      <x:c r="Q13" s="22" t="str">
        <x:v>駐車不可の殿町第2公園を削除し、HIC共有駐車と川崎マリエンへ全面再設計。</x:v>
      </x:c>
      <x:c r="R13" s="23" t="n">
        <x:v>46232</x:v>
      </x:c>
      <x:c r="S13" s="22" t="n">
        <x:v>58</x:v>
      </x:c>
      <x:c r="T13" s="22" t="n">
        <x:v>24</x:v>
      </x:c>
      <x:c r="U13" s="22" t="str">
        <x:v>飛行機・都市夜景 → 飛行機・海・港 → 飛行機・海・港 → 海・港・工場夜景</x:v>
      </x:c>
      <x:c r="V13" s="22" t="str">
        <x:v>HANEDA INNOVATION CITY 足湯スカイデッキ:25分／ソラムナード羽田緑地:25分／川崎マリエン:40分</x:v>
      </x:c>
      <x:c r="W13" s="22" t="str">
        <x:v>専用・公式駐車場へ直接入庫／車の経由地には不向き。合法駐車から徒歩のみ</x:v>
      </x:c>
      <x:c r="X13" s="22" t="str">
        <x:v>23:30に間に合わない時／満車時／強風・高潮・増水時／工事・閉鎖時／工事・閉鎖時</x:v>
      </x:c>
      <x:c r="Y13" s="22" t="str">
        <x:v>川崎・工場夜景</x:v>
      </x:c>
      <x:c r="Z13" s="22"/>
    </x:row>
    <x:row r="14">
      <x:c r="A14" s="22" t="str">
        <x:v>R050</x:v>
      </x:c>
      <x:c r="B14" s="22" t="str">
        <x:v>鶴見から生田へ丘陵公園線</x:v>
      </x:c>
      <x:c r="C14" s="22" t="str">
        <x:v>池／森林／高台展望</x:v>
      </x:c>
      <x:c r="D14" s="22" t="str">
        <x:v>現在地</x:v>
      </x:c>
      <x:c r="E14" s="22" t="str">
        <x:v>県立三ツ池公園</x:v>
      </x:c>
      <x:c r="F14" s="22" t="str">
        <x:v>県立東高根森林公園</x:v>
      </x:c>
      <x:c r="G14" s="22"/>
      <x:c r="H14" s="22" t="str">
        <x:v>生田緑地・枡形山展望台</x:v>
      </x:c>
      <x:c r="I14" s="22" t="str">
        <x:v>150～210分</x:v>
      </x:c>
      <x:c r="J14" s="22" t="n">
        <x:v>2</x:v>
      </x:c>
      <x:c r="K14" s="22" t="str">
        <x:v>昼～夕方専用。東高根森林公園は19時まで。枡形山展望台は日没前の到着を推奨。</x:v>
      </x:c>
      <x:c r="L14" s="95" t="e">
        <x:f>HYPERLINK("https://www.google.com/maps/dir/?api=1&amp;destination=%E7%94%9F%E7%94%B0%E7%B7%91%E5%9C%B0%E3%83%BB%E6%9E%A1%E5%BD%A2%E5%B1%B1%E5%B1%95%E6%9C%9B%E5%8F%B0&amp;travelmode=driving&amp;waypoints=%E7%9C%8C%E7%AB%8B%E4%B8%89%E3%83%84%E6%B1%A0%E5%85%AC%E5%9C%92%7C%E7%9C%8C%E7%AB%8B%E6%9D%B1%E9%AB%98%E6%A0%B9%E6%A3%AE%E6%9E%97%E5%85%AC%E5%9C%92","現在地からルート開始")</x:f>
      </x:c>
      <x:c r="M14" s="22" t="str">
        <x:v>昼専用</x:v>
      </x:c>
      <x:c r="N14" s="22" t="n">
        <x:v>77</x:v>
      </x:c>
      <x:c r="O14" s="22" t="str">
        <x:v>差替え済</x:v>
      </x:c>
      <x:c r="P14" s="22" t="str">
        <x:v>鶴見の大池から川崎北部の森林へ入り、最後に多摩丘陵の展望へ上がる地形変化ルート。</x:v>
      </x:c>
      <x:c r="Q14" s="22" t="str">
        <x:v>駐車条件の弱い菅生緑地・鷺沼北公園を、専用駐車場のある三ツ池・東高根へ差替え。</x:v>
      </x:c>
      <x:c r="R14" s="23" t="n">
        <x:v>46232</x:v>
      </x:c>
      <x:c r="S14" s="22" t="n">
        <x:v>71</x:v>
      </x:c>
      <x:c r="T14" s="22" t="n">
        <x:v>0</x:v>
      </x:c>
      <x:c r="U14" s="22" t="str">
        <x:v>自然 → 自然・Story → 自然・Story → 都市夜景・自然</x:v>
      </x:c>
      <x:c r="V14" s="22" t="str">
        <x:v>県立三ツ池公園:20分／県立東高根森林公園:45分／生田緑地・枡形山展望台:40分</x:v>
      </x:c>
      <x:c r="W14" s="22" t="str">
        <x:v>小規模。満車なら待たずに省略／専用・公式駐車場へ直接入庫</x:v>
      </x:c>
      <x:c r="X14" s="22" t="str">
        <x:v>満車時／工事・閉鎖時／19:00に間に合わない時／22:00に間に合わない時</x:v>
      </x:c>
      <x:c r="Y14" s="22" t="str">
        <x:v>森林・高台</x:v>
      </x:c>
      <x:c r="Z14" s="22"/>
    </x:row>
    <x:row r="15">
      <x:c r="A15" s="22" t="str">
        <x:v>R055</x:v>
      </x:c>
      <x:c r="B15" s="22" t="str">
        <x:v>鶴見・川崎近距離回復</x:v>
      </x:c>
      <x:c r="C15" s="22" t="str">
        <x:v>池／都市公園／河川</x:v>
      </x:c>
      <x:c r="D15" s="22" t="str">
        <x:v>現在地</x:v>
      </x:c>
      <x:c r="E15" s="22" t="str">
        <x:v>県立三ツ池公園</x:v>
      </x:c>
      <x:c r="F15" s="22" t="str">
        <x:v>富士見公園</x:v>
      </x:c>
      <x:c r="G15" s="22"/>
      <x:c r="H15" s="22" t="str">
        <x:v>御幸公園</x:v>
      </x:c>
      <x:c r="I15" s="22" t="str">
        <x:v>120～170分</x:v>
      </x:c>
      <x:c r="J15" s="22" t="n">
        <x:v>3</x:v>
      </x:c>
      <x:c r="K15" s="22" t="str">
        <x:v>三ツ池公園駐車場閉鎖時刻を確認。</x:v>
      </x:c>
      <x:c r="L15" s="95" t="e">
        <x:f>HYPERLINK("https://www.google.com/maps/dir/?api=1&amp;destination=%E5%BE%A1%E5%B9%B8%E5%85%AC%E5%9C%92&amp;travelmode=driving&amp;waypoints=%E7%9C%8C%E7%AB%8B%E4%B8%89%E3%83%84%E6%B1%A0%E5%85%AC%E5%9C%92%7C%E5%AF%8C%E5%A3%AB%E8%A6%8B%E5%85%AC%E5%9C%92","現在地からルート開始")</x:f>
      </x:c>
      <x:c r="M15" s="22" t="str">
        <x:v>通常</x:v>
      </x:c>
      <x:c r="N15" s="22" t="n">
        <x:v>73</x:v>
      </x:c>
      <x:c r="O15" s="22" t="str">
        <x:v>維持</x:v>
      </x:c>
      <x:c r="P15" s="22" t="str">
        <x:v>県立三ツ池公園 → 富士見公園 → 御幸公園 の順に、景観と滞在強度を変化させる。</x:v>
      </x:c>
      <x:c r="Q15" s="22"/>
      <x:c r="R15" s="23" t="n">
        <x:v>46232</x:v>
      </x:c>
      <x:c r="S15" s="22" t="n">
        <x:v>79</x:v>
      </x:c>
      <x:c r="T15" s="22" t="n">
        <x:v>0</x:v>
      </x:c>
      <x:c r="U15" s="22" t="str">
        <x:v>自然 → 工場夜景・都市夜景 → 工場夜景・都市夜景 → 自然</x:v>
      </x:c>
      <x:c r="V15" s="22" t="str">
        <x:v>県立三ツ池公園:20分／富士見公園:20分／御幸公園:45分</x:v>
      </x:c>
      <x:c r="W15" s="22" t="str">
        <x:v>小規模。満車なら待たずに省略／専用・公式駐車場へ直接入庫／公式駐車場の満空確認後に入庫</x:v>
      </x:c>
      <x:c r="X15" s="22" t="str">
        <x:v>満車時／工事・閉鎖時／工事・閉鎖時／強風・高潮・増水時</x:v>
      </x:c>
      <x:c r="Y15" s="22" t="str">
        <x:v>河川・多摩川</x:v>
      </x:c>
      <x:c r="Z15" s="22"/>
    </x:row>
    <x:row r="16">
      <x:c r="A16" s="22" t="str">
        <x:v>R056</x:v>
      </x:c>
      <x:c r="B16" s="22" t="str">
        <x:v>鶴見から本牧・港の三景</x:v>
      </x:c>
      <x:c r="C16" s="22" t="str">
        <x:v>雨天港湾展望／都市港／行き止まり</x:v>
      </x:c>
      <x:c r="D16" s="22" t="str">
        <x:v>現在地</x:v>
      </x:c>
      <x:c r="E16" s="22" t="str">
        <x:v>横浜市高齢者保養研修施設 ふれーゆ</x:v>
      </x:c>
      <x:c r="F16" s="22" t="str">
        <x:v>横浜港大さん橋</x:v>
      </x:c>
      <x:c r="G16" s="22"/>
      <x:c r="H16" s="22" t="str">
        <x:v>横浜港シンボルタワー</x:v>
      </x:c>
      <x:c r="I16" s="22" t="str">
        <x:v>170～240分</x:v>
      </x:c>
      <x:c r="J16" s="22" t="n">
        <x:v>2</x:v>
      </x:c>
      <x:c r="K16" s="22" t="str">
        <x:v>昼～夕方専用。ふれーゆの最終入庫とシンボルタワーの季節閉場を優先。雨天時はふれーゆ滞在を長くする。</x:v>
      </x:c>
      <x:c r="L16" s="95" t="e">
        <x:f>HYPERLINK("https://www.google.com/maps/dir/?api=1&amp;destination=%E6%A8%AA%E6%B5%9C%E6%B8%AF%E3%82%B7%E3%83%B3%E3%83%9C%E3%83%AB%E3%82%BF%E3%83%AF%E3%83%BC&amp;travelmode=driving&amp;waypoints=%E6%A8%AA%E6%B5%9C%E5%B8%82%E9%AB%98%E9%BD%A2%E8%80%85%E4%BF%9D%E9%A4%8A%E7%A0%94%E4%BF%AE%E6%96%BD%E8%A8%AD%20%E3%81%B5%E3%82%8C%E3%83%BC%E3%82%86%7C%E6%A8%AA%E6%B5%9C%E6%B8%AF%E5%A4%A7%E3%81%95%E3%82%93%E6%A9%8B","現在地からルート開始")</x:f>
      </x:c>
      <x:c r="M16" s="22" t="str">
        <x:v>昼～夕方専用</x:v>
      </x:c>
      <x:c r="N16" s="22" t="n">
        <x:v>91</x:v>
      </x:c>
      <x:c r="O16" s="22" t="str">
        <x:v>差替え済</x:v>
      </x:c>
      <x:c r="P16" s="22" t="str">
        <x:v>港湾最奥の屋内施設から都心港、最後に本牧ふ頭の端へ進み、横浜港のスケールを段階的に広げる。</x:v>
      </x:c>
      <x:c r="Q16" s="22" t="str">
        <x:v>丘陵公園ルートから、駐車・雨天・港湾Storyが明確な港の三景へ全面再設計。</x:v>
      </x:c>
      <x:c r="R16" s="23" t="n">
        <x:v>46232</x:v>
      </x:c>
      <x:c r="S16" s="22" t="n">
        <x:v>94</x:v>
      </x:c>
      <x:c r="T16" s="22" t="n">
        <x:v>0</x:v>
      </x:c>
      <x:c r="U16" s="22" t="str">
        <x:v>屋内港湾展望 → 都市港の水面 → 本牧ふ頭の行き止まり</x:v>
      </x:c>
      <x:c r="V16" s="22" t="str">
        <x:v>ふれーゆ:75分／横浜港大さん橋:25分／横浜港シンボルタワー:45分</x:v>
      </x:c>
      <x:c r="W16" s="22" t="str">
        <x:v>全地点に公式・専用駐車場</x:v>
      </x:c>
      <x:c r="X16" s="22" t="str">
        <x:v>ふれーゆ休館・最終入庫超過時は大さん橋から開始／シンボルタワー閉場時は大さん橋で終了</x:v>
      </x:c>
      <x:c r="Y16" s="22" t="str">
        <x:v>横浜港・丘陵</x:v>
      </x:c>
      <x:c r="Z16" s="22"/>
    </x:row>
    <x:row r="17">
      <x:c r="A17" s="22" t="str">
        <x:v>R059</x:v>
      </x:c>
      <x:c r="B17" s="22" t="str">
        <x:v>川崎港・運河から高所へ</x:v>
      </x:c>
      <x:c r="C17" s="22" t="str">
        <x:v>運河／芝生休憩／高所港湾展望</x:v>
      </x:c>
      <x:c r="D17" s="22" t="str">
        <x:v>現在地</x:v>
      </x:c>
      <x:c r="E17" s="22" t="str">
        <x:v>ちどり公園</x:v>
      </x:c>
      <x:c r="F17" s="22" t="str">
        <x:v>東扇島中公園</x:v>
      </x:c>
      <x:c r="G17" s="22"/>
      <x:c r="H17" s="22" t="str">
        <x:v>川崎マリエン</x:v>
      </x:c>
      <x:c r="I17" s="22" t="str">
        <x:v>110～160分</x:v>
      </x:c>
      <x:c r="J17" s="22" t="n">
        <x:v>3</x:v>
      </x:c>
      <x:c r="K17" s="22" t="str">
        <x:v>ちどり公園の駐車場は18時まで。東扇島中公園と川崎マリエンは1回駐車で徒歩連結。</x:v>
      </x:c>
      <x:c r="L17" s="95" t="e">
        <x:f>HYPERLINK("https://www.google.com/maps/dir/?api=1&amp;destination=%E5%B7%9D%E5%B4%8E%E3%83%9E%E3%83%AA%E3%82%A8%E3%83%B3&amp;travelmode=driving&amp;waypoints=%E3%81%A1%E3%81%A9%E3%82%8A%E5%85%AC%E5%9C%92%7C%E6%9D%B1%E6%89%87%E5%B3%B6%E4%B8%AD%E5%85%AC%E5%9C%92","現在地からルート開始")</x:f>
      </x:c>
      <x:c r="M17" s="22" t="str">
        <x:v>昼～夕方専用</x:v>
      </x:c>
      <x:c r="N17" s="22" t="n">
        <x:v>94</x:v>
      </x:c>
      <x:c r="O17" s="22" t="str">
        <x:v>差替え済</x:v>
      </x:c>
      <x:c r="P17" s="22" t="str">
        <x:v>川崎港を低い運河目線、地上の休憩、高所展望の三段階で体験する。</x:v>
      </x:c>
      <x:c r="Q17" s="22" t="str">
        <x:v>寺社・市街公園のStoryルートを、駐車条件と景観高度の変化が明確な川崎港ルートへ変更。</x:v>
      </x:c>
      <x:c r="R17" s="23" t="n">
        <x:v>46232</x:v>
      </x:c>
      <x:c r="S17" s="22" t="n">
        <x:v>93</x:v>
      </x:c>
      <x:c r="T17" s="22" t="n">
        <x:v>0</x:v>
      </x:c>
      <x:c r="U17" s="22" t="str">
        <x:v>低い運河展望 → 芝生と港湾休憩 → 地上51mの高所展望</x:v>
      </x:c>
      <x:c r="V17" s="22" t="str">
        <x:v>ちどり公園:20分／東扇島中公園:15分／川崎マリエン:35分</x:v>
      </x:c>
      <x:c r="W17" s="22" t="str">
        <x:v>ちどり公園公式駐車→マリエン1回駐車で中公園を徒歩連結</x:v>
      </x:c>
      <x:c r="X17" s="22" t="str">
        <x:v>17時以降はちどり公園を省略／マリエン展望室入館20:30超過時は中公園で終了</x:v>
      </x:c>
      <x:c r="Y17" s="22" t="str">
        <x:v>川崎・工場夜景</x:v>
      </x:c>
      <x:c r="Z17" s="22"/>
    </x:row>
    <x:row r="18">
      <x:c r="A18" s="22" t="str">
        <x:v>R073</x:v>
      </x:c>
      <x:c r="B18" s="22" t="str">
        <x:v>調布航空ナイト</x:v>
      </x:c>
      <x:c r="C18" s="22" t="str">
        <x:v>飛行機／航空史／24時間駐車</x:v>
      </x:c>
      <x:c r="D18" s="22" t="str">
        <x:v>現在地</x:v>
      </x:c>
      <x:c r="E18" s="22" t="str">
        <x:v>武蔵野の森公園</x:v>
      </x:c>
      <x:c r="F18" s="22" t="str">
        <x:v>府中の森公園</x:v>
      </x:c>
      <x:c r="G18" s="22"/>
      <x:c r="H18" s="22" t="str">
        <x:v>桜ヶ丘公園 ゆうひの丘</x:v>
      </x:c>
      <x:c r="I18" s="22" t="str">
        <x:v>160～220分</x:v>
      </x:c>
      <x:c r="J18" s="22" t="n">
        <x:v>4</x:v>
      </x:c>
      <x:c r="K18" s="22" t="str">
        <x:v>武蔵野の森・府中の森は駐車場24時間。北南プロムナードは16:30閉鎖、ゆうひの丘は20時閉鎖。</x:v>
      </x:c>
      <x:c r="L18" s="95" t="e">
        <x:f>HYPERLINK("https://www.google.com/maps/dir/?api=1&amp;destination=%E6%A1%9C%E3%83%B6%E4%B8%98%E5%85%AC%E5%9C%92%20%E3%82%86%E3%81%86%E3%81%B2%E3%81%AE%E4%B8%98&amp;travelmode=driving&amp;waypoints=%E6%AD%A6%E8%94%B5%E9%87%8E%E3%81%AE%E6%A3%AE%E5%85%AC%E5%9C%92%7C%E5%BA%9C%E4%B8%AD%E3%81%AE%E6%A3%AE%E5%85%AC%E5%9C%92","現在地からルート開始")</x:f>
      </x:c>
      <x:c r="M18" s="22" t="str">
        <x:v>通常</x:v>
      </x:c>
      <x:c r="N18" s="22" t="n">
        <x:v>82</x:v>
      </x:c>
      <x:c r="O18" s="22" t="str">
        <x:v>維持</x:v>
      </x:c>
      <x:c r="P18" s="22" t="str">
        <x:v>武蔵野の森公園 → 府中の森公園 → 桜ヶ丘公園 ゆうひの丘 の順に、景観と滞在強度を変化させる。</x:v>
      </x:c>
      <x:c r="Q18" s="22"/>
      <x:c r="R18" s="23" t="n">
        <x:v>46232</x:v>
      </x:c>
      <x:c r="S18" s="22" t="n">
        <x:v>91</x:v>
      </x:c>
      <x:c r="T18" s="22" t="n">
        <x:v>0</x:v>
      </x:c>
      <x:c r="U18" s="22" t="str">
        <x:v>飛行機 → 休息 → 休息 → 都市夜景・自然</x:v>
      </x:c>
      <x:c r="V18" s="22" t="str">
        <x:v>武蔵野の森公園:25分／府中の森公園:18分／桜ヶ丘公園 ゆうひの丘:35分</x:v>
      </x:c>
      <x:c r="W18" s="22" t="str">
        <x:v>専用・公式駐車場へ直接入庫</x:v>
      </x:c>
      <x:c r="X18" s="22" t="str">
        <x:v>工事・閉鎖時／臨時閉鎖・イベント混雑時／20:00に間に合わない時／工事・閉鎖時</x:v>
      </x:c>
      <x:c r="Y18" s="22" t="str">
        <x:v>羽田・航空</x:v>
      </x:c>
      <x:c r="Z18" s="22"/>
    </x:row>
    <x:row r="19">
      <x:c r="A19" s="22" t="str">
        <x:v>R080</x:v>
      </x:c>
      <x:c r="B19" s="22" t="str">
        <x:v>深大寺から調布飛行場へ</x:v>
      </x:c>
      <x:c r="C19" s="22" t="str">
        <x:v>寺社Story／植物／飛行場</x:v>
      </x:c>
      <x:c r="D19" s="22" t="str">
        <x:v>現在地</x:v>
      </x:c>
      <x:c r="E19" s="22" t="str">
        <x:v>神代植物公園・深大寺</x:v>
      </x:c>
      <x:c r="F19" s="22" t="str">
        <x:v>武蔵野の森公園</x:v>
      </x:c>
      <x:c r="G19" s="22"/>
      <x:c r="H19" s="22" t="str">
        <x:v>府中の森公園</x:v>
      </x:c>
      <x:c r="I19" s="22" t="str">
        <x:v>145～200分</x:v>
      </x:c>
      <x:c r="J19" s="22" t="n">
        <x:v>2</x:v>
      </x:c>
      <x:c r="K19" s="22" t="str">
        <x:v>昼～夕方専用。植物園閉園後は深大寺門前のみとし、武蔵野の森公園ではプロムナード16:30閉鎖に注意。</x:v>
      </x:c>
      <x:c r="L19" s="95" t="e">
        <x:f>HYPERLINK("https://www.google.com/maps/dir/?api=1&amp;destination=%E5%BA%9C%E4%B8%AD%E3%81%AE%E6%A3%AE%E5%85%AC%E5%9C%92&amp;travelmode=driving&amp;waypoints=%E7%A5%9E%E4%BB%A3%E6%A4%8D%E7%89%A9%E5%85%AC%E5%9C%92%E3%83%BB%E6%B7%B1%E5%A4%A7%E5%AF%BA%7C%E6%AD%A6%E8%94%B5%E9%87%8E%E3%81%AE%E6%A3%AE%E5%85%AC%E5%9C%92","現在地からルート開始")</x:f>
      </x:c>
      <x:c r="M19" s="22" t="str">
        <x:v>昼専用</x:v>
      </x:c>
      <x:c r="N19" s="22" t="n">
        <x:v>88</x:v>
      </x:c>
      <x:c r="O19" s="22" t="str">
        <x:v>差替え済</x:v>
      </x:c>
      <x:c r="P19" s="22" t="str">
        <x:v>深大寺の歴史と植物から、調布飛行場の開けた空へ切り替え、24時間駐車の府中の森で終了する。</x:v>
      </x:c>
      <x:c r="Q19" s="22" t="str">
        <x:v>名称の『ナイト』を廃止し、施設営業時間に合う昼～夕方ルートへ再定義。</x:v>
      </x:c>
      <x:c r="R19" s="23" t="n">
        <x:v>46232</x:v>
      </x:c>
      <x:c r="S19" s="22" t="n">
        <x:v>91</x:v>
      </x:c>
      <x:c r="T19" s="22" t="n">
        <x:v>0</x:v>
      </x:c>
      <x:c r="U19" s="22" t="str">
        <x:v>自然・Story → 飛行機 → 飛行機 → 休息</x:v>
      </x:c>
      <x:c r="V19" s="22" t="str">
        <x:v>神代植物公園・深大寺:45分／武蔵野の森公園:25分／府中の森公園:35分</x:v>
      </x:c>
      <x:c r="W19" s="22" t="str">
        <x:v>専用・公式駐車場へ直接入庫</x:v>
      </x:c>
      <x:c r="X19" s="22" t="str">
        <x:v>臨時閉鎖・イベント混雑時／工事・閉鎖時</x:v>
      </x:c>
      <x:c r="Y19" s="22" t="str">
        <x:v>羽田・航空</x:v>
      </x:c>
      <x:c r="Z19" s="22"/>
    </x:row>
    <x:row r="20">
      <x:c r="A20" s="22" t="str">
        <x:v>R089</x:v>
      </x:c>
      <x:c r="B20" s="22" t="str">
        <x:v>根岸湾工業景観</x:v>
      </x:c>
      <x:c r="C20" s="22" t="str">
        <x:v>工業湾岸／高台／港</x:v>
      </x:c>
      <x:c r="D20" s="22" t="str">
        <x:v>現在地</x:v>
      </x:c>
      <x:c r="E20" s="22" t="str">
        <x:v>磯子海づり施設</x:v>
      </x:c>
      <x:c r="F20" s="22" t="str">
        <x:v>本牧山頂公園</x:v>
      </x:c>
      <x:c r="G20" s="22"/>
      <x:c r="H20" s="22" t="str">
        <x:v>横浜港シンボルタワー</x:v>
      </x:c>
      <x:c r="I20" s="22" t="str">
        <x:v>160～220分</x:v>
      </x:c>
      <x:c r="J20" s="22" t="n">
        <x:v>3</x:v>
      </x:c>
      <x:c r="K20" s="22" t="str">
        <x:v>各施設の閉場時刻を確認。工場岸壁・私道へ入らない。</x:v>
      </x:c>
      <x:c r="L20" s="95" t="e">
        <x:f>HYPERLINK("https://www.google.com/maps/dir/?api=1&amp;destination=%E6%A8%AA%E6%B5%9C%E6%B8%AF%E3%82%B7%E3%83%B3%E3%83%9C%E3%83%AB%E3%82%BF%E3%83%AF%E3%83%BC&amp;travelmode=driving&amp;waypoints=%E7%A3%AF%E5%AD%90%E6%B5%B7%E3%81%A5%E3%82%8A%E6%96%BD%E8%A8%AD%7C%E6%9C%AC%E7%89%A7%E5%B1%B1%E9%A0%82%E5%85%AC%E5%9C%92","現在地からルート開始")</x:f>
      </x:c>
      <x:c r="M20" s="22" t="str">
        <x:v>通常</x:v>
      </x:c>
      <x:c r="N20" s="22" t="n">
        <x:v>81</x:v>
      </x:c>
      <x:c r="O20" s="22" t="str">
        <x:v>維持</x:v>
      </x:c>
      <x:c r="P20" s="22" t="str">
        <x:v>磯子海づり施設 → 本牧山頂公園 → 横浜港シンボルタワー の順に、景観と滞在強度を変化させる。</x:v>
      </x:c>
      <x:c r="Q20" s="22"/>
      <x:c r="R20" s="23" t="n">
        <x:v>46232</x:v>
      </x:c>
      <x:c r="S20" s="22" t="n">
        <x:v>68</x:v>
      </x:c>
      <x:c r="T20" s="22" t="n">
        <x:v>3</x:v>
      </x:c>
      <x:c r="U20" s="22" t="str">
        <x:v>海・港・工場夜景 → 海・港・工場夜景 → 海・港・工場夜景 → 海・港・都市夜景</x:v>
      </x:c>
      <x:c r="V20" s="22" t="str">
        <x:v>磯子海づり施設:18分／本牧山頂公園:25分／横浜港シンボルタワー:40分</x:v>
      </x:c>
      <x:c r="W20" s="22" t="str">
        <x:v>専用・公式駐車場へ直接入庫</x:v>
      </x:c>
      <x:c r="X20" s="22" t="str">
        <x:v>19:00に間に合わない時／臨時閉鎖・イベント混雑時／20:00に間に合わない時／工事・閉鎖時</x:v>
      </x:c>
      <x:c r="Y20" s="22" t="str">
        <x:v>川崎・工場夜景</x:v>
      </x:c>
      <x:c r="Z20" s="22"/>
    </x:row>
    <x:row r="21">
      <x:c r="A21" s="22" t="str">
        <x:v>R093</x:v>
      </x:c>
      <x:c r="B21" s="22" t="str">
        <x:v>東京北東24時間公園線</x:v>
      </x:c>
      <x:c r="C21" s="22" t="str">
        <x:v>遺跡／池／夜間</x:v>
      </x:c>
      <x:c r="D21" s="22" t="str">
        <x:v>現在地</x:v>
      </x:c>
      <x:c r="E21" s="22" t="str">
        <x:v>城北中央公園</x:v>
      </x:c>
      <x:c r="F21" s="22" t="str">
        <x:v>舎人公園</x:v>
      </x:c>
      <x:c r="G21" s="22"/>
      <x:c r="H21" s="22" t="str">
        <x:v>東綾瀬公園</x:v>
      </x:c>
      <x:c r="I21" s="22" t="str">
        <x:v>150～210分</x:v>
      </x:c>
      <x:c r="J21" s="22" t="n">
        <x:v>4</x:v>
      </x:c>
      <x:c r="K21" s="22" t="str">
        <x:v>住宅地への騒音配慮。イベント時の満車は次地点へ進む。</x:v>
      </x:c>
      <x:c r="L21" s="95" t="e">
        <x:f>HYPERLINK("https://www.google.com/maps/dir/?api=1&amp;destination=%E6%9D%B1%E7%B6%BE%E7%80%AC%E5%85%AC%E5%9C%92&amp;travelmode=driving&amp;waypoints=%E5%9F%8E%E5%8C%97%E4%B8%AD%E5%A4%AE%E5%85%AC%E5%9C%92%7C%E8%88%8E%E4%BA%BA%E5%85%AC%E5%9C%92","現在地からルート開始")</x:f>
      </x:c>
      <x:c r="M21" s="22" t="str">
        <x:v>通常</x:v>
      </x:c>
      <x:c r="N21" s="22" t="n">
        <x:v>78</x:v>
      </x:c>
      <x:c r="O21" s="22" t="str">
        <x:v>維持</x:v>
      </x:c>
      <x:c r="P21" s="22" t="str">
        <x:v>城北中央公園 → 舎人公園 → 東綾瀬公園 の順に、景観と滞在強度を変化させる。</x:v>
      </x:c>
      <x:c r="Q21" s="22"/>
      <x:c r="R21" s="23" t="n">
        <x:v>46232</x:v>
      </x:c>
      <x:c r="S21" s="22" t="n">
        <x:v>79</x:v>
      </x:c>
      <x:c r="T21" s="22" t="n">
        <x:v>0</x:v>
      </x:c>
      <x:c r="U21" s="22" t="str">
        <x:v>自然・Story → 都市夜景・自然 → 都市夜景・自然 → 自然</x:v>
      </x:c>
      <x:c r="V21" s="22" t="str">
        <x:v>城北中央公園:20分／舎人公園:18分／東綾瀬公園:45分</x:v>
      </x:c>
      <x:c r="W21" s="22" t="str">
        <x:v>小規模。満車なら待たずに省略／専用・公式駐車場へ直接入庫</x:v>
      </x:c>
      <x:c r="X21" s="22" t="str">
        <x:v>満車時／臨時閉鎖・イベント混雑時</x:v>
      </x:c>
      <x:c r="Y21" s="22" t="str">
        <x:v>Story・文化</x:v>
      </x:c>
      <x:c r="Z21" s="22"/>
    </x:row>
    <x:row r="22">
      <x:c r="A22" s="22" t="str">
        <x:v>R097</x:v>
      </x:c>
      <x:c r="B22" s="22" t="str">
        <x:v>浦安ベイ・24時間海辺線</x:v>
      </x:c>
      <x:c r="C22" s="22" t="str">
        <x:v>海／芝生／都市夜景</x:v>
      </x:c>
      <x:c r="D22" s="22" t="str">
        <x:v>現在地</x:v>
      </x:c>
      <x:c r="E22" s="22" t="str">
        <x:v>高洲海浜公園</x:v>
      </x:c>
      <x:c r="F22" s="22" t="str">
        <x:v>浦安市総合公園</x:v>
      </x:c>
      <x:c r="G22" s="22" t="str">
        <x:v>葛西臨海公園</x:v>
      </x:c>
      <x:c r="H22" s="22" t="str">
        <x:v>潮風公園</x:v>
      </x:c>
      <x:c r="I22" s="22" t="str">
        <x:v>150～220分</x:v>
      </x:c>
      <x:c r="J22" s="22" t="n">
        <x:v>5</x:v>
      </x:c>
      <x:c r="K22" s="22" t="str">
        <x:v>高洲と浦安総合は終日駐車可能。海風が強い日は各地点の滞在を短縮。</x:v>
      </x:c>
      <x:c r="L22" s="95" t="e">
        <x:f>HYPERLINK("https://www.google.com/maps/dir/?api=1&amp;destination=%E6%BD%AE%E9%A2%A8%E5%85%AC%E5%9C%92&amp;travelmode=driving&amp;waypoints=%E9%AB%98%E6%B4%B2%E6%B5%B7%E6%B5%9C%E5%85%AC%E5%9C%92%7C%E6%B5%A6%E5%AE%89%E5%B8%82%E7%B7%8F%E5%90%88%E5%85%AC%E5%9C%92%7C%E8%91%9B%E8%A5%BF%E8%87%A8%E6%B5%B7%E5%85%AC%E5%9C%92","現在地からルート開始")</x:f>
      </x:c>
      <x:c r="M22" s="22" t="str">
        <x:v>通常</x:v>
      </x:c>
      <x:c r="N22" s="22" t="n">
        <x:v>88</x:v>
      </x:c>
      <x:c r="O22" s="22" t="str">
        <x:v>維持</x:v>
      </x:c>
      <x:c r="P22" s="22" t="str">
        <x:v>高洲海浜公園 → 浦安市総合公園 → 葛西臨海公園 → 潮風公園 の順に、景観と滞在強度を変化させる。</x:v>
      </x:c>
      <x:c r="Q22" s="22"/>
      <x:c r="R22" s="23" t="n">
        <x:v>46232</x:v>
      </x:c>
      <x:c r="S22" s="22" t="n">
        <x:v>77</x:v>
      </x:c>
      <x:c r="T22" s="22" t="n">
        <x:v>0</x:v>
      </x:c>
      <x:c r="U22" s="22" t="str">
        <x:v>海・港・都市夜景 → 海・港・自然 → 海・港・自然 → 海・港・自然 → 海・港・自然 → 海・港・都市夜景</x:v>
      </x:c>
      <x:c r="V22" s="22" t="str">
        <x:v>高洲海浜公園:25分／浦安市総合公園:20分／葛西臨海公園:20分／潮風公園:45分</x:v>
      </x:c>
      <x:c r="W22" s="22" t="str">
        <x:v>専用・公式駐車場へ直接入庫</x:v>
      </x:c>
      <x:c r="X22" s="22" t="str">
        <x:v>強風・高潮・増水時／臨時閉鎖・イベント混雑時／工事・閉鎖時</x:v>
      </x:c>
      <x:c r="Y22" s="22" t="str">
        <x:v>東京港・水辺</x:v>
      </x:c>
      <x:c r="Z22" s="22"/>
    </x:row>
    <x:row r="23">
      <x:c r="A23" s="22" t="str">
        <x:v>R113</x:v>
      </x:c>
      <x:c r="B23" s="22" t="str">
        <x:v>川崎丘陵・古代と現代</x:v>
      </x:c>
      <x:c r="C23" s="22" t="str">
        <x:v>遺跡／森林／展望</x:v>
      </x:c>
      <x:c r="D23" s="22" t="str">
        <x:v>現在地</x:v>
      </x:c>
      <x:c r="E23" s="22" t="str">
        <x:v>県立東高根森林公園</x:v>
      </x:c>
      <x:c r="F23" s="22" t="str">
        <x:v>生田緑地・枡形山展望台</x:v>
      </x:c>
      <x:c r="G23" s="22"/>
      <x:c r="H23" s="22" t="str">
        <x:v>夢見ヶ崎動物公園</x:v>
      </x:c>
      <x:c r="I23" s="22" t="str">
        <x:v>150～220分</x:v>
      </x:c>
      <x:c r="J23" s="22" t="n">
        <x:v>3</x:v>
      </x:c>
      <x:c r="K23" s="22" t="str">
        <x:v>東高根19時閉場。日没前に枡形山へ上がり、最後は近距離夜景。</x:v>
      </x:c>
      <x:c r="L23" s="95" t="e">
        <x:f>HYPERLINK("https://www.google.com/maps/dir/?api=1&amp;destination=%E5%A4%A2%E8%A6%8B%E3%83%B6%E5%B4%8E%E5%8B%95%E7%89%A9%E5%85%AC%E5%9C%92&amp;travelmode=driving&amp;waypoints=%E7%9C%8C%E7%AB%8B%E6%9D%B1%E9%AB%98%E6%A0%B9%E6%A3%AE%E6%9E%97%E5%85%AC%E5%9C%92%7C%E7%94%9F%E7%94%B0%E7%B7%91%E5%9C%B0%E3%83%BB%E6%9E%A1%E5%BD%A2%E5%B1%B1%E5%B1%95%E6%9C%9B%E5%8F%B0","現在地からルート開始")</x:f>
      </x:c>
      <x:c r="M23" s="22" t="str">
        <x:v>通常</x:v>
      </x:c>
      <x:c r="N23" s="22" t="n">
        <x:v>74</x:v>
      </x:c>
      <x:c r="O23" s="22" t="str">
        <x:v>維持</x:v>
      </x:c>
      <x:c r="P23" s="22" t="str">
        <x:v>県立東高根森林公園 → 生田緑地・枡形山展望台 → 夢見ヶ崎動物公園 の順に、景観と滞在強度を変化させる。</x:v>
      </x:c>
      <x:c r="Q23" s="22"/>
      <x:c r="R23" s="23" t="n">
        <x:v>46232</x:v>
      </x:c>
      <x:c r="S23" s="22" t="n">
        <x:v>71</x:v>
      </x:c>
      <x:c r="T23" s="22" t="n">
        <x:v>0</x:v>
      </x:c>
      <x:c r="U23" s="22" t="str">
        <x:v>自然・Story → 都市夜景・自然 → 都市夜景・自然 → 都市夜景・自然</x:v>
      </x:c>
      <x:c r="V23" s="22" t="str">
        <x:v>県立東高根森林公園:45分／生田緑地・枡形山展望台:25分／夢見ヶ崎動物公園:40分</x:v>
      </x:c>
      <x:c r="W23" s="22" t="str">
        <x:v>専用・公式駐車場へ直接入庫／小規模。満車なら待たずに省略</x:v>
      </x:c>
      <x:c r="X23" s="22" t="str">
        <x:v>19:00に間に合わない時／22:00に間に合わない時／満車時</x:v>
      </x:c>
      <x:c r="Y23" s="22" t="str">
        <x:v>森林・高台</x:v>
      </x:c>
      <x:c r="Z23" s="22"/>
    </x:row>
    <x:row r="24">
      <x:c r="A24" s="22" t="str">
        <x:v>R119</x:v>
      </x:c>
      <x:c r="B24" s="22" t="str">
        <x:v>横浜・庭園と丘陵三層</x:v>
      </x:c>
      <x:c r="C24" s="22" t="str">
        <x:v>日本庭園／競馬場跡／丘陵</x:v>
      </x:c>
      <x:c r="D24" s="22" t="str">
        <x:v>現在地</x:v>
      </x:c>
      <x:c r="E24" s="22" t="str">
        <x:v>三溪園</x:v>
      </x:c>
      <x:c r="F24" s="22" t="str">
        <x:v>根岸森林公園</x:v>
      </x:c>
      <x:c r="G24" s="22"/>
      <x:c r="H24" s="22" t="str">
        <x:v>金沢自然公園</x:v>
      </x:c>
      <x:c r="I24" s="22" t="str">
        <x:v>180～250分</x:v>
      </x:c>
      <x:c r="J24" s="22" t="n">
        <x:v>1</x:v>
      </x:c>
      <x:c r="K24" s="22" t="str">
        <x:v>午前開始の昼専用。三溪園の最終入園16:30と金沢自然公園の入庫締切を優先。</x:v>
      </x:c>
      <x:c r="L24" s="95" t="e">
        <x:f>HYPERLINK("https://www.google.com/maps/dir/?api=1&amp;destination=%E9%87%91%E6%B2%A2%E8%87%AA%E7%84%B6%E5%85%AC%E5%9C%92&amp;travelmode=driving&amp;waypoints=%E4%B8%89%E6%BA%AA%E5%9C%92%7C%E6%A0%B9%E5%B2%B8%E6%A3%AE%E6%9E%97%E5%85%AC%E5%9C%92","現在地からルート開始")</x:f>
      </x:c>
      <x:c r="M24" s="22" t="str">
        <x:v>昼専用</x:v>
      </x:c>
      <x:c r="N24" s="22" t="n">
        <x:v>85</x:v>
      </x:c>
      <x:c r="O24" s="22" t="str">
        <x:v>差替え済</x:v>
      </x:c>
      <x:c r="P24" s="22" t="str">
        <x:v>古建築の日本庭園→近代競馬場跡→横浜南部の丘陵へ南下し、駐車と進行方向を安定させる。</x:v>
      </x:c>
      <x:c r="Q24" s="22" t="str">
        <x:v>小規模駐車場かつ戸塚方向へ大きく逸れる俣野別邸庭園を根岸森林公園へ差替え。</x:v>
      </x:c>
      <x:c r="R24" s="23" t="n">
        <x:v>46232</x:v>
      </x:c>
      <x:c r="S24" s="22" t="n">
        <x:v>88</x:v>
      </x:c>
      <x:c r="T24" s="22" t="n">
        <x:v>0</x:v>
      </x:c>
      <x:c r="U24" s="22" t="str">
        <x:v>海・港・自然 → 都市夜景・Story → 都市夜景・Story → 海・港・自然</x:v>
      </x:c>
      <x:c r="V24" s="22" t="str">
        <x:v>三溪園:45分／根岸森林公園:18分／金沢自然公園:75分</x:v>
      </x:c>
      <x:c r="W24" s="22" t="str">
        <x:v>専用・公式駐車場へ直接入庫</x:v>
      </x:c>
      <x:c r="X24" s="22" t="str">
        <x:v>17:00に間に合わない時／臨時閉鎖・イベント混雑時</x:v>
      </x:c>
      <x:c r="Y24" s="22" t="str">
        <x:v>森林・高台</x:v>
      </x:c>
      <x:c r="Z24" s="22"/>
    </x:row>
    <x:row r="25">
      <x:c r="A25" s="22" t="str">
        <x:v>R121</x:v>
      </x:c>
      <x:c r="B25" s="22" t="str">
        <x:v>湾岸・干潟から運河へ</x:v>
      </x:c>
      <x:c r="C25" s="22" t="str">
        <x:v>干潟／海／運河</x:v>
      </x:c>
      <x:c r="D25" s="22" t="str">
        <x:v>現在地</x:v>
      </x:c>
      <x:c r="E25" s="22" t="str">
        <x:v>葛西海浜公園</x:v>
      </x:c>
      <x:c r="F25" s="22" t="str">
        <x:v>葛西臨海公園</x:v>
      </x:c>
      <x:c r="G25" s="22" t="str">
        <x:v>東品川海上公園</x:v>
      </x:c>
      <x:c r="H25" s="22" t="str">
        <x:v>城南島海浜公園</x:v>
      </x:c>
      <x:c r="I25" s="22" t="str">
        <x:v>150～220分</x:v>
      </x:c>
      <x:c r="J25" s="22" t="n">
        <x:v>4</x:v>
      </x:c>
      <x:c r="K25" s="22" t="str">
        <x:v>葛西駐車場混雑時は高洲海浜公園へ差替え。東品川は時間貸し駐車場利用。</x:v>
      </x:c>
      <x:c r="L25" s="95" t="e">
        <x:f>HYPERLINK("https://www.google.com/maps/dir/?api=1&amp;destination=%E5%9F%8E%E5%8D%97%E5%B3%B6%E6%B5%B7%E6%B5%9C%E5%85%AC%E5%9C%92&amp;travelmode=driving&amp;waypoints=%E8%91%9B%E8%A5%BF%E6%B5%B7%E6%B5%9C%E5%85%AC%E5%9C%92%7C%E8%91%9B%E8%A5%BF%E8%87%A8%E6%B5%B7%E5%85%AC%E5%9C%92%7C%E6%9D%B1%E5%93%81%E5%B7%9D%E6%B5%B7%E4%B8%8A%E5%85%AC%E5%9C%92","現在地からルート開始")</x:f>
      </x:c>
      <x:c r="M25" s="22" t="str">
        <x:v>通常</x:v>
      </x:c>
      <x:c r="N25" s="22" t="n">
        <x:v>78</x:v>
      </x:c>
      <x:c r="O25" s="22" t="str">
        <x:v>維持</x:v>
      </x:c>
      <x:c r="P25" s="22" t="str">
        <x:v>葛西海浜公園 → 葛西臨海公園 → 東品川海上公園 → 城南島海浜公園 の順に、景観と滞在強度を変化させる。</x:v>
      </x:c>
      <x:c r="Q25" s="22"/>
      <x:c r="R25" s="23" t="n">
        <x:v>46232</x:v>
      </x:c>
      <x:c r="S25" s="22" t="n">
        <x:v>76</x:v>
      </x:c>
      <x:c r="T25" s="22" t="n">
        <x:v>9</x:v>
      </x:c>
      <x:c r="U25" s="22" t="str">
        <x:v>海・港・自然 → 海・港・自然 → 海・港・自然 → 海・港・自然 → 海・港・自然 → 飛行機・海・港</x:v>
      </x:c>
      <x:c r="V25" s="22" t="str">
        <x:v>葛西海浜公園:20分／葛西臨海公園:20分／東品川海上公園:45分／城南島海浜公園:40分</x:v>
      </x:c>
      <x:c r="W25" s="22" t="str">
        <x:v>専用・公式駐車場へ直接入庫／車の経由地には不向き。合法駐車から徒歩のみ</x:v>
      </x:c>
      <x:c r="X25" s="22" t="str">
        <x:v>臨時閉鎖・イベント混雑時／満車時／工事・閉鎖時／21:00に間に合わない時／工事・閉鎖時</x:v>
      </x:c>
      <x:c r="Y25" s="22" t="str">
        <x:v>東京港・水辺</x:v>
      </x:c>
      <x:c r="Z25" s="22"/>
    </x:row>
    <x:row r="26">
      <x:c r="A26" s="22" t="str">
        <x:v>R131</x:v>
      </x:c>
      <x:c r="B26" s="22" t="str">
        <x:v>東京近距離・運河と市場</x:v>
      </x:c>
      <x:c r="C26" s="22" t="str">
        <x:v>運河／道の駅／海</x:v>
      </x:c>
      <x:c r="D26" s="22" t="str">
        <x:v>現在地</x:v>
      </x:c>
      <x:c r="E26" s="22" t="str">
        <x:v>東品川海上公園</x:v>
      </x:c>
      <x:c r="F26" s="22" t="str">
        <x:v>道の駅 いちかわ</x:v>
      </x:c>
      <x:c r="G26" s="22" t="str">
        <x:v>高洲海浜公園</x:v>
      </x:c>
      <x:c r="H26" s="22" t="str">
        <x:v>葛西海浜公園</x:v>
      </x:c>
      <x:c r="I26" s="22" t="str">
        <x:v>170～240分</x:v>
      </x:c>
      <x:c r="J26" s="22" t="n">
        <x:v>4</x:v>
      </x:c>
      <x:c r="K26" s="22" t="str">
        <x:v>東品川は専用駐車場なし。葛西の海浜立入時間・潮位を確認。</x:v>
      </x:c>
      <x:c r="L26" s="95" t="e">
        <x:f>HYPERLINK("https://www.google.com/maps/dir/?api=1&amp;destination=%E8%91%9B%E8%A5%BF%E6%B5%B7%E6%B5%9C%E5%85%AC%E5%9C%92&amp;travelmode=driving&amp;waypoints=%E6%9D%B1%E5%93%81%E5%B7%9D%E6%B5%B7%E4%B8%8A%E5%85%AC%E5%9C%92%7C%E9%81%93%E3%81%AE%E9%A7%85%20%E3%81%84%E3%81%A1%E3%81%8B%E3%82%8F%7C%E9%AB%98%E6%B4%B2%E6%B5%B7%E6%B5%9C%E5%85%AC%E5%9C%92","現在地からルート開始")</x:f>
      </x:c>
      <x:c r="M26" s="22" t="str">
        <x:v>通常</x:v>
      </x:c>
      <x:c r="N26" s="22" t="n">
        <x:v>82</x:v>
      </x:c>
      <x:c r="O26" s="22" t="str">
        <x:v>維持</x:v>
      </x:c>
      <x:c r="P26" s="22" t="str">
        <x:v>東品川海上公園 → 道の駅 いちかわ → 高洲海浜公園 → 葛西海浜公園 の順に、景観と滞在強度を変化させる。</x:v>
      </x:c>
      <x:c r="Q26" s="22"/>
      <x:c r="R26" s="23" t="n">
        <x:v>46232</x:v>
      </x:c>
      <x:c r="S26" s="22" t="n">
        <x:v>100</x:v>
      </x:c>
      <x:c r="T26" s="22" t="n">
        <x:v>0</x:v>
      </x:c>
      <x:c r="U26" s="22" t="str">
        <x:v>海・港・自然 → その他 → その他 → 海・港・都市夜景 → 海・港・都市夜景 → 海・港・自然</x:v>
      </x:c>
      <x:c r="V26" s="22" t="str">
        <x:v>東品川海上公園:45分／道の駅 いちかわ:18分／高洲海浜公園:25分／葛西海浜公園:45分</x:v>
      </x:c>
      <x:c r="W26" s="22" t="str">
        <x:v>車の経由地には不向き。合法駐車から徒歩のみ／専用・公式駐車場へ直接入庫</x:v>
      </x:c>
      <x:c r="X26" s="22" t="str">
        <x:v>満車時／工事・閉鎖時／22:00に間に合わない時／強風・高潮・増水時／臨時閉鎖・イベント混雑時</x:v>
      </x:c>
      <x:c r="Y26" s="22" t="str">
        <x:v>東京港・水辺</x:v>
      </x:c>
      <x:c r="Z26" s="22"/>
    </x:row>
    <x:row r="27">
      <x:c r="A27" s="22" t="str">
        <x:v>R133</x:v>
      </x:c>
      <x:c r="B27" s="22" t="str">
        <x:v>羽田・足湯から河口へ</x:v>
      </x:c>
      <x:c r="C27" s="22" t="str">
        <x:v>飛行機／足湯／河口</x:v>
      </x:c>
      <x:c r="D27" s="22" t="str">
        <x:v>現在地</x:v>
      </x:c>
      <x:c r="E27" s="22" t="str">
        <x:v>HANEDA INNOVATION CITY 足湯スカイデッキ</x:v>
      </x:c>
      <x:c r="F27" s="22" t="str">
        <x:v>ソラムナード羽田緑地</x:v>
      </x:c>
      <x:c r="G27" s="22"/>
      <x:c r="H27" s="22" t="str">
        <x:v>羽田空港 第3ターミナル展望デッキ</x:v>
      </x:c>
      <x:c r="I27" s="22" t="str">
        <x:v>70～110分</x:v>
      </x:c>
      <x:c r="J27" s="22" t="n">
        <x:v>5</x:v>
      </x:c>
      <x:c r="K27" s="22" t="str">
        <x:v>平日夜の主力。HIC P1を利用し、ソラムナードは徒歩を含む。</x:v>
      </x:c>
      <x:c r="L27" s="95" t="e">
        <x:f>HYPERLINK("https://www.google.com/maps/dir/?api=1&amp;destination=%E7%BE%BD%E7%94%B0%E7%A9%BA%E6%B8%AF%20%E7%AC%AC3%E3%82%BF%E3%83%BC%E3%83%9F%E3%83%8A%E3%83%AB%E5%B1%95%E6%9C%9B%E3%83%87%E3%83%83%E3%82%AD&amp;travelmode=driving&amp;waypoints=HANEDA%20INNOVATION%20CITY%20%E8%B6%B3%E6%B9%AF%E3%82%B9%E3%82%AB%E3%82%A4%E3%83%87%E3%83%83%E3%82%AD%7C%E3%82%BD%E3%83%A9%E3%83%A0%E3%83%8A%E3%83%BC%E3%83%89%E7%BE%BD%E7%94%B0%E7%B7%91%E5%9C%B0","現在地からルート開始")</x:f>
      </x:c>
      <x:c r="M27" s="22" t="str">
        <x:v>共有駐車・徒歩連結</x:v>
      </x:c>
      <x:c r="N27" s="22" t="n">
        <x:v>84</x:v>
      </x:c>
      <x:c r="O27" s="22" t="str">
        <x:v>役割明記</x:v>
      </x:c>
      <x:c r="P27" s="22" t="str">
        <x:v>HIC P1に車を置いたまま、足湯とソラムナードを徒歩で連結。2地点間の再駐車は不要。</x:v>
      </x:c>
      <x:c r="Q27" s="22" t="str">
        <x:v>HIC P1に車を置いたまま、足湯とソラムナードを徒歩で連結。2地点間の再駐車は不要。</x:v>
      </x:c>
      <x:c r="R27" s="23" t="n">
        <x:v>46232</x:v>
      </x:c>
      <x:c r="S27" s="22" t="n">
        <x:v>52</x:v>
      </x:c>
      <x:c r="T27" s="22" t="n">
        <x:v>30</x:v>
      </x:c>
      <x:c r="U27" s="22" t="str">
        <x:v>飛行機・都市夜景 → 飛行機・海・港 → 飛行機・海・港 → 飛行機・都市夜景</x:v>
      </x:c>
      <x:c r="V27" s="22" t="str">
        <x:v>HANEDA INNOVATION CITY 足湯スカイデッキ:25分／ソラムナード羽田緑地:25分／羽田空港 第3ターミナル展望デッキ:40分</x:v>
      </x:c>
      <x:c r="W27" s="22" t="str">
        <x:v>専用・公式駐車場へ直接入庫／HIC P1に1回駐車したまま徒歩連結</x:v>
      </x:c>
      <x:c r="X27" s="22" t="str">
        <x:v>23:30に間に合わない時／強風・高潮・増水時／工事・閉鎖時／工事・閉鎖時</x:v>
      </x:c>
      <x:c r="Y27" s="22" t="str">
        <x:v>羽田・航空</x:v>
      </x:c>
      <x:c r="Z27" s="22"/>
    </x:row>
    <x:row r="28">
      <x:c r="A28" s="22" t="str">
        <x:v>R134</x:v>
      </x:c>
      <x:c r="B28" s="22" t="str">
        <x:v>羽田3ターミナル比較</x:v>
      </x:c>
      <x:c r="C28" s="22" t="str">
        <x:v>飛行機／空港建築／雨天</x:v>
      </x:c>
      <x:c r="D28" s="22" t="str">
        <x:v>現在地</x:v>
      </x:c>
      <x:c r="E28" s="22" t="str">
        <x:v>羽田空港 第1ターミナル展望デッキ</x:v>
      </x:c>
      <x:c r="F28" s="22" t="str">
        <x:v>羽田空港 第2ターミナル展望デッキ／FLIGHT DECK TOKYO</x:v>
      </x:c>
      <x:c r="G28" s="22"/>
      <x:c r="H28" s="22" t="str">
        <x:v>羽田空港 第3ターミナル展望デッキ</x:v>
      </x:c>
      <x:c r="I28" s="22" t="str">
        <x:v>100～150分</x:v>
      </x:c>
      <x:c r="J28" s="22" t="n">
        <x:v>5</x:v>
      </x:c>
      <x:c r="K28" s="22" t="str">
        <x:v>P3/P4等に1回駐車し、ターミナル間は無料連絡バスを基本とする。駐車場を3回入り直さない。</x:v>
      </x:c>
      <x:c r="L28" s="95" t="e">
        <x:f>HYPERLINK("https://www.google.com/maps/dir/?api=1&amp;destination=%E7%BE%BD%E7%94%B0%E7%A9%BA%E6%B8%AF%20%E7%AC%AC3%E3%82%BF%E3%83%BC%E3%83%9F%E3%83%8A%E3%83%AB%E5%B1%95%E6%9C%9B%E3%83%87%E3%83%83%E3%82%AD&amp;travelmode=driving&amp;waypoints=%E7%BE%BD%E7%94%B0%E7%A9%BA%E6%B8%AF%20%E7%AC%AC1%E3%82%BF%E3%83%BC%E3%83%9F%E3%83%8A%E3%83%AB%E5%B1%95%E6%9C%9B%E3%83%87%E3%83%83%E3%82%AD%7C%E7%BE%BD%E7%94%B0%E7%A9%BA%E6%B8%AF%20%E7%AC%AC2%E3%82%BF%E3%83%BC%E3%83%9F%E3%83%8A%E3%83%AB%E5%B1%95%E6%9C%9B%E3%83%87%E3%83%83%E3%82%AD%EF%BC%8FFLIGHT%20DECK%20TOKYO","現在地からルート開始")</x:f>
      </x:c>
      <x:c r="M28" s="22" t="str">
        <x:v>空港内移動</x:v>
      </x:c>
      <x:c r="N28" s="22" t="n">
        <x:v>80</x:v>
      </x:c>
      <x:c r="O28" s="22" t="str">
        <x:v>役割明記</x:v>
      </x:c>
      <x:c r="P28" s="22" t="str">
        <x:v>T1・T2・T3は駐車場混雑時に無料連絡バスを利用し、ターミナルごとの再入庫を避ける。</x:v>
      </x:c>
      <x:c r="Q28" s="22" t="str">
        <x:v>T1・T2・T3は駐車場混雑時に無料連絡バスを利用し、ターミナルごとの再入庫を避ける。</x:v>
      </x:c>
      <x:c r="R28" s="23" t="n">
        <x:v>46232</x:v>
      </x:c>
      <x:c r="S28" s="22" t="n">
        <x:v>59</x:v>
      </x:c>
      <x:c r="T28" s="22" t="n">
        <x:v>12</x:v>
      </x:c>
      <x:c r="U28" s="22" t="str">
        <x:v>飛行機・海・港 → 飛行機・都市夜景 → 飛行機・都市夜景 → 飛行機・都市夜景</x:v>
      </x:c>
      <x:c r="V28" s="22" t="str">
        <x:v>羽田空港 第1ターミナル展望デッキ:25分／羽田空港 第2ターミナル展望デッキ／FLIGHT DECK TOKYO:25分／羽田空港 第3ターミナル展望デッキ:40分</x:v>
      </x:c>
      <x:c r="W28" s="22" t="str">
        <x:v>P3/P4等に1回駐車し、ターミナル間は無料連絡バス</x:v>
      </x:c>
      <x:c r="X28" s="22" t="str">
        <x:v>22:00に間に合わない時／工事・閉鎖時／23:00に間に合わない時／工事・閉鎖時／工事・閉鎖時</x:v>
      </x:c>
      <x:c r="Y28" s="22" t="str">
        <x:v>羽田・航空</x:v>
      </x:c>
      <x:c r="Z28" s="22"/>
    </x:row>
    <x:row r="29">
      <x:c r="A29" s="22" t="str">
        <x:v>R135</x:v>
      </x:c>
      <x:c r="B29" s="22" t="str">
        <x:v>大森・海苔の海辺線</x:v>
      </x:c>
      <x:c r="C29" s="22" t="str">
        <x:v>平和Story／人工海浜／飛行機</x:v>
      </x:c>
      <x:c r="D29" s="22" t="str">
        <x:v>現在地</x:v>
      </x:c>
      <x:c r="E29" s="22" t="str">
        <x:v>平和の森公園</x:v>
      </x:c>
      <x:c r="F29" s="22" t="str">
        <x:v>大森ふるさとの浜辺公園</x:v>
      </x:c>
      <x:c r="G29" s="22"/>
      <x:c r="H29" s="22" t="str">
        <x:v>城南島海浜公園</x:v>
      </x:c>
      <x:c r="I29" s="22" t="str">
        <x:v>80～130分</x:v>
      </x:c>
      <x:c r="J29" s="22" t="n">
        <x:v>4</x:v>
      </x:c>
      <x:c r="K29" s="22" t="str">
        <x:v>浜辺21時閉門。公園共用駐車場の混雑時は城南島へ直行。</x:v>
      </x:c>
      <x:c r="L29" s="95" t="e">
        <x:f>HYPERLINK("https://www.google.com/maps/dir/?api=1&amp;destination=%E5%9F%8E%E5%8D%97%E5%B3%B6%E6%B5%B7%E6%B5%9C%E5%85%AC%E5%9C%92&amp;travelmode=driving&amp;waypoints=%E5%B9%B3%E5%92%8C%E3%81%AE%E6%A3%AE%E5%85%AC%E5%9C%92%7C%E5%A4%A7%E6%A3%AE%E3%81%B5%E3%82%8B%E3%81%95%E3%81%A8%E3%81%AE%E6%B5%9C%E8%BE%BA%E5%85%AC%E5%9C%92","現在地からルート開始")</x:f>
      </x:c>
      <x:c r="M29" s="22" t="str">
        <x:v>通常</x:v>
      </x:c>
      <x:c r="N29" s="22" t="n">
        <x:v>79</x:v>
      </x:c>
      <x:c r="O29" s="22" t="str">
        <x:v>維持</x:v>
      </x:c>
      <x:c r="P29" s="22" t="str">
        <x:v>平和の森公園 → 大森ふるさとの浜辺公園 → 城南島海浜公園 の順に、景観と滞在強度を変化させる。</x:v>
      </x:c>
      <x:c r="Q29" s="22"/>
      <x:c r="R29" s="23" t="n">
        <x:v>46232</x:v>
      </x:c>
      <x:c r="S29" s="22" t="n">
        <x:v>67</x:v>
      </x:c>
      <x:c r="T29" s="22" t="n">
        <x:v>12</x:v>
      </x:c>
      <x:c r="U29" s="22" t="str">
        <x:v>自然・Story → 海・港・Story → 海・港・Story → 飛行機・海・港</x:v>
      </x:c>
      <x:c r="V29" s="22" t="str">
        <x:v>平和の森公園:20分／大森ふるさとの浜辺公園:20分／城南島海浜公園:40分</x:v>
      </x:c>
      <x:c r="W29" s="22" t="str">
        <x:v>小規模。満車なら待たずに省略／専用・公式駐車場へ直接入庫</x:v>
      </x:c>
      <x:c r="X29" s="22" t="str">
        <x:v>満車時／臨時閉鎖・イベント混雑時／21:00に間に合わない時／工事・閉鎖時</x:v>
      </x:c>
      <x:c r="Y29" s="22" t="str">
        <x:v>羽田・航空</x:v>
      </x:c>
      <x:c r="Z29" s="22"/>
    </x:row>
    <x:row r="30">
      <x:c r="A30" s="22" t="str">
        <x:v>R136</x:v>
      </x:c>
      <x:c r="B30" s="22" t="str">
        <x:v>森ケ崎・屋上から足湯へ</x:v>
      </x:c>
      <x:c r="C30" s="22" t="str">
        <x:v>屋上公園／飛行機／足湯</x:v>
      </x:c>
      <x:c r="D30" s="22" t="str">
        <x:v>現在地</x:v>
      </x:c>
      <x:c r="E30" s="22" t="str">
        <x:v>森ケ崎公園</x:v>
      </x:c>
      <x:c r="F30" s="22" t="str">
        <x:v>ソラムナード羽田緑地</x:v>
      </x:c>
      <x:c r="G30" s="22"/>
      <x:c r="H30" s="22" t="str">
        <x:v>HANEDA INNOVATION CITY 足湯スカイデッキ</x:v>
      </x:c>
      <x:c r="I30" s="22" t="str">
        <x:v>70～120分</x:v>
      </x:c>
      <x:c r="J30" s="22" t="n">
        <x:v>5</x:v>
      </x:c>
      <x:c r="K30" s="22" t="str">
        <x:v>森ケ崎の閉園時刻がHard Gate。最後は23:30まで。</x:v>
      </x:c>
      <x:c r="L30" s="95" t="e">
        <x:f>HYPERLINK("https://www.google.com/maps/dir/?api=1&amp;destination=HANEDA%20INNOVATION%20CITY%20%E8%B6%B3%E6%B9%AF%E3%82%B9%E3%82%AB%E3%82%A4%E3%83%87%E3%83%83%E3%82%AD&amp;travelmode=driving&amp;waypoints=%E6%A3%AE%E3%82%B1%E5%B4%8E%E5%85%AC%E5%9C%92%7C%E3%82%BD%E3%83%A9%E3%83%A0%E3%83%8A%E3%83%BC%E3%83%89%E7%BE%BD%E7%94%B0%E7%B7%91%E5%9C%B0","現在地からルート開始")</x:f>
      </x:c>
      <x:c r="M30" s="22" t="str">
        <x:v>共有駐車・徒歩連結</x:v>
      </x:c>
      <x:c r="N30" s="22" t="n">
        <x:v>84</x:v>
      </x:c>
      <x:c r="O30" s="22" t="str">
        <x:v>役割明記</x:v>
      </x:c>
      <x:c r="P30" s="22" t="str">
        <x:v>森ケ崎からHICへ車移動後、ソラムナード散歩と足湯をHIC P1の1回駐車で成立させる。</x:v>
      </x:c>
      <x:c r="Q30" s="22" t="str">
        <x:v>森ケ崎からHICへ車移動後、ソラムナード散歩と足湯をHIC P1の1回駐車で成立させる。</x:v>
      </x:c>
      <x:c r="R30" s="23" t="n">
        <x:v>46232</x:v>
      </x:c>
      <x:c r="S30" s="22" t="n">
        <x:v>61</x:v>
      </x:c>
      <x:c r="T30" s="22" t="n">
        <x:v>21</x:v>
      </x:c>
      <x:c r="U30" s="22" t="str">
        <x:v>飛行機・海・港 → 飛行機・海・港 → 飛行機・海・港 → 飛行機・都市夜景</x:v>
      </x:c>
      <x:c r="V30" s="22" t="str">
        <x:v>森ケ崎公園:25分／ソラムナード羽田緑地:25分／HANEDA INNOVATION CITY 足湯スカイデッキ:25分</x:v>
      </x:c>
      <x:c r="W30" s="22" t="str">
        <x:v>専用・公式駐車場へ直接入庫／HIC P1に1回駐車したまま徒歩連結</x:v>
      </x:c>
      <x:c r="X30" s="22" t="str">
        <x:v>21:30に間に合わない時／強風・高潮・増水時／工事・閉鎖時／23:30に間に合わない時</x:v>
      </x:c>
      <x:c r="Y30" s="22" t="str">
        <x:v>羽田・航空</x:v>
      </x:c>
      <x:c r="Z30" s="22"/>
    </x:row>
    <x:row r="31">
      <x:c r="A31" s="22" t="str">
        <x:v>R137</x:v>
      </x:c>
      <x:c r="B31" s="22" t="str">
        <x:v>多摩川・休日ショート</x:v>
      </x:c>
      <x:c r="C31" s="22" t="str">
        <x:v>河川敷／橋／高台</x:v>
      </x:c>
      <x:c r="D31" s="22" t="str">
        <x:v>現在地</x:v>
      </x:c>
      <x:c r="E31" s="22" t="str">
        <x:v>多摩川六郷橋緑地</x:v>
      </x:c>
      <x:c r="F31" s="22" t="str">
        <x:v>多摩川ガス橋緑地</x:v>
      </x:c>
      <x:c r="G31" s="22"/>
      <x:c r="H31" s="22" t="str">
        <x:v>多摩川浅間神社</x:v>
      </x:c>
      <x:c r="I31" s="22" t="str">
        <x:v>70～120分</x:v>
      </x:c>
      <x:c r="J31" s="22" t="n">
        <x:v>2</x:v>
      </x:c>
      <x:c r="K31" s="22" t="str">
        <x:v>河川敷駐車場は土日祝のみ。閉鎖時刻と増水情報を確認。</x:v>
      </x:c>
      <x:c r="L31" s="95" t="e">
        <x:f>HYPERLINK("https://www.google.com/maps/dir/?api=1&amp;destination=%E5%A4%9A%E6%91%A9%E5%B7%9D%E6%B5%85%E9%96%93%E7%A5%9E%E7%A4%BE&amp;travelmode=driving&amp;waypoints=%E5%A4%9A%E6%91%A9%E5%B7%9D%E5%85%AD%E9%83%B7%E6%A9%8B%E7%B7%91%E5%9C%B0%7C%E5%A4%9A%E6%91%A9%E5%B7%9D%E3%82%AC%E3%82%B9%E6%A9%8B%E7%B7%91%E5%9C%B0","現在地からルート開始")</x:f>
      </x:c>
      <x:c r="M31" s="22" t="str">
        <x:v>休日専用</x:v>
      </x:c>
      <x:c r="N31" s="22" t="n">
        <x:v>79</x:v>
      </x:c>
      <x:c r="O31" s="22" t="str">
        <x:v>役割明記</x:v>
      </x:c>
      <x:c r="P31" s="22" t="str">
        <x:v>六郷橋とガス橋は同じ河川敷でも、下流の橋景観・中流の芝生・高台の浅間神社という3視点で役割分離。</x:v>
      </x:c>
      <x:c r="Q31" s="22" t="str">
        <x:v>六郷橋とガス橋は同じ河川敷でも、下流の橋景観・中流の芝生・高台の浅間神社という3視点で役割分離。</x:v>
      </x:c>
      <x:c r="R31" s="23" t="n">
        <x:v>46232</x:v>
      </x:c>
      <x:c r="S31" s="22" t="n">
        <x:v>85</x:v>
      </x:c>
      <x:c r="T31" s="22" t="n">
        <x:v>0</x:v>
      </x:c>
      <x:c r="U31" s="22" t="str">
        <x:v>海・港・自然 → 海・港・自然 → 海・港・自然 → 都市夜景・Story</x:v>
      </x:c>
      <x:c r="V31" s="22" t="str">
        <x:v>多摩川六郷橋緑地:20分／多摩川ガス橋緑地:20分／多摩川浅間神社:35分</x:v>
      </x:c>
      <x:c r="W31" s="22" t="str">
        <x:v>小規模。満車なら待たずに省略／専用・公式駐車場へ直接入庫</x:v>
      </x:c>
      <x:c r="X31" s="22" t="str">
        <x:v>満車時／19:30に間に合わない時／強風・高潮・増水時／工事・閉鎖時／16:00に間に合わない時</x:v>
      </x:c>
      <x:c r="Y31" s="22" t="str">
        <x:v>東京港・水辺</x:v>
      </x:c>
      <x:c r="Z31" s="22"/>
    </x:row>
    <x:row r="32">
      <x:c r="A32" s="22" t="str">
        <x:v>R138</x:v>
      </x:c>
      <x:c r="B32" s="22" t="str">
        <x:v>池上から大森・海の記憶へ</x:v>
      </x:c>
      <x:c r="C32" s="22" t="str">
        <x:v>庭園Story／24時間公園／人工海浜</x:v>
      </x:c>
      <x:c r="D32" s="22" t="str">
        <x:v>現在地</x:v>
      </x:c>
      <x:c r="E32" s="22" t="str">
        <x:v>池上梅園</x:v>
      </x:c>
      <x:c r="F32" s="22" t="str">
        <x:v>平和島公園</x:v>
      </x:c>
      <x:c r="G32" s="22"/>
      <x:c r="H32" s="22" t="str">
        <x:v>大森ふるさとの浜辺公園</x:v>
      </x:c>
      <x:c r="I32" s="22" t="str">
        <x:v>80～130分</x:v>
      </x:c>
      <x:c r="J32" s="22" t="n">
        <x:v>2</x:v>
      </x:c>
      <x:c r="K32" s="22" t="str">
        <x:v>池上梅園16:30閉園の昼専用。池上終了後は24時間駐車の平和島公園を挟み、浜辺21時まで。</x:v>
      </x:c>
      <x:c r="L32" s="95" t="e">
        <x:f>HYPERLINK("https://www.google.com/maps/dir/?api=1&amp;destination=%E5%A4%A7%E6%A3%AE%E3%81%B5%E3%82%8B%E3%81%95%E3%81%A8%E3%81%AE%E6%B5%9C%E8%BE%BA%E5%85%AC%E5%9C%92&amp;travelmode=driving&amp;waypoints=%E6%B1%A0%E4%B8%8A%E6%A2%85%E5%9C%92%7C%E5%B9%B3%E5%92%8C%E5%B3%B6%E5%85%AC%E5%9C%92","現在地からルート開始")</x:f>
      </x:c>
      <x:c r="M32" s="22" t="str">
        <x:v>昼～夕方専用</x:v>
      </x:c>
      <x:c r="N32" s="22" t="n">
        <x:v>91</x:v>
      </x:c>
      <x:c r="O32" s="22" t="str">
        <x:v>差替え済</x:v>
      </x:c>
      <x:c r="P32" s="22" t="str">
        <x:v>大田区の丘陵、埋立地、海岸の三つの地形と歴史を短距離でつなぐ。</x:v>
      </x:c>
      <x:c r="Q32" s="22" t="str">
        <x:v>平和の森公園との役割重複を解消し、24時間駐車の平和島公園へ差替え。</x:v>
      </x:c>
      <x:c r="R32" s="23" t="n">
        <x:v>46232</x:v>
      </x:c>
      <x:c r="S32" s="22" t="n">
        <x:v>91</x:v>
      </x:c>
      <x:c r="T32" s="22" t="n">
        <x:v>3</x:v>
      </x:c>
      <x:c r="U32" s="22" t="str">
        <x:v>丘陵庭園と茶室Story → 埋立地の防災公園 → 大森海苔の人工海浜</x:v>
      </x:c>
      <x:c r="V32" s="22" t="str">
        <x:v>池上梅園:40分／平和島公園:20分／大森ふるさとの浜辺公園:45分</x:v>
      </x:c>
      <x:c r="W32" s="22" t="str">
        <x:v>小規模庭園駐車→80台24時間→共用24時間</x:v>
      </x:c>
      <x:c r="X32" s="22" t="str">
        <x:v>池上梅園満車・閉園時は平和島公園から開始／浜辺21時超過時は広場のみ</x:v>
      </x:c>
      <x:c r="Y32" s="22" t="str">
        <x:v>Story・文化</x:v>
      </x:c>
      <x:c r="Z32" s="22"/>
    </x:row>
    <x:row r="33">
      <x:c r="A33" s="22" t="str">
        <x:v>R139</x:v>
      </x:c>
      <x:c r="B33" s="22" t="str">
        <x:v>勝島・大井ふ頭ウォーターフロント</x:v>
      </x:c>
      <x:c r="C33" s="22" t="str">
        <x:v>人工湖／京浜運河／24時間公園</x:v>
      </x:c>
      <x:c r="D33" s="22" t="str">
        <x:v>現在地</x:v>
      </x:c>
      <x:c r="E33" s="22" t="str">
        <x:v>しながわ区民公園</x:v>
      </x:c>
      <x:c r="F33" s="22" t="str">
        <x:v>大井ふ頭中央海浜公園</x:v>
      </x:c>
      <x:c r="G33" s="22"/>
      <x:c r="H33" s="22" t="str">
        <x:v>平和島公園</x:v>
      </x:c>
      <x:c r="I33" s="22" t="str">
        <x:v>85～135分</x:v>
      </x:c>
      <x:c r="J33" s="22" t="n">
        <x:v>3</x:v>
      </x:c>
      <x:c r="K33" s="22" t="str">
        <x:v>しながわ区民公園20:30閉園。大井ふ頭第1駐車場は工事閉鎖中で、第2駐車場を利用。遅い時間は大井ふ頭→平和島へ短縮。</x:v>
      </x:c>
      <x:c r="L33" s="95" t="e">
        <x:f>HYPERLINK("https://www.google.com/maps/dir/?api=1&amp;destination=%E5%B9%B3%E5%92%8C%E5%B3%B6%E5%85%AC%E5%9C%92&amp;travelmode=driving&amp;waypoints=%E3%81%97%E3%81%AA%E3%81%8C%E3%82%8F%E5%8C%BA%E6%B0%91%E5%85%AC%E5%9C%92%7C%E5%A4%A7%E4%BA%95%E3%81%B5%E9%A0%AD%E4%B8%AD%E5%A4%AE%E6%B5%B7%E6%B5%9C%E5%85%AC%E5%9C%92","現在地からルート開始")</x:f>
      </x:c>
      <x:c r="M33" s="22" t="str">
        <x:v>夕方専用</x:v>
      </x:c>
      <x:c r="N33" s="22" t="n">
        <x:v>95</x:v>
      </x:c>
      <x:c r="O33" s="22" t="str">
        <x:v>差替え済</x:v>
      </x:c>
      <x:c r="P33" s="22" t="str">
        <x:v>蒲田から近い勝島・八潮・平和島を北から南へ戻り、異なる三つの人工水辺と公園を比較する。</x:v>
      </x:c>
      <x:c r="Q33" s="22" t="str">
        <x:v>飛行機系の京浜島・城南島を外し、近距離の水辺・運河・公園へ役割分離。</x:v>
      </x:c>
      <x:c r="R33" s="23" t="n">
        <x:v>46232</x:v>
      </x:c>
      <x:c r="S33" s="22" t="n">
        <x:v>96</x:v>
      </x:c>
      <x:c r="T33" s="22" t="n">
        <x:v>3</x:v>
      </x:c>
      <x:c r="U33" s="22" t="str">
        <x:v>勝島の人工湖 → 京浜運河となぎさ → 24時間の緑と広場</x:v>
      </x:c>
      <x:c r="V33" s="22" t="str">
        <x:v>しながわ区民公園:30分／大井ふ頭中央海浜公園:30分／平和島公園:30分</x:v>
      </x:c>
      <x:c r="W33" s="22" t="str">
        <x:v>50台有料→第2駐車場110台→80台24時間</x:v>
      </x:c>
      <x:c r="X33" s="22" t="str">
        <x:v>20時以降はしながわ区民公園を省略／大井ふ頭大会・工事時は平和島へ直行</x:v>
      </x:c>
      <x:c r="Y33" s="22" t="str">
        <x:v>東京港・水辺</x:v>
      </x:c>
      <x:c r="Z33" s="22"/>
    </x:row>
    <x:row r="34">
      <x:c r="A34" s="22" t="str">
        <x:v>R140</x:v>
      </x:c>
      <x:c r="B34" s="22" t="str">
        <x:v>お台場から豊洲の水際夜景</x:v>
      </x:c>
      <x:c r="C34" s="22" t="str">
        <x:v>海浜／運河／都市夜景</x:v>
      </x:c>
      <x:c r="D34" s="22" t="str">
        <x:v>現在地</x:v>
      </x:c>
      <x:c r="E34" s="22" t="str">
        <x:v>お台場海浜公園</x:v>
      </x:c>
      <x:c r="F34" s="22" t="str">
        <x:v>豊洲ぐるり公園</x:v>
      </x:c>
      <x:c r="G34" s="22"/>
      <x:c r="H34" s="22" t="str">
        <x:v>晴海ふ頭公園</x:v>
      </x:c>
      <x:c r="I34" s="22" t="str">
        <x:v>90～140分</x:v>
      </x:c>
      <x:c r="J34" s="22" t="n">
        <x:v>5</x:v>
      </x:c>
      <x:c r="K34" s="22" t="str">
        <x:v>24時間駐車地点中心。イベント開催時はお台場を潮風公園へ、豊洲を晴海へ即時差替え。</x:v>
      </x:c>
      <x:c r="L34" s="95" t="e">
        <x:f>HYPERLINK("https://www.google.com/maps/dir/?api=1&amp;destination=%E6%99%B4%E6%B5%B7%E3%81%B5%E9%A0%AD%E5%85%AC%E5%9C%92&amp;travelmode=driving&amp;waypoints=%E3%81%8A%E5%8F%B0%E5%A0%B4%E6%B5%B7%E6%B5%9C%E5%85%AC%E5%9C%92%7C%E8%B1%8A%E6%B4%B2%E3%81%90%E3%82%8B%E3%82%8A%E5%85%AC%E5%9C%92","現在地からルート開始")</x:f>
      </x:c>
      <x:c r="M34" s="22" t="str">
        <x:v>通常</x:v>
      </x:c>
      <x:c r="N34" s="22" t="n">
        <x:v>83</x:v>
      </x:c>
      <x:c r="O34" s="22" t="str">
        <x:v>差替え済</x:v>
      </x:c>
      <x:c r="P34" s="22" t="str">
        <x:v>砂浜とレインボーブリッジ→豊洲の水際遊歩道→晴海の港湾夜景へ、東京湾の内側を連続的に走る。</x:v>
      </x:c>
      <x:c r="Q34" s="22" t="str">
        <x:v>市場内一般駐車不可の豊洲市場屋上を、駐車・水際動線が明確な豊洲ぐるり公園へ差替え。</x:v>
      </x:c>
      <x:c r="R34" s="23" t="n">
        <x:v>46232</x:v>
      </x:c>
      <x:c r="S34" s="22" t="n">
        <x:v>71</x:v>
      </x:c>
      <x:c r="T34" s="22" t="n">
        <x:v>0</x:v>
      </x:c>
      <x:c r="U34" s="22" t="str">
        <x:v>海・港・都市夜景 → 都市夜景 → 都市夜景 → 海・港・都市夜景</x:v>
      </x:c>
      <x:c r="V34" s="22" t="str">
        <x:v>お台場海浜公園:20分／豊洲ぐるり公園:18分／晴海ふ頭公園:45分</x:v>
      </x:c>
      <x:c r="W34" s="22" t="str">
        <x:v>専用・公式駐車場へ直接入庫／小規模。満車なら待たずに省略</x:v>
      </x:c>
      <x:c r="X34" s="22" t="str">
        <x:v>工事・閉鎖時／臨時閉鎖・イベント混雑時／満車時</x:v>
      </x:c>
      <x:c r="Y34" s="22" t="str">
        <x:v>東京港・水辺</x:v>
      </x:c>
      <x:c r="Z34" s="22"/>
    </x:row>
    <x:row r="35">
      <x:c r="A35" s="22" t="str">
        <x:v>R141</x:v>
      </x:c>
      <x:c r="B35" s="22" t="str">
        <x:v>雨天・羽田インドア線</x:v>
      </x:c>
      <x:c r="C35" s="22" t="str">
        <x:v>足湯／屋内展望／空港</x:v>
      </x:c>
      <x:c r="D35" s="22" t="str">
        <x:v>現在地</x:v>
      </x:c>
      <x:c r="E35" s="22" t="str">
        <x:v>HANEDA INNOVATION CITY 足湯スカイデッキ</x:v>
      </x:c>
      <x:c r="F35" s="22" t="str">
        <x:v>羽田空港 第2ターミナル展望デッキ／FLIGHT DECK TOKYO</x:v>
      </x:c>
      <x:c r="G35" s="22"/>
      <x:c r="H35" s="22" t="str">
        <x:v>羽田空港 第3ターミナル展望デッキ</x:v>
      </x:c>
      <x:c r="I35" s="22" t="str">
        <x:v>80～130分</x:v>
      </x:c>
      <x:c r="J35" s="22" t="n">
        <x:v>5</x:v>
      </x:c>
      <x:c r="K35" s="22" t="str">
        <x:v>雨天はT2屋内FLIGHT DECKを主役にする。HIC足湯は強雨時に省略し、空港内移動を優先。</x:v>
      </x:c>
      <x:c r="L35" s="95" t="e">
        <x:f>HYPERLINK("https://www.google.com/maps/dir/?api=1&amp;destination=%E7%BE%BD%E7%94%B0%E7%A9%BA%E6%B8%AF%20%E7%AC%AC3%E3%82%BF%E3%83%BC%E3%83%9F%E3%83%8A%E3%83%AB%E5%B1%95%E6%9C%9B%E3%83%87%E3%83%83%E3%82%AD&amp;travelmode=driving&amp;waypoints=HANEDA%20INNOVATION%20CITY%20%E8%B6%B3%E6%B9%AF%E3%82%B9%E3%82%AB%E3%82%A4%E3%83%87%E3%83%83%E3%82%AD%7C%E7%BE%BD%E7%94%B0%E7%A9%BA%E6%B8%AF%20%E7%AC%AC2%E3%82%BF%E3%83%BC%E3%83%9F%E3%83%8A%E3%83%AB%E5%B1%95%E6%9C%9B%E3%83%87%E3%83%83%E3%82%AD%EF%BC%8FFLIGHT%20DECK%20TOKYO","現在地からルート開始")</x:f>
      </x:c>
      <x:c r="M35" s="22" t="str">
        <x:v>雨天・空港内移動</x:v>
      </x:c>
      <x:c r="N35" s="22" t="n">
        <x:v>83</x:v>
      </x:c>
      <x:c r="O35" s="22" t="str">
        <x:v>役割明記</x:v>
      </x:c>
      <x:c r="P35" s="22" t="str">
        <x:v>T2の屋内FLIGHT DECKを主役とし、強雨時は足湯を省略。空港内移動で雨天耐性を確保。</x:v>
      </x:c>
      <x:c r="Q35" s="22" t="str">
        <x:v>T2の屋内FLIGHT DECKを主役とし、強雨時は足湯を省略。空港内移動で雨天耐性を確保。</x:v>
      </x:c>
      <x:c r="R35" s="23" t="n">
        <x:v>46232</x:v>
      </x:c>
      <x:c r="S35" s="22" t="n">
        <x:v>41</x:v>
      </x:c>
      <x:c r="T35" s="22" t="n">
        <x:v>30</x:v>
      </x:c>
      <x:c r="U35" s="22" t="str">
        <x:v>飛行機・都市夜景 → 飛行機・都市夜景 → 飛行機・都市夜景 → 飛行機・都市夜景</x:v>
      </x:c>
      <x:c r="V35" s="22" t="str">
        <x:v>HANEDA INNOVATION CITY 足湯スカイデッキ:25分／羽田空港 第2ターミナル展望デッキ／FLIGHT DECK TOKYO:25分／羽田空港 第3ターミナル展望デッキ:40分</x:v>
      </x:c>
      <x:c r="W35" s="22" t="str">
        <x:v>専用・公式駐車場へ直接入庫／P3/P4等に1回駐車し、ターミナル間は無料連絡バス</x:v>
      </x:c>
      <x:c r="X35" s="22" t="str">
        <x:v>23:30に間に合わない時／23:00に間に合わない時／工事・閉鎖時／工事・閉鎖時</x:v>
      </x:c>
      <x:c r="Y35" s="22" t="str">
        <x:v>羽田・航空</x:v>
      </x:c>
      <x:c r="Z35" s="22"/>
    </x:row>
    <x:row r="36">
      <x:c r="A36" s="22" t="str">
        <x:v>R142</x:v>
      </x:c>
      <x:c r="B36" s="22" t="str">
        <x:v>深夜2時間・空港から港の端へ</x:v>
      </x:c>
      <x:c r="C36" s="22" t="str">
        <x:v>24時間空港／工業島／海の行き止まり</x:v>
      </x:c>
      <x:c r="D36" s="22" t="str">
        <x:v>現在地</x:v>
      </x:c>
      <x:c r="E36" s="22" t="str">
        <x:v>羽田空港 第3ターミナル展望デッキ</x:v>
      </x:c>
      <x:c r="F36" s="22"/>
      <x:c r="G36" s="22"/>
      <x:c r="H36" s="22" t="str">
        <x:v>東扇島西公園</x:v>
      </x:c>
      <x:c r="I36" s="22" t="str">
        <x:v>90～135分</x:v>
      </x:c>
      <x:c r="J36" s="22" t="n">
        <x:v>5</x:v>
      </x:c>
      <x:c r="K36" s="22" t="str">
        <x:v>T3展望デッキと東扇島西公園は24時間利用可能。東扇島西公園は釣り利用で混雑するため、満車時は川崎マリエン外周へ変更。</x:v>
      </x:c>
      <x:c r="L36" s="95" t="e">
        <x:f>HYPERLINK("https://www.google.com/maps/dir/?api=1&amp;destination=%E6%9D%B1%E6%89%87%E5%B3%B6%E8%A5%BF%E5%85%AC%E5%9C%92&amp;travelmode=driving&amp;waypoints=%E7%BE%BD%E7%94%B0%E7%A9%BA%E6%B8%AF%20%E7%AC%AC3%E3%82%BF%E3%83%BC%E3%83%9F%E3%83%8A%E3%83%AB%E5%B1%95%E6%9C%9B%E3%83%87%E3%83%83%E3%82%AD","現在地からルート開始")</x:f>
      </x:c>
      <x:c r="M36" s="22" t="str">
        <x:v>深夜専用</x:v>
      </x:c>
      <x:c r="N36" s="22" t="n">
        <x:v>92</x:v>
      </x:c>
      <x:c r="O36" s="22" t="str">
        <x:v>差替え済</x:v>
      </x:c>
      <x:c r="P36" s="22" t="str">
        <x:v>空港の明るい24時間空間から川崎港を横断し、東扇島西端の暗く広い海へ到達する。</x:v>
      </x:c>
      <x:c r="Q36" s="22" t="str">
        <x:v>23:30までのHIC足湯と21時閉門の城南島を外し、深夜でもHard Gateのない1経由地＋最終地点へ変更。</x:v>
      </x:c>
      <x:c r="R36" s="23" t="n">
        <x:v>46232</x:v>
      </x:c>
      <x:c r="S36" s="22" t="n">
        <x:v>88</x:v>
      </x:c>
      <x:c r="T36" s="22" t="n">
        <x:v>3</x:v>
      </x:c>
      <x:c r="U36" s="22" t="str">
        <x:v>24時間空港 → 港湾走行 → 工業島西端の海</x:v>
      </x:c>
      <x:c r="V36" s="22" t="str">
        <x:v>羽田空港 第3ターミナル展望デッキ:30分／東扇島西公園:35分</x:v>
      </x:c>
      <x:c r="W36" s="22" t="str">
        <x:v>両地点とも24時間公式駐車場</x:v>
      </x:c>
      <x:c r="X36" s="22" t="str">
        <x:v>東扇島西公園満車・臨時閉鎖時は川崎マリエン外周へ</x:v>
      </x:c>
      <x:c r="Y36" s="22" t="str">
        <x:v>川崎・工場夜景</x:v>
      </x:c>
      <x:c r="Z36" s="22"/>
    </x:row>
    <x:row r="37">
      <x:c r="A37" s="22" t="str">
        <x:v>R143</x:v>
      </x:c>
      <x:c r="B37" s="22" t="str">
        <x:v>羽田から川崎工場夜景へ</x:v>
      </x:c>
      <x:c r="C37" s="22" t="str">
        <x:v>足湯／高所工場夜景／港の行き止まり</x:v>
      </x:c>
      <x:c r="D37" s="22" t="str">
        <x:v>現在地</x:v>
      </x:c>
      <x:c r="E37" s="22" t="str">
        <x:v>HANEDA INNOVATION CITY 足湯スカイデッキ</x:v>
      </x:c>
      <x:c r="F37" s="22" t="str">
        <x:v>川崎マリエン</x:v>
      </x:c>
      <x:c r="G37" s="22"/>
      <x:c r="H37" s="22" t="str">
        <x:v>東扇島西公園</x:v>
      </x:c>
      <x:c r="I37" s="22" t="str">
        <x:v>100～150分</x:v>
      </x:c>
      <x:c r="J37" s="22" t="n">
        <x:v>5</x:v>
      </x:c>
      <x:c r="K37" s="22" t="str">
        <x:v>川崎マリエン展望室は21時まで。遅れた場合はマリエンを省略し、24時間利用可能な東扇島西公園へ。</x:v>
      </x:c>
      <x:c r="L37" s="22" t="e">
        <x:f>HYPERLINK("https://www.google.com/maps/dir/?api=1&amp;destination=%E6%9D%B1%E6%89%87%E5%B3%B6%E8%A5%BF%E5%85%AC%E5%9C%92&amp;travelmode=driving&amp;waypoints=HANEDA%20INNOVATION%20CITY%20%E8%B6%B3%E6%B9%AF%E3%82%B9%E3%82%AB%E3%82%A4%E3%83%87%E3%83%83%E3%82%AD%7C%E5%B7%9D%E5%B4%8E%E3%83%9E%E3%83%AA%E3%82%A8%E3%83%B3","現在地からルート開始")</x:f>
      </x:c>
      <x:c r="M37" s="22" t="str">
        <x:v>通常</x:v>
      </x:c>
      <x:c r="N37" s="22" t="n">
        <x:v>82</x:v>
      </x:c>
      <x:c r="O37" s="22" t="str">
        <x:v>差替え済</x:v>
      </x:c>
      <x:c r="P37" s="22" t="str">
        <x:v>羽田の足湯と航空機から川崎港の高所展望へ移り、最後は東扇島西端の広い空で余韻を作る。</x:v>
      </x:c>
      <x:c r="Q37" s="22" t="str">
        <x:v>専用駐車場のないソラムナードを車ルートから外し、最終地点を入庫制限のない東扇島西公園へ変更。</x:v>
      </x:c>
      <x:c r="R37" s="23" t="n">
        <x:v>46232</x:v>
      </x:c>
      <x:c r="S37" s="22" t="n">
        <x:v>61</x:v>
      </x:c>
      <x:c r="T37" s="22" t="n">
        <x:v>21</x:v>
      </x:c>
      <x:c r="U37" s="22" t="str">
        <x:v>飛行機・都市夜景 → 海・港・工場夜景 → 海・港・工場夜景 → 海・港・工場夜景</x:v>
      </x:c>
      <x:c r="V37" s="22" t="str">
        <x:v>HANEDA INNOVATION CITY 足湯スカイデッキ:25分／川崎マリエン:25分／東扇島西公園:45分</x:v>
      </x:c>
      <x:c r="W37" s="22" t="str">
        <x:v>専用・公式駐車場へ直接入庫／車の経由地には不向き。合法駐車から徒歩のみ</x:v>
      </x:c>
      <x:c r="X37" s="22" t="str">
        <x:v>23:30に間に合わない時／工事・閉鎖時／満車時</x:v>
      </x:c>
      <x:c r="Y37" s="22" t="str">
        <x:v>川崎・工場夜景</x:v>
      </x:c>
      <x:c r="Z37" s="22"/>
    </x:row>
    <x:row r="38">
      <x:c r="A38" s="22" t="str">
        <x:v>R144</x:v>
      </x:c>
      <x:c r="B38" s="22" t="str">
        <x:v>平日夕方90分・大森から羽田へ</x:v>
      </x:c>
      <x:c r="C38" s="22" t="str">
        <x:v>海苔Story／屋上公園／空港夜景</x:v>
      </x:c>
      <x:c r="D38" s="22" t="str">
        <x:v>現在地</x:v>
      </x:c>
      <x:c r="E38" s="22" t="str">
        <x:v>大森ふるさとの浜辺公園</x:v>
      </x:c>
      <x:c r="F38" s="22" t="str">
        <x:v>森ケ崎公園</x:v>
      </x:c>
      <x:c r="G38" s="22"/>
      <x:c r="H38" s="22" t="str">
        <x:v>羽田空港 第3ターミナル展望デッキ</x:v>
      </x:c>
      <x:c r="I38" s="22" t="str">
        <x:v>80～120分</x:v>
      </x:c>
      <x:c r="J38" s="22" t="n">
        <x:v>4</x:v>
      </x:c>
      <x:c r="K38" s="22" t="str">
        <x:v>19時前後の出発を推奨。森ケ崎は季節により20:30または21:30、浜辺は21時閉門。遅れたら大森を省略。</x:v>
      </x:c>
      <x:c r="L38" s="22" t="e">
        <x:f>HYPERLINK("https://www.google.com/maps/dir/?api=1&amp;destination=%E7%BE%BD%E7%94%B0%E7%A9%BA%E6%B8%AF%20%E7%AC%AC3%E3%82%BF%E3%83%BC%E3%83%9F%E3%83%8A%E3%83%AB%E5%B1%95%E6%9C%9B%E3%83%87%E3%83%83%E3%82%AD&amp;travelmode=driving&amp;waypoints=%E5%A4%A7%E6%A3%AE%E3%81%B5%E3%82%8B%E3%81%95%E3%81%A8%E3%81%AE%E6%B5%9C%E8%BE%BA%E5%85%AC%E5%9C%92%7C%E6%A3%AE%E3%82%B1%E5%B4%8E%E5%85%AC%E5%9C%92","現在地からルート開始")</x:f>
      </x:c>
      <x:c r="M38" s="22" t="str">
        <x:v>夕方専用</x:v>
      </x:c>
      <x:c r="N38" s="22" t="n">
        <x:v>89</x:v>
      </x:c>
      <x:c r="O38" s="22" t="str">
        <x:v>差替え済</x:v>
      </x:c>
      <x:c r="P38" s="22" t="str">
        <x:v>大森の海苔と人工海浜から、水再生センター屋上の展望へ上がり、24時間の空港夜景で終える。</x:v>
      </x:c>
      <x:c r="Q38" s="22" t="str">
        <x:v>HIC足湯の使い回しを外し、大田区の海・都市インフラ・空港を3章でつなぐ夕方ルートへ再設計。</x:v>
      </x:c>
      <x:c r="R38" s="23" t="n">
        <x:v>46232</x:v>
      </x:c>
      <x:c r="S38" s="22" t="n">
        <x:v>91</x:v>
      </x:c>
      <x:c r="T38" s="22" t="n">
        <x:v>6</x:v>
      </x:c>
      <x:c r="U38" s="22" t="str">
        <x:v>海苔・海浜 → 都市インフラ・高所 → 空港夜景</x:v>
      </x:c>
      <x:c r="V38" s="22" t="str">
        <x:v>大森ふるさとの浜辺公園:15分／森ケ崎公園:20分／羽田空港 第3ターミナル展望デッキ:30分</x:v>
      </x:c>
      <x:c r="W38" s="22" t="str">
        <x:v>公式駐車場へ直接入庫</x:v>
      </x:c>
      <x:c r="X38" s="22" t="str">
        <x:v>19:30を過ぎたら大森を省略／森ケ崎閉場時はT3直行</x:v>
      </x:c>
      <x:c r="Y38" s="22" t="str">
        <x:v>羽田・航空</x:v>
      </x:c>
      <x:c r="Z38" s="22"/>
    </x:row>
    <x:row r="39">
      <x:c r="A39" s="22" t="str">
        <x:v>R145</x:v>
      </x:c>
      <x:c r="B39" s="22" t="str">
        <x:v>羽田手前・交通と防災の短時間線</x:v>
      </x:c>
      <x:c r="C39" s="22" t="str">
        <x:v>交通Story／防災／足湯</x:v>
      </x:c>
      <x:c r="D39" s="22" t="str">
        <x:v>現在地</x:v>
      </x:c>
      <x:c r="E39" s="22" t="str">
        <x:v>萩中公園</x:v>
      </x:c>
      <x:c r="F39" s="22" t="str">
        <x:v>東糀谷防災公園</x:v>
      </x:c>
      <x:c r="G39" s="22"/>
      <x:c r="H39" s="22" t="str">
        <x:v>HANEDA INNOVATION CITY 足湯スカイデッキ</x:v>
      </x:c>
      <x:c r="I39" s="22" t="str">
        <x:v>80～125分</x:v>
      </x:c>
      <x:c r="J39" s="22" t="n">
        <x:v>4</x:v>
      </x:c>
      <x:c r="K39" s="22" t="str">
        <x:v>萩中公園の駐車場は24時間だが、交通公園貸出は16時、ガラクタ公園は17時、スケート場は20時まで。夜出発では保存車両Storyを目的にしない。東糀谷一般枠9台が満車なら省略。</x:v>
      </x:c>
      <x:c r="L39" s="22" t="e">
        <x:f>HYPERLINK("https://www.google.com/maps/dir/?api=1&amp;destination=HANEDA%20INNOVATION%20CITY%20%E8%B6%B3%E6%B9%AF%E3%82%B9%E3%82%AB%E3%82%A4%E3%83%87%E3%83%83%E3%82%AD&amp;travelmode=driving&amp;waypoints=%E8%90%A9%E4%B8%AD%E5%85%AC%E5%9C%92%7C%E6%9D%B1%E7%B3%80%E8%B0%B7%E9%98%B2%E7%81%BD%E5%85%AC%E5%9C%92","現在地からルート開始")</x:f>
      </x:c>
      <x:c r="M39" s="22" t="str">
        <x:v>平日夜・家族</x:v>
      </x:c>
      <x:c r="N39" s="22" t="n">
        <x:v>91</x:v>
      </x:c>
      <x:c r="O39" s="22" t="str">
        <x:v>新規</x:v>
      </x:c>
      <x:c r="P39" s="22" t="str">
        <x:v>保存車両と交通公園→防災設備→足湯と航空機へ、羽田周辺の生活インフラを三段階で見る。</x:v>
      </x:c>
      <x:c r="Q39" s="22" t="str">
        <x:v>大田区重点追加から新規作成</x:v>
      </x:c>
      <x:c r="R39" s="23" t="n">
        <x:v>46232</x:v>
      </x:c>
      <x:c r="S39" s="22" t="n">
        <x:v>93</x:v>
      </x:c>
      <x:c r="T39" s="22" t="n">
        <x:v>0</x:v>
      </x:c>
      <x:c r="U39" s="22" t="str">
        <x:v>交通史 → 防災インフラ → 空港・足湯</x:v>
      </x:c>
      <x:c r="V39" s="22" t="str">
        <x:v>萩中公園:20分／東糀谷防災公園:15分／HIC足湯:30分</x:v>
      </x:c>
      <x:c r="W39" s="22" t="str">
        <x:v>24時間公式駐車→10台24時間→HIC P1</x:v>
      </x:c>
      <x:c r="X39" s="22" t="str">
        <x:v>東糀谷満車時は省略／23時以降はT3展望へ変更</x:v>
      </x:c>
      <x:c r="Y39" s="22" t="str">
        <x:v>羽田・航空</x:v>
      </x:c>
      <x:c r="Z39" s="22"/>
    </x:row>
    <x:row r="40">
      <x:c r="A40" s="22" t="str">
        <x:v>R146</x:v>
      </x:c>
      <x:c r="B40" s="22" t="str">
        <x:v>大田・郷土史から工業島へ</x:v>
      </x:c>
      <x:c r="C40" s="22" t="str">
        <x:v>地域史／海苔産業／工業島</x:v>
      </x:c>
      <x:c r="D40" s="22" t="str">
        <x:v>現在地</x:v>
      </x:c>
      <x:c r="E40" s="22" t="str">
        <x:v>大田区立郷土博物館</x:v>
      </x:c>
      <x:c r="F40" s="22" t="str">
        <x:v>大森 海苔のふるさと館</x:v>
      </x:c>
      <x:c r="G40" s="22"/>
      <x:c r="H40" s="22" t="str">
        <x:v>昭和島二丁目公園</x:v>
      </x:c>
      <x:c r="I40" s="22" t="str">
        <x:v>140～200分</x:v>
      </x:c>
      <x:c r="J40" s="22" t="n">
        <x:v>2</x:v>
      </x:c>
      <x:c r="K40" s="22" t="str">
        <x:v>昼専用。博物館は17時、海苔館も通常17時。昭和島は季節により21時または22時閉場。</x:v>
      </x:c>
      <x:c r="L40" s="22" t="e">
        <x:f>HYPERLINK("https://www.google.com/maps/dir/?api=1&amp;destination=%E6%98%AD%E5%92%8C%E5%B3%B6%E4%BA%8C%E4%B8%81%E7%9B%AE%E5%85%AC%E5%9C%92&amp;travelmode=driving&amp;waypoints=%E5%A4%A7%E7%94%B0%E5%8C%BA%E7%AB%8B%E9%83%B7%E5%9C%9F%E5%8D%9A%E7%89%A9%E9%A4%A8%7C%E5%A4%A7%E6%A3%AE%20%E6%B5%B7%E8%8B%94%E3%81%AE%E3%81%B5%E3%82%8B%E3%81%95%E3%81%A8%E9%A4%A8","現在地からルート開始")</x:f>
      </x:c>
      <x:c r="M40" s="22" t="str">
        <x:v>昼専用</x:v>
      </x:c>
      <x:c r="N40" s="22" t="n">
        <x:v>94</x:v>
      </x:c>
      <x:c r="O40" s="22" t="str">
        <x:v>新規</x:v>
      </x:c>
      <x:c r="P40" s="22" t="str">
        <x:v>大田区全体の歴史→海苔産業→現在の工業島へ、産業構造の変化を時系列でたどる。</x:v>
      </x:c>
      <x:c r="Q40" s="22" t="str">
        <x:v>大田区重点追加から新規作成</x:v>
      </x:c>
      <x:c r="R40" s="23" t="n">
        <x:v>46232</x:v>
      </x:c>
      <x:c r="S40" s="22" t="n">
        <x:v>96</x:v>
      </x:c>
      <x:c r="T40" s="22" t="n">
        <x:v>0</x:v>
      </x:c>
      <x:c r="U40" s="22" t="str">
        <x:v>郷土史 → 海苔産業 → 現代工業島</x:v>
      </x:c>
      <x:c r="V40" s="22" t="str">
        <x:v>郷土博物館:55分／海苔館:55分／昭和島:25分</x:v>
      </x:c>
      <x:c r="W40" s="22" t="str">
        <x:v>6台→平和の森公園→43台</x:v>
      </x:c>
      <x:c r="X40" s="22" t="str">
        <x:v>博物館満車時は海苔館から開始／17時超過時は昭和島へ直行</x:v>
      </x:c>
      <x:c r="Y40" s="22" t="str">
        <x:v>Story・文化</x:v>
      </x:c>
      <x:c r="Z40" s="22"/>
    </x:row>
    <x:row r="41">
      <x:c r="A41" s="22" t="str">
        <x:v>R147</x:v>
      </x:c>
      <x:c r="B41" s="22" t="str">
        <x:v>品川・東海道からナイターへ</x:v>
      </x:c>
      <x:c r="C41" s="22" t="str">
        <x:v>東海道Story／競馬場／都市照明</x:v>
      </x:c>
      <x:c r="D41" s="22" t="str">
        <x:v>現在地</x:v>
      </x:c>
      <x:c r="E41" s="22" t="str">
        <x:v>品川区立 品川歴史館</x:v>
      </x:c>
      <x:c r="F41" s="22"/>
      <x:c r="G41" s="22"/>
      <x:c r="H41" s="22" t="str">
        <x:v>東京シティ競馬 大井競馬場</x:v>
      </x:c>
      <x:c r="I41" s="22" t="str">
        <x:v>150～240分</x:v>
      </x:c>
      <x:c r="J41" s="22" t="n">
        <x:v>4</x:v>
      </x:c>
      <x:c r="K41" s="22" t="str">
        <x:v>競馬開催日専用。歴史館は16:30最終入館。競馬場駐車料金・予約制・開門時刻を当日確認。</x:v>
      </x:c>
      <x:c r="L41" s="22" t="e">
        <x:f>HYPERLINK("https://www.google.com/maps/dir/?api=1&amp;destination=%E6%9D%B1%E4%BA%AC%E3%82%B7%E3%83%86%E3%82%A3%E7%AB%B6%E9%A6%AC%20%E5%A4%A7%E4%BA%95%E7%AB%B6%E9%A6%AC%E5%A0%B4&amp;travelmode=driving&amp;waypoints=%E5%93%81%E5%B7%9D%E5%8C%BA%E7%AB%8B%20%E5%93%81%E5%B7%9D%E6%AD%B4%E5%8F%B2%E9%A4%A8","現在地からルート開始")</x:f>
      </x:c>
      <x:c r="M41" s="22" t="str">
        <x:v>開催日専用</x:v>
      </x:c>
      <x:c r="N41" s="22" t="n">
        <x:v>90</x:v>
      </x:c>
      <x:c r="O41" s="22" t="str">
        <x:v>新規</x:v>
      </x:c>
      <x:c r="P41" s="22" t="str">
        <x:v>東海道・大森貝塚の歴史を見た後、昭和以降の都市型娯楽であるナイター競馬へ移る。</x:v>
      </x:c>
      <x:c r="Q41" s="22" t="str">
        <x:v>品川区重点追加から新規作成</x:v>
      </x:c>
      <x:c r="R41" s="23" t="n">
        <x:v>46232</x:v>
      </x:c>
      <x:c r="S41" s="22" t="n">
        <x:v>95</x:v>
      </x:c>
      <x:c r="T41" s="22" t="n">
        <x:v>0</x:v>
      </x:c>
      <x:c r="U41" s="22" t="str">
        <x:v>地域史 → 都市型夜間娯楽</x:v>
      </x:c>
      <x:c r="V41" s="22" t="str">
        <x:v>品川歴史館:60分／大井競馬場:120分</x:v>
      </x:c>
      <x:c r="W41" s="22" t="str">
        <x:v>3台→開催日駐車場</x:v>
      </x:c>
      <x:c r="X41" s="22" t="str">
        <x:v>歴史館満車なら競馬場直行／非開催日はR139へ変更</x:v>
      </x:c>
      <x:c r="Y41" s="22" t="str">
        <x:v>Story・文化</x:v>
      </x:c>
      <x:c r="Z41" s="22"/>
    </x:row>
    <x:row r="42">
      <x:c r="A42" s="22" t="str">
        <x:v>R148</x:v>
      </x:c>
      <x:c r="B42" s="22" t="str">
        <x:v>品川湾岸・運河と高架の三景</x:v>
      </x:c>
      <x:c r="C42" s="22" t="str">
        <x:v>運河／高架インフラ／水再生センター</x:v>
      </x:c>
      <x:c r="D42" s="22" t="str">
        <x:v>現在地</x:v>
      </x:c>
      <x:c r="E42" s="22" t="str">
        <x:v>天王洲公園</x:v>
      </x:c>
      <x:c r="F42" s="22" t="str">
        <x:v>八潮北公園</x:v>
      </x:c>
      <x:c r="G42" s="22"/>
      <x:c r="H42" s="22" t="str">
        <x:v>品川シーズンテラス／芝浦中央公園</x:v>
      </x:c>
      <x:c r="I42" s="22" t="str">
        <x:v>100～155分</x:v>
      </x:c>
      <x:c r="J42" s="22" t="n">
        <x:v>4</x:v>
      </x:c>
      <x:c r="K42" s="22" t="str">
        <x:v>天王洲・八潮の大会日を確認。東品川1丁目の路上枠は昼の短時間代替のみで、夜は路外駐車。品川シーズンテラスは23時まで。</x:v>
      </x:c>
      <x:c r="L42" s="22" t="e">
        <x:f>HYPERLINK("https://www.google.com/maps/dir/?api=1&amp;destination=%E5%93%81%E5%B7%9D%E3%82%B7%E3%83%BC%E3%82%BA%E3%83%B3%E3%83%86%E3%83%A9%E3%82%B9%EF%BC%8F%E8%8A%9D%E6%B5%A6%E4%B8%AD%E5%A4%AE%E5%85%AC%E5%9C%92&amp;travelmode=driving&amp;waypoints=%E5%A4%A9%E7%8E%8B%E6%B4%B2%E5%85%AC%E5%9C%92%7C%E5%85%AB%E6%BD%AE%E5%8C%97%E5%85%AC%E5%9C%92","現在地からルート開始")</x:f>
      </x:c>
      <x:c r="M42" s="22" t="str">
        <x:v>夕方～夜</x:v>
      </x:c>
      <x:c r="N42" s="22" t="n">
        <x:v>93</x:v>
      </x:c>
      <x:c r="O42" s="22" t="str">
        <x:v>新規</x:v>
      </x:c>
      <x:c r="P42" s="22" t="str">
        <x:v>倉庫街再生の運河→高架と埋立地→水再生センター上の緑地へ、湾岸都市インフラの種類を変える。</x:v>
      </x:c>
      <x:c r="Q42" s="22" t="str">
        <x:v>品川・港区重点追加から新規作成</x:v>
      </x:c>
      <x:c r="R42" s="23" t="n">
        <x:v>46232</x:v>
      </x:c>
      <x:c r="S42" s="22" t="n">
        <x:v>97</x:v>
      </x:c>
      <x:c r="T42" s="22" t="n">
        <x:v>0</x:v>
      </x:c>
      <x:c r="U42" s="22" t="str">
        <x:v>運河・アート → 高架・物流 → 水処理・高層建築</x:v>
      </x:c>
      <x:c r="V42" s="22" t="str">
        <x:v>天王洲:25分／八潮北:20分／品川シーズンテラス:40分</x:v>
      </x:c>
      <x:c r="W42" s="22" t="str">
        <x:v>各公式有料駐車場</x:v>
      </x:c>
      <x:c r="X42" s="22" t="str">
        <x:v>大会・満車時は八潮省略／23時超過時は天王洲で終了</x:v>
      </x:c>
      <x:c r="Y42" s="22" t="str">
        <x:v>東京港・水辺</x:v>
      </x:c>
      <x:c r="Z42" s="22"/>
    </x:row>
    <x:row r="43">
      <x:c r="A43" s="22" t="str">
        <x:v>R149</x:v>
      </x:c>
      <x:c r="B43" s="22" t="str">
        <x:v>品川から東京タワーへ都市インフラ線</x:v>
      </x:c>
      <x:c r="C43" s="22" t="str">
        <x:v>水再生センター／高層街／放送塔</x:v>
      </x:c>
      <x:c r="D43" s="22" t="str">
        <x:v>現在地</x:v>
      </x:c>
      <x:c r="E43" s="22" t="str">
        <x:v>品川シーズンテラス／芝浦中央公園</x:v>
      </x:c>
      <x:c r="F43" s="22"/>
      <x:c r="G43" s="22"/>
      <x:c r="H43" s="22" t="str">
        <x:v>東京タワー</x:v>
      </x:c>
      <x:c r="I43" s="22" t="str">
        <x:v>95～145分</x:v>
      </x:c>
      <x:c r="J43" s="22" t="n">
        <x:v>5</x:v>
      </x:c>
      <x:c r="K43" s="22" t="str">
        <x:v>港南3丁目の時間制限駐車区間は昼の短時間観察用。東京タワー展望利用は地上・近隣駐車場を使用。最終入場22:30。</x:v>
      </x:c>
      <x:c r="L43" s="22" t="e">
        <x:f>HYPERLINK("https://www.google.com/maps/dir/?api=1&amp;destination=%E6%9D%B1%E4%BA%AC%E3%82%BF%E3%83%AF%E3%83%BC&amp;travelmode=driving&amp;waypoints=%E5%93%81%E5%B7%9D%E3%82%B7%E3%83%BC%E3%82%BA%E3%83%B3%E3%83%86%E3%83%A9%E3%82%B9%EF%BC%8F%E8%8A%9D%E6%B5%A6%E4%B8%AD%E5%A4%AE%E5%85%AC%E5%9C%92","現在地からルート開始")</x:f>
      </x:c>
      <x:c r="M43" s="22" t="str">
        <x:v>平日夜</x:v>
      </x:c>
      <x:c r="N43" s="22" t="n">
        <x:v>95</x:v>
      </x:c>
      <x:c r="O43" s="22" t="str">
        <x:v>新規</x:v>
      </x:c>
      <x:c r="P43" s="22" t="str">
        <x:v>下水処理施設上の緑地から戦後東京の放送塔へ移り、都市インフラを地上と空から見る。</x:v>
      </x:c>
      <x:c r="Q43" s="22" t="str">
        <x:v>港区重点追加から新規作成</x:v>
      </x:c>
      <x:c r="R43" s="23" t="n">
        <x:v>46232</x:v>
      </x:c>
      <x:c r="S43" s="22" t="n">
        <x:v>94</x:v>
      </x:c>
      <x:c r="T43" s="22" t="n">
        <x:v>0</x:v>
      </x:c>
      <x:c r="U43" s="22" t="str">
        <x:v>水再生インフラ → 放送塔・夜景</x:v>
      </x:c>
      <x:c r="V43" s="22" t="str">
        <x:v>品川シーズンテラス:30分／東京タワー:70分</x:v>
      </x:c>
      <x:c r="W43" s="22" t="str">
        <x:v>319台→東京タワー地上駐車</x:v>
      </x:c>
      <x:c r="X43" s="22" t="str">
        <x:v>22時以降は東京タワー外観鑑賞へ変更</x:v>
      </x:c>
      <x:c r="Y43" s="22" t="str">
        <x:v>都市夜景・建築</x:v>
      </x:c>
      <x:c r="Z43" s="22"/>
    </x:row>
    <x:row r="44">
      <x:c r="A44" s="22" t="str">
        <x:v>R150</x:v>
      </x:c>
      <x:c r="B44" s="22" t="str">
        <x:v>六本木・庭園から空中都市へ</x:v>
      </x:c>
      <x:c r="C44" s="22" t="str">
        <x:v>庭園／現代建築／高層展望</x:v>
      </x:c>
      <x:c r="D44" s="22" t="str">
        <x:v>現在地</x:v>
      </x:c>
      <x:c r="E44" s="22" t="str">
        <x:v>東京ミッドタウン／ミッドタウン・ガーデン</x:v>
      </x:c>
      <x:c r="F44" s="22"/>
      <x:c r="G44" s="22"/>
      <x:c r="H44" s="22" t="str">
        <x:v>六本木ヒルズ 東京シティビュー</x:v>
      </x:c>
      <x:c r="I44" s="22" t="str">
        <x:v>100～160分</x:v>
      </x:c>
      <x:c r="J44" s="22" t="n">
        <x:v>5</x:v>
      </x:c>
      <x:c r="K44" s="22" t="str">
        <x:v>東京シティビューは2026年7月31日まで休館。8月1日以降に使用。企画展・貸切を確認。</x:v>
      </x:c>
      <x:c r="L44" s="22" t="e">
        <x:f>HYPERLINK("https://www.google.com/maps/dir/?api=1&amp;destination=%E5%85%AD%E6%9C%AC%E6%9C%A8%E3%83%92%E3%83%AB%E3%82%BA%20%E6%9D%B1%E4%BA%AC%E3%82%B7%E3%83%86%E3%82%A3%E3%83%93%E3%83%A5%E3%83%BC&amp;travelmode=driving&amp;waypoints=%E6%9D%B1%E4%BA%AC%E3%83%9F%E3%83%83%E3%83%89%E3%82%BF%E3%82%A6%E3%83%B3%EF%BC%8F%E3%83%9F%E3%83%83%E3%83%89%E3%82%BF%E3%82%A6%E3%83%B3%E3%83%BB%E3%82%AC%E3%83%BC%E3%83%87%E3%83%B3","現在地からルート開始")</x:f>
      </x:c>
      <x:c r="M44" s="22" t="str">
        <x:v>8月1日以降・夜</x:v>
      </x:c>
      <x:c r="N44" s="22" t="n">
        <x:v>92</x:v>
      </x:c>
      <x:c r="O44" s="22" t="str">
        <x:v>新規</x:v>
      </x:c>
      <x:c r="P44" s="22" t="str">
        <x:v>地上の庭園・デザイン街区から、52階の都市展望へ垂直に体験を引き上げる。</x:v>
      </x:c>
      <x:c r="Q44" s="22" t="str">
        <x:v>港区重点追加から新規作成</x:v>
      </x:c>
      <x:c r="R44" s="23" t="n">
        <x:v>46232</x:v>
      </x:c>
      <x:c r="S44" s="22" t="n">
        <x:v>90</x:v>
      </x:c>
      <x:c r="T44" s="22" t="n">
        <x:v>0</x:v>
      </x:c>
      <x:c r="U44" s="22" t="str">
        <x:v>庭園・デザイン → 高層美術・夜景</x:v>
      </x:c>
      <x:c r="V44" s="22" t="str">
        <x:v>東京ミッドタウン:50分／東京シティビュー:75分</x:v>
      </x:c>
      <x:c r="W44" s="22" t="str">
        <x:v>両施設24時間系駐車場</x:v>
      </x:c>
      <x:c r="X44" s="22" t="str">
        <x:v>シティビュー休館時は東京タワーへ変更</x:v>
      </x:c>
      <x:c r="Y44" s="22" t="str">
        <x:v>都市夜景・建築</x:v>
      </x:c>
      <x:c r="Z44" s="22"/>
    </x:row>
    <x:row r="45">
      <x:c r="A45" s="22" t="str">
        <x:v>R151</x:v>
      </x:c>
      <x:c r="B45" s="22" t="str">
        <x:v>新宿・庭園と明治建築</x:v>
      </x:c>
      <x:c r="C45" s="22" t="str">
        <x:v>大庭園／近代建築／明治史</x:v>
      </x:c>
      <x:c r="D45" s="22" t="str">
        <x:v>現在地</x:v>
      </x:c>
      <x:c r="E45" s="22" t="str">
        <x:v>新宿御苑</x:v>
      </x:c>
      <x:c r="F45" s="22"/>
      <x:c r="G45" s="22"/>
      <x:c r="H45" s="22" t="str">
        <x:v>明治神宮外苑 聖徳記念絵画館</x:v>
      </x:c>
      <x:c r="I45" s="22" t="str">
        <x:v>160～230分</x:v>
      </x:c>
      <x:c r="J45" s="22" t="n">
        <x:v>1</x:v>
      </x:c>
      <x:c r="K45" s="22" t="str">
        <x:v>新宿3丁目37の路上枠は40分限定で、御苑内観光には使用不可。御苑駐車場と絵画館駐車場を基本とする。</x:v>
      </x:c>
      <x:c r="L45" s="22" t="e">
        <x:f>HYPERLINK("https://www.google.com/maps/dir/?api=1&amp;destination=%E6%98%8E%E6%B2%BB%E7%A5%9E%E5%AE%AE%E5%A4%96%E8%8B%91%20%E8%81%96%E5%BE%B3%E8%A8%98%E5%BF%B5%E7%B5%B5%E7%94%BB%E9%A4%A8&amp;travelmode=driving&amp;waypoints=%E6%96%B0%E5%AE%BF%E5%BE%A1%E8%8B%91","現在地からルート開始")</x:f>
      </x:c>
      <x:c r="M45" s="22" t="str">
        <x:v>休日半日・昼</x:v>
      </x:c>
      <x:c r="N45" s="22" t="n">
        <x:v>94</x:v>
      </x:c>
      <x:c r="O45" s="22" t="str">
        <x:v>新規</x:v>
      </x:c>
      <x:c r="P45" s="22" t="str">
        <x:v>江戸期から皇室庭園へ続く緑地の歴史と、明治を描く近代建築を一続きにする。</x:v>
      </x:c>
      <x:c r="Q45" s="22" t="str">
        <x:v>新宿区重点追加から新規作成</x:v>
      </x:c>
      <x:c r="R45" s="23" t="n">
        <x:v>46232</x:v>
      </x:c>
      <x:c r="S45" s="22" t="n">
        <x:v>96</x:v>
      </x:c>
      <x:c r="T45" s="22" t="n">
        <x:v>0</x:v>
      </x:c>
      <x:c r="U45" s="22" t="str">
        <x:v>庭園史 → 近代国家・建築Story</x:v>
      </x:c>
      <x:c r="V45" s="22" t="str">
        <x:v>新宿御苑:110分／聖徳記念絵画館:60分</x:v>
      </x:c>
      <x:c r="W45" s="22" t="str">
        <x:v>200台→396台</x:v>
      </x:c>
      <x:c r="X45" s="22" t="str">
        <x:v>絵画館休館時は都庁展望室へ／花見期は片方に絞る</x:v>
      </x:c>
      <x:c r="Y45" s="22" t="str">
        <x:v>Story・文化</x:v>
      </x:c>
      <x:c r="Z45" s="22"/>
    </x:row>
    <x:row r="46">
      <x:c r="A46" s="22" t="str">
        <x:v>R152</x:v>
      </x:c>
      <x:c r="B46" s="22" t="str">
        <x:v>西新宿・巨大空間から都庁夜景へ</x:v>
      </x:c>
      <x:c r="C46" s="22" t="str">
        <x:v>巨大アトリウム／超高層街／無料展望</x:v>
      </x:c>
      <x:c r="D46" s="22" t="str">
        <x:v>現在地</x:v>
      </x:c>
      <x:c r="E46" s="22" t="str">
        <x:v>新宿NSビル アトリウム・大時計</x:v>
      </x:c>
      <x:c r="F46" s="22"/>
      <x:c r="G46" s="22"/>
      <x:c r="H46" s="22" t="str">
        <x:v>東京都庁展望室</x:v>
      </x:c>
      <x:c r="I46" s="22" t="str">
        <x:v>90～140分</x:v>
      </x:c>
      <x:c r="J46" s="22" t="n">
        <x:v>5</x:v>
      </x:c>
      <x:c r="K46" s="22" t="str">
        <x:v>西新宿6丁目の路上枠は昼の短時間建築観察用。夜はNSビルまたは都庁駐車場を使用し、都庁は21:30入庫・22:00出庫期限。</x:v>
      </x:c>
      <x:c r="L46" s="22" t="e">
        <x:f>HYPERLINK("https://www.google.com/maps/dir/?api=1&amp;destination=%E6%9D%B1%E4%BA%AC%E9%83%BD%E5%BA%81%E5%B1%95%E6%9C%9B%E5%AE%A4&amp;travelmode=driving&amp;waypoints=%E6%96%B0%E5%AE%BFNS%E3%83%93%E3%83%AB%20%E3%82%A2%E3%83%88%E3%83%AA%E3%82%A6%E3%83%A0%E3%83%BB%E5%A4%A7%E6%99%82%E8%A8%88","現在地からルート開始")</x:f>
      </x:c>
      <x:c r="M46" s="22" t="str">
        <x:v>平日夜・雨天</x:v>
      </x:c>
      <x:c r="N46" s="22" t="n">
        <x:v>96</x:v>
      </x:c>
      <x:c r="O46" s="22" t="str">
        <x:v>新規</x:v>
      </x:c>
      <x:c r="P46" s="22" t="str">
        <x:v>屋内の巨大吹抜けと大時計を見てから、都庁展望室で西新宿全体を上空から捉える。</x:v>
      </x:c>
      <x:c r="Q46" s="22" t="str">
        <x:v>新宿区重点追加から新規作成</x:v>
      </x:c>
      <x:c r="R46" s="23" t="n">
        <x:v>46232</x:v>
      </x:c>
      <x:c r="S46" s="22" t="n">
        <x:v>98</x:v>
      </x:c>
      <x:c r="T46" s="22" t="n">
        <x:v>0</x:v>
      </x:c>
      <x:c r="U46" s="22" t="str">
        <x:v>巨大内部空間 → 超高層展望</x:v>
      </x:c>
      <x:c r="V46" s="22" t="str">
        <x:v>NSビル:35分／都庁展望室:55分</x:v>
      </x:c>
      <x:c r="W46" s="22" t="str">
        <x:v>336台→都庁来庁者駐車場</x:v>
      </x:c>
      <x:c r="X46" s="22" t="str">
        <x:v>都庁休室・22時超過時はNSビルで終了</x:v>
      </x:c>
      <x:c r="Y46" s="22" t="str">
        <x:v>都市夜景・建築</x:v>
      </x:c>
      <x:c r="Z46" s="22"/>
    </x:row>
  </x:sheetData>
  <x:conditionalFormatting sqref="J2:J36">
    <x:cfRule type="colorScale" priority="1">
      <x:colorScale>
        <x:cfvo type="min"/>
        <x:cfvo type="percentile" val="50"/>
        <x:cfvo type="max"/>
        <x:color rgb="FFFEE2E2"/>
        <x:color rgb="FFFEF3C7"/>
        <x:color rgb="FFDCFCE7"/>
      </x:colorScale>
    </x:cfRule>
  </x:conditionalFormatting>
  <x:conditionalFormatting sqref="N2:N36">
    <x:cfRule type="colorScale" priority="2">
      <x:colorScale>
        <x:cfvo type="min"/>
        <x:cfvo type="percentile" val="50"/>
        <x:cfvo type="max"/>
        <x:color rgb="FFFEE2E2"/>
        <x:color rgb="FFFEF3C7"/>
        <x:color rgb="FFDCFCE7"/>
      </x:colorScale>
    </x:cfRule>
  </x:conditionalFormatting>
  <x:conditionalFormatting sqref="N2:T38">
    <x:cfRule type="colorScale" priority="3">
      <x:colorScale>
        <x:cfvo type="min"/>
        <x:cfvo type="percentile" val="50"/>
        <x:cfvo type="max"/>
        <x:color rgb="FFFEE2E2"/>
        <x:color rgb="FFFEF3C7"/>
        <x:color rgb="FFDCFCE7"/>
      </x:colorScale>
    </x:cfRule>
    <x:cfRule type="colorScale" priority="4">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9d1f2d013e954955"/>
  </x:tableParts>
</x:worksheet>
</file>

<file path=xl/worksheets/sheet11.xml><?xml version="1.0" encoding="utf-8"?>
<x:worksheet xmlns:x="http://schemas.openxmlformats.org/spreadsheetml/2006/main">
  <x:sheetFormatPr defaultRowHeight="15"/>
  <x:sheetData>
    <x:row r="1">
      <x:c r="A1" s="406" t="str">
        <x:v>ルートID</x:v>
      </x:c>
      <x:c r="B1" s="406" t="str">
        <x:v>タイトル</x:v>
      </x:c>
      <x:c r="C1" s="406" t="str">
        <x:v>テーマ</x:v>
      </x:c>
      <x:c r="D1" s="406" t="str">
        <x:v>起点</x:v>
      </x:c>
      <x:c r="E1" s="406" t="str">
        <x:v>経由地1</x:v>
      </x:c>
      <x:c r="F1" s="406" t="str">
        <x:v>経由地2</x:v>
      </x:c>
      <x:c r="G1" s="406" t="str">
        <x:v>経由地3</x:v>
      </x:c>
      <x:c r="H1" s="406" t="str">
        <x:v>最終目的地</x:v>
      </x:c>
      <x:c r="I1" s="406" t="str">
        <x:v>想定総時間</x:v>
      </x:c>
      <x:c r="J1" s="406" t="str">
        <x:v>夜間適性（並べ替え可）</x:v>
      </x:c>
      <x:c r="K1" s="406" t="str">
        <x:v>注意事項</x:v>
      </x:c>
      <x:c r="L1" s="406" t="str">
        <x:v>現在地→経由地→最終目的地（クリック）</x:v>
      </x:c>
      <x:c r="M1" s="407" t="str">
        <x:v>ルート区分</x:v>
      </x:c>
      <x:c r="N1" s="407" t="str">
        <x:v>経由地品質(0-100)</x:v>
      </x:c>
      <x:c r="O1" s="407" t="str">
        <x:v>改善状態</x:v>
      </x:c>
      <x:c r="P1" s="407" t="str">
        <x:v>経由地設計意図</x:v>
      </x:c>
      <x:c r="Q1" s="407" t="str">
        <x:v>差替え・役割履歴</x:v>
      </x:c>
      <x:c r="R1" s="407" t="str">
        <x:v>更新日</x:v>
      </x:c>
      <x:c r="S1" s="407" t="str">
        <x:v>経由地多様性</x:v>
      </x:c>
      <x:c r="T1" s="407" t="str">
        <x:v>使用過多ペナルティ</x:v>
      </x:c>
      <x:c r="U1" s="407" t="str">
        <x:v>体験遷移</x:v>
      </x:c>
      <x:c r="V1" s="407" t="str">
        <x:v>推奨滞在配分</x:v>
      </x:c>
      <x:c r="W1" s="407" t="str">
        <x:v>駐車方式</x:v>
      </x:c>
      <x:c r="X1" s="407" t="str">
        <x:v>スキップ基準</x:v>
      </x:c>
      <x:c r="Y1" s="407" t="str">
        <x:v>ルート系統</x:v>
      </x:c>
      <x:c r="Z1" s="407" t="str">
        <x:v>走行演出</x:v>
      </x:c>
    </x:row>
    <x:row r="2">
      <x:c r="A2" s="22" t="str">
        <x:v>R007</x:v>
      </x:c>
      <x:c r="B2" s="22" t="str">
        <x:v>横浜高台から港へ</x:v>
      </x:c>
      <x:c r="C2" s="22" t="str">
        <x:v>高台／港／都市夜景</x:v>
      </x:c>
      <x:c r="D2" s="22" t="str">
        <x:v>蒲田駅</x:v>
      </x:c>
      <x:c r="E2" s="22" t="str">
        <x:v>港の見える丘公園</x:v>
      </x:c>
      <x:c r="F2" s="22" t="str">
        <x:v>本牧山頂公園</x:v>
      </x:c>
      <x:c r="G2" s="22"/>
      <x:c r="H2" s="22" t="str">
        <x:v>横浜港大さん橋</x:v>
      </x:c>
      <x:c r="I2" s="22" t="str">
        <x:v>150～190分</x:v>
      </x:c>
      <x:c r="J2" s="22" t="n">
        <x:v>5</x:v>
      </x:c>
      <x:c r="K2" s="22" t="str">
        <x:v>高台から水面近くへ下り、余韻を強くする。</x:v>
      </x:c>
      <x:c r="L2" s="95" t="e">
        <x:f>HYPERLINK("https://www.google.com/maps/dir/?api=1&amp;destination=%E6%A8%AA%E6%B5%9C%E6%B8%AF%E5%A4%A7%E3%81%95%E3%82%93%E6%A9%8B&amp;travelmode=driving&amp;waypoints=%E6%B8%AF%E3%81%AE%E8%A6%8B%E3%81%88%E3%82%8B%E4%B8%98%E5%85%AC%E5%9C%92%7C%E6%9C%AC%E7%89%A7%E5%B1%B1%E9%A0%82%E5%85%AC%E5%9C%92","現在地からルート開始")</x:f>
      </x:c>
      <x:c r="M2" s="22" t="str">
        <x:v>通常</x:v>
      </x:c>
      <x:c r="N2" s="22" t="n">
        <x:v>76</x:v>
      </x:c>
      <x:c r="O2" s="22" t="str">
        <x:v>維持</x:v>
      </x:c>
      <x:c r="P2" s="22" t="str">
        <x:v>港の見える丘公園 → 本牧山頂公園 → 横浜港大さん橋 の順に、景観と滞在強度を変化させる。</x:v>
      </x:c>
      <x:c r="Q2" s="22"/>
      <x:c r="R2" s="23" t="n">
        <x:v>46232</x:v>
      </x:c>
      <x:c r="S2" s="22"/>
      <x:c r="T2" s="22"/>
      <x:c r="U2" s="22"/>
      <x:c r="V2" s="22"/>
      <x:c r="W2" s="22"/>
      <x:c r="X2" s="22"/>
      <x:c r="Y2" s="22" t="str">
        <x:v>東京港・水辺</x:v>
      </x:c>
      <x:c r="Z2" s="22"/>
    </x:row>
    <x:row r="3">
      <x:c r="A3" s="22" t="str">
        <x:v>R010</x:v>
      </x:c>
      <x:c r="B3" s="22" t="str">
        <x:v>横須賀・軍港から入り江へ</x:v>
      </x:c>
      <x:c r="C3" s="22" t="str">
        <x:v>軍港／海／歴史</x:v>
      </x:c>
      <x:c r="D3" s="22" t="str">
        <x:v>蒲田駅</x:v>
      </x:c>
      <x:c r="E3" s="22" t="str">
        <x:v>ヴェルニー公園</x:v>
      </x:c>
      <x:c r="F3" s="22" t="str">
        <x:v>うみかぜ公園</x:v>
      </x:c>
      <x:c r="G3" s="22"/>
      <x:c r="H3" s="22" t="str">
        <x:v>燈明堂緑地</x:v>
      </x:c>
      <x:c r="I3" s="22" t="str">
        <x:v>180～230分</x:v>
      </x:c>
      <x:c r="J3" s="22" t="n">
        <x:v>4</x:v>
      </x:c>
      <x:c r="K3" s="22" t="str">
        <x:v>燈明堂は21:30以降入庫不可。</x:v>
      </x:c>
      <x:c r="L3" s="95" t="e">
        <x:f>HYPERLINK("https://www.google.com/maps/dir/?api=1&amp;destination=%E7%87%88%E6%98%8E%E5%A0%82%E7%B7%91%E5%9C%B0&amp;travelmode=driving&amp;waypoints=%E3%83%B4%E3%82%A7%E3%83%AB%E3%83%8B%E3%83%BC%E5%85%AC%E5%9C%92%7C%E3%81%86%E3%81%BF%E3%81%8B%E3%81%9C%E5%85%AC%E5%9C%92","現在地からルート開始")</x:f>
      </x:c>
      <x:c r="M3" s="22" t="str">
        <x:v>通常</x:v>
      </x:c>
      <x:c r="N3" s="22" t="n">
        <x:v>82</x:v>
      </x:c>
      <x:c r="O3" s="22" t="str">
        <x:v>維持</x:v>
      </x:c>
      <x:c r="P3" s="22" t="str">
        <x:v>ヴェルニー公園 → うみかぜ公園 → 燈明堂緑地 の順に、景観と滞在強度を変化させる。</x:v>
      </x:c>
      <x:c r="Q3" s="22"/>
      <x:c r="R3" s="23" t="n">
        <x:v>46232</x:v>
      </x:c>
      <x:c r="S3" s="22"/>
      <x:c r="T3" s="22"/>
      <x:c r="U3" s="22"/>
      <x:c r="V3" s="22"/>
      <x:c r="W3" s="22"/>
      <x:c r="X3" s="22"/>
      <x:c r="Y3" s="22" t="str">
        <x:v>東京港・水辺</x:v>
      </x:c>
      <x:c r="Z3" s="22"/>
    </x:row>
    <x:row r="4">
      <x:c r="A4" s="22" t="str">
        <x:v>R011</x:v>
      </x:c>
      <x:c r="B4" s="22" t="str">
        <x:v>三浦西岸サンセット</x:v>
      </x:c>
      <x:c r="C4" s="22" t="str">
        <x:v>高台／夕日／岩礁</x:v>
      </x:c>
      <x:c r="D4" s="22" t="str">
        <x:v>蒲田駅</x:v>
      </x:c>
      <x:c r="E4" s="22" t="str">
        <x:v>披露山公園</x:v>
      </x:c>
      <x:c r="F4" s="22" t="str">
        <x:v>立石公園</x:v>
      </x:c>
      <x:c r="G4" s="22"/>
      <x:c r="H4" s="22" t="str">
        <x:v>荒崎公園</x:v>
      </x:c>
      <x:c r="I4" s="22" t="str">
        <x:v>210～280分</x:v>
      </x:c>
      <x:c r="J4" s="22" t="n">
        <x:v>1</x:v>
      </x:c>
      <x:c r="K4" s="22" t="str">
        <x:v>昼～夕方専用。閉鎖時刻から逆算。</x:v>
      </x:c>
      <x:c r="L4" s="95" t="e">
        <x:f>HYPERLINK("https://www.google.com/maps/dir/?api=1&amp;destination=%E8%8D%92%E5%B4%8E%E5%85%AC%E5%9C%92&amp;travelmode=driving&amp;waypoints=%E6%8A%AB%E9%9C%B2%E5%B1%B1%E5%85%AC%E5%9C%92%7C%E7%AB%8B%E7%9F%B3%E5%85%AC%E5%9C%92","現在地からルート開始")</x:f>
      </x:c>
      <x:c r="M4" s="22" t="str">
        <x:v>昼専用</x:v>
      </x:c>
      <x:c r="N4" s="22" t="n">
        <x:v>70</x:v>
      </x:c>
      <x:c r="O4" s="22" t="str">
        <x:v>維持</x:v>
      </x:c>
      <x:c r="P4" s="22" t="str">
        <x:v>披露山公園 → 立石公園 → 荒崎公園 の順に、景観と滞在強度を変化させる。</x:v>
      </x:c>
      <x:c r="Q4" s="22"/>
      <x:c r="R4" s="23" t="n">
        <x:v>46232</x:v>
      </x:c>
      <x:c r="S4" s="22"/>
      <x:c r="T4" s="22"/>
      <x:c r="U4" s="22"/>
      <x:c r="V4" s="22"/>
      <x:c r="W4" s="22"/>
      <x:c r="X4" s="22"/>
      <x:c r="Y4" s="22" t="str">
        <x:v>森林・高台</x:v>
      </x:c>
      <x:c r="Z4" s="22"/>
    </x:row>
    <x:row r="5">
      <x:c r="A5" s="22" t="str">
        <x:v>R012</x:v>
      </x:c>
      <x:c r="B5" s="22" t="str">
        <x:v>三浦半島・南端到達</x:v>
      </x:c>
      <x:c r="C5" s="22" t="str">
        <x:v>風車／漁港／島</x:v>
      </x:c>
      <x:c r="D5" s="22" t="str">
        <x:v>蒲田駅</x:v>
      </x:c>
      <x:c r="E5" s="22" t="str">
        <x:v>宮川公園</x:v>
      </x:c>
      <x:c r="F5" s="22" t="str">
        <x:v>三崎港 うらり</x:v>
      </x:c>
      <x:c r="G5" s="22"/>
      <x:c r="H5" s="22" t="str">
        <x:v>県立城ヶ島公園</x:v>
      </x:c>
      <x:c r="I5" s="22" t="str">
        <x:v>240～320分</x:v>
      </x:c>
      <x:c r="J5" s="22" t="n">
        <x:v>2</x:v>
      </x:c>
      <x:c r="K5" s="22" t="str">
        <x:v>強風・高波時は中止。季節別閉場時刻に注意。</x:v>
      </x:c>
      <x:c r="L5" s="95" t="e">
        <x:f>HYPERLINK("https://www.google.com/maps/dir/?api=1&amp;destination=%E7%9C%8C%E7%AB%8B%E5%9F%8E%E3%83%B6%E5%B3%B6%E5%85%AC%E5%9C%92&amp;travelmode=driving&amp;waypoints=%E5%AE%AE%E5%B7%9D%E5%85%AC%E5%9C%92%7C%E4%B8%89%E5%B4%8E%E6%B8%AF%20%E3%81%86%E3%82%89%E3%82%8A","現在地からルート開始")</x:f>
      </x:c>
      <x:c r="M5" s="22" t="str">
        <x:v>昼専用</x:v>
      </x:c>
      <x:c r="N5" s="22" t="n">
        <x:v>66</x:v>
      </x:c>
      <x:c r="O5" s="22" t="str">
        <x:v>維持</x:v>
      </x:c>
      <x:c r="P5" s="22" t="str">
        <x:v>宮川公園 → 三崎港 うらり → 県立城ヶ島公園 の順に、景観と滞在強度を変化させる。</x:v>
      </x:c>
      <x:c r="Q5" s="22"/>
      <x:c r="R5" s="23" t="n">
        <x:v>46232</x:v>
      </x:c>
      <x:c r="S5" s="22"/>
      <x:c r="T5" s="22"/>
      <x:c r="U5" s="22"/>
      <x:c r="V5" s="22"/>
      <x:c r="W5" s="22"/>
      <x:c r="X5" s="22"/>
      <x:c r="Y5" s="22" t="str">
        <x:v>東京港・水辺</x:v>
      </x:c>
      <x:c r="Z5" s="22"/>
    </x:row>
    <x:row r="6">
      <x:c r="A6" s="22" t="str">
        <x:v>R013</x:v>
      </x:c>
      <x:c r="B6" s="22" t="str">
        <x:v>隅田川から水郷へ</x:v>
      </x:c>
      <x:c r="C6" s="22" t="str">
        <x:v>河川／水辺／夜間公園</x:v>
      </x:c>
      <x:c r="D6" s="22" t="str">
        <x:v>蒲田駅</x:v>
      </x:c>
      <x:c r="E6" s="22" t="str">
        <x:v>汐入公園</x:v>
      </x:c>
      <x:c r="F6" s="22" t="str">
        <x:v>水元公園</x:v>
      </x:c>
      <x:c r="G6" s="22"/>
      <x:c r="H6" s="22" t="str">
        <x:v>みさと公園</x:v>
      </x:c>
      <x:c r="I6" s="22" t="str">
        <x:v>170～220分</x:v>
      </x:c>
      <x:c r="J6" s="22" t="n">
        <x:v>4</x:v>
      </x:c>
      <x:c r="K6" s="22" t="str">
        <x:v>3地点とも水辺。深夜はみさと公園第2駐車場を利用。</x:v>
      </x:c>
      <x:c r="L6" s="95" t="e">
        <x:f>HYPERLINK("https://www.google.com/maps/dir/?api=1&amp;destination=%E3%81%BF%E3%81%95%E3%81%A8%E5%85%AC%E5%9C%92&amp;travelmode=driving&amp;waypoints=%E6%B1%90%E5%85%A5%E5%85%AC%E5%9C%92%7C%E6%B0%B4%E5%85%83%E5%85%AC%E5%9C%92","現在地からルート開始")</x:f>
      </x:c>
      <x:c r="M6" s="22" t="str">
        <x:v>通常</x:v>
      </x:c>
      <x:c r="N6" s="22" t="n">
        <x:v>88</x:v>
      </x:c>
      <x:c r="O6" s="22" t="str">
        <x:v>維持</x:v>
      </x:c>
      <x:c r="P6" s="22" t="str">
        <x:v>汐入公園 → 水元公園 → みさと公園 の順に、景観と滞在強度を変化させる。</x:v>
      </x:c>
      <x:c r="Q6" s="22"/>
      <x:c r="R6" s="23" t="n">
        <x:v>46232</x:v>
      </x:c>
      <x:c r="S6" s="22"/>
      <x:c r="T6" s="22"/>
      <x:c r="U6" s="22"/>
      <x:c r="V6" s="22"/>
      <x:c r="W6" s="22"/>
      <x:c r="X6" s="22"/>
      <x:c r="Y6" s="22" t="str">
        <x:v>河川・多摩川</x:v>
      </x:c>
      <x:c r="Z6" s="22"/>
    </x:row>
    <x:row r="7">
      <x:c r="A7" s="22" t="str">
        <x:v>R014</x:v>
      </x:c>
      <x:c r="B7" s="22" t="str">
        <x:v>北東京レイクショート</x:v>
      </x:c>
      <x:c r="C7" s="22" t="str">
        <x:v>池／公園／夜間休憩</x:v>
      </x:c>
      <x:c r="D7" s="22" t="str">
        <x:v>蒲田駅</x:v>
      </x:c>
      <x:c r="E7" s="22" t="str">
        <x:v>浮間公園</x:v>
      </x:c>
      <x:c r="F7" s="22" t="str">
        <x:v>舎人公園</x:v>
      </x:c>
      <x:c r="G7" s="22"/>
      <x:c r="H7" s="22" t="str">
        <x:v>水元公園</x:v>
      </x:c>
      <x:c r="I7" s="22" t="str">
        <x:v>170～230分</x:v>
      </x:c>
      <x:c r="J7" s="22" t="n">
        <x:v>4</x:v>
      </x:c>
      <x:c r="K7" s="22" t="str">
        <x:v>24時間駐車場中心。夜は園内奥へ入らず短時間滞在。</x:v>
      </x:c>
      <x:c r="L7" s="95" t="e">
        <x:f>HYPERLINK("https://www.google.com/maps/dir/?api=1&amp;destination=%E6%B0%B4%E5%85%83%E5%85%AC%E5%9C%92&amp;travelmode=driving&amp;waypoints=%E6%B5%AE%E9%96%93%E5%85%AC%E5%9C%92%7C%E8%88%8E%E4%BA%BA%E5%85%AC%E5%9C%92","現在地からルート開始")</x:f>
      </x:c>
      <x:c r="M7" s="22" t="str">
        <x:v>通常</x:v>
      </x:c>
      <x:c r="N7" s="22" t="n">
        <x:v>83</x:v>
      </x:c>
      <x:c r="O7" s="22" t="str">
        <x:v>維持</x:v>
      </x:c>
      <x:c r="P7" s="22" t="str">
        <x:v>浮間公園 → 舎人公園 → 水元公園 の順に、景観と滞在強度を変化させる。</x:v>
      </x:c>
      <x:c r="Q7" s="22"/>
      <x:c r="R7" s="23" t="n">
        <x:v>46232</x:v>
      </x:c>
      <x:c r="S7" s="22"/>
      <x:c r="T7" s="22"/>
      <x:c r="U7" s="22"/>
      <x:c r="V7" s="22"/>
      <x:c r="W7" s="22"/>
      <x:c r="X7" s="22"/>
      <x:c r="Y7" s="22" t="str">
        <x:v>都市公園・休憩</x:v>
      </x:c>
      <x:c r="Z7" s="22"/>
    </x:row>
    <x:row r="8">
      <x:c r="A8" s="22" t="str">
        <x:v>R015</x:v>
      </x:c>
      <x:c r="B8" s="22" t="str">
        <x:v>彩湖と荒川の余白</x:v>
      </x:c>
      <x:c r="C8" s="22" t="str">
        <x:v>湖／河川敷／森林</x:v>
      </x:c>
      <x:c r="D8" s="22" t="str">
        <x:v>蒲田駅</x:v>
      </x:c>
      <x:c r="E8" s="22" t="str">
        <x:v>浮間公園</x:v>
      </x:c>
      <x:c r="F8" s="22" t="str">
        <x:v>彩湖・道満グリーンパーク</x:v>
      </x:c>
      <x:c r="G8" s="22"/>
      <x:c r="H8" s="22" t="str">
        <x:v>秋ヶ瀬公園</x:v>
      </x:c>
      <x:c r="I8" s="22" t="str">
        <x:v>190～250分</x:v>
      </x:c>
      <x:c r="J8" s="22" t="n">
        <x:v>2</x:v>
      </x:c>
      <x:c r="K8" s="22" t="str">
        <x:v>彩湖・秋ヶ瀬の閉門時間から逆算する昼～夕方専用。</x:v>
      </x:c>
      <x:c r="L8" s="95" t="e">
        <x:f>HYPERLINK("https://www.google.com/maps/dir/?api=1&amp;destination=%E7%A7%8B%E3%83%B6%E7%80%AC%E5%85%AC%E5%9C%92&amp;travelmode=driving&amp;waypoints=%E6%B5%AE%E9%96%93%E5%85%AC%E5%9C%92%7C%E5%BD%A9%E6%B9%96%E3%83%BB%E9%81%93%E6%BA%80%E3%82%B0%E3%83%AA%E3%83%BC%E3%83%B3%E3%83%91%E3%83%BC%E3%82%AF","現在地からルート開始")</x:f>
      </x:c>
      <x:c r="M8" s="22" t="str">
        <x:v>昼専用</x:v>
      </x:c>
      <x:c r="N8" s="22" t="n">
        <x:v>82</x:v>
      </x:c>
      <x:c r="O8" s="22" t="str">
        <x:v>維持</x:v>
      </x:c>
      <x:c r="P8" s="22" t="str">
        <x:v>浮間公園 → 彩湖・道満グリーンパーク → 秋ヶ瀬公園 の順に、景観と滞在強度を変化させる。</x:v>
      </x:c>
      <x:c r="Q8" s="22"/>
      <x:c r="R8" s="23" t="n">
        <x:v>46232</x:v>
      </x:c>
      <x:c r="S8" s="22"/>
      <x:c r="T8" s="22"/>
      <x:c r="U8" s="22"/>
      <x:c r="V8" s="22"/>
      <x:c r="W8" s="22"/>
      <x:c r="X8" s="22"/>
      <x:c r="Y8" s="22" t="str">
        <x:v>河川・多摩川</x:v>
      </x:c>
      <x:c r="Z8" s="22"/>
    </x:row>
    <x:row r="9">
      <x:c r="A9" s="22" t="str">
        <x:v>R016</x:v>
      </x:c>
      <x:c r="B9" s="22" t="str">
        <x:v>権現堂フラワーライン</x:v>
      </x:c>
      <x:c r="C9" s="22" t="str">
        <x:v>水辺／堤／季節</x:v>
      </x:c>
      <x:c r="D9" s="22" t="str">
        <x:v>蒲田駅</x:v>
      </x:c>
      <x:c r="E9" s="22" t="str">
        <x:v>水元公園</x:v>
      </x:c>
      <x:c r="F9" s="22" t="str">
        <x:v>みさと公園</x:v>
      </x:c>
      <x:c r="G9" s="22"/>
      <x:c r="H9" s="22" t="str">
        <x:v>県営権現堂公園</x:v>
      </x:c>
      <x:c r="I9" s="22" t="str">
        <x:v>210～280分</x:v>
      </x:c>
      <x:c r="J9" s="22" t="n">
        <x:v>1</x:v>
      </x:c>
      <x:c r="K9" s="22" t="str">
        <x:v>花期は大混雑。権現堂の季節別閉鎖時刻に注意。</x:v>
      </x:c>
      <x:c r="L9" s="95" t="e">
        <x:f>HYPERLINK("https://www.google.com/maps/dir/?api=1&amp;destination=%E7%9C%8C%E5%96%B6%E6%A8%A9%E7%8F%BE%E5%A0%82%E5%85%AC%E5%9C%92&amp;travelmode=driving&amp;waypoints=%E6%B0%B4%E5%85%83%E5%85%AC%E5%9C%92%7C%E3%81%BF%E3%81%95%E3%81%A8%E5%85%AC%E5%9C%92","現在地からルート開始")</x:f>
      </x:c>
      <x:c r="M9" s="22" t="str">
        <x:v>昼専用</x:v>
      </x:c>
      <x:c r="N9" s="22" t="n">
        <x:v>86</x:v>
      </x:c>
      <x:c r="O9" s="22" t="str">
        <x:v>維持</x:v>
      </x:c>
      <x:c r="P9" s="22" t="str">
        <x:v>水元公園 → みさと公園 → 県営権現堂公園 の順に、景観と滞在強度を変化させる。</x:v>
      </x:c>
      <x:c r="Q9" s="22"/>
      <x:c r="R9" s="23" t="n">
        <x:v>46232</x:v>
      </x:c>
      <x:c r="S9" s="22"/>
      <x:c r="T9" s="22"/>
      <x:c r="U9" s="22"/>
      <x:c r="V9" s="22"/>
      <x:c r="W9" s="22"/>
      <x:c r="X9" s="22"/>
      <x:c r="Y9" s="22" t="str">
        <x:v>都市公園・休憩</x:v>
      </x:c>
      <x:c r="Z9" s="22"/>
    </x:row>
    <x:row r="10">
      <x:c r="A10" s="22" t="str">
        <x:v>R017</x:v>
      </x:c>
      <x:c r="B10" s="22" t="str">
        <x:v>多摩丘陵から津久井湖</x:v>
      </x:c>
      <x:c r="C10" s="22" t="str">
        <x:v>高台／湖／夕景</x:v>
      </x:c>
      <x:c r="D10" s="22" t="str">
        <x:v>蒲田駅</x:v>
      </x:c>
      <x:c r="E10" s="22" t="str">
        <x:v>桜ヶ丘公園 ゆうひの丘</x:v>
      </x:c>
      <x:c r="F10" s="22" t="str">
        <x:v>津久井湖城山公園 水の苑地</x:v>
      </x:c>
      <x:c r="G10" s="22"/>
      <x:c r="H10" s="22" t="str">
        <x:v>鳥居原園地</x:v>
      </x:c>
      <x:c r="I10" s="22" t="str">
        <x:v>220～300分</x:v>
      </x:c>
      <x:c r="J10" s="22" t="n">
        <x:v>2</x:v>
      </x:c>
      <x:c r="K10" s="22" t="str">
        <x:v>鳥居原17時閉鎖のため午前～午後開始。</x:v>
      </x:c>
      <x:c r="L10" s="95" t="e">
        <x:f>HYPERLINK("https://www.google.com/maps/dir/?api=1&amp;destination=%E9%B3%A5%E5%B1%85%E5%8E%9F%E5%9C%92%E5%9C%B0&amp;travelmode=driving&amp;waypoints=%E6%A1%9C%E3%83%B6%E4%B8%98%E5%85%AC%E5%9C%92%20%E3%82%86%E3%81%86%E3%81%B2%E3%81%AE%E4%B8%98%7C%E6%B4%A5%E4%B9%85%E4%BA%95%E6%B9%96%E5%9F%8E%E5%B1%B1%E5%85%AC%E5%9C%92%20%E6%B0%B4%E3%81%AE%E8%8B%91%E5%9C%B0","現在地からルート開始")</x:f>
      </x:c>
      <x:c r="M10" s="22" t="str">
        <x:v>昼専用</x:v>
      </x:c>
      <x:c r="N10" s="22" t="n">
        <x:v>82</x:v>
      </x:c>
      <x:c r="O10" s="22" t="str">
        <x:v>維持</x:v>
      </x:c>
      <x:c r="P10" s="22" t="str">
        <x:v>桜ヶ丘公園 ゆうひの丘 → 津久井湖城山公園 水の苑地 → 鳥居原園地 の順に、景観と滞在強度を変化させる。</x:v>
      </x:c>
      <x:c r="Q10" s="22"/>
      <x:c r="R10" s="23" t="n">
        <x:v>46232</x:v>
      </x:c>
      <x:c r="S10" s="22"/>
      <x:c r="T10" s="22"/>
      <x:c r="U10" s="22"/>
      <x:c r="V10" s="22"/>
      <x:c r="W10" s="22"/>
      <x:c r="X10" s="22"/>
      <x:c r="Y10" s="22" t="str">
        <x:v>森林・高台</x:v>
      </x:c>
      <x:c r="Z10" s="22"/>
    </x:row>
    <x:row r="11">
      <x:c r="A11" s="22" t="str">
        <x:v>R018</x:v>
      </x:c>
      <x:c r="B11" s="22" t="str">
        <x:v>宮ヶ瀬リカバリーライン</x:v>
      </x:c>
      <x:c r="C11" s="22" t="str">
        <x:v>森林／湖／山道</x:v>
      </x:c>
      <x:c r="D11" s="22" t="str">
        <x:v>蒲田駅</x:v>
      </x:c>
      <x:c r="E11" s="22" t="str">
        <x:v>七沢森林公園</x:v>
      </x:c>
      <x:c r="F11" s="22" t="str">
        <x:v>宮ヶ瀬湖畔園地</x:v>
      </x:c>
      <x:c r="G11" s="22"/>
      <x:c r="H11" s="22" t="str">
        <x:v>鳥居原園地</x:v>
      </x:c>
      <x:c r="I11" s="22" t="str">
        <x:v>230～310分</x:v>
      </x:c>
      <x:c r="J11" s="22" t="n">
        <x:v>2</x:v>
      </x:c>
      <x:c r="K11" s="22" t="str">
        <x:v>各施設の閉場が早い。雨・霧・凍結時は中止。</x:v>
      </x:c>
      <x:c r="L11" s="95" t="e">
        <x:f>HYPERLINK("https://www.google.com/maps/dir/?api=1&amp;destination=%E9%B3%A5%E5%B1%85%E5%8E%9F%E5%9C%92%E5%9C%B0&amp;travelmode=driving&amp;waypoints=%E4%B8%83%E6%B2%A2%E6%A3%AE%E6%9E%97%E5%85%AC%E5%9C%92%7C%E5%AE%AE%E3%83%B6%E7%80%AC%E6%B9%96%E7%95%94%E5%9C%92%E5%9C%B0","現在地からルート開始")</x:f>
      </x:c>
      <x:c r="M11" s="22" t="str">
        <x:v>昼専用</x:v>
      </x:c>
      <x:c r="N11" s="22" t="n">
        <x:v>81</x:v>
      </x:c>
      <x:c r="O11" s="22" t="str">
        <x:v>維持</x:v>
      </x:c>
      <x:c r="P11" s="22" t="str">
        <x:v>七沢森林公園 → 宮ヶ瀬湖畔園地 → 鳥居原園地 の順に、景観と滞在強度を変化させる。</x:v>
      </x:c>
      <x:c r="Q11" s="22"/>
      <x:c r="R11" s="23" t="n">
        <x:v>46232</x:v>
      </x:c>
      <x:c r="S11" s="22"/>
      <x:c r="T11" s="22"/>
      <x:c r="U11" s="22"/>
      <x:c r="V11" s="22"/>
      <x:c r="W11" s="22"/>
      <x:c r="X11" s="22"/>
      <x:c r="Y11" s="22" t="str">
        <x:v>森林・高台</x:v>
      </x:c>
      <x:c r="Z11" s="22"/>
    </x:row>
    <x:row r="12">
      <x:c r="A12" s="22" t="str">
        <x:v>R019</x:v>
      </x:c>
      <x:c r="B12" s="22" t="str">
        <x:v>浦安ベイナイト</x:v>
      </x:c>
      <x:c r="C12" s="22" t="str">
        <x:v>海／芝生／都市夜景</x:v>
      </x:c>
      <x:c r="D12" s="22" t="str">
        <x:v>蒲田駅</x:v>
      </x:c>
      <x:c r="E12" s="22" t="str">
        <x:v>浦安市総合公園</x:v>
      </x:c>
      <x:c r="F12" s="22" t="str">
        <x:v>幕張海浜公園 Cブロック</x:v>
      </x:c>
      <x:c r="G12" s="22"/>
      <x:c r="H12" s="22" t="str">
        <x:v>稲毛海浜公園・いなげの浜</x:v>
      </x:c>
      <x:c r="I12" s="22" t="str">
        <x:v>190～250分</x:v>
      </x:c>
      <x:c r="J12" s="22" t="n">
        <x:v>4</x:v>
      </x:c>
      <x:c r="K12" s="22" t="str">
        <x:v>稲毛海浜公園は23時閉鎖。イベント開催日の幕張を回避。</x:v>
      </x:c>
      <x:c r="L12" s="95" t="e">
        <x:f>HYPERLINK("https://www.google.com/maps/dir/?api=1&amp;destination=%E7%A8%B2%E6%AF%9B%E6%B5%B7%E6%B5%9C%E5%85%AC%E5%9C%92%E3%83%BB%E3%81%84%E3%81%AA%E3%81%92%E3%81%AE%E6%B5%9C&amp;travelmode=driving&amp;waypoints=%E6%B5%A6%E5%AE%89%E5%B8%82%E7%B7%8F%E5%90%88%E5%85%AC%E5%9C%92%7C%E5%B9%95%E5%BC%B5%E6%B5%B7%E6%B5%9C%E5%85%AC%E5%9C%92%20C%E3%83%96%E3%83%AD%E3%83%83%E3%82%AF","現在地からルート開始")</x:f>
      </x:c>
      <x:c r="M12" s="22" t="str">
        <x:v>通常</x:v>
      </x:c>
      <x:c r="N12" s="22" t="n">
        <x:v>78</x:v>
      </x:c>
      <x:c r="O12" s="22" t="str">
        <x:v>維持</x:v>
      </x:c>
      <x:c r="P12" s="22" t="str">
        <x:v>浦安市総合公園 → 幕張海浜公園 Cブロック → 稲毛海浜公園・いなげの浜 の順に、景観と滞在強度を変化させる。</x:v>
      </x:c>
      <x:c r="Q12" s="22"/>
      <x:c r="R12" s="23" t="n">
        <x:v>46232</x:v>
      </x:c>
      <x:c r="S12" s="22"/>
      <x:c r="T12" s="22"/>
      <x:c r="U12" s="22"/>
      <x:c r="V12" s="22"/>
      <x:c r="W12" s="22"/>
      <x:c r="X12" s="22"/>
      <x:c r="Y12" s="22" t="str">
        <x:v>東京港・水辺</x:v>
      </x:c>
      <x:c r="Z12" s="22"/>
    </x:row>
    <x:row r="13">
      <x:c r="A13" s="22" t="str">
        <x:v>R020</x:v>
      </x:c>
      <x:c r="B13" s="22" t="str">
        <x:v>三番瀬から千葉港へ</x:v>
      </x:c>
      <x:c r="C13" s="22" t="str">
        <x:v>干潟／都市海岸／港</x:v>
      </x:c>
      <x:c r="D13" s="22" t="str">
        <x:v>蒲田駅</x:v>
      </x:c>
      <x:c r="E13" s="22" t="str">
        <x:v>ふなばし三番瀬海浜公園</x:v>
      </x:c>
      <x:c r="F13" s="22" t="str">
        <x:v>幕張海浜公園 Cブロック</x:v>
      </x:c>
      <x:c r="G13" s="22"/>
      <x:c r="H13" s="22" t="str">
        <x:v>千葉ポートパーク</x:v>
      </x:c>
      <x:c r="I13" s="22" t="str">
        <x:v>200～270分</x:v>
      </x:c>
      <x:c r="J13" s="22" t="n">
        <x:v>3</x:v>
      </x:c>
      <x:c r="K13" s="22" t="str">
        <x:v>三番瀬・千葉ポートの閉場時間に合わせる夕方専用。</x:v>
      </x:c>
      <x:c r="L13" s="95" t="e">
        <x:f>HYPERLINK("https://www.google.com/maps/dir/?api=1&amp;destination=%E5%8D%83%E8%91%89%E3%83%9D%E3%83%BC%E3%83%88%E3%83%91%E3%83%BC%E3%82%AF&amp;travelmode=driving&amp;waypoints=%E3%81%B5%E3%81%AA%E3%81%B0%E3%81%97%E4%B8%89%E7%95%AA%E7%80%AC%E6%B5%B7%E6%B5%9C%E5%85%AC%E5%9C%92%7C%E5%B9%95%E5%BC%B5%E6%B5%B7%E6%B5%9C%E5%85%AC%E5%9C%92%20C%E3%83%96%E3%83%AD%E3%83%83%E3%82%AF","現在地からルート開始")</x:f>
      </x:c>
      <x:c r="M13" s="22" t="str">
        <x:v>通常</x:v>
      </x:c>
      <x:c r="N13" s="22" t="n">
        <x:v>74</x:v>
      </x:c>
      <x:c r="O13" s="22" t="str">
        <x:v>維持</x:v>
      </x:c>
      <x:c r="P13" s="22" t="str">
        <x:v>ふなばし三番瀬海浜公園 → 幕張海浜公園 Cブロック → 千葉ポートパーク の順に、景観と滞在強度を変化させる。</x:v>
      </x:c>
      <x:c r="Q13" s="22"/>
      <x:c r="R13" s="23" t="n">
        <x:v>46232</x:v>
      </x:c>
      <x:c r="S13" s="22"/>
      <x:c r="T13" s="22"/>
      <x:c r="U13" s="22"/>
      <x:c r="V13" s="22"/>
      <x:c r="W13" s="22"/>
      <x:c r="X13" s="22"/>
      <x:c r="Y13" s="22" t="str">
        <x:v>東京港・水辺</x:v>
      </x:c>
      <x:c r="Z13" s="22"/>
    </x:row>
    <x:row r="14">
      <x:c r="A14" s="22" t="str">
        <x:v>R021</x:v>
      </x:c>
      <x:c r="B14" s="22" t="str">
        <x:v>千葉ベイ・サンセット</x:v>
      </x:c>
      <x:c r="C14" s="22" t="str">
        <x:v>人工海浜／港／工場夜景</x:v>
      </x:c>
      <x:c r="D14" s="22" t="str">
        <x:v>蒲田駅</x:v>
      </x:c>
      <x:c r="E14" s="22" t="str">
        <x:v>稲毛海浜公園・いなげの浜</x:v>
      </x:c>
      <x:c r="F14" s="22" t="str">
        <x:v>千葉ポートパーク</x:v>
      </x:c>
      <x:c r="G14" s="22"/>
      <x:c r="H14" s="22" t="str">
        <x:v>袖ケ浦海浜公園</x:v>
      </x:c>
      <x:c r="I14" s="22" t="str">
        <x:v>230～310分</x:v>
      </x:c>
      <x:c r="J14" s="22" t="n">
        <x:v>4</x:v>
      </x:c>
      <x:c r="K14" s="22" t="str">
        <x:v>袖ケ浦海浜公園の駐車時間は当日確認。強風時は袖ケ浦公園へ変更。</x:v>
      </x:c>
      <x:c r="L14" s="95" t="e">
        <x:f>HYPERLINK("https://www.google.com/maps/dir/?api=1&amp;destination=%E8%A2%96%E3%82%B1%E6%B5%A6%E6%B5%B7%E6%B5%9C%E5%85%AC%E5%9C%92&amp;travelmode=driving&amp;waypoints=%E7%A8%B2%E6%AF%9B%E6%B5%B7%E6%B5%9C%E5%85%AC%E5%9C%92%E3%83%BB%E3%81%84%E3%81%AA%E3%81%92%E3%81%AE%E6%B5%9C%7C%E5%8D%83%E8%91%89%E3%83%9D%E3%83%BC%E3%83%88%E3%83%91%E3%83%BC%E3%82%AF","現在地からルート開始")</x:f>
      </x:c>
      <x:c r="M14" s="22" t="str">
        <x:v>通常</x:v>
      </x:c>
      <x:c r="N14" s="22" t="n">
        <x:v>81</x:v>
      </x:c>
      <x:c r="O14" s="22" t="str">
        <x:v>維持</x:v>
      </x:c>
      <x:c r="P14" s="22" t="str">
        <x:v>稲毛海浜公園・いなげの浜 → 千葉ポートパーク → 袖ケ浦海浜公園 の順に、景観と滞在強度を変化させる。</x:v>
      </x:c>
      <x:c r="Q14" s="22"/>
      <x:c r="R14" s="23" t="n">
        <x:v>46232</x:v>
      </x:c>
      <x:c r="S14" s="22"/>
      <x:c r="T14" s="22"/>
      <x:c r="U14" s="22"/>
      <x:c r="V14" s="22"/>
      <x:c r="W14" s="22"/>
      <x:c r="X14" s="22"/>
      <x:c r="Y14" s="22" t="str">
        <x:v>川崎・工場夜景</x:v>
      </x:c>
      <x:c r="Z14" s="22"/>
    </x:row>
    <x:row r="15">
      <x:c r="A15" s="22" t="str">
        <x:v>R022</x:v>
      </x:c>
      <x:c r="B15" s="22" t="str">
        <x:v>アクアライン後の静けさ</x:v>
      </x:c>
      <x:c r="C15" s="22" t="str">
        <x:v>海上／工場夜景／池</x:v>
      </x:c>
      <x:c r="D15" s="22" t="str">
        <x:v>蒲田駅</x:v>
      </x:c>
      <x:c r="E15" s="22" t="str">
        <x:v>海ほたるPA</x:v>
      </x:c>
      <x:c r="F15" s="22" t="str">
        <x:v>袖ケ浦海浜公園</x:v>
      </x:c>
      <x:c r="G15" s="22"/>
      <x:c r="H15" s="22" t="str">
        <x:v>袖ケ浦公園</x:v>
      </x:c>
      <x:c r="I15" s="22" t="str">
        <x:v>180～240分</x:v>
      </x:c>
      <x:c r="J15" s="22" t="n">
        <x:v>4</x:v>
      </x:c>
      <x:c r="K15" s="22" t="str">
        <x:v>アクアライン規制確認。最後を内陸の静かな公園で終える。</x:v>
      </x:c>
      <x:c r="L15" s="95" t="e">
        <x:f>HYPERLINK("https://www.google.com/maps/dir/?api=1&amp;destination=%E8%A2%96%E3%82%B1%E6%B5%A6%E5%85%AC%E5%9C%92&amp;travelmode=driving&amp;waypoints=%E6%B5%B7%E3%81%BB%E3%81%9F%E3%82%8BPA%7C%E8%A2%96%E3%82%B1%E6%B5%A6%E6%B5%B7%E6%B5%9C%E5%85%AC%E5%9C%92","現在地からルート開始")</x:f>
      </x:c>
      <x:c r="M15" s="22" t="str">
        <x:v>通常</x:v>
      </x:c>
      <x:c r="N15" s="22" t="n">
        <x:v>86</x:v>
      </x:c>
      <x:c r="O15" s="22" t="str">
        <x:v>維持</x:v>
      </x:c>
      <x:c r="P15" s="22" t="str">
        <x:v>海ほたるPA → 袖ケ浦海浜公園 → 袖ケ浦公園 の順に、景観と滞在強度を変化させる。</x:v>
      </x:c>
      <x:c r="Q15" s="22"/>
      <x:c r="R15" s="23" t="n">
        <x:v>46232</x:v>
      </x:c>
      <x:c r="S15" s="22"/>
      <x:c r="T15" s="22"/>
      <x:c r="U15" s="22"/>
      <x:c r="V15" s="22"/>
      <x:c r="W15" s="22"/>
      <x:c r="X15" s="22"/>
      <x:c r="Y15" s="22" t="str">
        <x:v>川崎・工場夜景</x:v>
      </x:c>
      <x:c r="Z15" s="22"/>
    </x:row>
    <x:row r="16">
      <x:c r="A16" s="22" t="str">
        <x:v>R023</x:v>
      </x:c>
      <x:c r="B16" s="22" t="str">
        <x:v>房総湾岸ロング</x:v>
      </x:c>
      <x:c r="C16" s="22" t="str">
        <x:v>港／人工海浜／海上</x:v>
      </x:c>
      <x:c r="D16" s="22" t="str">
        <x:v>蒲田駅</x:v>
      </x:c>
      <x:c r="E16" s="22" t="str">
        <x:v>千葉ポートパーク</x:v>
      </x:c>
      <x:c r="F16" s="22" t="str">
        <x:v>稲毛海浜公園・いなげの浜</x:v>
      </x:c>
      <x:c r="G16" s="22" t="str">
        <x:v>袖ケ浦海浜公園</x:v>
      </x:c>
      <x:c r="H16" s="22" t="str">
        <x:v>海ほたるPA</x:v>
      </x:c>
      <x:c r="I16" s="22" t="str">
        <x:v>260～340分</x:v>
      </x:c>
      <x:c r="J16" s="22" t="n">
        <x:v>4</x:v>
      </x:c>
      <x:c r="K16" s="22" t="str">
        <x:v>各公園の閉鎖時刻とアクアライン規制を確認。</x:v>
      </x:c>
      <x:c r="L16" s="95" t="e">
        <x:f>HYPERLINK("https://www.google.com/maps/dir/?api=1&amp;destination=%E6%B5%B7%E3%81%BB%E3%81%9F%E3%82%8BPA&amp;travelmode=driving&amp;waypoints=%E5%8D%83%E8%91%89%E3%83%9D%E3%83%BC%E3%83%88%E3%83%91%E3%83%BC%E3%82%AF%7C%E7%A8%B2%E6%AF%9B%E6%B5%B7%E6%B5%9C%E5%85%AC%E5%9C%92%E3%83%BB%E3%81%84%E3%81%AA%E3%81%92%E3%81%AE%E6%B5%9C%7C%E8%A2%96%E3%82%B1%E6%B5%A6%E6%B5%B7%E6%B5%9C%E5%85%AC%E5%9C%92","現在地からルート開始")</x:f>
      </x:c>
      <x:c r="M16" s="22" t="str">
        <x:v>通常</x:v>
      </x:c>
      <x:c r="N16" s="22" t="n">
        <x:v>78</x:v>
      </x:c>
      <x:c r="O16" s="22" t="str">
        <x:v>維持</x:v>
      </x:c>
      <x:c r="P16" s="22" t="str">
        <x:v>千葉ポートパーク → 稲毛海浜公園・いなげの浜 → 袖ケ浦海浜公園 → 海ほたるPA の順に、景観と滞在強度を変化させる。</x:v>
      </x:c>
      <x:c r="Q16" s="22"/>
      <x:c r="R16" s="23" t="n">
        <x:v>46232</x:v>
      </x:c>
      <x:c r="S16" s="22"/>
      <x:c r="T16" s="22"/>
      <x:c r="U16" s="22"/>
      <x:c r="V16" s="22"/>
      <x:c r="W16" s="22"/>
      <x:c r="X16" s="22"/>
      <x:c r="Y16" s="22" t="str">
        <x:v>東京港・水辺</x:v>
      </x:c>
      <x:c r="Z16" s="22"/>
    </x:row>
    <x:row r="17">
      <x:c r="A17" s="22" t="str">
        <x:v>R024</x:v>
      </x:c>
      <x:c r="B17" s="22" t="str">
        <x:v>東側24時間公園巡回</x:v>
      </x:c>
      <x:c r="C17" s="22" t="str">
        <x:v>公園／水辺／回復</x:v>
      </x:c>
      <x:c r="D17" s="22" t="str">
        <x:v>蒲田駅</x:v>
      </x:c>
      <x:c r="E17" s="22" t="str">
        <x:v>舎人公園</x:v>
      </x:c>
      <x:c r="F17" s="22" t="str">
        <x:v>みさと公園</x:v>
      </x:c>
      <x:c r="G17" s="22"/>
      <x:c r="H17" s="22" t="str">
        <x:v>浦安市総合公園</x:v>
      </x:c>
      <x:c r="I17" s="22" t="str">
        <x:v>220～290分</x:v>
      </x:c>
      <x:c r="J17" s="22" t="n">
        <x:v>4</x:v>
      </x:c>
      <x:c r="K17" s="22" t="str">
        <x:v>全体距離は長め。走行そのものを主役にする夜間向け。</x:v>
      </x:c>
      <x:c r="L17" s="95" t="e">
        <x:f>HYPERLINK("https://www.google.com/maps/dir/?api=1&amp;destination=%E6%B5%A6%E5%AE%89%E5%B8%82%E7%B7%8F%E5%90%88%E5%85%AC%E5%9C%92&amp;travelmode=driving&amp;waypoints=%E8%88%8E%E4%BA%BA%E5%85%AC%E5%9C%92%7C%E3%81%BF%E3%81%95%E3%81%A8%E5%85%AC%E5%9C%92","現在地からルート開始")</x:f>
      </x:c>
      <x:c r="M17" s="22" t="str">
        <x:v>通常</x:v>
      </x:c>
      <x:c r="N17" s="22" t="n">
        <x:v>80</x:v>
      </x:c>
      <x:c r="O17" s="22" t="str">
        <x:v>維持</x:v>
      </x:c>
      <x:c r="P17" s="22" t="str">
        <x:v>舎人公園 → みさと公園 → 浦安市総合公園 の順に、景観と滞在強度を変化させる。</x:v>
      </x:c>
      <x:c r="Q17" s="22"/>
      <x:c r="R17" s="23" t="n">
        <x:v>46232</x:v>
      </x:c>
      <x:c r="S17" s="22"/>
      <x:c r="T17" s="22"/>
      <x:c r="U17" s="22"/>
      <x:c r="V17" s="22"/>
      <x:c r="W17" s="22"/>
      <x:c r="X17" s="22"/>
      <x:c r="Y17" s="22" t="str">
        <x:v>都市公園・休憩</x:v>
      </x:c>
      <x:c r="Z17" s="22"/>
    </x:row>
    <x:row r="18">
      <x:c r="A18" s="22" t="str">
        <x:v>R026</x:v>
      </x:c>
      <x:c r="B18" s="22" t="str">
        <x:v>湾岸PAコレクション</x:v>
      </x:c>
      <x:c r="C18" s="22" t="str">
        <x:v>PA／湾岸／車文化</x:v>
      </x:c>
      <x:c r="D18" s="22" t="str">
        <x:v>蒲田駅</x:v>
      </x:c>
      <x:c r="E18" s="22" t="str">
        <x:v>大井PA（東行き）</x:v>
      </x:c>
      <x:c r="F18" s="22" t="str">
        <x:v>辰巳第一PA</x:v>
      </x:c>
      <x:c r="G18" s="22"/>
      <x:c r="H18" s="22" t="str">
        <x:v>大黒PA</x:v>
      </x:c>
      <x:c r="I18" s="22" t="str">
        <x:v>120～170分</x:v>
      </x:c>
      <x:c r="J18" s="22" t="n">
        <x:v>5</x:v>
      </x:c>
      <x:c r="K18" s="22" t="str">
        <x:v>大黒PA閉鎖時は潮風公園へ変更。周回目的にしない。</x:v>
      </x:c>
      <x:c r="L18" s="95" t="e">
        <x:f>HYPERLINK("https://www.google.com/maps/dir/?api=1&amp;destination=%E5%A4%A7%E9%BB%92PA&amp;travelmode=driving&amp;waypoints=%E5%A4%A7%E4%BA%95PA%EF%BC%88%E6%9D%B1%E8%A1%8C%E3%81%8D%EF%BC%89%7C%E8%BE%B0%E5%B7%B3%E7%AC%AC%E4%B8%80PA","現在地からルート開始")</x:f>
      </x:c>
      <x:c r="M18" s="22" t="str">
        <x:v>高速方向制約</x:v>
      </x:c>
      <x:c r="N18" s="22" t="n">
        <x:v>92</x:v>
      </x:c>
      <x:c r="O18" s="22" t="str">
        <x:v>維持</x:v>
      </x:c>
      <x:c r="P18" s="22" t="str">
        <x:v>大井PA（東行き） → 辰巳第一PA → 大黒PA の順に、景観と滞在強度を変化させる。</x:v>
      </x:c>
      <x:c r="Q18" s="22"/>
      <x:c r="R18" s="23" t="n">
        <x:v>46232</x:v>
      </x:c>
      <x:c r="S18" s="22"/>
      <x:c r="T18" s="22"/>
      <x:c r="U18" s="22"/>
      <x:c r="V18" s="22"/>
      <x:c r="W18" s="22"/>
      <x:c r="X18" s="22"/>
      <x:c r="Y18" s="22" t="str">
        <x:v>東京港・水辺</x:v>
      </x:c>
      <x:c r="Z18" s="22"/>
    </x:row>
    <x:row r="19">
      <x:c r="A19" s="22" t="str">
        <x:v>R027</x:v>
      </x:c>
      <x:c r="B19" s="22" t="str">
        <x:v>木更津港と高台</x:v>
      </x:c>
      <x:c r="C19" s="22" t="str">
        <x:v>港／橋／展望</x:v>
      </x:c>
      <x:c r="D19" s="22" t="str">
        <x:v>蒲田駅</x:v>
      </x:c>
      <x:c r="E19" s="22" t="str">
        <x:v>鳥居崎海浜公園</x:v>
      </x:c>
      <x:c r="F19" s="22" t="str">
        <x:v>中の島公園</x:v>
      </x:c>
      <x:c r="G19" s="22"/>
      <x:c r="H19" s="22" t="str">
        <x:v>太田山公園</x:v>
      </x:c>
      <x:c r="I19" s="22" t="str">
        <x:v>180～240分</x:v>
      </x:c>
      <x:c r="J19" s="22" t="n">
        <x:v>4</x:v>
      </x:c>
      <x:c r="K19" s="22" t="str">
        <x:v>中の島は徒歩移動。強風時は橋を省略。</x:v>
      </x:c>
      <x:c r="L19" s="95" t="e">
        <x:f>HYPERLINK("https://www.google.com/maps/dir/?api=1&amp;destination=%E5%A4%AA%E7%94%B0%E5%B1%B1%E5%85%AC%E5%9C%92&amp;travelmode=driving&amp;waypoints=%E9%B3%A5%E5%B1%85%E5%B4%8E%E6%B5%B7%E6%B5%9C%E5%85%AC%E5%9C%92%7C%E4%B8%AD%E3%81%AE%E5%B3%B6%E5%85%AC%E5%9C%92","現在地からルート開始")</x:f>
      </x:c>
      <x:c r="M19" s="22" t="str">
        <x:v>通常</x:v>
      </x:c>
      <x:c r="N19" s="22" t="n">
        <x:v>77</x:v>
      </x:c>
      <x:c r="O19" s="22" t="str">
        <x:v>維持</x:v>
      </x:c>
      <x:c r="P19" s="22" t="str">
        <x:v>鳥居崎海浜公園 → 中の島公園 → 太田山公園 の順に、景観と滞在強度を変化させる。</x:v>
      </x:c>
      <x:c r="Q19" s="22"/>
      <x:c r="R19" s="23" t="n">
        <x:v>46232</x:v>
      </x:c>
      <x:c r="S19" s="22"/>
      <x:c r="T19" s="22"/>
      <x:c r="U19" s="22"/>
      <x:c r="V19" s="22"/>
      <x:c r="W19" s="22"/>
      <x:c r="X19" s="22"/>
      <x:c r="Y19" s="22" t="str">
        <x:v>東京港・水辺</x:v>
      </x:c>
      <x:c r="Z19" s="22"/>
    </x:row>
    <x:row r="20">
      <x:c r="A20" s="22" t="str">
        <x:v>R028</x:v>
      </x:c>
      <x:c r="B20" s="22" t="str">
        <x:v>木更津・海から川へ</x:v>
      </x:c>
      <x:c r="C20" s="22" t="str">
        <x:v>港／河川／静けさ</x:v>
      </x:c>
      <x:c r="D20" s="22" t="str">
        <x:v>蒲田駅</x:v>
      </x:c>
      <x:c r="E20" s="22" t="str">
        <x:v>鳥居崎海浜公園</x:v>
      </x:c>
      <x:c r="F20" s="22" t="str">
        <x:v>太田山公園</x:v>
      </x:c>
      <x:c r="G20" s="22"/>
      <x:c r="H20" s="22" t="str">
        <x:v>小櫃堰公園</x:v>
      </x:c>
      <x:c r="I20" s="22" t="str">
        <x:v>190～250分</x:v>
      </x:c>
      <x:c r="J20" s="22" t="n">
        <x:v>3</x:v>
      </x:c>
      <x:c r="K20" s="22" t="str">
        <x:v>夜は小櫃堰の景観価値が下がるため夕方開始。</x:v>
      </x:c>
      <x:c r="L20" s="95" t="e">
        <x:f>HYPERLINK("https://www.google.com/maps/dir/?api=1&amp;destination=%E5%B0%8F%E6%AB%83%E5%A0%B0%E5%85%AC%E5%9C%92&amp;travelmode=driving&amp;waypoints=%E9%B3%A5%E5%B1%85%E5%B4%8E%E6%B5%B7%E6%B5%9C%E5%85%AC%E5%9C%92%7C%E5%A4%AA%E7%94%B0%E5%B1%B1%E5%85%AC%E5%9C%92","現在地からルート開始")</x:f>
      </x:c>
      <x:c r="M20" s="22" t="str">
        <x:v>通常</x:v>
      </x:c>
      <x:c r="N20" s="22" t="n">
        <x:v>81</x:v>
      </x:c>
      <x:c r="O20" s="22" t="str">
        <x:v>維持</x:v>
      </x:c>
      <x:c r="P20" s="22" t="str">
        <x:v>鳥居崎海浜公園 → 太田山公園 → 小櫃堰公園 の順に、景観と滞在強度を変化させる。</x:v>
      </x:c>
      <x:c r="Q20" s="22"/>
      <x:c r="R20" s="23" t="n">
        <x:v>46232</x:v>
      </x:c>
      <x:c r="S20" s="22"/>
      <x:c r="T20" s="22"/>
      <x:c r="U20" s="22"/>
      <x:c r="V20" s="22"/>
      <x:c r="W20" s="22"/>
      <x:c r="X20" s="22"/>
      <x:c r="Y20" s="22" t="str">
        <x:v>東京港・水辺</x:v>
      </x:c>
      <x:c r="Z20" s="22"/>
    </x:row>
    <x:row r="21">
      <x:c r="A21" s="22" t="str">
        <x:v>R029</x:v>
      </x:c>
      <x:c r="B21" s="22" t="str">
        <x:v>房総丘陵パノラマ</x:v>
      </x:c>
      <x:c r="C21" s="22" t="str">
        <x:v>高台／湖／山道</x:v>
      </x:c>
      <x:c r="D21" s="22" t="str">
        <x:v>蒲田駅</x:v>
      </x:c>
      <x:c r="E21" s="22" t="str">
        <x:v>太田山公園</x:v>
      </x:c>
      <x:c r="F21" s="22" t="str">
        <x:v>鹿野山 九十九谷展望公園</x:v>
      </x:c>
      <x:c r="G21" s="22"/>
      <x:c r="H21" s="22" t="str">
        <x:v>亀山湖・亀山ダム周辺</x:v>
      </x:c>
      <x:c r="I21" s="22" t="str">
        <x:v>250～330分</x:v>
      </x:c>
      <x:c r="J21" s="22" t="n">
        <x:v>2</x:v>
      </x:c>
      <x:c r="K21" s="22" t="str">
        <x:v>山道・濃霧・野生動物に注意。昼限定。</x:v>
      </x:c>
      <x:c r="L21" s="95" t="e">
        <x:f>HYPERLINK("https://www.google.com/maps/dir/?api=1&amp;destination=%E4%BA%80%E5%B1%B1%E6%B9%96%E3%83%BB%E4%BA%80%E5%B1%B1%E3%83%80%E3%83%A0%E5%91%A8%E8%BE%BA&amp;travelmode=driving&amp;waypoints=%E5%A4%AA%E7%94%B0%E5%B1%B1%E5%85%AC%E5%9C%92%7C%E9%B9%BF%E9%87%8E%E5%B1%B1%20%E4%B9%9D%E5%8D%81%E4%B9%9D%E8%B0%B7%E5%B1%95%E6%9C%9B%E5%85%AC%E5%9C%92","現在地からルート開始")</x:f>
      </x:c>
      <x:c r="M21" s="22" t="str">
        <x:v>昼専用</x:v>
      </x:c>
      <x:c r="N21" s="22" t="n">
        <x:v>84</x:v>
      </x:c>
      <x:c r="O21" s="22" t="str">
        <x:v>維持</x:v>
      </x:c>
      <x:c r="P21" s="22" t="str">
        <x:v>太田山公園 → 鹿野山 九十九谷展望公園 → 亀山湖・亀山ダム周辺 の順に、景観と滞在強度を変化させる。</x:v>
      </x:c>
      <x:c r="Q21" s="22"/>
      <x:c r="R21" s="23" t="n">
        <x:v>46232</x:v>
      </x:c>
      <x:c r="S21" s="22"/>
      <x:c r="T21" s="22"/>
      <x:c r="U21" s="22"/>
      <x:c r="V21" s="22"/>
      <x:c r="W21" s="22"/>
      <x:c r="X21" s="22"/>
      <x:c r="Y21" s="22" t="str">
        <x:v>森林・高台</x:v>
      </x:c>
      <x:c r="Z21" s="22"/>
    </x:row>
    <x:row r="22">
      <x:c r="A22" s="22" t="str">
        <x:v>R030</x:v>
      </x:c>
      <x:c r="B22" s="22" t="str">
        <x:v>房総内陸・水の道</x:v>
      </x:c>
      <x:c r="C22" s="22" t="str">
        <x:v>渓谷／湖／森林</x:v>
      </x:c>
      <x:c r="D22" s="22" t="str">
        <x:v>蒲田駅</x:v>
      </x:c>
      <x:c r="E22" s="22" t="str">
        <x:v>濃溝の滝・亀岩の洞窟</x:v>
      </x:c>
      <x:c r="F22" s="22" t="str">
        <x:v>亀山湖・亀山ダム周辺</x:v>
      </x:c>
      <x:c r="G22" s="22"/>
      <x:c r="H22" s="22" t="str">
        <x:v>鹿野山 九十九谷展望公園</x:v>
      </x:c>
      <x:c r="I22" s="22" t="str">
        <x:v>280～360分</x:v>
      </x:c>
      <x:c r="J22" s="22" t="n">
        <x:v>1</x:v>
      </x:c>
      <x:c r="K22" s="22" t="str">
        <x:v>完全な昼ルート。日没前に山道を抜ける。</x:v>
      </x:c>
      <x:c r="L22" s="95" t="e">
        <x:f>HYPERLINK("https://www.google.com/maps/dir/?api=1&amp;destination=%E9%B9%BF%E9%87%8E%E5%B1%B1%20%E4%B9%9D%E5%8D%81%E4%B9%9D%E8%B0%B7%E5%B1%95%E6%9C%9B%E5%85%AC%E5%9C%92&amp;travelmode=driving&amp;waypoints=%E6%BF%83%E6%BA%9D%E3%81%AE%E6%BB%9D%E3%83%BB%E4%BA%80%E5%B2%A9%E3%81%AE%E6%B4%9E%E7%AA%9F%7C%E4%BA%80%E5%B1%B1%E6%B9%96%E3%83%BB%E4%BA%80%E5%B1%B1%E3%83%80%E3%83%A0%E5%91%A8%E8%BE%BA","現在地からルート開始")</x:f>
      </x:c>
      <x:c r="M22" s="22" t="str">
        <x:v>昼専用</x:v>
      </x:c>
      <x:c r="N22" s="22" t="n">
        <x:v>82</x:v>
      </x:c>
      <x:c r="O22" s="22" t="str">
        <x:v>維持</x:v>
      </x:c>
      <x:c r="P22" s="22" t="str">
        <x:v>濃溝の滝・亀岩の洞窟 → 亀山湖・亀山ダム周辺 → 鹿野山 九十九谷展望公園 の順に、景観と滞在強度を変化させる。</x:v>
      </x:c>
      <x:c r="Q22" s="22"/>
      <x:c r="R22" s="23" t="n">
        <x:v>46232</x:v>
      </x:c>
      <x:c r="S22" s="22"/>
      <x:c r="T22" s="22"/>
      <x:c r="U22" s="22"/>
      <x:c r="V22" s="22"/>
      <x:c r="W22" s="22"/>
      <x:c r="X22" s="22"/>
      <x:c r="Y22" s="22" t="str">
        <x:v>森林・高台</x:v>
      </x:c>
      <x:c r="Z22" s="22"/>
    </x:row>
    <x:row r="23">
      <x:c r="A23" s="22" t="str">
        <x:v>R031</x:v>
      </x:c>
      <x:c r="B23" s="22" t="str">
        <x:v>千葉内陸リカバリー</x:v>
      </x:c>
      <x:c r="C23" s="22" t="str">
        <x:v>森林／池／高台</x:v>
      </x:c>
      <x:c r="D23" s="22" t="str">
        <x:v>蒲田駅</x:v>
      </x:c>
      <x:c r="E23" s="22" t="str">
        <x:v>泉自然公園</x:v>
      </x:c>
      <x:c r="F23" s="22" t="str">
        <x:v>昭和の森</x:v>
      </x:c>
      <x:c r="G23" s="22"/>
      <x:c r="H23" s="22" t="str">
        <x:v>千葉ポートパーク</x:v>
      </x:c>
      <x:c r="I23" s="22" t="str">
        <x:v>230～310分</x:v>
      </x:c>
      <x:c r="J23" s="22" t="n">
        <x:v>2</x:v>
      </x:c>
      <x:c r="K23" s="22" t="str">
        <x:v>森林公園の閉場後、港の夕景へつなぐ。</x:v>
      </x:c>
      <x:c r="L23" s="95" t="e">
        <x:f>HYPERLINK("https://www.google.com/maps/dir/?api=1&amp;destination=%E5%8D%83%E8%91%89%E3%83%9D%E3%83%BC%E3%83%88%E3%83%91%E3%83%BC%E3%82%AF&amp;travelmode=driving&amp;waypoints=%E6%B3%89%E8%87%AA%E7%84%B6%E5%85%AC%E5%9C%92%7C%E6%98%AD%E5%92%8C%E3%81%AE%E6%A3%AE","現在地からルート開始")</x:f>
      </x:c>
      <x:c r="M23" s="22" t="str">
        <x:v>昼専用</x:v>
      </x:c>
      <x:c r="N23" s="22" t="n">
        <x:v>84</x:v>
      </x:c>
      <x:c r="O23" s="22" t="str">
        <x:v>維持</x:v>
      </x:c>
      <x:c r="P23" s="22" t="str">
        <x:v>泉自然公園 → 昭和の森 → 千葉ポートパーク の順に、景観と滞在強度を変化させる。</x:v>
      </x:c>
      <x:c r="Q23" s="22"/>
      <x:c r="R23" s="23" t="n">
        <x:v>46232</x:v>
      </x:c>
      <x:c r="S23" s="22"/>
      <x:c r="T23" s="22"/>
      <x:c r="U23" s="22"/>
      <x:c r="V23" s="22"/>
      <x:c r="W23" s="22"/>
      <x:c r="X23" s="22"/>
      <x:c r="Y23" s="22" t="str">
        <x:v>森林・高台</x:v>
      </x:c>
      <x:c r="Z23" s="22"/>
    </x:row>
    <x:row r="24">
      <x:c r="A24" s="22" t="str">
        <x:v>R032</x:v>
      </x:c>
      <x:c r="B24" s="22" t="str">
        <x:v>横浜・谷戸から高台へ</x:v>
      </x:c>
      <x:c r="C24" s="22" t="str">
        <x:v>谷戸／森林／芝生</x:v>
      </x:c>
      <x:c r="D24" s="22" t="str">
        <x:v>蒲田駅</x:v>
      </x:c>
      <x:c r="E24" s="22" t="str">
        <x:v>県立四季の森公園</x:v>
      </x:c>
      <x:c r="F24" s="22" t="str">
        <x:v>根岸森林公園</x:v>
      </x:c>
      <x:c r="G24" s="22"/>
      <x:c r="H24" s="22" t="str">
        <x:v>港の見える丘公園</x:v>
      </x:c>
      <x:c r="I24" s="22" t="str">
        <x:v>150～210分</x:v>
      </x:c>
      <x:c r="J24" s="22" t="n">
        <x:v>4</x:v>
      </x:c>
      <x:c r="K24" s="22" t="str">
        <x:v>四季の森閉場時刻に合わせる。最後は24時間駐車場系へ。</x:v>
      </x:c>
      <x:c r="L24" s="95" t="e">
        <x:f>HYPERLINK("https://www.google.com/maps/dir/?api=1&amp;destination=%E6%B8%AF%E3%81%AE%E8%A6%8B%E3%81%88%E3%82%8B%E4%B8%98%E5%85%AC%E5%9C%92&amp;travelmode=driving&amp;waypoints=%E7%9C%8C%E7%AB%8B%E5%9B%9B%E5%AD%A3%E3%81%AE%E6%A3%AE%E5%85%AC%E5%9C%92%7C%E6%A0%B9%E5%B2%B8%E6%A3%AE%E6%9E%97%E5%85%AC%E5%9C%92","現在地からルート開始")</x:f>
      </x:c>
      <x:c r="M24" s="22" t="str">
        <x:v>通常</x:v>
      </x:c>
      <x:c r="N24" s="22" t="n">
        <x:v>78</x:v>
      </x:c>
      <x:c r="O24" s="22" t="str">
        <x:v>維持</x:v>
      </x:c>
      <x:c r="P24" s="22" t="str">
        <x:v>県立四季の森公園 → 根岸森林公園 → 港の見える丘公園 の順に、景観と滞在強度を変化させる。</x:v>
      </x:c>
      <x:c r="Q24" s="22"/>
      <x:c r="R24" s="23" t="n">
        <x:v>46232</x:v>
      </x:c>
      <x:c r="S24" s="22"/>
      <x:c r="T24" s="22"/>
      <x:c r="U24" s="22"/>
      <x:c r="V24" s="22"/>
      <x:c r="W24" s="22"/>
      <x:c r="X24" s="22"/>
      <x:c r="Y24" s="22" t="str">
        <x:v>森林・高台</x:v>
      </x:c>
      <x:c r="Z24" s="22"/>
    </x:row>
    <x:row r="25">
      <x:c r="A25" s="22" t="str">
        <x:v>R033</x:v>
      </x:c>
      <x:c r="B25" s="22" t="str">
        <x:v>丹沢入口リカバリー</x:v>
      </x:c>
      <x:c r="C25" s="22" t="str">
        <x:v>里山／吊り橋／山</x:v>
      </x:c>
      <x:c r="D25" s="22" t="str">
        <x:v>蒲田駅</x:v>
      </x:c>
      <x:c r="E25" s="22" t="str">
        <x:v>茅ケ崎里山公園</x:v>
      </x:c>
      <x:c r="F25" s="22" t="str">
        <x:v>県立秦野戸川公園</x:v>
      </x:c>
      <x:c r="G25" s="22"/>
      <x:c r="H25" s="22" t="str">
        <x:v>湘南平</x:v>
      </x:c>
      <x:c r="I25" s="22" t="str">
        <x:v>240～320分</x:v>
      </x:c>
      <x:c r="J25" s="22" t="n">
        <x:v>3</x:v>
      </x:c>
      <x:c r="K25" s="22" t="str">
        <x:v>秦野戸川の閉場と湘南平の山道を確認。</x:v>
      </x:c>
      <x:c r="L25" s="95" t="e">
        <x:f>HYPERLINK("https://www.google.com/maps/dir/?api=1&amp;destination=%E6%B9%98%E5%8D%97%E5%B9%B3&amp;travelmode=driving&amp;waypoints=%E8%8C%85%E3%82%B1%E5%B4%8E%E9%87%8C%E5%B1%B1%E5%85%AC%E5%9C%92%7C%E7%9C%8C%E7%AB%8B%E7%A7%A6%E9%87%8E%E6%88%B8%E5%B7%9D%E5%85%AC%E5%9C%92","現在地からルート開始")</x:f>
      </x:c>
      <x:c r="M25" s="22" t="str">
        <x:v>通常</x:v>
      </x:c>
      <x:c r="N25" s="22" t="n">
        <x:v>80</x:v>
      </x:c>
      <x:c r="O25" s="22" t="str">
        <x:v>維持</x:v>
      </x:c>
      <x:c r="P25" s="22" t="str">
        <x:v>茅ケ崎里山公園 → 県立秦野戸川公園 → 湘南平 の順に、景観と滞在強度を変化させる。</x:v>
      </x:c>
      <x:c r="Q25" s="22"/>
      <x:c r="R25" s="23" t="n">
        <x:v>46232</x:v>
      </x:c>
      <x:c r="S25" s="22"/>
      <x:c r="T25" s="22"/>
      <x:c r="U25" s="22"/>
      <x:c r="V25" s="22"/>
      <x:c r="W25" s="22"/>
      <x:c r="X25" s="22"/>
      <x:c r="Y25" s="22" t="str">
        <x:v>東京港・水辺</x:v>
      </x:c>
      <x:c r="Z25" s="22"/>
    </x:row>
    <x:row r="26">
      <x:c r="A26" s="22" t="str">
        <x:v>R034</x:v>
      </x:c>
      <x:c r="B26" s="22" t="str">
        <x:v>多摩湖・丘陵ライン</x:v>
      </x:c>
      <x:c r="C26" s="22" t="str">
        <x:v>湖／堤防／里山</x:v>
      </x:c>
      <x:c r="D26" s="22" t="str">
        <x:v>蒲田駅</x:v>
      </x:c>
      <x:c r="E26" s="22" t="str">
        <x:v>狭山公園</x:v>
      </x:c>
      <x:c r="F26" s="22" t="str">
        <x:v>野山北・六道山公園</x:v>
      </x:c>
      <x:c r="G26" s="22"/>
      <x:c r="H26" s="22" t="str">
        <x:v>桜ヶ丘公園 ゆうひの丘</x:v>
      </x:c>
      <x:c r="I26" s="22" t="str">
        <x:v>240～320分</x:v>
      </x:c>
      <x:c r="J26" s="22" t="n">
        <x:v>2</x:v>
      </x:c>
      <x:c r="K26" s="22" t="str">
        <x:v>全地点閉場が早い。午後早めの出発専用。</x:v>
      </x:c>
      <x:c r="L26" s="95" t="e">
        <x:f>HYPERLINK("https://www.google.com/maps/dir/?api=1&amp;destination=%E6%A1%9C%E3%83%B6%E4%B8%98%E5%85%AC%E5%9C%92%20%E3%82%86%E3%81%86%E3%81%B2%E3%81%AE%E4%B8%98&amp;travelmode=driving&amp;waypoints=%E7%8B%AD%E5%B1%B1%E5%85%AC%E5%9C%92%7C%E9%87%8E%E5%B1%B1%E5%8C%97%E3%83%BB%E5%85%AD%E9%81%93%E5%B1%B1%E5%85%AC%E5%9C%92","現在地からルート開始")</x:f>
      </x:c>
      <x:c r="M26" s="22" t="str">
        <x:v>昼専用</x:v>
      </x:c>
      <x:c r="N26" s="22" t="n">
        <x:v>82</x:v>
      </x:c>
      <x:c r="O26" s="22" t="str">
        <x:v>維持</x:v>
      </x:c>
      <x:c r="P26" s="22" t="str">
        <x:v>狭山公園 → 野山北・六道山公園 → 桜ヶ丘公園 ゆうひの丘 の順に、景観と滞在強度を変化させる。</x:v>
      </x:c>
      <x:c r="Q26" s="22"/>
      <x:c r="R26" s="23" t="n">
        <x:v>46232</x:v>
      </x:c>
      <x:c r="S26" s="22"/>
      <x:c r="T26" s="22"/>
      <x:c r="U26" s="22"/>
      <x:c r="V26" s="22"/>
      <x:c r="W26" s="22"/>
      <x:c r="X26" s="22"/>
      <x:c r="Y26" s="22" t="str">
        <x:v>森林・高台</x:v>
      </x:c>
      <x:c r="Z26" s="22"/>
    </x:row>
    <x:row r="27">
      <x:c r="A27" s="22" t="str">
        <x:v>R035</x:v>
      </x:c>
      <x:c r="B27" s="22" t="str">
        <x:v>湾岸から房総の夜景へ</x:v>
      </x:c>
      <x:c r="C27" s="22" t="str">
        <x:v>PA／港／高台</x:v>
      </x:c>
      <x:c r="D27" s="22" t="str">
        <x:v>蒲田駅</x:v>
      </x:c>
      <x:c r="E27" s="22" t="str">
        <x:v>海ほたるPA</x:v>
      </x:c>
      <x:c r="F27" s="22" t="str">
        <x:v>鳥居崎海浜公園</x:v>
      </x:c>
      <x:c r="G27" s="22"/>
      <x:c r="H27" s="22" t="str">
        <x:v>太田山公園</x:v>
      </x:c>
      <x:c r="I27" s="22" t="str">
        <x:v>190～250分</x:v>
      </x:c>
      <x:c r="J27" s="22" t="n">
        <x:v>4</x:v>
      </x:c>
      <x:c r="K27" s="22" t="str">
        <x:v>太田山の夜間照明状況を確認。強風時は木更津市街だけに短縮。</x:v>
      </x:c>
      <x:c r="L27" s="95" t="e">
        <x:f>HYPERLINK("https://www.google.com/maps/dir/?api=1&amp;destination=%E5%A4%AA%E7%94%B0%E5%B1%B1%E5%85%AC%E5%9C%92&amp;travelmode=driving&amp;waypoints=%E6%B5%B7%E3%81%BB%E3%81%9F%E3%82%8BPA%7C%E9%B3%A5%E5%B1%85%E5%B4%8E%E6%B5%B7%E6%B5%9C%E5%85%AC%E5%9C%92","現在地からルート開始")</x:f>
      </x:c>
      <x:c r="M27" s="22" t="str">
        <x:v>高速方向制約</x:v>
      </x:c>
      <x:c r="N27" s="22" t="n">
        <x:v>84</x:v>
      </x:c>
      <x:c r="O27" s="22" t="str">
        <x:v>維持</x:v>
      </x:c>
      <x:c r="P27" s="22" t="str">
        <x:v>海ほたるPA → 鳥居崎海浜公園 → 太田山公園 の順に、景観と滞在強度を変化させる。</x:v>
      </x:c>
      <x:c r="Q27" s="22"/>
      <x:c r="R27" s="23" t="n">
        <x:v>46232</x:v>
      </x:c>
      <x:c r="S27" s="22"/>
      <x:c r="T27" s="22"/>
      <x:c r="U27" s="22"/>
      <x:c r="V27" s="22"/>
      <x:c r="W27" s="22"/>
      <x:c r="X27" s="22"/>
      <x:c r="Y27" s="22" t="str">
        <x:v>東京港・水辺</x:v>
      </x:c>
      <x:c r="Z27" s="22"/>
    </x:row>
    <x:row r="28">
      <x:c r="A28" s="22" t="str">
        <x:v>R036</x:v>
      </x:c>
      <x:c r="B28" s="22" t="str">
        <x:v>首都高と横浜港の余韻</x:v>
      </x:c>
      <x:c r="C28" s="22" t="str">
        <x:v>PA／橋／都市夜景</x:v>
      </x:c>
      <x:c r="D28" s="22" t="str">
        <x:v>蒲田駅</x:v>
      </x:c>
      <x:c r="E28" s="22" t="str">
        <x:v>芝浦PA</x:v>
      </x:c>
      <x:c r="F28" s="22" t="str">
        <x:v>大黒PA</x:v>
      </x:c>
      <x:c r="G28" s="22"/>
      <x:c r="H28" s="22" t="str">
        <x:v>根岸森林公園</x:v>
      </x:c>
      <x:c r="I28" s="22" t="str">
        <x:v>140～190分</x:v>
      </x:c>
      <x:c r="J28" s="22" t="n">
        <x:v>5</x:v>
      </x:c>
      <x:c r="K28" s="22" t="str">
        <x:v>PA閉鎖時は潮風公園・大さん橋へ差し替え。</x:v>
      </x:c>
      <x:c r="L28" s="95" t="e">
        <x:f>HYPERLINK("https://www.google.com/maps/dir/?api=1&amp;destination=%E6%A0%B9%E5%B2%B8%E6%A3%AE%E6%9E%97%E5%85%AC%E5%9C%92&amp;travelmode=driving&amp;waypoints=%E8%8A%9D%E6%B5%A6PA%7C%E5%A4%A7%E9%BB%92PA","現在地からルート開始")</x:f>
      </x:c>
      <x:c r="M28" s="22" t="str">
        <x:v>高速方向制約</x:v>
      </x:c>
      <x:c r="N28" s="22" t="n">
        <x:v>84</x:v>
      </x:c>
      <x:c r="O28" s="22" t="str">
        <x:v>維持</x:v>
      </x:c>
      <x:c r="P28" s="22" t="str">
        <x:v>芝浦PA → 大黒PA → 根岸森林公園 の順に、景観と滞在強度を変化させる。</x:v>
      </x:c>
      <x:c r="Q28" s="22"/>
      <x:c r="R28" s="23" t="n">
        <x:v>46232</x:v>
      </x:c>
      <x:c r="S28" s="22"/>
      <x:c r="T28" s="22"/>
      <x:c r="U28" s="22"/>
      <x:c r="V28" s="22"/>
      <x:c r="W28" s="22"/>
      <x:c r="X28" s="22"/>
      <x:c r="Y28" s="22" t="str">
        <x:v>東京港・水辺</x:v>
      </x:c>
      <x:c r="Z28" s="22"/>
    </x:row>
    <x:row r="29">
      <x:c r="A29" s="22" t="str">
        <x:v>R038</x:v>
      </x:c>
      <x:c r="B29" s="22" t="str">
        <x:v>都市型道の駅から手賀沼へ</x:v>
      </x:c>
      <x:c r="C29" s="22" t="str">
        <x:v>道の駅／湖／農地</x:v>
      </x:c>
      <x:c r="D29" s="22" t="str">
        <x:v>蒲田駅</x:v>
      </x:c>
      <x:c r="E29" s="22" t="str">
        <x:v>道の駅 いちかわ</x:v>
      </x:c>
      <x:c r="F29" s="22" t="str">
        <x:v>道の駅 しょうなん</x:v>
      </x:c>
      <x:c r="G29" s="22"/>
      <x:c r="H29" s="22" t="str">
        <x:v>手賀沼公園</x:v>
      </x:c>
      <x:c r="I29" s="22" t="str">
        <x:v>190～250分</x:v>
      </x:c>
      <x:c r="J29" s="22" t="n">
        <x:v>4</x:v>
      </x:c>
      <x:c r="K29" s="22" t="str">
        <x:v>食事と休憩を確保しながら湖畔へ進む。手賀沼公園は21:30までに入庫。</x:v>
      </x:c>
      <x:c r="L29" s="95" t="e">
        <x:f>HYPERLINK("https://www.google.com/maps/dir/?api=1&amp;destination=%E6%89%8B%E8%B3%80%E6%B2%BC%E5%85%AC%E5%9C%92&amp;travelmode=driving&amp;waypoints=%E9%81%93%E3%81%AE%E9%A7%85%20%E3%81%84%E3%81%A1%E3%81%8B%E3%82%8F%7C%E9%81%93%E3%81%AE%E9%A7%85%20%E3%81%97%E3%82%87%E3%81%86%E3%81%AA%E3%82%93","現在地からルート開始")</x:f>
      </x:c>
      <x:c r="M29" s="22" t="str">
        <x:v>通常</x:v>
      </x:c>
      <x:c r="N29" s="22" t="n">
        <x:v>76</x:v>
      </x:c>
      <x:c r="O29" s="22" t="str">
        <x:v>維持</x:v>
      </x:c>
      <x:c r="P29" s="22" t="str">
        <x:v>道の駅 いちかわ → 道の駅 しょうなん → 手賀沼公園 の順に、景観と滞在強度を変化させる。</x:v>
      </x:c>
      <x:c r="Q29" s="22"/>
      <x:c r="R29" s="23" t="n">
        <x:v>46232</x:v>
      </x:c>
      <x:c r="S29" s="22"/>
      <x:c r="T29" s="22"/>
      <x:c r="U29" s="22"/>
      <x:c r="V29" s="22"/>
      <x:c r="W29" s="22"/>
      <x:c r="X29" s="22"/>
      <x:c r="Y29" s="22" t="str">
        <x:v>都市公園・休憩</x:v>
      </x:c>
      <x:c r="Z29" s="22"/>
    </x:row>
    <x:row r="30">
      <x:c r="A30" s="22" t="str">
        <x:v>R039</x:v>
      </x:c>
      <x:c r="B30" s="22" t="str">
        <x:v>手賀沼・印旛沼ライン</x:v>
      </x:c>
      <x:c r="C30" s="22" t="str">
        <x:v>湖／風車／農水辺</x:v>
      </x:c>
      <x:c r="D30" s="22" t="str">
        <x:v>蒲田駅</x:v>
      </x:c>
      <x:c r="E30" s="22" t="str">
        <x:v>道の駅 しょうなん</x:v>
      </x:c>
      <x:c r="F30" s="22" t="str">
        <x:v>手賀沼公園</x:v>
      </x:c>
      <x:c r="G30" s="22"/>
      <x:c r="H30" s="22" t="str">
        <x:v>佐倉ふるさと広場</x:v>
      </x:c>
      <x:c r="I30" s="22" t="str">
        <x:v>230～300分</x:v>
      </x:c>
      <x:c r="J30" s="22" t="n">
        <x:v>2</x:v>
      </x:c>
      <x:c r="K30" s="22" t="str">
        <x:v>昼～夕方向け。佐倉ふるさと広場の工事・駐車場を当日確認。</x:v>
      </x:c>
      <x:c r="L30" s="95" t="e">
        <x:f>HYPERLINK("https://www.google.com/maps/dir/?api=1&amp;destination=%E4%BD%90%E5%80%89%E3%81%B5%E3%82%8B%E3%81%95%E3%81%A8%E5%BA%83%E5%A0%B4&amp;travelmode=driving&amp;waypoints=%E9%81%93%E3%81%AE%E9%A7%85%20%E3%81%97%E3%82%87%E3%81%86%E3%81%AA%E3%82%93%7C%E6%89%8B%E8%B3%80%E6%B2%BC%E5%85%AC%E5%9C%92","現在地からルート開始")</x:f>
      </x:c>
      <x:c r="M30" s="22" t="str">
        <x:v>昼専用</x:v>
      </x:c>
      <x:c r="N30" s="22" t="n">
        <x:v>89</x:v>
      </x:c>
      <x:c r="O30" s="22" t="str">
        <x:v>維持</x:v>
      </x:c>
      <x:c r="P30" s="22" t="str">
        <x:v>道の駅 しょうなん → 手賀沼公園 → 佐倉ふるさと広場 の順に、景観と滞在強度を変化させる。</x:v>
      </x:c>
      <x:c r="Q30" s="22"/>
      <x:c r="R30" s="23" t="n">
        <x:v>46232</x:v>
      </x:c>
      <x:c r="S30" s="22"/>
      <x:c r="T30" s="22"/>
      <x:c r="U30" s="22"/>
      <x:c r="V30" s="22"/>
      <x:c r="W30" s="22"/>
      <x:c r="X30" s="22"/>
      <x:c r="Y30" s="22" t="str">
        <x:v>都市公園・休憩</x:v>
      </x:c>
      <x:c r="Z30" s="22"/>
    </x:row>
    <x:row r="31">
      <x:c r="A31" s="22" t="str">
        <x:v>R040</x:v>
      </x:c>
      <x:c r="B31" s="22" t="str">
        <x:v>成田・航空機ロング</x:v>
      </x:c>
      <x:c r="C31" s="22" t="str">
        <x:v>道の駅／風車／飛行機</x:v>
      </x:c>
      <x:c r="D31" s="22" t="str">
        <x:v>蒲田駅</x:v>
      </x:c>
      <x:c r="E31" s="22" t="str">
        <x:v>道の駅 いちかわ</x:v>
      </x:c>
      <x:c r="F31" s="22" t="str">
        <x:v>佐倉ふるさと広場</x:v>
      </x:c>
      <x:c r="G31" s="22"/>
      <x:c r="H31" s="22" t="str">
        <x:v>成田市さくらの山</x:v>
      </x:c>
      <x:c r="I31" s="22" t="str">
        <x:v>260～340分</x:v>
      </x:c>
      <x:c r="J31" s="22" t="n">
        <x:v>3</x:v>
      </x:c>
      <x:c r="K31" s="22" t="str">
        <x:v>成田さくらの山は23時まで。桜期・休日は佐倉経由を省略する。</x:v>
      </x:c>
      <x:c r="L31" s="95" t="e">
        <x:f>HYPERLINK("https://www.google.com/maps/dir/?api=1&amp;destination=%E6%88%90%E7%94%B0%E5%B8%82%E3%81%95%E3%81%8F%E3%82%89%E3%81%AE%E5%B1%B1&amp;travelmode=driving&amp;waypoints=%E9%81%93%E3%81%AE%E9%A7%85%20%E3%81%84%E3%81%A1%E3%81%8B%E3%82%8F%7C%E4%BD%90%E5%80%89%E3%81%B5%E3%82%8B%E3%81%95%E3%81%A8%E5%BA%83%E5%A0%B4","現在地からルート開始")</x:f>
      </x:c>
      <x:c r="M31" s="22" t="str">
        <x:v>通常</x:v>
      </x:c>
      <x:c r="N31" s="22" t="n">
        <x:v>74</x:v>
      </x:c>
      <x:c r="O31" s="22" t="str">
        <x:v>維持</x:v>
      </x:c>
      <x:c r="P31" s="22" t="str">
        <x:v>道の駅 いちかわ → 佐倉ふるさと広場 → 成田市さくらの山 の順に、景観と滞在強度を変化させる。</x:v>
      </x:c>
      <x:c r="Q31" s="22"/>
      <x:c r="R31" s="23" t="n">
        <x:v>46232</x:v>
      </x:c>
      <x:c r="S31" s="22"/>
      <x:c r="T31" s="22"/>
      <x:c r="U31" s="22"/>
      <x:c r="V31" s="22"/>
      <x:c r="W31" s="22"/>
      <x:c r="X31" s="22"/>
      <x:c r="Y31" s="22" t="str">
        <x:v>羽田・航空</x:v>
      </x:c>
      <x:c r="Z31" s="22"/>
    </x:row>
    <x:row r="32">
      <x:c r="A32" s="22" t="str">
        <x:v>R041</x:v>
      </x:c>
      <x:c r="B32" s="22" t="str">
        <x:v>房総内陸・里山ライン</x:v>
      </x:c>
      <x:c r="C32" s="22" t="str">
        <x:v>道の駅／丘陵／港</x:v>
      </x:c>
      <x:c r="D32" s="22" t="str">
        <x:v>蒲田駅</x:v>
      </x:c>
      <x:c r="E32" s="22" t="str">
        <x:v>道の駅 木更津うまくたの里</x:v>
      </x:c>
      <x:c r="F32" s="22" t="str">
        <x:v>東京ドイツ村</x:v>
      </x:c>
      <x:c r="G32" s="22"/>
      <x:c r="H32" s="22" t="str">
        <x:v>中の島公園・中の島大橋</x:v>
      </x:c>
      <x:c r="I32" s="22" t="str">
        <x:v>230～310分</x:v>
      </x:c>
      <x:c r="J32" s="22" t="n">
        <x:v>3</x:v>
      </x:c>
      <x:c r="K32" s="22" t="str">
        <x:v>ドイツ村の営業時間に合わせる昼～夕方専用。港で夕景を迎える。</x:v>
      </x:c>
      <x:c r="L32" s="95" t="e">
        <x:f>HYPERLINK("https://www.google.com/maps/dir/?api=1&amp;destination=%E4%B8%AD%E3%81%AE%E5%B3%B6%E5%85%AC%E5%9C%92%E3%83%BB%E4%B8%AD%E3%81%AE%E5%B3%B6%E5%A4%A7%E6%A9%8B&amp;travelmode=driving&amp;waypoints=%E9%81%93%E3%81%AE%E9%A7%85%20%E6%9C%A8%E6%9B%B4%E6%B4%A5%E3%81%86%E3%81%BE%E3%81%8F%E3%81%9F%E3%81%AE%E9%87%8C%7C%E6%9D%B1%E4%BA%AC%E3%83%89%E3%82%A4%E3%83%84%E6%9D%91","現在地からルート開始")</x:f>
      </x:c>
      <x:c r="M32" s="22" t="str">
        <x:v>通常</x:v>
      </x:c>
      <x:c r="N32" s="22" t="n">
        <x:v>82</x:v>
      </x:c>
      <x:c r="O32" s="22" t="str">
        <x:v>維持</x:v>
      </x:c>
      <x:c r="P32" s="22" t="str">
        <x:v>道の駅 木更津うまくたの里 → 東京ドイツ村 → 中の島公園・中の島大橋 の順に、景観と滞在強度を変化させる。</x:v>
      </x:c>
      <x:c r="Q32" s="22"/>
      <x:c r="R32" s="23" t="n">
        <x:v>46232</x:v>
      </x:c>
      <x:c r="S32" s="22"/>
      <x:c r="T32" s="22"/>
      <x:c r="U32" s="22"/>
      <x:c r="V32" s="22"/>
      <x:c r="W32" s="22"/>
      <x:c r="X32" s="22"/>
      <x:c r="Y32" s="22" t="str">
        <x:v>東京港・水辺</x:v>
      </x:c>
      <x:c r="Z32" s="22"/>
    </x:row>
    <x:row r="33">
      <x:c r="A33" s="22" t="str">
        <x:v>R042</x:v>
      </x:c>
      <x:c r="B33" s="22" t="str">
        <x:v>木更津・夜の休憩線</x:v>
      </x:c>
      <x:c r="C33" s="22" t="str">
        <x:v>海上／港／道の駅</x:v>
      </x:c>
      <x:c r="D33" s="22" t="str">
        <x:v>蒲田駅</x:v>
      </x:c>
      <x:c r="E33" s="22" t="str">
        <x:v>海ほたるPA</x:v>
      </x:c>
      <x:c r="F33" s="22" t="str">
        <x:v>中の島公園・中の島大橋</x:v>
      </x:c>
      <x:c r="G33" s="22"/>
      <x:c r="H33" s="22" t="str">
        <x:v>道の駅 木更津うまくたの里</x:v>
      </x:c>
      <x:c r="I33" s="22" t="str">
        <x:v>180～240分</x:v>
      </x:c>
      <x:c r="J33" s="22" t="n">
        <x:v>4</x:v>
      </x:c>
      <x:c r="K33" s="22" t="str">
        <x:v>海ほたるの重複採用は房総へ入る転換点として不可欠。アクアライン規制を確認。</x:v>
      </x:c>
      <x:c r="L33" s="95" t="e">
        <x:f>HYPERLINK("https://www.google.com/maps/dir/?api=1&amp;destination=%E9%81%93%E3%81%AE%E9%A7%85%20%E6%9C%A8%E6%9B%B4%E6%B4%A5%E3%81%86%E3%81%BE%E3%81%8F%E3%81%9F%E3%81%AE%E9%87%8C&amp;travelmode=driving&amp;waypoints=%E6%B5%B7%E3%81%BB%E3%81%9F%E3%82%8BPA%7C%E4%B8%AD%E3%81%AE%E5%B3%B6%E5%85%AC%E5%9C%92%E3%83%BB%E4%B8%AD%E3%81%AE%E5%B3%B6%E5%A4%A7%E6%A9%8B","現在地からルート開始")</x:f>
      </x:c>
      <x:c r="M33" s="22" t="str">
        <x:v>通常</x:v>
      </x:c>
      <x:c r="N33" s="22" t="n">
        <x:v>85</x:v>
      </x:c>
      <x:c r="O33" s="22" t="str">
        <x:v>維持</x:v>
      </x:c>
      <x:c r="P33" s="22" t="str">
        <x:v>海ほたるPA → 中の島公園・中の島大橋 → 道の駅 木更津うまくたの里 の順に、景観と滞在強度を変化させる。</x:v>
      </x:c>
      <x:c r="Q33" s="22"/>
      <x:c r="R33" s="23" t="n">
        <x:v>46232</x:v>
      </x:c>
      <x:c r="S33" s="22"/>
      <x:c r="T33" s="22"/>
      <x:c r="U33" s="22"/>
      <x:c r="V33" s="22"/>
      <x:c r="W33" s="22"/>
      <x:c r="X33" s="22"/>
      <x:c r="Y33" s="22" t="str">
        <x:v>東京港・水辺</x:v>
      </x:c>
      <x:c r="Z33" s="22"/>
    </x:row>
    <x:row r="34">
      <x:c r="A34" s="22" t="str">
        <x:v>R043</x:v>
      </x:c>
      <x:c r="B34" s="22" t="str">
        <x:v>東京西部・24時間休憩</x:v>
      </x:c>
      <x:c r="C34" s="22" t="str">
        <x:v>大規模公園／道の駅</x:v>
      </x:c>
      <x:c r="D34" s="22" t="str">
        <x:v>蒲田駅</x:v>
      </x:c>
      <x:c r="E34" s="22" t="str">
        <x:v>小金井公園</x:v>
      </x:c>
      <x:c r="F34" s="22" t="str">
        <x:v>道の駅 八王子滝山</x:v>
      </x:c>
      <x:c r="G34" s="22"/>
      <x:c r="H34" s="22" t="str">
        <x:v>小金井公園</x:v>
      </x:c>
      <x:c r="I34" s="22" t="str">
        <x:v>150～220分</x:v>
      </x:c>
      <x:c r="J34" s="22" t="n">
        <x:v>4</x:v>
      </x:c>
      <x:c r="K34" s="22" t="str">
        <x:v>往路と復路で同じ公園を使う実験ルート。帰着型Endingとして再訪価値を検証する。</x:v>
      </x:c>
      <x:c r="L34" s="95" t="e">
        <x:f>HYPERLINK("https://www.google.com/maps/dir/?api=1&amp;destination=%E5%B0%8F%E9%87%91%E4%BA%95%E5%85%AC%E5%9C%92&amp;travelmode=driving&amp;waypoints=%E5%B0%8F%E9%87%91%E4%BA%95%E5%85%AC%E5%9C%92%7C%E9%81%93%E3%81%AE%E9%A7%85%20%E5%85%AB%E7%8E%8B%E5%AD%90%E6%BB%9D%E5%B1%B1","現在地からルート開始")</x:f>
      </x:c>
      <x:c r="M34" s="22" t="str">
        <x:v>通常</x:v>
      </x:c>
      <x:c r="N34" s="22" t="n">
        <x:v>86</x:v>
      </x:c>
      <x:c r="O34" s="22" t="str">
        <x:v>維持</x:v>
      </x:c>
      <x:c r="P34" s="22" t="str">
        <x:v>小金井公園 → 道の駅 八王子滝山 → 小金井公園 の順に、景観と滞在強度を変化させる。</x:v>
      </x:c>
      <x:c r="Q34" s="22"/>
      <x:c r="R34" s="23" t="n">
        <x:v>46232</x:v>
      </x:c>
      <x:c r="S34" s="22"/>
      <x:c r="T34" s="22"/>
      <x:c r="U34" s="22"/>
      <x:c r="V34" s="22"/>
      <x:c r="W34" s="22"/>
      <x:c r="X34" s="22"/>
      <x:c r="Y34" s="22" t="str">
        <x:v>都市公園・休憩</x:v>
      </x:c>
      <x:c r="Z34" s="22"/>
    </x:row>
    <x:row r="35">
      <x:c r="A35" s="22" t="str">
        <x:v>R044</x:v>
      </x:c>
      <x:c r="B35" s="22" t="str">
        <x:v>八王子・山城から温泉へ</x:v>
      </x:c>
      <x:c r="C35" s="22" t="str">
        <x:v>城跡／道の駅／温泉</x:v>
      </x:c>
      <x:c r="D35" s="22" t="str">
        <x:v>蒲田駅</x:v>
      </x:c>
      <x:c r="E35" s="22" t="str">
        <x:v>道の駅 八王子滝山</x:v>
      </x:c>
      <x:c r="F35" s="22" t="str">
        <x:v>八王子城跡</x:v>
      </x:c>
      <x:c r="G35" s="22"/>
      <x:c r="H35" s="22" t="str">
        <x:v>秋川渓谷 瀬音の湯</x:v>
      </x:c>
      <x:c r="I35" s="22" t="str">
        <x:v>250～330分</x:v>
      </x:c>
      <x:c r="J35" s="22" t="n">
        <x:v>2</x:v>
      </x:c>
      <x:c r="K35" s="22" t="str">
        <x:v>八王子城跡17時閉鎖。瀬音の湯の最終受付・休館日を当日確認。</x:v>
      </x:c>
      <x:c r="L35" s="95" t="e">
        <x:f>HYPERLINK("https://www.google.com/maps/dir/?api=1&amp;destination=%E7%A7%8B%E5%B7%9D%E6%B8%93%E8%B0%B7%20%E7%80%AC%E9%9F%B3%E3%81%AE%E6%B9%AF&amp;travelmode=driving&amp;waypoints=%E9%81%93%E3%81%AE%E9%A7%85%20%E5%85%AB%E7%8E%8B%E5%AD%90%E6%BB%9D%E5%B1%B1%7C%E5%85%AB%E7%8E%8B%E5%AD%90%E5%9F%8E%E8%B7%A1","現在地からルート開始")</x:f>
      </x:c>
      <x:c r="M35" s="22" t="str">
        <x:v>昼専用</x:v>
      </x:c>
      <x:c r="N35" s="22" t="n">
        <x:v>88</x:v>
      </x:c>
      <x:c r="O35" s="22" t="str">
        <x:v>維持</x:v>
      </x:c>
      <x:c r="P35" s="22" t="str">
        <x:v>道の駅 八王子滝山 → 八王子城跡 → 秋川渓谷 瀬音の湯 の順に、景観と滞在強度を変化させる。</x:v>
      </x:c>
      <x:c r="Q35" s="22"/>
      <x:c r="R35" s="23" t="n">
        <x:v>46232</x:v>
      </x:c>
      <x:c r="S35" s="22"/>
      <x:c r="T35" s="22"/>
      <x:c r="U35" s="22"/>
      <x:c r="V35" s="22"/>
      <x:c r="W35" s="22"/>
      <x:c r="X35" s="22"/>
      <x:c r="Y35" s="22" t="str">
        <x:v>都市公園・休憩</x:v>
      </x:c>
      <x:c r="Z35" s="22"/>
    </x:row>
    <x:row r="36">
      <x:c r="A36" s="22" t="str">
        <x:v>R045</x:v>
      </x:c>
      <x:c r="B36" s="22" t="str">
        <x:v>東京唯一の滝へ</x:v>
      </x:c>
      <x:c r="C36" s="22" t="str">
        <x:v>城跡／滝／温泉</x:v>
      </x:c>
      <x:c r="D36" s="22" t="str">
        <x:v>蒲田駅</x:v>
      </x:c>
      <x:c r="E36" s="22" t="str">
        <x:v>八王子城跡</x:v>
      </x:c>
      <x:c r="F36" s="22" t="str">
        <x:v>払沢の滝</x:v>
      </x:c>
      <x:c r="G36" s="22"/>
      <x:c r="H36" s="22" t="str">
        <x:v>秋川渓谷 瀬音の湯</x:v>
      </x:c>
      <x:c r="I36" s="22" t="str">
        <x:v>280～360分</x:v>
      </x:c>
      <x:c r="J36" s="22" t="n">
        <x:v>2</x:v>
      </x:c>
      <x:c r="K36" s="22" t="str">
        <x:v>完全な昼開始。払沢の滝は徒歩と満車リスクがあり、雨天・凍結時は中止。</x:v>
      </x:c>
      <x:c r="L36" s="95" t="e">
        <x:f>HYPERLINK("https://www.google.com/maps/dir/?api=1&amp;destination=%E7%A7%8B%E5%B7%9D%E6%B8%93%E8%B0%B7%20%E7%80%AC%E9%9F%B3%E3%81%AE%E6%B9%AF&amp;travelmode=driving&amp;waypoints=%E5%85%AB%E7%8E%8B%E5%AD%90%E5%9F%8E%E8%B7%A1%7C%E6%89%95%E6%B2%A2%E3%81%AE%E6%BB%9D","現在地からルート開始")</x:f>
      </x:c>
      <x:c r="M36" s="22" t="str">
        <x:v>昼専用</x:v>
      </x:c>
      <x:c r="N36" s="22" t="n">
        <x:v>81</x:v>
      </x:c>
      <x:c r="O36" s="22" t="str">
        <x:v>維持</x:v>
      </x:c>
      <x:c r="P36" s="22" t="str">
        <x:v>八王子城跡 → 払沢の滝 → 秋川渓谷 瀬音の湯 の順に、景観と滞在強度を変化させる。</x:v>
      </x:c>
      <x:c r="Q36" s="22"/>
      <x:c r="R36" s="23" t="n">
        <x:v>46232</x:v>
      </x:c>
      <x:c r="S36" s="22"/>
      <x:c r="T36" s="22"/>
      <x:c r="U36" s="22"/>
      <x:c r="V36" s="22"/>
      <x:c r="W36" s="22"/>
      <x:c r="X36" s="22"/>
      <x:c r="Y36" s="22" t="str">
        <x:v>都市公園・休憩</x:v>
      </x:c>
      <x:c r="Z36" s="22"/>
    </x:row>
    <x:row r="37">
      <x:c r="A37" s="22" t="str">
        <x:v>R046</x:v>
      </x:c>
      <x:c r="B37" s="22" t="str">
        <x:v>丹沢から相模湾へ</x:v>
      </x:c>
      <x:c r="C37" s="22" t="str">
        <x:v>道の駅／高台／港</x:v>
      </x:c>
      <x:c r="D37" s="22" t="str">
        <x:v>蒲田駅</x:v>
      </x:c>
      <x:c r="E37" s="22" t="str">
        <x:v>道の駅 清川</x:v>
      </x:c>
      <x:c r="F37" s="22" t="str">
        <x:v>菜の花台展望台</x:v>
      </x:c>
      <x:c r="G37" s="22"/>
      <x:c r="H37" s="22" t="str">
        <x:v>大磯港</x:v>
      </x:c>
      <x:c r="I37" s="22" t="str">
        <x:v>240～330分</x:v>
      </x:c>
      <x:c r="J37" s="22" t="n">
        <x:v>4</x:v>
      </x:c>
      <x:c r="K37" s="22" t="str">
        <x:v>山から海へ感情を開く構成。菜の花台の霧・凍結、大磯港の門扉時間を確認。</x:v>
      </x:c>
      <x:c r="L37" s="95" t="e">
        <x:f>HYPERLINK("https://www.google.com/maps/dir/?api=1&amp;destination=%E5%A4%A7%E7%A3%AF%E6%B8%AF&amp;travelmode=driving&amp;waypoints=%E9%81%93%E3%81%AE%E9%A7%85%20%E6%B8%85%E5%B7%9D%7C%E8%8F%9C%E3%81%AE%E8%8A%B1%E5%8F%B0%E5%B1%95%E6%9C%9B%E5%8F%B0","現在地からルート開始")</x:f>
      </x:c>
      <x:c r="M37" s="22" t="str">
        <x:v>通常</x:v>
      </x:c>
      <x:c r="N37" s="22" t="n">
        <x:v>78</x:v>
      </x:c>
      <x:c r="O37" s="22" t="str">
        <x:v>維持</x:v>
      </x:c>
      <x:c r="P37" s="22" t="str">
        <x:v>道の駅 清川 → 菜の花台展望台 → 大磯港 の順に、景観と滞在強度を変化させる。</x:v>
      </x:c>
      <x:c r="Q37" s="22"/>
      <x:c r="R37" s="23" t="n">
        <x:v>46232</x:v>
      </x:c>
      <x:c r="S37" s="22"/>
      <x:c r="T37" s="22"/>
      <x:c r="U37" s="22"/>
      <x:c r="V37" s="22"/>
      <x:c r="W37" s="22"/>
      <x:c r="X37" s="22"/>
      <x:c r="Y37" s="22" t="str">
        <x:v>東京港・水辺</x:v>
      </x:c>
      <x:c r="Z37" s="22"/>
    </x:row>
    <x:row r="38">
      <x:c r="A38" s="22" t="str">
        <x:v>R047</x:v>
      </x:c>
      <x:c r="B38" s="22" t="str">
        <x:v>小田原合戦・高台Ending</x:v>
      </x:c>
      <x:c r="C38" s="22" t="str">
        <x:v>港／歴史／高台</x:v>
      </x:c>
      <x:c r="D38" s="22" t="str">
        <x:v>蒲田駅</x:v>
      </x:c>
      <x:c r="E38" s="22" t="str">
        <x:v>大磯港</x:v>
      </x:c>
      <x:c r="F38" s="22" t="str">
        <x:v>小田原漁港</x:v>
      </x:c>
      <x:c r="G38" s="22"/>
      <x:c r="H38" s="22" t="str">
        <x:v>石垣山一夜城歴史公園</x:v>
      </x:c>
      <x:c r="I38" s="22" t="str">
        <x:v>270～360分</x:v>
      </x:c>
      <x:c r="J38" s="22" t="n">
        <x:v>1</x:v>
      </x:c>
      <x:c r="K38" s="22" t="str">
        <x:v>昼限定。小田原漁港は中継のみで、漁業作業区域に入らない。</x:v>
      </x:c>
      <x:c r="L38" s="95" t="e">
        <x:f>HYPERLINK("https://www.google.com/maps/dir/?api=1&amp;destination=%E7%9F%B3%E5%9E%A3%E5%B1%B1%E4%B8%80%E5%A4%9C%E5%9F%8E%E6%AD%B4%E5%8F%B2%E5%85%AC%E5%9C%92&amp;travelmode=driving&amp;waypoints=%E5%A4%A7%E7%A3%AF%E6%B8%AF%7C%E5%B0%8F%E7%94%B0%E5%8E%9F%E6%BC%81%E6%B8%AF","現在地からルート開始")</x:f>
      </x:c>
      <x:c r="M38" s="22" t="str">
        <x:v>昼専用</x:v>
      </x:c>
      <x:c r="N38" s="22" t="n">
        <x:v>70</x:v>
      </x:c>
      <x:c r="O38" s="22" t="str">
        <x:v>維持</x:v>
      </x:c>
      <x:c r="P38" s="22" t="str">
        <x:v>大磯港 → 小田原漁港 → 石垣山一夜城歴史公園 の順に、景観と滞在強度を変化させる。</x:v>
      </x:c>
      <x:c r="Q38" s="22"/>
      <x:c r="R38" s="23" t="n">
        <x:v>46232</x:v>
      </x:c>
      <x:c r="S38" s="22"/>
      <x:c r="T38" s="22"/>
      <x:c r="U38" s="22"/>
      <x:c r="V38" s="22"/>
      <x:c r="W38" s="22"/>
      <x:c r="X38" s="22"/>
      <x:c r="Y38" s="22" t="str">
        <x:v>東京港・水辺</x:v>
      </x:c>
      <x:c r="Z38" s="22"/>
    </x:row>
    <x:row r="39">
      <x:c r="A39" s="22" t="str">
        <x:v>R051</x:v>
      </x:c>
      <x:c r="B39" s="22" t="str">
        <x:v>東京西部・公園ナイト</x:v>
      </x:c>
      <x:c r="C39" s="22" t="str">
        <x:v>大規模公園／河川／夜間</x:v>
      </x:c>
      <x:c r="D39" s="22" t="str">
        <x:v>現在地</x:v>
      </x:c>
      <x:c r="E39" s="22" t="str">
        <x:v>砧公園</x:v>
      </x:c>
      <x:c r="F39" s="22" t="str">
        <x:v>武蔵野公園</x:v>
      </x:c>
      <x:c r="G39" s="22"/>
      <x:c r="H39" s="22" t="str">
        <x:v>小金井公園</x:v>
      </x:c>
      <x:c r="I39" s="22" t="str">
        <x:v>150～210分</x:v>
      </x:c>
      <x:c r="J39" s="22" t="n">
        <x:v>4</x:v>
      </x:c>
      <x:c r="K39" s="22" t="str">
        <x:v>小金井公園の重複採用は24時間駐車場と帰路安定性のため。</x:v>
      </x:c>
      <x:c r="L39" s="95" t="e">
        <x:f>HYPERLINK("https://www.google.com/maps/dir/?api=1&amp;destination=%E5%B0%8F%E9%87%91%E4%BA%95%E5%85%AC%E5%9C%92&amp;travelmode=driving&amp;waypoints=%E7%A0%A7%E5%85%AC%E5%9C%92%7C%E6%AD%A6%E8%94%B5%E9%87%8E%E5%85%AC%E5%9C%92","現在地からルート開始")</x:f>
      </x:c>
      <x:c r="M39" s="22" t="str">
        <x:v>通常</x:v>
      </x:c>
      <x:c r="N39" s="22" t="n">
        <x:v>80</x:v>
      </x:c>
      <x:c r="O39" s="22" t="str">
        <x:v>維持</x:v>
      </x:c>
      <x:c r="P39" s="22" t="str">
        <x:v>砧公園 → 武蔵野公園 → 小金井公園 の順に、景観と滞在強度を変化させる。</x:v>
      </x:c>
      <x:c r="Q39" s="22"/>
      <x:c r="R39" s="23" t="n">
        <x:v>46232</x:v>
      </x:c>
      <x:c r="S39" s="22"/>
      <x:c r="T39" s="22"/>
      <x:c r="U39" s="22"/>
      <x:c r="V39" s="22"/>
      <x:c r="W39" s="22"/>
      <x:c r="X39" s="22"/>
      <x:c r="Y39" s="22" t="str">
        <x:v>河川・多摩川</x:v>
      </x:c>
      <x:c r="Z39" s="22"/>
    </x:row>
    <x:row r="40">
      <x:c r="A40" s="22" t="str">
        <x:v>R052</x:v>
      </x:c>
      <x:c r="B40" s="22" t="str">
        <x:v>千葉湾岸・車内展望</x:v>
      </x:c>
      <x:c r="C40" s="22" t="str">
        <x:v>海／展望駐車場／港</x:v>
      </x:c>
      <x:c r="D40" s="22" t="str">
        <x:v>現在地</x:v>
      </x:c>
      <x:c r="E40" s="22" t="str">
        <x:v>海浜大通り展望駐車場</x:v>
      </x:c>
      <x:c r="F40" s="22" t="str">
        <x:v>千葉ポートタワー</x:v>
      </x:c>
      <x:c r="G40" s="22"/>
      <x:c r="H40" s="22" t="str">
        <x:v>千葉公園</x:v>
      </x:c>
      <x:c r="I40" s="22" t="str">
        <x:v>190～250分</x:v>
      </x:c>
      <x:c r="J40" s="22" t="n">
        <x:v>4</x:v>
      </x:c>
      <x:c r="K40" s="22" t="str">
        <x:v>展望駐車場満車時は稲毛海浜公園へ変更。</x:v>
      </x:c>
      <x:c r="L40" s="95" t="e">
        <x:f>HYPERLINK("https://www.google.com/maps/dir/?api=1&amp;destination=%E5%8D%83%E8%91%89%E5%85%AC%E5%9C%92&amp;travelmode=driving&amp;waypoints=%E6%B5%B7%E6%B5%9C%E5%A4%A7%E9%80%9A%E3%82%8A%E5%B1%95%E6%9C%9B%E9%A7%90%E8%BB%8A%E5%A0%B4%7C%E5%8D%83%E8%91%89%E3%83%9D%E3%83%BC%E3%83%88%E3%82%BF%E3%83%AF%E3%83%BC","現在地からルート開始")</x:f>
      </x:c>
      <x:c r="M40" s="22" t="str">
        <x:v>通常</x:v>
      </x:c>
      <x:c r="N40" s="22" t="n">
        <x:v>76</x:v>
      </x:c>
      <x:c r="O40" s="22" t="str">
        <x:v>維持</x:v>
      </x:c>
      <x:c r="P40" s="22" t="str">
        <x:v>海浜大通り展望駐車場 → 千葉ポートタワー → 千葉公園 の順に、景観と滞在強度を変化させる。</x:v>
      </x:c>
      <x:c r="Q40" s="22"/>
      <x:c r="R40" s="23" t="n">
        <x:v>46232</x:v>
      </x:c>
      <x:c r="S40" s="22"/>
      <x:c r="T40" s="22"/>
      <x:c r="U40" s="22"/>
      <x:c r="V40" s="22"/>
      <x:c r="W40" s="22"/>
      <x:c r="X40" s="22"/>
      <x:c r="Y40" s="22" t="str">
        <x:v>東京港・水辺</x:v>
      </x:c>
      <x:c r="Z40" s="22"/>
    </x:row>
    <x:row r="41">
      <x:c r="A41" s="22" t="str">
        <x:v>R053</x:v>
      </x:c>
      <x:c r="B41" s="22" t="str">
        <x:v>千葉・城と港の夜</x:v>
      </x:c>
      <x:c r="C41" s="22" t="str">
        <x:v>城址／港／都市公園</x:v>
      </x:c>
      <x:c r="D41" s="22" t="str">
        <x:v>現在地</x:v>
      </x:c>
      <x:c r="E41" s="22" t="str">
        <x:v>亥鼻公園</x:v>
      </x:c>
      <x:c r="F41" s="22" t="str">
        <x:v>千葉ポートタワー</x:v>
      </x:c>
      <x:c r="G41" s="22"/>
      <x:c r="H41" s="22" t="str">
        <x:v>千葉公園</x:v>
      </x:c>
      <x:c r="I41" s="22" t="str">
        <x:v>190～250分</x:v>
      </x:c>
      <x:c r="J41" s="22" t="n">
        <x:v>4</x:v>
      </x:c>
      <x:c r="K41" s="22" t="str">
        <x:v>千葉ポートタワー最終入館を確認。</x:v>
      </x:c>
      <x:c r="L41" s="95" t="e">
        <x:f>HYPERLINK("https://www.google.com/maps/dir/?api=1&amp;destination=%E5%8D%83%E8%91%89%E5%85%AC%E5%9C%92&amp;travelmode=driving&amp;waypoints=%E4%BA%A5%E9%BC%BB%E5%85%AC%E5%9C%92%7C%E5%8D%83%E8%91%89%E3%83%9D%E3%83%BC%E3%83%88%E3%82%BF%E3%83%AF%E3%83%BC","現在地からルート開始")</x:f>
      </x:c>
      <x:c r="M41" s="22" t="str">
        <x:v>通常</x:v>
      </x:c>
      <x:c r="N41" s="22" t="n">
        <x:v>82</x:v>
      </x:c>
      <x:c r="O41" s="22" t="str">
        <x:v>維持</x:v>
      </x:c>
      <x:c r="P41" s="22" t="str">
        <x:v>亥鼻公園 → 千葉ポートタワー → 千葉公園 の順に、景観と滞在強度を変化させる。</x:v>
      </x:c>
      <x:c r="Q41" s="22"/>
      <x:c r="R41" s="23" t="n">
        <x:v>46232</x:v>
      </x:c>
      <x:c r="S41" s="22"/>
      <x:c r="T41" s="22"/>
      <x:c r="U41" s="22"/>
      <x:c r="V41" s="22"/>
      <x:c r="W41" s="22"/>
      <x:c r="X41" s="22"/>
      <x:c r="Y41" s="22" t="str">
        <x:v>東京港・水辺</x:v>
      </x:c>
      <x:c r="Z41" s="22"/>
    </x:row>
    <x:row r="42">
      <x:c r="A42" s="22" t="str">
        <x:v>R054</x:v>
      </x:c>
      <x:c r="B42" s="22" t="str">
        <x:v>木更津高台ナイト</x:v>
      </x:c>
      <x:c r="C42" s="22" t="str">
        <x:v>海上／港／高台</x:v>
      </x:c>
      <x:c r="D42" s="22" t="str">
        <x:v>現在地</x:v>
      </x:c>
      <x:c r="E42" s="22" t="str">
        <x:v>海ほたるPA</x:v>
      </x:c>
      <x:c r="F42" s="22" t="str">
        <x:v>中の島公園・中の島大橋</x:v>
      </x:c>
      <x:c r="G42" s="22"/>
      <x:c r="H42" s="22" t="str">
        <x:v>太田山公園</x:v>
      </x:c>
      <x:c r="I42" s="22" t="str">
        <x:v>180～240分</x:v>
      </x:c>
      <x:c r="J42" s="22" t="n">
        <x:v>4</x:v>
      </x:c>
      <x:c r="K42" s="22" t="str">
        <x:v>海ほたると中の島は既存候補だが、海上→港→高台の標高変化を作るため再採用。</x:v>
      </x:c>
      <x:c r="L42" s="95" t="e">
        <x:f>HYPERLINK("https://www.google.com/maps/dir/?api=1&amp;destination=%E5%A4%AA%E7%94%B0%E5%B1%B1%E5%85%AC%E5%9C%92&amp;travelmode=driving&amp;waypoints=%E6%B5%B7%E3%81%BB%E3%81%9F%E3%82%8BPA%7C%E4%B8%AD%E3%81%AE%E5%B3%B6%E5%85%AC%E5%9C%92%E3%83%BB%E4%B8%AD%E3%81%AE%E5%B3%B6%E5%A4%A7%E6%A9%8B","現在地からルート開始")</x:f>
      </x:c>
      <x:c r="M42" s="22" t="str">
        <x:v>通常</x:v>
      </x:c>
      <x:c r="N42" s="22" t="n">
        <x:v>88</x:v>
      </x:c>
      <x:c r="O42" s="22" t="str">
        <x:v>維持</x:v>
      </x:c>
      <x:c r="P42" s="22" t="str">
        <x:v>海ほたるPA → 中の島公園・中の島大橋 → 太田山公園 の順に、景観と滞在強度を変化させる。</x:v>
      </x:c>
      <x:c r="Q42" s="22"/>
      <x:c r="R42" s="23" t="n">
        <x:v>46232</x:v>
      </x:c>
      <x:c r="S42" s="22"/>
      <x:c r="T42" s="22"/>
      <x:c r="U42" s="22"/>
      <x:c r="V42" s="22"/>
      <x:c r="W42" s="22"/>
      <x:c r="X42" s="22"/>
      <x:c r="Y42" s="22" t="str">
        <x:v>東京港・水辺</x:v>
      </x:c>
      <x:c r="Z42" s="22"/>
    </x:row>
    <x:row r="43">
      <x:c r="A43" s="22" t="str">
        <x:v>R057</x:v>
      </x:c>
      <x:c r="B43" s="22" t="str">
        <x:v>埼玉東部・空の広さ</x:v>
      </x:c>
      <x:c r="C43" s="22" t="str">
        <x:v>水辺／里山／道の駅</x:v>
      </x:c>
      <x:c r="D43" s="22" t="str">
        <x:v>現在地</x:v>
      </x:c>
      <x:c r="E43" s="22" t="str">
        <x:v>みさと公園</x:v>
      </x:c>
      <x:c r="F43" s="22" t="str">
        <x:v>まつぶし緑の丘公園</x:v>
      </x:c>
      <x:c r="G43" s="22"/>
      <x:c r="H43" s="22" t="str">
        <x:v>道の駅 しょうなん</x:v>
      </x:c>
      <x:c r="I43" s="22" t="str">
        <x:v>230～300分</x:v>
      </x:c>
      <x:c r="J43" s="22" t="n">
        <x:v>3</x:v>
      </x:c>
      <x:c r="K43" s="22" t="str">
        <x:v>松伏は昼、道の駅しょうなんは夜間休憩に使う。</x:v>
      </x:c>
      <x:c r="L43" s="95" t="e">
        <x:f>HYPERLINK("https://www.google.com/maps/dir/?api=1&amp;destination=%E9%81%93%E3%81%AE%E9%A7%85%20%E3%81%97%E3%82%87%E3%81%86%E3%81%AA%E3%82%93&amp;travelmode=driving&amp;waypoints=%E3%81%BF%E3%81%95%E3%81%A8%E5%85%AC%E5%9C%92%7C%E3%81%BE%E3%81%A4%E3%81%B6%E3%81%97%E7%B7%91%E3%81%AE%E4%B8%98%E5%85%AC%E5%9C%92","現在地からルート開始")</x:f>
      </x:c>
      <x:c r="M43" s="22" t="str">
        <x:v>通常</x:v>
      </x:c>
      <x:c r="N43" s="22" t="n">
        <x:v>84</x:v>
      </x:c>
      <x:c r="O43" s="22" t="str">
        <x:v>維持</x:v>
      </x:c>
      <x:c r="P43" s="22" t="str">
        <x:v>みさと公園 → まつぶし緑の丘公園 → 道の駅 しょうなん の順に、景観と滞在強度を変化させる。</x:v>
      </x:c>
      <x:c r="Q43" s="22"/>
      <x:c r="R43" s="23" t="n">
        <x:v>46232</x:v>
      </x:c>
      <x:c r="S43" s="22"/>
      <x:c r="T43" s="22"/>
      <x:c r="U43" s="22"/>
      <x:c r="V43" s="22"/>
      <x:c r="W43" s="22"/>
      <x:c r="X43" s="22"/>
      <x:c r="Y43" s="22" t="str">
        <x:v>森林・高台</x:v>
      </x:c>
      <x:c r="Z43" s="22"/>
    </x:row>
    <x:row r="44">
      <x:c r="A44" s="22" t="str">
        <x:v>R058</x:v>
      </x:c>
      <x:c r="B44" s="22" t="str">
        <x:v>見沼・松伏自然線</x:v>
      </x:c>
      <x:c r="C44" s="22" t="str">
        <x:v>池／田圃／里山</x:v>
      </x:c>
      <x:c r="D44" s="22" t="str">
        <x:v>現在地</x:v>
      </x:c>
      <x:c r="E44" s="22" t="str">
        <x:v>見沼自然公園</x:v>
      </x:c>
      <x:c r="F44" s="22" t="str">
        <x:v>まつぶし緑の丘公園</x:v>
      </x:c>
      <x:c r="G44" s="22"/>
      <x:c r="H44" s="22" t="str">
        <x:v>みさと公園</x:v>
      </x:c>
      <x:c r="I44" s="22" t="str">
        <x:v>210～280分</x:v>
      </x:c>
      <x:c r="J44" s="22" t="n">
        <x:v>2</x:v>
      </x:c>
      <x:c r="K44" s="22" t="str">
        <x:v>昼開始。みさと公園は第2駐車場利用。</x:v>
      </x:c>
      <x:c r="L44" s="95" t="e">
        <x:f>HYPERLINK("https://www.google.com/maps/dir/?api=1&amp;destination=%E3%81%BF%E3%81%95%E3%81%A8%E5%85%AC%E5%9C%92&amp;travelmode=driving&amp;waypoints=%E8%A6%8B%E6%B2%BC%E8%87%AA%E7%84%B6%E5%85%AC%E5%9C%92%7C%E3%81%BE%E3%81%A4%E3%81%B6%E3%81%97%E7%B7%91%E3%81%AE%E4%B8%98%E5%85%AC%E5%9C%92","現在地からルート開始")</x:f>
      </x:c>
      <x:c r="M44" s="22" t="str">
        <x:v>昼専用</x:v>
      </x:c>
      <x:c r="N44" s="22" t="n">
        <x:v>78</x:v>
      </x:c>
      <x:c r="O44" s="22" t="str">
        <x:v>維持</x:v>
      </x:c>
      <x:c r="P44" s="22" t="str">
        <x:v>見沼自然公園 → まつぶし緑の丘公園 → みさと公園 の順に、景観と滞在強度を変化させる。</x:v>
      </x:c>
      <x:c r="Q44" s="22"/>
      <x:c r="R44" s="23" t="n">
        <x:v>46232</x:v>
      </x:c>
      <x:c r="S44" s="22"/>
      <x:c r="T44" s="22"/>
      <x:c r="U44" s="22"/>
      <x:c r="V44" s="22"/>
      <x:c r="W44" s="22"/>
      <x:c r="X44" s="22"/>
      <x:c r="Y44" s="22" t="str">
        <x:v>森林・高台</x:v>
      </x:c>
      <x:c r="Z44" s="22"/>
    </x:row>
    <x:row r="45">
      <x:c r="A45" s="22" t="str">
        <x:v>R060</x:v>
      </x:c>
      <x:c r="B45" s="22" t="str">
        <x:v>千葉ロング・飛行機前夜</x:v>
      </x:c>
      <x:c r="C45" s="22" t="str">
        <x:v>海／城址／飛行機</x:v>
      </x:c>
      <x:c r="D45" s="22" t="str">
        <x:v>現在地</x:v>
      </x:c>
      <x:c r="E45" s="22" t="str">
        <x:v>海浜大通り展望駐車場</x:v>
      </x:c>
      <x:c r="F45" s="22" t="str">
        <x:v>亥鼻公園</x:v>
      </x:c>
      <x:c r="G45" s="22"/>
      <x:c r="H45" s="22" t="str">
        <x:v>成田市さくらの山</x:v>
      </x:c>
      <x:c r="I45" s="22" t="str">
        <x:v>260～340分</x:v>
      </x:c>
      <x:c r="J45" s="22" t="n">
        <x:v>4</x:v>
      </x:c>
      <x:c r="K45" s="22" t="str">
        <x:v>成田さくらの山23時閉場。展望駐車場満車時は幕張海浜公園へ変更。</x:v>
      </x:c>
      <x:c r="L45" s="95" t="e">
        <x:f>HYPERLINK("https://www.google.com/maps/dir/?api=1&amp;destination=%E6%88%90%E7%94%B0%E5%B8%82%E3%81%95%E3%81%8F%E3%82%89%E3%81%AE%E5%B1%B1&amp;travelmode=driving&amp;waypoints=%E6%B5%B7%E6%B5%9C%E5%A4%A7%E9%80%9A%E3%82%8A%E5%B1%95%E6%9C%9B%E9%A7%90%E8%BB%8A%E5%A0%B4%7C%E4%BA%A5%E9%BC%BB%E5%85%AC%E5%9C%92","現在地からルート開始")</x:f>
      </x:c>
      <x:c r="M45" s="22" t="str">
        <x:v>通常</x:v>
      </x:c>
      <x:c r="N45" s="22" t="n">
        <x:v>72</x:v>
      </x:c>
      <x:c r="O45" s="22" t="str">
        <x:v>維持</x:v>
      </x:c>
      <x:c r="P45" s="22" t="str">
        <x:v>海浜大通り展望駐車場 → 亥鼻公園 → 成田市さくらの山 の順に、景観と滞在強度を変化させる。</x:v>
      </x:c>
      <x:c r="Q45" s="22"/>
      <x:c r="R45" s="23" t="n">
        <x:v>46232</x:v>
      </x:c>
      <x:c r="S45" s="22"/>
      <x:c r="T45" s="22"/>
      <x:c r="U45" s="22"/>
      <x:c r="V45" s="22"/>
      <x:c r="W45" s="22"/>
      <x:c r="X45" s="22"/>
      <x:c r="Y45" s="22" t="str">
        <x:v>羽田・航空</x:v>
      </x:c>
      <x:c r="Z45" s="22"/>
    </x:row>
    <x:row r="46">
      <x:c r="A46" s="22" t="str">
        <x:v>R061</x:v>
      </x:c>
      <x:c r="B46" s="22" t="str">
        <x:v>東京西部・航空と大公園</x:v>
      </x:c>
      <x:c r="C46" s="22" t="str">
        <x:v>飛行機／航空史／大規模公園</x:v>
      </x:c>
      <x:c r="D46" s="22" t="str">
        <x:v>現在地</x:v>
      </x:c>
      <x:c r="E46" s="22" t="str">
        <x:v>所沢航空記念公園</x:v>
      </x:c>
      <x:c r="F46" s="22" t="str">
        <x:v>国営昭和記念公園</x:v>
      </x:c>
      <x:c r="G46" s="22"/>
      <x:c r="H46" s="22" t="str">
        <x:v>小金井公園</x:v>
      </x:c>
      <x:c r="I46" s="22" t="str">
        <x:v>220～300分</x:v>
      </x:c>
      <x:c r="J46" s="22" t="n">
        <x:v>3</x:v>
      </x:c>
      <x:c r="K46" s="22" t="str">
        <x:v>所沢・小金井の24時間駐車を安定点にし、昭和記念公園は閉園時刻前のみ経由。</x:v>
      </x:c>
      <x:c r="L46" s="95" t="e">
        <x:f>HYPERLINK("https://www.google.com/maps/dir/?api=1&amp;destination=%E5%B0%8F%E9%87%91%E4%BA%95%E5%85%AC%E5%9C%92&amp;travelmode=driving&amp;waypoints=%E6%89%80%E6%B2%A2%E8%88%AA%E7%A9%BA%E8%A8%98%E5%BF%B5%E5%85%AC%E5%9C%92%7C%E5%9B%BD%E5%96%B6%E6%98%AD%E5%92%8C%E8%A8%98%E5%BF%B5%E5%85%AC%E5%9C%92","現在地からルート開始")</x:f>
      </x:c>
      <x:c r="M46" s="22" t="str">
        <x:v>通常</x:v>
      </x:c>
      <x:c r="N46" s="22" t="n">
        <x:v>84</x:v>
      </x:c>
      <x:c r="O46" s="22" t="str">
        <x:v>維持</x:v>
      </x:c>
      <x:c r="P46" s="22" t="str">
        <x:v>所沢航空記念公園 → 国営昭和記念公園 → 小金井公園 の順に、景観と滞在強度を変化させる。</x:v>
      </x:c>
      <x:c r="Q46" s="22"/>
      <x:c r="R46" s="23" t="n">
        <x:v>46232</x:v>
      </x:c>
      <x:c r="S46" s="22"/>
      <x:c r="T46" s="22"/>
      <x:c r="U46" s="22"/>
      <x:c r="V46" s="22"/>
      <x:c r="W46" s="22"/>
      <x:c r="X46" s="22"/>
      <x:c r="Y46" s="22" t="str">
        <x:v>羽田・航空</x:v>
      </x:c>
      <x:c r="Z46" s="22"/>
    </x:row>
    <x:row r="47">
      <x:c r="A47" s="22" t="str">
        <x:v>R062</x:v>
      </x:c>
      <x:c r="B47" s="22" t="str">
        <x:v>北欧Storyと高麗川</x:v>
      </x:c>
      <x:c r="C47" s="22" t="str">
        <x:v>Story／森林／河川</x:v>
      </x:c>
      <x:c r="D47" s="22" t="str">
        <x:v>現在地</x:v>
      </x:c>
      <x:c r="E47" s="22" t="str">
        <x:v>トーベ・ヤンソンあけぼの子どもの森公園</x:v>
      </x:c>
      <x:c r="F47" s="22"/>
      <x:c r="G47" s="22"/>
      <x:c r="H47" s="22" t="str">
        <x:v>巾着田曼珠沙華公園</x:v>
      </x:c>
      <x:c r="I47" s="22" t="str">
        <x:v>210～280分</x:v>
      </x:c>
      <x:c r="J47" s="22" t="n">
        <x:v>1</x:v>
      </x:c>
      <x:c r="K47" s="22" t="str">
        <x:v>両地点17時終了。完全な昼用で、2026年度の開園カレンダーを確認。</x:v>
      </x:c>
      <x:c r="L47" s="95" t="e">
        <x:f>HYPERLINK("https://www.google.com/maps/dir/?api=1&amp;destination=%E5%B7%BE%E7%9D%80%E7%94%B0%E6%9B%BC%E7%8F%A0%E6%B2%99%E8%8F%AF%E5%85%AC%E5%9C%92&amp;travelmode=driving&amp;waypoints=%E3%83%88%E3%83%BC%E3%83%99%E3%83%BB%E3%83%A4%E3%83%B3%E3%82%BD%E3%83%B3%E3%81%82%E3%81%91%E3%81%BC%E3%81%AE%E5%AD%90%E3%81%A9%E3%82%82%E3%81%AE%E6%A3%AE%E5%85%AC%E5%9C%92","現在地からルート開始")</x:f>
      </x:c>
      <x:c r="M47" s="22" t="str">
        <x:v>昼専用</x:v>
      </x:c>
      <x:c r="N47" s="22" t="n">
        <x:v>84</x:v>
      </x:c>
      <x:c r="O47" s="22" t="str">
        <x:v>維持</x:v>
      </x:c>
      <x:c r="P47" s="22" t="str">
        <x:v>トーベ・ヤンソンあけぼの子どもの森公園 → 巾着田曼珠沙華公園 の順に、景観と滞在強度を変化させる。</x:v>
      </x:c>
      <x:c r="Q47" s="22"/>
      <x:c r="R47" s="23" t="n">
        <x:v>46232</x:v>
      </x:c>
      <x:c r="S47" s="22"/>
      <x:c r="T47" s="22"/>
      <x:c r="U47" s="22"/>
      <x:c r="V47" s="22"/>
      <x:c r="W47" s="22"/>
      <x:c r="X47" s="22"/>
      <x:c r="Y47" s="22" t="str">
        <x:v>河川・多摩川</x:v>
      </x:c>
      <x:c r="Z47" s="22"/>
    </x:row>
    <x:row r="48">
      <x:c r="A48" s="22" t="str">
        <x:v>R063</x:v>
      </x:c>
      <x:c r="B48" s="22" t="str">
        <x:v>埼玉・城址から古墳へ</x:v>
      </x:c>
      <x:c r="C48" s="22" t="str">
        <x:v>城址／古代史／24時間駐車</x:v>
      </x:c>
      <x:c r="D48" s="22" t="str">
        <x:v>現在地</x:v>
      </x:c>
      <x:c r="E48" s="22" t="str">
        <x:v>岩槻城址公園</x:v>
      </x:c>
      <x:c r="F48" s="22"/>
      <x:c r="G48" s="22"/>
      <x:c r="H48" s="22" t="str">
        <x:v>さきたま古墳公園</x:v>
      </x:c>
      <x:c r="I48" s="22" t="str">
        <x:v>220～290分</x:v>
      </x:c>
      <x:c r="J48" s="22" t="n">
        <x:v>3</x:v>
      </x:c>
      <x:c r="K48" s="22" t="str">
        <x:v>最後は24時間駐車可能だが、夜間は駐車場周辺だけで静かに滞在する。</x:v>
      </x:c>
      <x:c r="L48" s="95" t="e">
        <x:f>HYPERLINK("https://www.google.com/maps/dir/?api=1&amp;destination=%E3%81%95%E3%81%8D%E3%81%9F%E3%81%BE%E5%8F%A4%E5%A2%B3%E5%85%AC%E5%9C%92&amp;travelmode=driving&amp;waypoints=%E5%B2%A9%E6%A7%BB%E5%9F%8E%E5%9D%80%E5%85%AC%E5%9C%92","現在地からルート開始")</x:f>
      </x:c>
      <x:c r="M48" s="22" t="str">
        <x:v>通常</x:v>
      </x:c>
      <x:c r="N48" s="22" t="n">
        <x:v>84</x:v>
      </x:c>
      <x:c r="O48" s="22" t="str">
        <x:v>維持</x:v>
      </x:c>
      <x:c r="P48" s="22" t="str">
        <x:v>岩槻城址公園 → さきたま古墳公園 の順に、景観と滞在強度を変化させる。</x:v>
      </x:c>
      <x:c r="Q48" s="22"/>
      <x:c r="R48" s="23" t="n">
        <x:v>46232</x:v>
      </x:c>
      <x:c r="S48" s="22"/>
      <x:c r="T48" s="22"/>
      <x:c r="U48" s="22"/>
      <x:c r="V48" s="22"/>
      <x:c r="W48" s="22"/>
      <x:c r="X48" s="22"/>
      <x:c r="Y48" s="22" t="str">
        <x:v>都市公園・休憩</x:v>
      </x:c>
      <x:c r="Z48" s="22"/>
    </x:row>
    <x:row r="49">
      <x:c r="A49" s="22" t="str">
        <x:v>R064</x:v>
      </x:c>
      <x:c r="B49" s="22" t="str">
        <x:v>相模原グリーンライン</x:v>
      </x:c>
      <x:c r="C49" s="22" t="str">
        <x:v>里山／庭園／湖</x:v>
      </x:c>
      <x:c r="D49" s="22" t="str">
        <x:v>現在地</x:v>
      </x:c>
      <x:c r="E49" s="22" t="str">
        <x:v>県立座間谷戸山公園</x:v>
      </x:c>
      <x:c r="F49" s="22" t="str">
        <x:v>相模原公園</x:v>
      </x:c>
      <x:c r="G49" s="22"/>
      <x:c r="H49" s="22" t="str">
        <x:v>城山湖散策路</x:v>
      </x:c>
      <x:c r="I49" s="22" t="str">
        <x:v>210～290分</x:v>
      </x:c>
      <x:c r="J49" s="22" t="n">
        <x:v>1</x:v>
      </x:c>
      <x:c r="K49" s="22" t="str">
        <x:v>城山湖16:30閉鎖を基準に逆算する昼専用ルート。</x:v>
      </x:c>
      <x:c r="L49" s="95" t="e">
        <x:f>HYPERLINK("https://www.google.com/maps/dir/?api=1&amp;destination=%E5%9F%8E%E5%B1%B1%E6%B9%96%E6%95%A3%E7%AD%96%E8%B7%AF&amp;travelmode=driving&amp;waypoints=%E7%9C%8C%E7%AB%8B%E5%BA%A7%E9%96%93%E8%B0%B7%E6%88%B8%E5%B1%B1%E5%85%AC%E5%9C%92%7C%E7%9B%B8%E6%A8%A1%E5%8E%9F%E5%85%AC%E5%9C%92","現在地からルート開始")</x:f>
      </x:c>
      <x:c r="M49" s="22" t="str">
        <x:v>昼専用</x:v>
      </x:c>
      <x:c r="N49" s="22" t="n">
        <x:v>78</x:v>
      </x:c>
      <x:c r="O49" s="22" t="str">
        <x:v>維持</x:v>
      </x:c>
      <x:c r="P49" s="22" t="str">
        <x:v>県立座間谷戸山公園 → 相模原公園 → 城山湖散策路 の順に、景観と滞在強度を変化させる。</x:v>
      </x:c>
      <x:c r="Q49" s="22"/>
      <x:c r="R49" s="23" t="n">
        <x:v>46232</x:v>
      </x:c>
      <x:c r="S49" s="22"/>
      <x:c r="T49" s="22"/>
      <x:c r="U49" s="22"/>
      <x:c r="V49" s="22"/>
      <x:c r="W49" s="22"/>
      <x:c r="X49" s="22"/>
      <x:c r="Y49" s="22" t="str">
        <x:v>森林・高台</x:v>
      </x:c>
      <x:c r="Z49" s="22"/>
    </x:row>
    <x:row r="50">
      <x:c r="A50" s="22" t="str">
        <x:v>R065</x:v>
      </x:c>
      <x:c r="B50" s="22" t="str">
        <x:v>厚木基地・飛行機と里山</x:v>
      </x:c>
      <x:c r="C50" s="22" t="str">
        <x:v>飛行機／里山／庭園</x:v>
      </x:c>
      <x:c r="D50" s="22" t="str">
        <x:v>現在地</x:v>
      </x:c>
      <x:c r="E50" s="22" t="str">
        <x:v>綾瀬スポーツ公園</x:v>
      </x:c>
      <x:c r="F50" s="22" t="str">
        <x:v>県立座間谷戸山公園</x:v>
      </x:c>
      <x:c r="G50" s="22"/>
      <x:c r="H50" s="22" t="str">
        <x:v>相模原公園</x:v>
      </x:c>
      <x:c r="I50" s="22" t="str">
        <x:v>170～230分</x:v>
      </x:c>
      <x:c r="J50" s="22" t="n">
        <x:v>3</x:v>
      </x:c>
      <x:c r="K50" s="22" t="str">
        <x:v>航空機運用は保証されない。谷戸山の閉場後は綾瀬→相模原へ短縮。</x:v>
      </x:c>
      <x:c r="L50" s="95" t="e">
        <x:f>HYPERLINK("https://www.google.com/maps/dir/?api=1&amp;destination=%E7%9B%B8%E6%A8%A1%E5%8E%9F%E5%85%AC%E5%9C%92&amp;travelmode=driving&amp;waypoints=%E7%B6%BE%E7%80%AC%E3%82%B9%E3%83%9D%E3%83%BC%E3%83%84%E5%85%AC%E5%9C%92%7C%E7%9C%8C%E7%AB%8B%E5%BA%A7%E9%96%93%E8%B0%B7%E6%88%B8%E5%B1%B1%E5%85%AC%E5%9C%92","現在地からルート開始")</x:f>
      </x:c>
      <x:c r="M50" s="22" t="str">
        <x:v>通常</x:v>
      </x:c>
      <x:c r="N50" s="22" t="n">
        <x:v>78</x:v>
      </x:c>
      <x:c r="O50" s="22" t="str">
        <x:v>維持</x:v>
      </x:c>
      <x:c r="P50" s="22" t="str">
        <x:v>綾瀬スポーツ公園 → 県立座間谷戸山公園 → 相模原公園 の順に、景観と滞在強度を変化させる。</x:v>
      </x:c>
      <x:c r="Q50" s="22"/>
      <x:c r="R50" s="23" t="n">
        <x:v>46232</x:v>
      </x:c>
      <x:c r="S50" s="22"/>
      <x:c r="T50" s="22"/>
      <x:c r="U50" s="22"/>
      <x:c r="V50" s="22"/>
      <x:c r="W50" s="22"/>
      <x:c r="X50" s="22"/>
      <x:c r="Y50" s="22" t="str">
        <x:v>羽田・航空</x:v>
      </x:c>
      <x:c r="Z50" s="22"/>
    </x:row>
    <x:row r="51">
      <x:c r="A51" s="22" t="str">
        <x:v>R066</x:v>
      </x:c>
      <x:c r="B51" s="22" t="str">
        <x:v>湘南サンセット三段階</x:v>
      </x:c>
      <x:c r="C51" s="22" t="str">
        <x:v>海岸／岬／高台</x:v>
      </x:c>
      <x:c r="D51" s="22" t="str">
        <x:v>現在地</x:v>
      </x:c>
      <x:c r="E51" s="22" t="str">
        <x:v>七里ヶ浜海岸駐車場</x:v>
      </x:c>
      <x:c r="F51" s="22" t="str">
        <x:v>長者ヶ崎駐車場</x:v>
      </x:c>
      <x:c r="G51" s="22"/>
      <x:c r="H51" s="22" t="str">
        <x:v>湘南国際村西公園</x:v>
      </x:c>
      <x:c r="I51" s="22" t="str">
        <x:v>190～260分</x:v>
      </x:c>
      <x:c r="J51" s="22" t="n">
        <x:v>2</x:v>
      </x:c>
      <x:c r="K51" s="22" t="str">
        <x:v>閉場が早い順に回る。夏季・休日は国道134号の渋滞を大きく見込む。</x:v>
      </x:c>
      <x:c r="L51" s="95" t="e">
        <x:f>HYPERLINK("https://www.google.com/maps/dir/?api=1&amp;destination=%E6%B9%98%E5%8D%97%E5%9B%BD%E9%9A%9B%E6%9D%91%E8%A5%BF%E5%85%AC%E5%9C%92&amp;travelmode=driving&amp;waypoints=%E4%B8%83%E9%87%8C%E3%83%B6%E6%B5%9C%E6%B5%B7%E5%B2%B8%E9%A7%90%E8%BB%8A%E5%A0%B4%7C%E9%95%B7%E8%80%85%E3%83%B6%E5%B4%8E%E9%A7%90%E8%BB%8A%E5%A0%B4","現在地からルート開始")</x:f>
      </x:c>
      <x:c r="M51" s="22" t="str">
        <x:v>昼専用</x:v>
      </x:c>
      <x:c r="N51" s="22" t="n">
        <x:v>81</x:v>
      </x:c>
      <x:c r="O51" s="22" t="str">
        <x:v>維持</x:v>
      </x:c>
      <x:c r="P51" s="22" t="str">
        <x:v>七里ヶ浜海岸駐車場 → 長者ヶ崎駐車場 → 湘南国際村西公園 の順に、景観と滞在強度を変化させる。</x:v>
      </x:c>
      <x:c r="Q51" s="22"/>
      <x:c r="R51" s="23" t="n">
        <x:v>46232</x:v>
      </x:c>
      <x:c r="S51" s="22"/>
      <x:c r="T51" s="22"/>
      <x:c r="U51" s="22"/>
      <x:c r="V51" s="22"/>
      <x:c r="W51" s="22"/>
      <x:c r="X51" s="22"/>
      <x:c r="Y51" s="22" t="str">
        <x:v>東京港・水辺</x:v>
      </x:c>
      <x:c r="Z51" s="22"/>
    </x:row>
    <x:row r="52">
      <x:c r="A52" s="22" t="str">
        <x:v>R067</x:v>
      </x:c>
      <x:c r="B52" s="22" t="str">
        <x:v>成田B滑走路ナイト</x:v>
      </x:c>
      <x:c r="C52" s="22" t="str">
        <x:v>飛行機／誘導路／空港</x:v>
      </x:c>
      <x:c r="D52" s="22" t="str">
        <x:v>現在地</x:v>
      </x:c>
      <x:c r="E52" s="22" t="str">
        <x:v>十余三 東雲の丘</x:v>
      </x:c>
      <x:c r="F52" s="22"/>
      <x:c r="G52" s="22"/>
      <x:c r="H52" s="22" t="str">
        <x:v>成田空港 第1ターミナル展望デッキ</x:v>
      </x:c>
      <x:c r="I52" s="22" t="str">
        <x:v>260～340分</x:v>
      </x:c>
      <x:c r="J52" s="22" t="n">
        <x:v>5</x:v>
      </x:c>
      <x:c r="K52" s="22" t="str">
        <x:v>東雲の丘22時、空港展望デッキ21時のため実際は空港→東雲の順も候補。風向きで順序変更。</x:v>
      </x:c>
      <x:c r="L52" s="95" t="e">
        <x:f>HYPERLINK("https://www.google.com/maps/dir/?api=1&amp;destination=%E6%88%90%E7%94%B0%E7%A9%BA%E6%B8%AF%20%E7%AC%AC1%E3%82%BF%E3%83%BC%E3%83%9F%E3%83%8A%E3%83%AB%E5%B1%95%E6%9C%9B%E3%83%87%E3%83%83%E3%82%AD&amp;travelmode=driving&amp;waypoints=%E5%8D%81%E4%BD%99%E4%B8%89%20%E6%9D%B1%E9%9B%B2%E3%81%AE%E4%B8%98","現在地からルート開始")</x:f>
      </x:c>
      <x:c r="M52" s="22" t="str">
        <x:v>通常</x:v>
      </x:c>
      <x:c r="N52" s="22" t="n">
        <x:v>80</x:v>
      </x:c>
      <x:c r="O52" s="22" t="str">
        <x:v>維持</x:v>
      </x:c>
      <x:c r="P52" s="22" t="str">
        <x:v>十余三 東雲の丘 → 成田空港 第1ターミナル展望デッキ の順に、景観と滞在強度を変化させる。</x:v>
      </x:c>
      <x:c r="Q52" s="22"/>
      <x:c r="R52" s="23" t="n">
        <x:v>46232</x:v>
      </x:c>
      <x:c r="S52" s="22"/>
      <x:c r="T52" s="22"/>
      <x:c r="U52" s="22"/>
      <x:c r="V52" s="22"/>
      <x:c r="W52" s="22"/>
      <x:c r="X52" s="22"/>
      <x:c r="Y52" s="22" t="str">
        <x:v>羽田・航空</x:v>
      </x:c>
      <x:c r="Z52" s="22"/>
    </x:row>
    <x:row r="53">
      <x:c r="A53" s="22" t="str">
        <x:v>R068</x:v>
      </x:c>
      <x:c r="B53" s="22" t="str">
        <x:v>成田A滑走路Story</x:v>
      </x:c>
      <x:c r="C53" s="22" t="str">
        <x:v>桜／飛行機／空港</x:v>
      </x:c>
      <x:c r="D53" s="22" t="str">
        <x:v>現在地</x:v>
      </x:c>
      <x:c r="E53" s="22" t="str">
        <x:v>三里塚さくらの丘</x:v>
      </x:c>
      <x:c r="F53" s="22"/>
      <x:c r="G53" s="22"/>
      <x:c r="H53" s="22" t="str">
        <x:v>成田空港 第1ターミナル展望デッキ</x:v>
      </x:c>
      <x:c r="I53" s="22" t="str">
        <x:v>250～330分</x:v>
      </x:c>
      <x:c r="J53" s="22" t="n">
        <x:v>3</x:v>
      </x:c>
      <x:c r="K53" s="22" t="str">
        <x:v>三里塚は日中限定。夕方は直接空港へ向かう。</x:v>
      </x:c>
      <x:c r="L53" s="95" t="e">
        <x:f>HYPERLINK("https://www.google.com/maps/dir/?api=1&amp;destination=%E6%88%90%E7%94%B0%E7%A9%BA%E6%B8%AF%20%E7%AC%AC1%E3%82%BF%E3%83%BC%E3%83%9F%E3%83%8A%E3%83%AB%E5%B1%95%E6%9C%9B%E3%83%87%E3%83%83%E3%82%AD&amp;travelmode=driving&amp;waypoints=%E4%B8%89%E9%87%8C%E5%A1%9A%E3%81%95%E3%81%8F%E3%82%89%E3%81%AE%E4%B8%98","現在地からルート開始")</x:f>
      </x:c>
      <x:c r="M53" s="22" t="str">
        <x:v>通常</x:v>
      </x:c>
      <x:c r="N53" s="22" t="n">
        <x:v>80</x:v>
      </x:c>
      <x:c r="O53" s="22" t="str">
        <x:v>維持</x:v>
      </x:c>
      <x:c r="P53" s="22" t="str">
        <x:v>三里塚さくらの丘 → 成田空港 第1ターミナル展望デッキ の順に、景観と滞在強度を変化させる。</x:v>
      </x:c>
      <x:c r="Q53" s="22"/>
      <x:c r="R53" s="23" t="n">
        <x:v>46232</x:v>
      </x:c>
      <x:c r="S53" s="22"/>
      <x:c r="T53" s="22"/>
      <x:c r="U53" s="22"/>
      <x:c r="V53" s="22"/>
      <x:c r="W53" s="22"/>
      <x:c r="X53" s="22"/>
      <x:c r="Y53" s="22" t="str">
        <x:v>羽田・航空</x:v>
      </x:c>
      <x:c r="Z53" s="22"/>
    </x:row>
    <x:row r="54">
      <x:c r="A54" s="22" t="str">
        <x:v>R069</x:v>
      </x:c>
      <x:c r="B54" s="22" t="str">
        <x:v>印旛沼・城址サンセット</x:v>
      </x:c>
      <x:c r="C54" s="22" t="str">
        <x:v>城址／印旛沼／夕日</x:v>
      </x:c>
      <x:c r="D54" s="22" t="str">
        <x:v>現在地</x:v>
      </x:c>
      <x:c r="E54" s="22" t="str">
        <x:v>宿内公園</x:v>
      </x:c>
      <x:c r="F54" s="22" t="str">
        <x:v>印旛沼サンセットヒルズ</x:v>
      </x:c>
      <x:c r="G54" s="22"/>
      <x:c r="H54" s="22" t="str">
        <x:v>佐倉ふるさと広場</x:v>
      </x:c>
      <x:c r="I54" s="22" t="str">
        <x:v>230～310分</x:v>
      </x:c>
      <x:c r="J54" s="22" t="n">
        <x:v>2</x:v>
      </x:c>
      <x:c r="K54" s="22" t="str">
        <x:v>サンセットヒルズは施設利用者用駐車場のため、利用条件が合わなければ省略。</x:v>
      </x:c>
      <x:c r="L54" s="95" t="e">
        <x:f>HYPERLINK("https://www.google.com/maps/dir/?api=1&amp;destination=%E4%BD%90%E5%80%89%E3%81%B5%E3%82%8B%E3%81%95%E3%81%A8%E5%BA%83%E5%A0%B4&amp;travelmode=driving&amp;waypoints=%E5%AE%BF%E5%86%85%E5%85%AC%E5%9C%92%7C%E5%8D%B0%E6%97%9B%E6%B2%BC%E3%82%B5%E3%83%B3%E3%82%BB%E3%83%83%E3%83%88%E3%83%92%E3%83%AB%E3%82%BA","現在地からルート開始")</x:f>
      </x:c>
      <x:c r="M54" s="22" t="str">
        <x:v>昼専用</x:v>
      </x:c>
      <x:c r="N54" s="22" t="n">
        <x:v>78</x:v>
      </x:c>
      <x:c r="O54" s="22" t="str">
        <x:v>維持</x:v>
      </x:c>
      <x:c r="P54" s="22" t="str">
        <x:v>宿内公園 → 印旛沼サンセットヒルズ → 佐倉ふるさと広場 の順に、景観と滞在強度を変化させる。</x:v>
      </x:c>
      <x:c r="Q54" s="22"/>
      <x:c r="R54" s="23" t="n">
        <x:v>46232</x:v>
      </x:c>
      <x:c r="S54" s="22"/>
      <x:c r="T54" s="22"/>
      <x:c r="U54" s="22"/>
      <x:c r="V54" s="22"/>
      <x:c r="W54" s="22"/>
      <x:c r="X54" s="22"/>
      <x:c r="Y54" s="22" t="str">
        <x:v>都市公園・休憩</x:v>
      </x:c>
      <x:c r="Z54" s="22"/>
    </x:row>
    <x:row r="55">
      <x:c r="A55" s="22" t="str">
        <x:v>R070</x:v>
      </x:c>
      <x:c r="B55" s="22" t="str">
        <x:v>東東京24時間水辺線</x:v>
      </x:c>
      <x:c r="C55" s="22" t="str">
        <x:v>都市公園／水辺／夜間</x:v>
      </x:c>
      <x:c r="D55" s="22" t="str">
        <x:v>現在地</x:v>
      </x:c>
      <x:c r="E55" s="22" t="str">
        <x:v>東綾瀬公園</x:v>
      </x:c>
      <x:c r="F55" s="22" t="str">
        <x:v>水元公園</x:v>
      </x:c>
      <x:c r="G55" s="22"/>
      <x:c r="H55" s="22" t="str">
        <x:v>みさと公園</x:v>
      </x:c>
      <x:c r="I55" s="22" t="str">
        <x:v>170～230分</x:v>
      </x:c>
      <x:c r="J55" s="22" t="n">
        <x:v>4</x:v>
      </x:c>
      <x:c r="K55" s="22" t="str">
        <x:v>24時間駐車場中心。深夜は各公園15～25分の短時間滞在に限定。</x:v>
      </x:c>
      <x:c r="L55" s="95" t="e">
        <x:f>HYPERLINK("https://www.google.com/maps/dir/?api=1&amp;destination=%E3%81%BF%E3%81%95%E3%81%A8%E5%85%AC%E5%9C%92&amp;travelmode=driving&amp;waypoints=%E6%9D%B1%E7%B6%BE%E7%80%AC%E5%85%AC%E5%9C%92%7C%E6%B0%B4%E5%85%83%E5%85%AC%E5%9C%92","現在地からルート開始")</x:f>
      </x:c>
      <x:c r="M55" s="22" t="str">
        <x:v>通常</x:v>
      </x:c>
      <x:c r="N55" s="22" t="n">
        <x:v>85</x:v>
      </x:c>
      <x:c r="O55" s="22" t="str">
        <x:v>維持</x:v>
      </x:c>
      <x:c r="P55" s="22" t="str">
        <x:v>東綾瀬公園 → 水元公園 → みさと公園 の順に、景観と滞在強度を変化させる。</x:v>
      </x:c>
      <x:c r="Q55" s="22"/>
      <x:c r="R55" s="23" t="n">
        <x:v>46232</x:v>
      </x:c>
      <x:c r="S55" s="22"/>
      <x:c r="T55" s="22"/>
      <x:c r="U55" s="22"/>
      <x:c r="V55" s="22"/>
      <x:c r="W55" s="22"/>
      <x:c r="X55" s="22"/>
      <x:c r="Y55" s="22" t="str">
        <x:v>都市公園・休憩</x:v>
      </x:c>
      <x:c r="Z55" s="22"/>
    </x:row>
    <x:row r="56">
      <x:c r="A56" s="22" t="str">
        <x:v>R071</x:v>
      </x:c>
      <x:c r="B56" s="22" t="str">
        <x:v>丹沢・富士山高台Ending</x:v>
      </x:c>
      <x:c r="C56" s="22" t="str">
        <x:v>山／富士山／展望</x:v>
      </x:c>
      <x:c r="D56" s="22" t="str">
        <x:v>現在地</x:v>
      </x:c>
      <x:c r="E56" s="22" t="str">
        <x:v>県立秦野戸川公園</x:v>
      </x:c>
      <x:c r="F56" s="22" t="str">
        <x:v>菜の花台展望台</x:v>
      </x:c>
      <x:c r="G56" s="22"/>
      <x:c r="H56" s="22" t="str">
        <x:v>山北つぶらの公園</x:v>
      </x:c>
      <x:c r="I56" s="22" t="str">
        <x:v>260～340分</x:v>
      </x:c>
      <x:c r="J56" s="22" t="n">
        <x:v>1</x:v>
      </x:c>
      <x:c r="K56" s="22" t="str">
        <x:v>山北つぶら17時閉場。霧・凍結・強風時は中止し、秦野周辺で終了。</x:v>
      </x:c>
      <x:c r="L56" s="95" t="e">
        <x:f>HYPERLINK("https://www.google.com/maps/dir/?api=1&amp;destination=%E5%B1%B1%E5%8C%97%E3%81%A4%E3%81%B6%E3%82%89%E3%81%AE%E5%85%AC%E5%9C%92&amp;travelmode=driving&amp;waypoints=%E7%9C%8C%E7%AB%8B%E7%A7%A6%E9%87%8E%E6%88%B8%E5%B7%9D%E5%85%AC%E5%9C%92%7C%E8%8F%9C%E3%81%AE%E8%8A%B1%E5%8F%B0%E5%B1%95%E6%9C%9B%E5%8F%B0","現在地からルート開始")</x:f>
      </x:c>
      <x:c r="M56" s="22" t="str">
        <x:v>昼専用</x:v>
      </x:c>
      <x:c r="N56" s="22" t="n">
        <x:v>72</x:v>
      </x:c>
      <x:c r="O56" s="22" t="str">
        <x:v>維持</x:v>
      </x:c>
      <x:c r="P56" s="22" t="str">
        <x:v>県立秦野戸川公園 → 菜の花台展望台 → 山北つぶらの公園 の順に、景観と滞在強度を変化させる。</x:v>
      </x:c>
      <x:c r="Q56" s="22"/>
      <x:c r="R56" s="23" t="n">
        <x:v>46232</x:v>
      </x:c>
      <x:c r="S56" s="22"/>
      <x:c r="T56" s="22"/>
      <x:c r="U56" s="22"/>
      <x:c r="V56" s="22"/>
      <x:c r="W56" s="22"/>
      <x:c r="X56" s="22"/>
      <x:c r="Y56" s="22" t="str">
        <x:v>都市公園・休憩</x:v>
      </x:c>
      <x:c r="Z56" s="22"/>
    </x:row>
    <x:row r="57">
      <x:c r="A57" s="22" t="str">
        <x:v>R072</x:v>
      </x:c>
      <x:c r="B57" s="22" t="str">
        <x:v>東京東部から成田空港へ</x:v>
      </x:c>
      <x:c r="C57" s="22" t="str">
        <x:v>夜間公園／道の駅／飛行機</x:v>
      </x:c>
      <x:c r="D57" s="22" t="str">
        <x:v>現在地</x:v>
      </x:c>
      <x:c r="E57" s="22" t="str">
        <x:v>東綾瀬公園</x:v>
      </x:c>
      <x:c r="F57" s="22" t="str">
        <x:v>道の駅 いちかわ</x:v>
      </x:c>
      <x:c r="G57" s="22"/>
      <x:c r="H57" s="22" t="str">
        <x:v>成田空港 第1ターミナル展望デッキ</x:v>
      </x:c>
      <x:c r="I57" s="22" t="str">
        <x:v>240～320分</x:v>
      </x:c>
      <x:c r="J57" s="22" t="n">
        <x:v>4</x:v>
      </x:c>
      <x:c r="K57" s="22" t="str">
        <x:v>空港展望デッキ21時閉鎖。遅い時間は最終地点を十余三東雲の丘へ差し替える。</x:v>
      </x:c>
      <x:c r="L57" s="95" t="e">
        <x:f>HYPERLINK("https://www.google.com/maps/dir/?api=1&amp;destination=%E6%88%90%E7%94%B0%E7%A9%BA%E6%B8%AF%20%E7%AC%AC1%E3%82%BF%E3%83%BC%E3%83%9F%E3%83%8A%E3%83%AB%E5%B1%95%E6%9C%9B%E3%83%87%E3%83%83%E3%82%AD&amp;travelmode=driving&amp;waypoints=%E6%9D%B1%E7%B6%BE%E7%80%AC%E5%85%AC%E5%9C%92%7C%E9%81%93%E3%81%AE%E9%A7%85%20%E3%81%84%E3%81%A1%E3%81%8B%E3%82%8F","現在地からルート開始")</x:f>
      </x:c>
      <x:c r="M57" s="22" t="str">
        <x:v>通常</x:v>
      </x:c>
      <x:c r="N57" s="22" t="n">
        <x:v>82</x:v>
      </x:c>
      <x:c r="O57" s="22" t="str">
        <x:v>維持</x:v>
      </x:c>
      <x:c r="P57" s="22" t="str">
        <x:v>東綾瀬公園 → 道の駅 いちかわ → 成田空港 第1ターミナル展望デッキ の順に、景観と滞在強度を変化させる。</x:v>
      </x:c>
      <x:c r="Q57" s="22"/>
      <x:c r="R57" s="23" t="n">
        <x:v>46232</x:v>
      </x:c>
      <x:c r="S57" s="22"/>
      <x:c r="T57" s="22"/>
      <x:c r="U57" s="22"/>
      <x:c r="V57" s="22"/>
      <x:c r="W57" s="22"/>
      <x:c r="X57" s="22"/>
      <x:c r="Y57" s="22" t="str">
        <x:v>羽田・航空</x:v>
      </x:c>
      <x:c r="Z57" s="22"/>
    </x:row>
    <x:row r="58">
      <x:c r="A58" s="22" t="str">
        <x:v>R074</x:v>
      </x:c>
      <x:c r="B58" s="22" t="str">
        <x:v>東京オリンピック建築線</x:v>
      </x:c>
      <x:c r="C58" s="22" t="str">
        <x:v>建築／都市史／夜間</x:v>
      </x:c>
      <x:c r="D58" s="22" t="str">
        <x:v>現在地</x:v>
      </x:c>
      <x:c r="E58" s="22" t="str">
        <x:v>駒沢オリンピック公園</x:v>
      </x:c>
      <x:c r="F58" s="22" t="str">
        <x:v>代々木公園</x:v>
      </x:c>
      <x:c r="G58" s="22"/>
      <x:c r="H58" s="22" t="str">
        <x:v>神宮外苑</x:v>
      </x:c>
      <x:c r="I58" s="22" t="str">
        <x:v>120～180分</x:v>
      </x:c>
      <x:c r="J58" s="22" t="n">
        <x:v>4</x:v>
      </x:c>
      <x:c r="K58" s="22" t="str">
        <x:v>イベント・交通規制時は代々木公園を省略。</x:v>
      </x:c>
      <x:c r="L58" s="95" t="e">
        <x:f>HYPERLINK("https://www.google.com/maps/dir/?api=1&amp;destination=%E7%A5%9E%E5%AE%AE%E5%A4%96%E8%8B%91&amp;travelmode=driving&amp;waypoints=%E9%A7%92%E6%B2%A2%E3%82%AA%E3%83%AA%E3%83%B3%E3%83%94%E3%83%83%E3%82%AF%E5%85%AC%E5%9C%92%7C%E4%BB%A3%E3%80%85%E6%9C%A8%E5%85%AC%E5%9C%92","現在地からルート開始")</x:f>
      </x:c>
      <x:c r="M58" s="22" t="str">
        <x:v>通常</x:v>
      </x:c>
      <x:c r="N58" s="22" t="n">
        <x:v>70</x:v>
      </x:c>
      <x:c r="O58" s="22" t="str">
        <x:v>維持</x:v>
      </x:c>
      <x:c r="P58" s="22" t="str">
        <x:v>駒沢オリンピック公園 → 代々木公園 → 神宮外苑 の順に、景観と滞在強度を変化させる。</x:v>
      </x:c>
      <x:c r="Q58" s="22"/>
      <x:c r="R58" s="23" t="n">
        <x:v>46232</x:v>
      </x:c>
      <x:c r="S58" s="22"/>
      <x:c r="T58" s="22"/>
      <x:c r="U58" s="22"/>
      <x:c r="V58" s="22"/>
      <x:c r="W58" s="22"/>
      <x:c r="X58" s="22"/>
      <x:c r="Y58" s="22" t="str">
        <x:v>Story・文化</x:v>
      </x:c>
      <x:c r="Z58" s="22"/>
    </x:row>
    <x:row r="59">
      <x:c r="A59" s="22" t="str">
        <x:v>R075</x:v>
      </x:c>
      <x:c r="B59" s="22" t="str">
        <x:v>川崎港・西端Ending</x:v>
      </x:c>
      <x:c r="C59" s="22" t="str">
        <x:v>工業港／船／行き止まり</x:v>
      </x:c>
      <x:c r="D59" s="22" t="str">
        <x:v>現在地</x:v>
      </x:c>
      <x:c r="E59" s="22" t="str">
        <x:v>ちどり公園</x:v>
      </x:c>
      <x:c r="F59" s="22" t="str">
        <x:v>東扇島東公園</x:v>
      </x:c>
      <x:c r="G59" s="22"/>
      <x:c r="H59" s="22" t="str">
        <x:v>東扇島西公園</x:v>
      </x:c>
      <x:c r="I59" s="22" t="str">
        <x:v>120～180分</x:v>
      </x:c>
      <x:c r="J59" s="22" t="n">
        <x:v>5</x:v>
      </x:c>
      <x:c r="K59" s="22" t="str">
        <x:v>東公園20:30以降入庫不可。西公園は強風時短縮。</x:v>
      </x:c>
      <x:c r="L59" s="95" t="e">
        <x:f>HYPERLINK("https://www.google.com/maps/dir/?api=1&amp;destination=%E6%9D%B1%E6%89%87%E5%B3%B6%E8%A5%BF%E5%85%AC%E5%9C%92&amp;travelmode=driving&amp;waypoints=%E3%81%A1%E3%81%A9%E3%82%8A%E5%85%AC%E5%9C%92%7C%E6%9D%B1%E6%89%87%E5%B3%B6%E6%9D%B1%E5%85%AC%E5%9C%92","現在地からルート開始")</x:f>
      </x:c>
      <x:c r="M59" s="22" t="str">
        <x:v>通常</x:v>
      </x:c>
      <x:c r="N59" s="22" t="n">
        <x:v>67</x:v>
      </x:c>
      <x:c r="O59" s="22" t="str">
        <x:v>維持</x:v>
      </x:c>
      <x:c r="P59" s="22" t="str">
        <x:v>ちどり公園 → 東扇島東公園 → 東扇島西公園 の順に、景観と滞在強度を変化させる。</x:v>
      </x:c>
      <x:c r="Q59" s="22"/>
      <x:c r="R59" s="23" t="n">
        <x:v>46232</x:v>
      </x:c>
      <x:c r="S59" s="22"/>
      <x:c r="T59" s="22"/>
      <x:c r="U59" s="22"/>
      <x:c r="V59" s="22"/>
      <x:c r="W59" s="22"/>
      <x:c r="X59" s="22"/>
      <x:c r="Y59" s="22" t="str">
        <x:v>川崎・工場夜景</x:v>
      </x:c>
      <x:c r="Z59" s="22"/>
    </x:row>
    <x:row r="60">
      <x:c r="A60" s="22" t="str">
        <x:v>R076</x:v>
      </x:c>
      <x:c r="B60" s="22" t="str">
        <x:v>富津岬・巨大観音</x:v>
      </x:c>
      <x:c r="C60" s="22" t="str">
        <x:v>岬／展望塔／巨大仏</x:v>
      </x:c>
      <x:c r="D60" s="22" t="str">
        <x:v>現在地</x:v>
      </x:c>
      <x:c r="E60" s="22" t="str">
        <x:v>富津公園 明治百年記念展望塔</x:v>
      </x:c>
      <x:c r="F60" s="22"/>
      <x:c r="G60" s="22"/>
      <x:c r="H60" s="22" t="str">
        <x:v>東京湾観音</x:v>
      </x:c>
      <x:c r="I60" s="22" t="str">
        <x:v>220～300分</x:v>
      </x:c>
      <x:c r="J60" s="22" t="n">
        <x:v>3</x:v>
      </x:c>
      <x:c r="K60" s="22" t="str">
        <x:v>東京湾観音16時受付終了。昼開始専用。</x:v>
      </x:c>
      <x:c r="L60" s="95" t="e">
        <x:f>HYPERLINK("https://www.google.com/maps/dir/?api=1&amp;destination=%E6%9D%B1%E4%BA%AC%E6%B9%BE%E8%A6%B3%E9%9F%B3&amp;travelmode=driving&amp;waypoints=%E5%AF%8C%E6%B4%A5%E5%85%AC%E5%9C%92%20%E6%98%8E%E6%B2%BB%E7%99%BE%E5%B9%B4%E8%A8%98%E5%BF%B5%E5%B1%95%E6%9C%9B%E5%A1%94","現在地からルート開始")</x:f>
      </x:c>
      <x:c r="M60" s="22" t="str">
        <x:v>通常</x:v>
      </x:c>
      <x:c r="N60" s="22" t="n">
        <x:v>82</x:v>
      </x:c>
      <x:c r="O60" s="22" t="str">
        <x:v>維持</x:v>
      </x:c>
      <x:c r="P60" s="22" t="str">
        <x:v>富津公園 明治百年記念展望塔 → 東京湾観音 の順に、景観と滞在強度を変化させる。</x:v>
      </x:c>
      <x:c r="Q60" s="22"/>
      <x:c r="R60" s="23" t="n">
        <x:v>46232</x:v>
      </x:c>
      <x:c r="S60" s="22"/>
      <x:c r="T60" s="22"/>
      <x:c r="U60" s="22"/>
      <x:c r="V60" s="22"/>
      <x:c r="W60" s="22"/>
      <x:c r="X60" s="22"/>
      <x:c r="Y60" s="22" t="str">
        <x:v>都市公園・休憩</x:v>
      </x:c>
      <x:c r="Z60" s="22"/>
    </x:row>
    <x:row r="61">
      <x:c r="A61" s="22" t="str">
        <x:v>R077</x:v>
      </x:c>
      <x:c r="B61" s="22" t="str">
        <x:v>富津・静かな海岸Ending</x:v>
      </x:c>
      <x:c r="C61" s="22" t="str">
        <x:v>岬／砂州／海岸</x:v>
      </x:c>
      <x:c r="D61" s="22" t="str">
        <x:v>現在地</x:v>
      </x:c>
      <x:c r="E61" s="22" t="str">
        <x:v>富津公園 明治百年記念展望塔</x:v>
      </x:c>
      <x:c r="F61" s="22" t="str">
        <x:v>東京湾観音</x:v>
      </x:c>
      <x:c r="G61" s="22"/>
      <x:c r="H61" s="22" t="str">
        <x:v>大貫中央海岸</x:v>
      </x:c>
      <x:c r="I61" s="22" t="str">
        <x:v>250～330分</x:v>
      </x:c>
      <x:c r="J61" s="22" t="n">
        <x:v>2</x:v>
      </x:c>
      <x:c r="K61" s="22" t="str">
        <x:v>観音の営業時間を先に処理し、最後を海岸夕景にする。</x:v>
      </x:c>
      <x:c r="L61" s="95" t="e">
        <x:f>HYPERLINK("https://www.google.com/maps/dir/?api=1&amp;destination=%E5%A4%A7%E8%B2%AB%E4%B8%AD%E5%A4%AE%E6%B5%B7%E5%B2%B8&amp;travelmode=driving&amp;waypoints=%E5%AF%8C%E6%B4%A5%E5%85%AC%E5%9C%92%20%E6%98%8E%E6%B2%BB%E7%99%BE%E5%B9%B4%E8%A8%98%E5%BF%B5%E5%B1%95%E6%9C%9B%E5%A1%94%7C%E6%9D%B1%E4%BA%AC%E6%B9%BE%E8%A6%B3%E9%9F%B3","現在地からルート開始")</x:f>
      </x:c>
      <x:c r="M61" s="22" t="str">
        <x:v>昼専用</x:v>
      </x:c>
      <x:c r="N61" s="22" t="n">
        <x:v>81</x:v>
      </x:c>
      <x:c r="O61" s="22" t="str">
        <x:v>維持</x:v>
      </x:c>
      <x:c r="P61" s="22" t="str">
        <x:v>富津公園 明治百年記念展望塔 → 東京湾観音 → 大貫中央海岸 の順に、景観と滞在強度を変化させる。</x:v>
      </x:c>
      <x:c r="Q61" s="22"/>
      <x:c r="R61" s="23" t="n">
        <x:v>46232</x:v>
      </x:c>
      <x:c r="S61" s="22"/>
      <x:c r="T61" s="22"/>
      <x:c r="U61" s="22"/>
      <x:c r="V61" s="22"/>
      <x:c r="W61" s="22"/>
      <x:c r="X61" s="22"/>
      <x:c r="Y61" s="22" t="str">
        <x:v>東京港・水辺</x:v>
      </x:c>
      <x:c r="Z61" s="22"/>
    </x:row>
    <x:row r="62">
      <x:c r="A62" s="22" t="str">
        <x:v>R078</x:v>
      </x:c>
      <x:c r="B62" s="22" t="str">
        <x:v>横須賀鉄道と海</x:v>
      </x:c>
      <x:c r="C62" s="22" t="str">
        <x:v>鉄道／港／海岸</x:v>
      </x:c>
      <x:c r="D62" s="22" t="str">
        <x:v>現在地</x:v>
      </x:c>
      <x:c r="E62" s="22" t="str">
        <x:v>久里浜1丁目第2公園</x:v>
      </x:c>
      <x:c r="F62" s="22" t="str">
        <x:v>ペリー公園</x:v>
      </x:c>
      <x:c r="G62" s="22"/>
      <x:c r="H62" s="22" t="str">
        <x:v>うみかぜ公園</x:v>
      </x:c>
      <x:c r="I62" s="22" t="str">
        <x:v>190～250分</x:v>
      </x:c>
      <x:c r="J62" s="22" t="n">
        <x:v>4</x:v>
      </x:c>
      <x:c r="K62" s="22" t="str">
        <x:v>久里浜公園16時閉鎖。以後はペリー公園から開始。</x:v>
      </x:c>
      <x:c r="L62" s="95" t="e">
        <x:f>HYPERLINK("https://www.google.com/maps/dir/?api=1&amp;destination=%E3%81%86%E3%81%BF%E3%81%8B%E3%81%9C%E5%85%AC%E5%9C%92&amp;travelmode=driving&amp;waypoints=%E4%B9%85%E9%87%8C%E6%B5%9C1%E4%B8%81%E7%9B%AE%E7%AC%AC2%E5%85%AC%E5%9C%92%7C%E3%83%9A%E3%83%AA%E3%83%BC%E5%85%AC%E5%9C%92","現在地からルート開始")</x:f>
      </x:c>
      <x:c r="M62" s="22" t="str">
        <x:v>通常</x:v>
      </x:c>
      <x:c r="N62" s="22" t="n">
        <x:v>53</x:v>
      </x:c>
      <x:c r="O62" s="22" t="str">
        <x:v>維持</x:v>
      </x:c>
      <x:c r="P62" s="22" t="str">
        <x:v>久里浜1丁目第2公園 → ペリー公園 → うみかぜ公園 の順に、景観と滞在強度を変化させる。</x:v>
      </x:c>
      <x:c r="Q62" s="22"/>
      <x:c r="R62" s="23" t="n">
        <x:v>46232</x:v>
      </x:c>
      <x:c r="S62" s="22"/>
      <x:c r="T62" s="22"/>
      <x:c r="U62" s="22"/>
      <x:c r="V62" s="22"/>
      <x:c r="W62" s="22"/>
      <x:c r="X62" s="22"/>
      <x:c r="Y62" s="22" t="str">
        <x:v>東京港・水辺</x:v>
      </x:c>
      <x:c r="Z62" s="22"/>
    </x:row>
    <x:row r="63">
      <x:c r="A63" s="22" t="str">
        <x:v>R079</x:v>
      </x:c>
      <x:c r="B63" s="22" t="str">
        <x:v>多摩丘陵・里山と夕景</x:v>
      </x:c>
      <x:c r="C63" s="22" t="str">
        <x:v>里山／谷戸／高台</x:v>
      </x:c>
      <x:c r="D63" s="22" t="str">
        <x:v>現在地</x:v>
      </x:c>
      <x:c r="E63" s="22" t="str">
        <x:v>王禅寺ふるさと公園</x:v>
      </x:c>
      <x:c r="F63" s="22" t="str">
        <x:v>北八朔公園</x:v>
      </x:c>
      <x:c r="G63" s="22"/>
      <x:c r="H63" s="22" t="str">
        <x:v>桜ヶ丘公園 ゆうひの丘</x:v>
      </x:c>
      <x:c r="I63" s="22" t="str">
        <x:v>190～260分</x:v>
      </x:c>
      <x:c r="J63" s="22" t="n">
        <x:v>3</x:v>
      </x:c>
      <x:c r="K63" s="22" t="str">
        <x:v>王禅寺の季節別出庫時間を確認。</x:v>
      </x:c>
      <x:c r="L63" s="95" t="e">
        <x:f>HYPERLINK("https://www.google.com/maps/dir/?api=1&amp;destination=%E6%A1%9C%E3%83%B6%E4%B8%98%E5%85%AC%E5%9C%92%20%E3%82%86%E3%81%86%E3%81%B2%E3%81%AE%E4%B8%98&amp;travelmode=driving&amp;waypoints=%E7%8E%8B%E7%A6%85%E5%AF%BA%E3%81%B5%E3%82%8B%E3%81%95%E3%81%A8%E5%85%AC%E5%9C%92%7C%E5%8C%97%E5%85%AB%E6%9C%94%E5%85%AC%E5%9C%92","現在地からルート開始")</x:f>
      </x:c>
      <x:c r="M63" s="22" t="str">
        <x:v>通常</x:v>
      </x:c>
      <x:c r="N63" s="22" t="n">
        <x:v>82</x:v>
      </x:c>
      <x:c r="O63" s="22" t="str">
        <x:v>維持</x:v>
      </x:c>
      <x:c r="P63" s="22" t="str">
        <x:v>王禅寺ふるさと公園 → 北八朔公園 → 桜ヶ丘公園 ゆうひの丘 の順に、景観と滞在強度を変化させる。</x:v>
      </x:c>
      <x:c r="Q63" s="22"/>
      <x:c r="R63" s="23" t="n">
        <x:v>46232</x:v>
      </x:c>
      <x:c r="S63" s="22"/>
      <x:c r="T63" s="22"/>
      <x:c r="U63" s="22"/>
      <x:c r="V63" s="22"/>
      <x:c r="W63" s="22"/>
      <x:c r="X63" s="22"/>
      <x:c r="Y63" s="22" t="str">
        <x:v>森林・高台</x:v>
      </x:c>
      <x:c r="Z63" s="22"/>
    </x:row>
    <x:row r="64">
      <x:c r="A64" s="22" t="str">
        <x:v>R081</x:v>
      </x:c>
      <x:c r="B64" s="22" t="str">
        <x:v>千葉文化公園ナイト</x:v>
      </x:c>
      <x:c r="C64" s="22" t="str">
        <x:v>文化施設／大規模公園／港</x:v>
      </x:c>
      <x:c r="D64" s="22" t="str">
        <x:v>現在地</x:v>
      </x:c>
      <x:c r="E64" s="22" t="str">
        <x:v>青葉の森公園</x:v>
      </x:c>
      <x:c r="F64" s="22" t="str">
        <x:v>千葉公園</x:v>
      </x:c>
      <x:c r="G64" s="22"/>
      <x:c r="H64" s="22" t="str">
        <x:v>千葉ポートタワー</x:v>
      </x:c>
      <x:c r="I64" s="22" t="str">
        <x:v>210～280分</x:v>
      </x:c>
      <x:c r="J64" s="22" t="n">
        <x:v>4</x:v>
      </x:c>
      <x:c r="K64" s="22" t="str">
        <x:v>ポートタワー21時前後の閉館確認。</x:v>
      </x:c>
      <x:c r="L64" s="95" t="e">
        <x:f>HYPERLINK("https://www.google.com/maps/dir/?api=1&amp;destination=%E5%8D%83%E8%91%89%E3%83%9D%E3%83%BC%E3%83%88%E3%82%BF%E3%83%AF%E3%83%BC&amp;travelmode=driving&amp;waypoints=%E9%9D%92%E8%91%89%E3%81%AE%E6%A3%AE%E5%85%AC%E5%9C%92%7C%E5%8D%83%E8%91%89%E5%85%AC%E5%9C%92","現在地からルート開始")</x:f>
      </x:c>
      <x:c r="M64" s="22" t="str">
        <x:v>通常</x:v>
      </x:c>
      <x:c r="N64" s="22" t="n">
        <x:v>84</x:v>
      </x:c>
      <x:c r="O64" s="22" t="str">
        <x:v>維持</x:v>
      </x:c>
      <x:c r="P64" s="22" t="str">
        <x:v>青葉の森公園 → 千葉公園 → 千葉ポートタワー の順に、景観と滞在強度を変化させる。</x:v>
      </x:c>
      <x:c r="Q64" s="22"/>
      <x:c r="R64" s="23" t="n">
        <x:v>46232</x:v>
      </x:c>
      <x:c r="S64" s="22"/>
      <x:c r="T64" s="22"/>
      <x:c r="U64" s="22"/>
      <x:c r="V64" s="22"/>
      <x:c r="W64" s="22"/>
      <x:c r="X64" s="22"/>
      <x:c r="Y64" s="22" t="str">
        <x:v>東京港・水辺</x:v>
      </x:c>
      <x:c r="Z64" s="22"/>
    </x:row>
    <x:row r="65">
      <x:c r="A65" s="22" t="str">
        <x:v>R082</x:v>
      </x:c>
      <x:c r="B65" s="22" t="str">
        <x:v>行田・古代史ライン</x:v>
      </x:c>
      <x:c r="C65" s="22" t="str">
        <x:v>古墳／古代蓮／展望</x:v>
      </x:c>
      <x:c r="D65" s="22" t="str">
        <x:v>現在地</x:v>
      </x:c>
      <x:c r="E65" s="22" t="str">
        <x:v>さきたま古墳公園</x:v>
      </x:c>
      <x:c r="F65" s="22"/>
      <x:c r="G65" s="22"/>
      <x:c r="H65" s="22" t="str">
        <x:v>古代蓮の里・行田タワー</x:v>
      </x:c>
      <x:c r="I65" s="22" t="str">
        <x:v>250～330分</x:v>
      </x:c>
      <x:c r="J65" s="22" t="n">
        <x:v>2</x:v>
      </x:c>
      <x:c r="K65" s="22" t="str">
        <x:v>蓮期は早朝推奨。夜間より昼向け。</x:v>
      </x:c>
      <x:c r="L65" s="95" t="e">
        <x:f>HYPERLINK("https://www.google.com/maps/dir/?api=1&amp;destination=%E5%8F%A4%E4%BB%A3%E8%93%AE%E3%81%AE%E9%87%8C%E3%83%BB%E8%A1%8C%E7%94%B0%E3%82%BF%E3%83%AF%E3%83%BC&amp;travelmode=driving&amp;waypoints=%E3%81%95%E3%81%8D%E3%81%9F%E3%81%BE%E5%8F%A4%E5%A2%B3%E5%85%AC%E5%9C%92","現在地からルート開始")</x:f>
      </x:c>
      <x:c r="M65" s="22" t="str">
        <x:v>昼専用</x:v>
      </x:c>
      <x:c r="N65" s="22" t="n">
        <x:v>85</x:v>
      </x:c>
      <x:c r="O65" s="22" t="str">
        <x:v>維持</x:v>
      </x:c>
      <x:c r="P65" s="22" t="str">
        <x:v>さきたま古墳公園 → 古代蓮の里・行田タワー の順に、景観と滞在強度を変化させる。</x:v>
      </x:c>
      <x:c r="Q65" s="22"/>
      <x:c r="R65" s="23" t="n">
        <x:v>46232</x:v>
      </x:c>
      <x:c r="S65" s="22"/>
      <x:c r="T65" s="22"/>
      <x:c r="U65" s="22"/>
      <x:c r="V65" s="22"/>
      <x:c r="W65" s="22"/>
      <x:c r="X65" s="22"/>
      <x:c r="Y65" s="22" t="str">
        <x:v>都市公園・休憩</x:v>
      </x:c>
      <x:c r="Z65" s="22"/>
    </x:row>
    <x:row r="66">
      <x:c r="A66" s="22" t="str">
        <x:v>R083</x:v>
      </x:c>
      <x:c r="B66" s="22" t="str">
        <x:v>川崎都市史ショート</x:v>
      </x:c>
      <x:c r="C66" s="22" t="str">
        <x:v>市役所展望／河川／公園</x:v>
      </x:c>
      <x:c r="D66" s="22" t="str">
        <x:v>現在地</x:v>
      </x:c>
      <x:c r="E66" s="22" t="str">
        <x:v>川崎市役所 展望ロビー・スカイデッキ</x:v>
      </x:c>
      <x:c r="F66" s="22" t="str">
        <x:v>稲田公園</x:v>
      </x:c>
      <x:c r="G66" s="22"/>
      <x:c r="H66" s="22" t="str">
        <x:v>王禅寺ふるさと公園</x:v>
      </x:c>
      <x:c r="I66" s="22" t="str">
        <x:v>150～210分</x:v>
      </x:c>
      <x:c r="J66" s="22" t="n">
        <x:v>3</x:v>
      </x:c>
      <x:c r="K66" s="22" t="str">
        <x:v>王禅寺の閉場時刻に間に合わない場合は稲田公園で終了。</x:v>
      </x:c>
      <x:c r="L66" s="95" t="e">
        <x:f>HYPERLINK("https://www.google.com/maps/dir/?api=1&amp;destination=%E7%8E%8B%E7%A6%85%E5%AF%BA%E3%81%B5%E3%82%8B%E3%81%95%E3%81%A8%E5%85%AC%E5%9C%92&amp;travelmode=driving&amp;waypoints=%E5%B7%9D%E5%B4%8E%E5%B8%82%E5%BD%B9%E6%89%80%20%E5%B1%95%E6%9C%9B%E3%83%AD%E3%83%93%E3%83%BC%E3%83%BB%E3%82%B9%E3%82%AB%E3%82%A4%E3%83%87%E3%83%83%E3%82%AD%7C%E7%A8%B2%E7%94%B0%E5%85%AC%E5%9C%92","現在地からルート開始")</x:f>
      </x:c>
      <x:c r="M66" s="22" t="str">
        <x:v>通常</x:v>
      </x:c>
      <x:c r="N66" s="22" t="n">
        <x:v>80</x:v>
      </x:c>
      <x:c r="O66" s="22" t="str">
        <x:v>維持</x:v>
      </x:c>
      <x:c r="P66" s="22" t="str">
        <x:v>川崎市役所 展望ロビー・スカイデッキ → 稲田公園 → 王禅寺ふるさと公園 の順に、景観と滞在強度を変化させる。</x:v>
      </x:c>
      <x:c r="Q66" s="22"/>
      <x:c r="R66" s="23" t="n">
        <x:v>46232</x:v>
      </x:c>
      <x:c r="S66" s="22"/>
      <x:c r="T66" s="22"/>
      <x:c r="U66" s="22"/>
      <x:c r="V66" s="22"/>
      <x:c r="W66" s="22"/>
      <x:c r="X66" s="22"/>
      <x:c r="Y66" s="22" t="str">
        <x:v>河川・多摩川</x:v>
      </x:c>
      <x:c r="Z66" s="22"/>
    </x:row>
    <x:row r="67">
      <x:c r="A67" s="22" t="str">
        <x:v>R084</x:v>
      </x:c>
      <x:c r="B67" s="22" t="str">
        <x:v>特別枠・秩父夜景</x:v>
      </x:c>
      <x:c r="C67" s="22" t="str">
        <x:v>山頂／夜景／雲海</x:v>
      </x:c>
      <x:c r="D67" s="22" t="str">
        <x:v>現在地</x:v>
      </x:c>
      <x:c r="E67" s="22" t="str">
        <x:v>さきたま古墳公園</x:v>
      </x:c>
      <x:c r="F67" s="22"/>
      <x:c r="G67" s="22"/>
      <x:c r="H67" s="22" t="str">
        <x:v>美の山公園</x:v>
      </x:c>
      <x:c r="I67" s="22" t="str">
        <x:v>280～380分</x:v>
      </x:c>
      <x:c r="J67" s="22" t="n">
        <x:v>5</x:v>
      </x:c>
      <x:c r="K67" s="22" t="str">
        <x:v>概ね70km圏外寄りの特別枠。凍結・霧・野生動物・無照明に注意。</x:v>
      </x:c>
      <x:c r="L67" s="95" t="e">
        <x:f>HYPERLINK("https://www.google.com/maps/dir/?api=1&amp;destination=%E7%BE%8E%E3%81%AE%E5%B1%B1%E5%85%AC%E5%9C%92&amp;travelmode=driving&amp;waypoints=%E3%81%95%E3%81%8D%E3%81%9F%E3%81%BE%E5%8F%A4%E5%A2%B3%E5%85%AC%E5%9C%92","現在地からルート開始")</x:f>
      </x:c>
      <x:c r="M67" s="22" t="str">
        <x:v>通常</x:v>
      </x:c>
      <x:c r="N67" s="22" t="n">
        <x:v>85</x:v>
      </x:c>
      <x:c r="O67" s="22" t="str">
        <x:v>維持</x:v>
      </x:c>
      <x:c r="P67" s="22" t="str">
        <x:v>さきたま古墳公園 → 美の山公園 の順に、景観と滞在強度を変化させる。</x:v>
      </x:c>
      <x:c r="Q67" s="22"/>
      <x:c r="R67" s="23" t="n">
        <x:v>46232</x:v>
      </x:c>
      <x:c r="S67" s="22"/>
      <x:c r="T67" s="22"/>
      <x:c r="U67" s="22"/>
      <x:c r="V67" s="22"/>
      <x:c r="W67" s="22"/>
      <x:c r="X67" s="22"/>
      <x:c r="Y67" s="22" t="str">
        <x:v>東京港・水辺</x:v>
      </x:c>
      <x:c r="Z67" s="22"/>
    </x:row>
    <x:row r="68">
      <x:c r="A68" s="22" t="str">
        <x:v>R085</x:v>
      </x:c>
      <x:c r="B68" s="22" t="str">
        <x:v>金沢・海と明治史</x:v>
      </x:c>
      <x:c r="C68" s="22" t="str">
        <x:v>海／高台／旧別邸</x:v>
      </x:c>
      <x:c r="D68" s="22" t="str">
        <x:v>現在地</x:v>
      </x:c>
      <x:c r="E68" s="22" t="str">
        <x:v>海の公園</x:v>
      </x:c>
      <x:c r="F68" s="22" t="str">
        <x:v>野島公園</x:v>
      </x:c>
      <x:c r="G68" s="22"/>
      <x:c r="H68" s="22" t="str">
        <x:v>横浜・八景島シーパラダイス</x:v>
      </x:c>
      <x:c r="I68" s="22" t="str">
        <x:v>160～220分</x:v>
      </x:c>
      <x:c r="J68" s="22" t="n">
        <x:v>3</x:v>
      </x:c>
      <x:c r="K68" s="22" t="str">
        <x:v>海の公園の混雑時は野島へ直行。野島第1駐車場23時閉場。</x:v>
      </x:c>
      <x:c r="L68" s="95" t="e">
        <x:f>HYPERLINK("https://www.google.com/maps/dir/?api=1&amp;destination=%E6%A8%AA%E6%B5%9C%E3%83%BB%E5%85%AB%E6%99%AF%E5%B3%B6%E3%82%B7%E3%83%BC%E3%83%91%E3%83%A9%E3%83%80%E3%82%A4%E3%82%B9&amp;travelmode=driving&amp;waypoints=%E6%B5%B7%E3%81%AE%E5%85%AC%E5%9C%92%7C%E9%87%8E%E5%B3%B6%E5%85%AC%E5%9C%92","現在地からルート開始")</x:f>
      </x:c>
      <x:c r="M68" s="22" t="str">
        <x:v>通常</x:v>
      </x:c>
      <x:c r="N68" s="22" t="n">
        <x:v>81</x:v>
      </x:c>
      <x:c r="O68" s="22" t="str">
        <x:v>維持</x:v>
      </x:c>
      <x:c r="P68" s="22" t="str">
        <x:v>海の公園 → 野島公園 → 横浜・八景島シーパラダイス の順に、景観と滞在強度を変化させる。</x:v>
      </x:c>
      <x:c r="Q68" s="22"/>
      <x:c r="R68" s="23" t="n">
        <x:v>46232</x:v>
      </x:c>
      <x:c r="S68" s="22"/>
      <x:c r="T68" s="22"/>
      <x:c r="U68" s="22"/>
      <x:c r="V68" s="22"/>
      <x:c r="W68" s="22"/>
      <x:c r="X68" s="22"/>
      <x:c r="Y68" s="22" t="str">
        <x:v>東京港・水辺</x:v>
      </x:c>
      <x:c r="Z68" s="22"/>
    </x:row>
    <x:row r="69">
      <x:c r="A69" s="22" t="str">
        <x:v>R086</x:v>
      </x:c>
      <x:c r="B69" s="22" t="str">
        <x:v>三浦西岸サンセット</x:v>
      </x:c>
      <x:c r="C69" s="22" t="str">
        <x:v>岩礁／海岸／夕日</x:v>
      </x:c>
      <x:c r="D69" s="22" t="str">
        <x:v>現在地</x:v>
      </x:c>
      <x:c r="E69" s="22" t="str">
        <x:v>荒崎公園</x:v>
      </x:c>
      <x:c r="F69" s="22" t="str">
        <x:v>長者ヶ崎駐車場</x:v>
      </x:c>
      <x:c r="G69" s="22"/>
      <x:c r="H69" s="22" t="str">
        <x:v>葉山港</x:v>
      </x:c>
      <x:c r="I69" s="22" t="str">
        <x:v>190～260分</x:v>
      </x:c>
      <x:c r="J69" s="22" t="n">
        <x:v>3</x:v>
      </x:c>
      <x:c r="K69" s="22" t="str">
        <x:v>閉場の早い荒崎・長者ヶ崎から回る。強風・高波時は海岸へ降りない。</x:v>
      </x:c>
      <x:c r="L69" s="95" t="e">
        <x:f>HYPERLINK("https://www.google.com/maps/dir/?api=1&amp;destination=%E8%91%89%E5%B1%B1%E6%B8%AF&amp;travelmode=driving&amp;waypoints=%E8%8D%92%E5%B4%8E%E5%85%AC%E5%9C%92%7C%E9%95%B7%E8%80%85%E3%83%B6%E5%B4%8E%E9%A7%90%E8%BB%8A%E5%A0%B4","現在地からルート開始")</x:f>
      </x:c>
      <x:c r="M69" s="22" t="str">
        <x:v>通常</x:v>
      </x:c>
      <x:c r="N69" s="22" t="n">
        <x:v>72</x:v>
      </x:c>
      <x:c r="O69" s="22" t="str">
        <x:v>維持</x:v>
      </x:c>
      <x:c r="P69" s="22" t="str">
        <x:v>荒崎公園 → 長者ヶ崎駐車場 → 葉山港 の順に、景観と滞在強度を変化させる。</x:v>
      </x:c>
      <x:c r="Q69" s="22"/>
      <x:c r="R69" s="23" t="n">
        <x:v>46232</x:v>
      </x:c>
      <x:c r="S69" s="22"/>
      <x:c r="T69" s="22"/>
      <x:c r="U69" s="22"/>
      <x:c r="V69" s="22"/>
      <x:c r="W69" s="22"/>
      <x:c r="X69" s="22"/>
      <x:c r="Y69" s="22" t="str">
        <x:v>東京港・水辺</x:v>
      </x:c>
      <x:c r="Z69" s="22"/>
    </x:row>
    <x:row r="70">
      <x:c r="A70" s="22" t="str">
        <x:v>R087</x:v>
      </x:c>
      <x:c r="B70" s="22" t="str">
        <x:v>大磯・近代史ライン</x:v>
      </x:c>
      <x:c r="C70" s="22" t="str">
        <x:v>旧別邸／高台／海</x:v>
      </x:c>
      <x:c r="D70" s="22" t="str">
        <x:v>現在地</x:v>
      </x:c>
      <x:c r="E70" s="22" t="str">
        <x:v>大磯城山公園</x:v>
      </x:c>
      <x:c r="F70" s="22" t="str">
        <x:v>大磯港</x:v>
      </x:c>
      <x:c r="G70" s="22"/>
      <x:c r="H70" s="22" t="str">
        <x:v>湘南平</x:v>
      </x:c>
      <x:c r="I70" s="22" t="str">
        <x:v>190～250分</x:v>
      </x:c>
      <x:c r="J70" s="22" t="n">
        <x:v>2</x:v>
      </x:c>
      <x:c r="K70" s="22" t="str">
        <x:v>大磯城山は17時閉場。湘南平を夕方以降の最終地点にする。</x:v>
      </x:c>
      <x:c r="L70" s="95" t="e">
        <x:f>HYPERLINK("https://www.google.com/maps/dir/?api=1&amp;destination=%E6%B9%98%E5%8D%97%E5%B9%B3&amp;travelmode=driving&amp;waypoints=%E5%A4%A7%E7%A3%AF%E5%9F%8E%E5%B1%B1%E5%85%AC%E5%9C%92%7C%E5%A4%A7%E7%A3%AF%E6%B8%AF","現在地からルート開始")</x:f>
      </x:c>
      <x:c r="M70" s="22" t="str">
        <x:v>昼専用</x:v>
      </x:c>
      <x:c r="N70" s="22" t="n">
        <x:v>87</x:v>
      </x:c>
      <x:c r="O70" s="22" t="str">
        <x:v>維持</x:v>
      </x:c>
      <x:c r="P70" s="22" t="str">
        <x:v>大磯城山公園 → 大磯港 → 湘南平 の順に、景観と滞在強度を変化させる。</x:v>
      </x:c>
      <x:c r="Q70" s="22"/>
      <x:c r="R70" s="23" t="n">
        <x:v>46232</x:v>
      </x:c>
      <x:c r="S70" s="22"/>
      <x:c r="T70" s="22"/>
      <x:c r="U70" s="22"/>
      <x:c r="V70" s="22"/>
      <x:c r="W70" s="22"/>
      <x:c r="X70" s="22"/>
      <x:c r="Y70" s="22" t="str">
        <x:v>東京港・水辺</x:v>
      </x:c>
      <x:c r="Z70" s="22"/>
    </x:row>
    <x:row r="71">
      <x:c r="A71" s="22" t="str">
        <x:v>R088</x:v>
      </x:c>
      <x:c r="B71" s="22" t="str">
        <x:v>横浜港・ふ頭三連</x:v>
      </x:c>
      <x:c r="C71" s="22" t="str">
        <x:v>港／大型船／工業景観</x:v>
      </x:c>
      <x:c r="D71" s="22" t="str">
        <x:v>現在地</x:v>
      </x:c>
      <x:c r="E71" s="22" t="str">
        <x:v>本牧海づり施設</x:v>
      </x:c>
      <x:c r="F71" s="22" t="str">
        <x:v>大黒海づり施設</x:v>
      </x:c>
      <x:c r="G71" s="22"/>
      <x:c r="H71" s="22" t="str">
        <x:v>川崎マリエン</x:v>
      </x:c>
      <x:c r="I71" s="22" t="str">
        <x:v>180～250分</x:v>
      </x:c>
      <x:c r="J71" s="22" t="n">
        <x:v>3</x:v>
      </x:c>
      <x:c r="K71" s="22" t="str">
        <x:v>海づり施設は19時終了。大黒ふ頭の物流区域へ進入しない。</x:v>
      </x:c>
      <x:c r="L71" s="95" t="e">
        <x:f>HYPERLINK("https://www.google.com/maps/dir/?api=1&amp;destination=%E5%B7%9D%E5%B4%8E%E3%83%9E%E3%83%AA%E3%82%A8%E3%83%B3&amp;travelmode=driving&amp;waypoints=%E6%9C%AC%E7%89%A7%E6%B5%B7%E3%81%A5%E3%82%8A%E6%96%BD%E8%A8%AD%7C%E5%A4%A7%E9%BB%92%E6%B5%B7%E3%81%A5%E3%82%8A%E6%96%BD%E8%A8%AD","現在地からルート開始")</x:f>
      </x:c>
      <x:c r="M71" s="22" t="str">
        <x:v>通常</x:v>
      </x:c>
      <x:c r="N71" s="22" t="n">
        <x:v>73</x:v>
      </x:c>
      <x:c r="O71" s="22" t="str">
        <x:v>維持</x:v>
      </x:c>
      <x:c r="P71" s="22" t="str">
        <x:v>本牧海づり施設 → 大黒海づり施設 → 川崎マリエン の順に、景観と滞在強度を変化させる。</x:v>
      </x:c>
      <x:c r="Q71" s="22"/>
      <x:c r="R71" s="23" t="n">
        <x:v>46232</x:v>
      </x:c>
      <x:c r="S71" s="22"/>
      <x:c r="T71" s="22"/>
      <x:c r="U71" s="22"/>
      <x:c r="V71" s="22"/>
      <x:c r="W71" s="22"/>
      <x:c r="X71" s="22"/>
      <x:c r="Y71" s="22" t="str">
        <x:v>川崎・工場夜景</x:v>
      </x:c>
      <x:c r="Z71" s="22"/>
    </x:row>
    <x:row r="72">
      <x:c r="A72" s="22" t="str">
        <x:v>R090</x:v>
      </x:c>
      <x:c r="B72" s="22" t="str">
        <x:v>千葉・森の深度変化</x:v>
      </x:c>
      <x:c r="C72" s="22" t="str">
        <x:v>森林／谷津／高台</x:v>
      </x:c>
      <x:c r="D72" s="22" t="str">
        <x:v>現在地</x:v>
      </x:c>
      <x:c r="E72" s="22" t="str">
        <x:v>泉自然公園</x:v>
      </x:c>
      <x:c r="F72" s="22"/>
      <x:c r="G72" s="22"/>
      <x:c r="H72" s="22" t="str">
        <x:v>昭和の森</x:v>
      </x:c>
      <x:c r="I72" s="22" t="str">
        <x:v>230～300分</x:v>
      </x:c>
      <x:c r="J72" s="22" t="n">
        <x:v>1</x:v>
      </x:c>
      <x:c r="K72" s="22" t="str">
        <x:v>両方とも夕方閉場の完全昼ルート。季節で閉場が早まる。</x:v>
      </x:c>
      <x:c r="L72" s="95" t="e">
        <x:f>HYPERLINK("https://www.google.com/maps/dir/?api=1&amp;destination=%E6%98%AD%E5%92%8C%E3%81%AE%E6%A3%AE&amp;travelmode=driving&amp;waypoints=%E6%B3%89%E8%87%AA%E7%84%B6%E5%85%AC%E5%9C%92","現在地からルート開始")</x:f>
      </x:c>
      <x:c r="M72" s="22" t="str">
        <x:v>昼専用</x:v>
      </x:c>
      <x:c r="N72" s="22" t="n">
        <x:v>81</x:v>
      </x:c>
      <x:c r="O72" s="22" t="str">
        <x:v>維持</x:v>
      </x:c>
      <x:c r="P72" s="22" t="str">
        <x:v>泉自然公園 → 昭和の森 の順に、景観と滞在強度を変化させる。</x:v>
      </x:c>
      <x:c r="Q72" s="22"/>
      <x:c r="R72" s="23" t="n">
        <x:v>46232</x:v>
      </x:c>
      <x:c r="S72" s="22"/>
      <x:c r="T72" s="22"/>
      <x:c r="U72" s="22"/>
      <x:c r="V72" s="22"/>
      <x:c r="W72" s="22"/>
      <x:c r="X72" s="22"/>
      <x:c r="Y72" s="22" t="str">
        <x:v>森林・高台</x:v>
      </x:c>
      <x:c r="Z72" s="22"/>
    </x:row>
    <x:row r="73">
      <x:c r="A73" s="22" t="str">
        <x:v>R091</x:v>
      </x:c>
      <x:c r="B73" s="22" t="str">
        <x:v>内房・工場夜景Ending</x:v>
      </x:c>
      <x:c r="C73" s="22" t="str">
        <x:v>海／展望塔／工業湾岸</x:v>
      </x:c>
      <x:c r="D73" s="22" t="str">
        <x:v>現在地</x:v>
      </x:c>
      <x:c r="E73" s="22" t="str">
        <x:v>袖ケ浦海浜公園</x:v>
      </x:c>
      <x:c r="F73" s="22" t="str">
        <x:v>千葉ポートタワー</x:v>
      </x:c>
      <x:c r="G73" s="22"/>
      <x:c r="H73" s="22" t="str">
        <x:v>海浜大通り展望駐車場</x:v>
      </x:c>
      <x:c r="I73" s="22" t="str">
        <x:v>220～290分</x:v>
      </x:c>
      <x:c r="J73" s="22" t="n">
        <x:v>5</x:v>
      </x:c>
      <x:c r="K73" s="22" t="str">
        <x:v>強風時は展望塔を避ける。展望駐車場は13台のため満車時は通過。</x:v>
      </x:c>
      <x:c r="L73" s="95" t="e">
        <x:f>HYPERLINK("https://www.google.com/maps/dir/?api=1&amp;destination=%E6%B5%B7%E6%B5%9C%E5%A4%A7%E9%80%9A%E3%82%8A%E5%B1%95%E6%9C%9B%E9%A7%90%E8%BB%8A%E5%A0%B4&amp;travelmode=driving&amp;waypoints=%E8%A2%96%E3%82%B1%E6%B5%A6%E6%B5%B7%E6%B5%9C%E5%85%AC%E5%9C%92%7C%E5%8D%83%E8%91%89%E3%83%9D%E3%83%BC%E3%83%88%E3%82%BF%E3%83%AF%E3%83%BC","現在地からルート開始")</x:f>
      </x:c>
      <x:c r="M73" s="22" t="str">
        <x:v>通常</x:v>
      </x:c>
      <x:c r="N73" s="22" t="n">
        <x:v>79</x:v>
      </x:c>
      <x:c r="O73" s="22" t="str">
        <x:v>維持</x:v>
      </x:c>
      <x:c r="P73" s="22" t="str">
        <x:v>袖ケ浦海浜公園 → 千葉ポートタワー → 海浜大通り展望駐車場 の順に、景観と滞在強度を変化させる。</x:v>
      </x:c>
      <x:c r="Q73" s="22"/>
      <x:c r="R73" s="23" t="n">
        <x:v>46232</x:v>
      </x:c>
      <x:c r="S73" s="22"/>
      <x:c r="T73" s="22"/>
      <x:c r="U73" s="22"/>
      <x:c r="V73" s="22"/>
      <x:c r="W73" s="22"/>
      <x:c r="X73" s="22"/>
      <x:c r="Y73" s="22" t="str">
        <x:v>川崎・工場夜景</x:v>
      </x:c>
      <x:c r="Z73" s="22"/>
    </x:row>
    <x:row r="74">
      <x:c r="A74" s="22" t="str">
        <x:v>R092</x:v>
      </x:c>
      <x:c r="B74" s="22" t="str">
        <x:v>東京北西24時間公園線</x:v>
      </x:c>
      <x:c r="C74" s="22" t="str">
        <x:v>芝生／旧飛行場／池</x:v>
      </x:c>
      <x:c r="D74" s="22" t="str">
        <x:v>現在地</x:v>
      </x:c>
      <x:c r="E74" s="22" t="str">
        <x:v>高井戸公園</x:v>
      </x:c>
      <x:c r="F74" s="22" t="str">
        <x:v>光が丘公園</x:v>
      </x:c>
      <x:c r="G74" s="22"/>
      <x:c r="H74" s="22" t="str">
        <x:v>石神井公園</x:v>
      </x:c>
      <x:c r="I74" s="22" t="str">
        <x:v>150～220分</x:v>
      </x:c>
      <x:c r="J74" s="22" t="n">
        <x:v>4</x:v>
      </x:c>
      <x:c r="K74" s="22" t="str">
        <x:v>深夜は各地点20分以内。石神井池周辺の暗い園路を避ける。</x:v>
      </x:c>
      <x:c r="L74" s="95" t="e">
        <x:f>HYPERLINK("https://www.google.com/maps/dir/?api=1&amp;destination=%E7%9F%B3%E7%A5%9E%E4%BA%95%E5%85%AC%E5%9C%92&amp;travelmode=driving&amp;waypoints=%E9%AB%98%E4%BA%95%E6%88%B8%E5%85%AC%E5%9C%92%7C%E5%85%89%E3%81%8C%E4%B8%98%E5%85%AC%E5%9C%92","現在地からルート開始")</x:f>
      </x:c>
      <x:c r="M74" s="22" t="str">
        <x:v>通常</x:v>
      </x:c>
      <x:c r="N74" s="22" t="n">
        <x:v>86</x:v>
      </x:c>
      <x:c r="O74" s="22" t="str">
        <x:v>維持</x:v>
      </x:c>
      <x:c r="P74" s="22" t="str">
        <x:v>高井戸公園 → 光が丘公園 → 石神井公園 の順に、景観と滞在強度を変化させる。</x:v>
      </x:c>
      <x:c r="Q74" s="22"/>
      <x:c r="R74" s="23" t="n">
        <x:v>46232</x:v>
      </x:c>
      <x:c r="S74" s="22"/>
      <x:c r="T74" s="22"/>
      <x:c r="U74" s="22"/>
      <x:c r="V74" s="22"/>
      <x:c r="W74" s="22"/>
      <x:c r="X74" s="22"/>
      <x:c r="Y74" s="22" t="str">
        <x:v>羽田・航空</x:v>
      </x:c>
      <x:c r="Z74" s="22"/>
    </x:row>
    <x:row r="75">
      <x:c r="A75" s="22" t="str">
        <x:v>R094</x:v>
      </x:c>
      <x:c r="B75" s="22" t="str">
        <x:v>荒川・湖・河川敷</x:v>
      </x:c>
      <x:c r="C75" s="22" t="str">
        <x:v>河川敷／湖／広大空間</x:v>
      </x:c>
      <x:c r="D75" s="22" t="str">
        <x:v>現在地</x:v>
      </x:c>
      <x:c r="E75" s="22" t="str">
        <x:v>秋ヶ瀬公園</x:v>
      </x:c>
      <x:c r="F75" s="22" t="str">
        <x:v>彩湖・道満グリーンパーク</x:v>
      </x:c>
      <x:c r="G75" s="22"/>
      <x:c r="H75" s="22" t="str">
        <x:v>みさと公園</x:v>
      </x:c>
      <x:c r="I75" s="22" t="str">
        <x:v>210～280分</x:v>
      </x:c>
      <x:c r="J75" s="22" t="n">
        <x:v>2</x:v>
      </x:c>
      <x:c r="K75" s="22" t="str">
        <x:v>増水・台風後は全地点の開放状況確認。行楽期の彩湖渋滞を回避。</x:v>
      </x:c>
      <x:c r="L75" s="95" t="e">
        <x:f>HYPERLINK("https://www.google.com/maps/dir/?api=1&amp;destination=%E3%81%BF%E3%81%95%E3%81%A8%E5%85%AC%E5%9C%92&amp;travelmode=driving&amp;waypoints=%E7%A7%8B%E3%83%B6%E7%80%AC%E5%85%AC%E5%9C%92%7C%E5%BD%A9%E6%B9%96%E3%83%BB%E9%81%93%E6%BA%80%E3%82%B0%E3%83%AA%E3%83%BC%E3%83%B3%E3%83%91%E3%83%BC%E3%82%AF","現在地からルート開始")</x:f>
      </x:c>
      <x:c r="M75" s="22" t="str">
        <x:v>昼専用</x:v>
      </x:c>
      <x:c r="N75" s="22" t="n">
        <x:v>76</x:v>
      </x:c>
      <x:c r="O75" s="22" t="str">
        <x:v>維持</x:v>
      </x:c>
      <x:c r="P75" s="22" t="str">
        <x:v>秋ヶ瀬公園 → 彩湖・道満グリーンパーク → みさと公園 の順に、景観と滞在強度を変化させる。</x:v>
      </x:c>
      <x:c r="Q75" s="22"/>
      <x:c r="R75" s="23" t="n">
        <x:v>46232</x:v>
      </x:c>
      <x:c r="S75" s="22"/>
      <x:c r="T75" s="22"/>
      <x:c r="U75" s="22"/>
      <x:c r="V75" s="22"/>
      <x:c r="W75" s="22"/>
      <x:c r="X75" s="22"/>
      <x:c r="Y75" s="22" t="str">
        <x:v>河川・多摩川</x:v>
      </x:c>
      <x:c r="Z75" s="22"/>
    </x:row>
    <x:row r="76">
      <x:c r="A76" s="22" t="str">
        <x:v>R095</x:v>
      </x:c>
      <x:c r="B76" s="22" t="str">
        <x:v>埼玉東部・堤と古墳</x:v>
      </x:c>
      <x:c r="C76" s="22" t="str">
        <x:v>花／堤／古墳Story</x:v>
      </x:c>
      <x:c r="D76" s="22" t="str">
        <x:v>現在地</x:v>
      </x:c>
      <x:c r="E76" s="22" t="str">
        <x:v>権現堂公園</x:v>
      </x:c>
      <x:c r="F76" s="22" t="str">
        <x:v>さきたま古墳公園</x:v>
      </x:c>
      <x:c r="G76" s="22"/>
      <x:c r="H76" s="22" t="str">
        <x:v>吉見百穴</x:v>
      </x:c>
      <x:c r="I76" s="22" t="str">
        <x:v>270～350分</x:v>
      </x:c>
      <x:c r="J76" s="22" t="n">
        <x:v>1</x:v>
      </x:c>
      <x:c r="K76" s="22" t="str">
        <x:v>吉見百穴17時前到着必須。花期は権現堂を省略する判断も必要。</x:v>
      </x:c>
      <x:c r="L76" s="95" t="e">
        <x:f>HYPERLINK("https://www.google.com/maps/dir/?api=1&amp;destination=%E5%90%89%E8%A6%8B%E7%99%BE%E7%A9%B4&amp;travelmode=driving&amp;waypoints=%E6%A8%A9%E7%8F%BE%E5%A0%82%E5%85%AC%E5%9C%92%7C%E3%81%95%E3%81%8D%E3%81%9F%E3%81%BE%E5%8F%A4%E5%A2%B3%E5%85%AC%E5%9C%92","現在地からルート開始")</x:f>
      </x:c>
      <x:c r="M76" s="22" t="str">
        <x:v>昼専用</x:v>
      </x:c>
      <x:c r="N76" s="22" t="n">
        <x:v>78</x:v>
      </x:c>
      <x:c r="O76" s="22" t="str">
        <x:v>維持</x:v>
      </x:c>
      <x:c r="P76" s="22" t="str">
        <x:v>権現堂公園 → さきたま古墳公園 → 吉見百穴 の順に、景観と滞在強度を変化させる。</x:v>
      </x:c>
      <x:c r="Q76" s="22"/>
      <x:c r="R76" s="23" t="n">
        <x:v>46232</x:v>
      </x:c>
      <x:c r="S76" s="22"/>
      <x:c r="T76" s="22"/>
      <x:c r="U76" s="22"/>
      <x:c r="V76" s="22"/>
      <x:c r="W76" s="22"/>
      <x:c r="X76" s="22"/>
      <x:c r="Y76" s="22" t="str">
        <x:v>Story・文化</x:v>
      </x:c>
      <x:c r="Z76" s="22"/>
    </x:row>
    <x:row r="77">
      <x:c r="A77" s="22" t="str">
        <x:v>R096</x:v>
      </x:c>
      <x:c r="B77" s="22" t="str">
        <x:v>横浜南部・海から港へ</x:v>
      </x:c>
      <x:c r="C77" s="22" t="str">
        <x:v>人工海浜／旧別邸／工業港</x:v>
      </x:c>
      <x:c r="D77" s="22" t="str">
        <x:v>現在地</x:v>
      </x:c>
      <x:c r="E77" s="22" t="str">
        <x:v>海の公園</x:v>
      </x:c>
      <x:c r="F77" s="22" t="str">
        <x:v>野島公園</x:v>
      </x:c>
      <x:c r="G77" s="22" t="str">
        <x:v>磯子海づり施設</x:v>
      </x:c>
      <x:c r="H77" s="22" t="str">
        <x:v>臨港パーク</x:v>
      </x:c>
      <x:c r="I77" s="22" t="str">
        <x:v>210～290分</x:v>
      </x:c>
      <x:c r="J77" s="22" t="n">
        <x:v>3</x:v>
      </x:c>
      <x:c r="K77" s="22" t="str">
        <x:v>各駐車場閉場と混雑を確認。最後は24時間周辺駐車場のある都市港へ移る。</x:v>
      </x:c>
      <x:c r="L77" s="95" t="e">
        <x:f>HYPERLINK("https://www.google.com/maps/dir/?api=1&amp;destination=%E8%87%A8%E6%B8%AF%E3%83%91%E3%83%BC%E3%82%AF&amp;travelmode=driving&amp;waypoints=%E6%B5%B7%E3%81%AE%E5%85%AC%E5%9C%92%7C%E9%87%8E%E5%B3%B6%E5%85%AC%E5%9C%92%7C%E7%A3%AF%E5%AD%90%E6%B5%B7%E3%81%A5%E3%82%8A%E6%96%BD%E8%A8%AD","現在地からルート開始")</x:f>
      </x:c>
      <x:c r="M77" s="22" t="str">
        <x:v>通常</x:v>
      </x:c>
      <x:c r="N77" s="22" t="n">
        <x:v>78</x:v>
      </x:c>
      <x:c r="O77" s="22" t="str">
        <x:v>維持</x:v>
      </x:c>
      <x:c r="P77" s="22" t="str">
        <x:v>海の公園 → 野島公園 → 磯子海づり施設 → 臨港パーク の順に、景観と滞在強度を変化させる。</x:v>
      </x:c>
      <x:c r="Q77" s="22"/>
      <x:c r="R77" s="23" t="n">
        <x:v>46232</x:v>
      </x:c>
      <x:c r="S77" s="22"/>
      <x:c r="T77" s="22"/>
      <x:c r="U77" s="22"/>
      <x:c r="V77" s="22"/>
      <x:c r="W77" s="22"/>
      <x:c r="X77" s="22"/>
      <x:c r="Y77" s="22" t="str">
        <x:v>川崎・工場夜景</x:v>
      </x:c>
      <x:c r="Z77" s="22"/>
    </x:row>
    <x:row r="78">
      <x:c r="A78" s="22" t="str">
        <x:v>R098</x:v>
      </x:c>
      <x:c r="B78" s="22" t="str">
        <x:v>習志野ベイ・人工海浜線</x:v>
      </x:c>
      <x:c r="C78" s="22" t="str">
        <x:v>緑地／行き止まり／人工海浜</x:v>
      </x:c>
      <x:c r="D78" s="22" t="str">
        <x:v>現在地</x:v>
      </x:c>
      <x:c r="E78" s="22" t="str">
        <x:v>香澄公園</x:v>
      </x:c>
      <x:c r="F78" s="22" t="str">
        <x:v>茜浜緑地・海浜公園</x:v>
      </x:c>
      <x:c r="G78" s="22" t="str">
        <x:v>検見川の浜・稲毛ヨットハーバー</x:v>
      </x:c>
      <x:c r="H78" s="22" t="str">
        <x:v>海浜大通り展望駐車場</x:v>
      </x:c>
      <x:c r="I78" s="22" t="str">
        <x:v>190～260分</x:v>
      </x:c>
      <x:c r="J78" s="22" t="n">
        <x:v>2</x:v>
      </x:c>
      <x:c r="K78" s="22" t="str">
        <x:v>すべて閉場時刻が早い昼専用。満車時の路上待機は禁止。</x:v>
      </x:c>
      <x:c r="L78" s="95" t="e">
        <x:f>HYPERLINK("https://www.google.com/maps/dir/?api=1&amp;destination=%E6%B5%B7%E6%B5%9C%E5%A4%A7%E9%80%9A%E3%82%8A%E5%B1%95%E6%9C%9B%E9%A7%90%E8%BB%8A%E5%A0%B4&amp;travelmode=driving&amp;waypoints=%E9%A6%99%E6%BE%84%E5%85%AC%E5%9C%92%7C%E8%8C%9C%E6%B5%9C%E7%B7%91%E5%9C%B0%E3%83%BB%E6%B5%B7%E6%B5%9C%E5%85%AC%E5%9C%92%7C%E6%A4%9C%E8%A6%8B%E5%B7%9D%E3%81%AE%E6%B5%9C%E3%83%BB%E7%A8%B2%E6%AF%9B%E3%83%A8%E3%83%83%E3%83%88%E3%83%8F%E3%83%BC%E3%83%90%E3%83%BC","現在地からルート開始")</x:f>
      </x:c>
      <x:c r="M78" s="22" t="str">
        <x:v>昼専用</x:v>
      </x:c>
      <x:c r="N78" s="22" t="n">
        <x:v>84</x:v>
      </x:c>
      <x:c r="O78" s="22" t="str">
        <x:v>維持</x:v>
      </x:c>
      <x:c r="P78" s="22" t="str">
        <x:v>香澄公園 → 茜浜緑地・海浜公園 → 検見川の浜・稲毛ヨットハーバー → 海浜大通り展望駐車場 の順に、景観と滞在強度を変化させる。</x:v>
      </x:c>
      <x:c r="Q78" s="22"/>
      <x:c r="R78" s="23" t="n">
        <x:v>46232</x:v>
      </x:c>
      <x:c r="S78" s="22"/>
      <x:c r="T78" s="22"/>
      <x:c r="U78" s="22"/>
      <x:c r="V78" s="22"/>
      <x:c r="W78" s="22"/>
      <x:c r="X78" s="22"/>
      <x:c r="Y78" s="22" t="str">
        <x:v>東京港・水辺</x:v>
      </x:c>
      <x:c r="Z78" s="22"/>
    </x:row>
    <x:row r="79">
      <x:c r="A79" s="22" t="str">
        <x:v>R099</x:v>
      </x:c>
      <x:c r="B79" s="22" t="str">
        <x:v>房総へのSAグルメライン</x:v>
      </x:c>
      <x:c r="C79" s="22" t="str">
        <x:v>PA／SA／房総への入口</x:v>
      </x:c>
      <x:c r="D79" s="22" t="str">
        <x:v>現在地</x:v>
      </x:c>
      <x:c r="E79" s="22" t="str">
        <x:v>Pasar幕張（下り）</x:v>
      </x:c>
      <x:c r="F79" s="22" t="str">
        <x:v>市原SA（下り）</x:v>
      </x:c>
      <x:c r="G79" s="22" t="str">
        <x:v>袖ケ浦公園</x:v>
      </x:c>
      <x:c r="H79" s="22" t="str">
        <x:v>袖ケ浦海浜公園</x:v>
      </x:c>
      <x:c r="I79" s="22" t="str">
        <x:v>210～290分</x:v>
      </x:c>
      <x:c r="J79" s="22" t="n">
        <x:v>4</x:v>
      </x:c>
      <x:c r="K79" s="22" t="str">
        <x:v>下り方向を維持。PA・SAを重複採用する理由は、都市→房総の段階的な旅感を作るため。</x:v>
      </x:c>
      <x:c r="L79" s="95" t="e">
        <x:f>HYPERLINK("https://www.google.com/maps/dir/?api=1&amp;destination=%E8%A2%96%E3%82%B1%E6%B5%A6%E6%B5%B7%E6%B5%9C%E5%85%AC%E5%9C%92&amp;travelmode=driving&amp;waypoints=Pasar%E5%B9%95%E5%BC%B5%EF%BC%88%E4%B8%8B%E3%82%8A%EF%BC%89%7C%E5%B8%82%E5%8E%9FSA%EF%BC%88%E4%B8%8B%E3%82%8A%EF%BC%89%7C%E8%A2%96%E3%82%B1%E6%B5%A6%E5%85%AC%E5%9C%92","現在地からルート開始")</x:f>
      </x:c>
      <x:c r="M79" s="22" t="str">
        <x:v>高速方向制約</x:v>
      </x:c>
      <x:c r="N79" s="22" t="n">
        <x:v>82</x:v>
      </x:c>
      <x:c r="O79" s="22" t="str">
        <x:v>維持</x:v>
      </x:c>
      <x:c r="P79" s="22" t="str">
        <x:v>Pasar幕張（下り） → 市原SA（下り） → 袖ケ浦公園 → 袖ケ浦海浜公園 の順に、景観と滞在強度を変化させる。</x:v>
      </x:c>
      <x:c r="Q79" s="22"/>
      <x:c r="R79" s="23" t="n">
        <x:v>46232</x:v>
      </x:c>
      <x:c r="S79" s="22"/>
      <x:c r="T79" s="22"/>
      <x:c r="U79" s="22"/>
      <x:c r="V79" s="22"/>
      <x:c r="W79" s="22"/>
      <x:c r="X79" s="22"/>
      <x:c r="Y79" s="22" t="str">
        <x:v>PA・高速</x:v>
      </x:c>
      <x:c r="Z79" s="22"/>
    </x:row>
    <x:row r="80">
      <x:c r="A80" s="22" t="str">
        <x:v>R100</x:v>
      </x:c>
      <x:c r="B80" s="22" t="str">
        <x:v>房総帰路・三段回復</x:v>
      </x:c>
      <x:c r="C80" s="22" t="str">
        <x:v>SA／PA／帰路</x:v>
      </x:c>
      <x:c r="D80" s="22" t="str">
        <x:v>現在地</x:v>
      </x:c>
      <x:c r="E80" s="22" t="str">
        <x:v>市原SA（上り）</x:v>
      </x:c>
      <x:c r="F80" s="22" t="str">
        <x:v>Pasar幕張（上り）</x:v>
      </x:c>
      <x:c r="G80" s="22" t="str">
        <x:v>湾岸幕張PA（上り）</x:v>
      </x:c>
      <x:c r="H80" s="22" t="str">
        <x:v>高洲海浜公園</x:v>
      </x:c>
      <x:c r="I80" s="22" t="str">
        <x:v>210～290分</x:v>
      </x:c>
      <x:c r="J80" s="22" t="n">
        <x:v>5</x:v>
      </x:c>
      <x:c r="K80" s="22" t="str">
        <x:v>上り方向限定。高洲海浜公園を最後にすることで高速道路から海辺へ降りて余韻を作る。</x:v>
      </x:c>
      <x:c r="L80" s="95" t="e">
        <x:f>HYPERLINK("https://www.google.com/maps/dir/?api=1&amp;destination=%E9%AB%98%E6%B4%B2%E6%B5%B7%E6%B5%9C%E5%85%AC%E5%9C%92&amp;travelmode=driving&amp;waypoints=%E5%B8%82%E5%8E%9FSA%EF%BC%88%E4%B8%8A%E3%82%8A%EF%BC%89%7CPasar%E5%B9%95%E5%BC%B5%EF%BC%88%E4%B8%8A%E3%82%8A%EF%BC%89%7C%E6%B9%BE%E5%B2%B8%E5%B9%95%E5%BC%B5PA%EF%BC%88%E4%B8%8A%E3%82%8A%EF%BC%89","現在地からルート開始")</x:f>
      </x:c>
      <x:c r="M80" s="22" t="str">
        <x:v>高速方向制約</x:v>
      </x:c>
      <x:c r="N80" s="22" t="n">
        <x:v>88</x:v>
      </x:c>
      <x:c r="O80" s="22" t="str">
        <x:v>維持</x:v>
      </x:c>
      <x:c r="P80" s="22" t="str">
        <x:v>市原SA（上り） → Pasar幕張（上り） → 湾岸幕張PA（上り） → 高洲海浜公園 の順に、景観と滞在強度を変化させる。</x:v>
      </x:c>
      <x:c r="Q80" s="22"/>
      <x:c r="R80" s="23" t="n">
        <x:v>46232</x:v>
      </x:c>
      <x:c r="S80" s="22"/>
      <x:c r="T80" s="22"/>
      <x:c r="U80" s="22"/>
      <x:c r="V80" s="22"/>
      <x:c r="W80" s="22"/>
      <x:c r="X80" s="22"/>
      <x:c r="Y80" s="22" t="str">
        <x:v>PA・高速</x:v>
      </x:c>
      <x:c r="Z80" s="22"/>
    </x:row>
    <x:row r="81">
      <x:c r="A81" s="22" t="str">
        <x:v>R101</x:v>
      </x:c>
      <x:c r="B81" s="22" t="str">
        <x:v>観音崎アートと灯台</x:v>
      </x:c>
      <x:c r="C81" s="22" t="str">
        <x:v>建築／灯台／近代化</x:v>
      </x:c>
      <x:c r="D81" s="22" t="str">
        <x:v>現在地</x:v>
      </x:c>
      <x:c r="E81" s="22" t="str">
        <x:v>横須賀美術館 海の広場</x:v>
      </x:c>
      <x:c r="F81" s="22" t="str">
        <x:v>観音埼灯台</x:v>
      </x:c>
      <x:c r="G81" s="22" t="str">
        <x:v>観音崎公園</x:v>
      </x:c>
      <x:c r="H81" s="22" t="str">
        <x:v>燈明堂緑地</x:v>
      </x:c>
      <x:c r="I81" s="22" t="str">
        <x:v>200～280分</x:v>
      </x:c>
      <x:c r="J81" s="22" t="n">
        <x:v>2</x:v>
      </x:c>
      <x:c r="K81" s="22" t="str">
        <x:v>灯台参観と公園駐車場は19時まで。燈明堂は夕暮れ前に到着する。</x:v>
      </x:c>
      <x:c r="L81" s="95" t="e">
        <x:f>HYPERLINK("https://www.google.com/maps/dir/?api=1&amp;destination=%E7%87%88%E6%98%8E%E5%A0%82%E7%B7%91%E5%9C%B0&amp;travelmode=driving&amp;waypoints=%E6%A8%AA%E9%A0%88%E8%B3%80%E7%BE%8E%E8%A1%93%E9%A4%A8%20%E6%B5%B7%E3%81%AE%E5%BA%83%E5%A0%B4%7C%E8%A6%B3%E9%9F%B3%E5%9F%BC%E7%81%AF%E5%8F%B0%7C%E8%A6%B3%E9%9F%B3%E5%B4%8E%E5%85%AC%E5%9C%92","現在地からルート開始")</x:f>
      </x:c>
      <x:c r="M81" s="22" t="str">
        <x:v>昼専用</x:v>
      </x:c>
      <x:c r="N81" s="22" t="n">
        <x:v>80</x:v>
      </x:c>
      <x:c r="O81" s="22" t="str">
        <x:v>維持</x:v>
      </x:c>
      <x:c r="P81" s="22" t="str">
        <x:v>横須賀美術館 海の広場 → 観音埼灯台 → 観音崎公園 → 燈明堂緑地 の順に、景観と滞在強度を変化させる。</x:v>
      </x:c>
      <x:c r="Q81" s="22"/>
      <x:c r="R81" s="23" t="n">
        <x:v>46232</x:v>
      </x:c>
      <x:c r="S81" s="22"/>
      <x:c r="T81" s="22"/>
      <x:c r="U81" s="22"/>
      <x:c r="V81" s="22"/>
      <x:c r="W81" s="22"/>
      <x:c r="X81" s="22"/>
      <x:c r="Y81" s="22" t="str">
        <x:v>Story・文化</x:v>
      </x:c>
      <x:c r="Z81" s="22"/>
    </x:row>
    <x:row r="82">
      <x:c r="A82" s="22" t="str">
        <x:v>R102</x:v>
      </x:c>
      <x:c r="B82" s="22" t="str">
        <x:v>浦賀水道・近代化の物語</x:v>
      </x:c>
      <x:c r="C82" s="22" t="str">
        <x:v>軍港／灯台／江戸航路</x:v>
      </x:c>
      <x:c r="D82" s="22" t="str">
        <x:v>現在地</x:v>
      </x:c>
      <x:c r="E82" s="22" t="str">
        <x:v>ヴェルニー公園</x:v>
      </x:c>
      <x:c r="F82" s="22" t="str">
        <x:v>観音埼灯台</x:v>
      </x:c>
      <x:c r="G82" s="22" t="str">
        <x:v>燈明堂緑地</x:v>
      </x:c>
      <x:c r="H82" s="22" t="str">
        <x:v>横須賀美術館 海の広場</x:v>
      </x:c>
      <x:c r="I82" s="22" t="str">
        <x:v>210～290分</x:v>
      </x:c>
      <x:c r="J82" s="22" t="n">
        <x:v>4</x:v>
      </x:c>
      <x:c r="K82" s="22" t="str">
        <x:v>江戸の燈明堂→近代灯台→現代建築という時間軸を作る。美術館本館は2026-09-04まで休館。</x:v>
      </x:c>
      <x:c r="L82" s="95" t="e">
        <x:f>HYPERLINK("https://www.google.com/maps/dir/?api=1&amp;destination=%E6%A8%AA%E9%A0%88%E8%B3%80%E7%BE%8E%E8%A1%93%E9%A4%A8%20%E6%B5%B7%E3%81%AE%E5%BA%83%E5%A0%B4&amp;travelmode=driving&amp;waypoints=%E3%83%B4%E3%82%A7%E3%83%AB%E3%83%8B%E3%83%BC%E5%85%AC%E5%9C%92%7C%E8%A6%B3%E9%9F%B3%E5%9F%BC%E7%81%AF%E5%8F%B0%7C%E7%87%88%E6%98%8E%E5%A0%82%E7%B7%91%E5%9C%B0","現在地からルート開始")</x:f>
      </x:c>
      <x:c r="M82" s="22" t="str">
        <x:v>通常</x:v>
      </x:c>
      <x:c r="N82" s="22" t="n">
        <x:v>70</x:v>
      </x:c>
      <x:c r="O82" s="22" t="str">
        <x:v>維持</x:v>
      </x:c>
      <x:c r="P82" s="22" t="str">
        <x:v>ヴェルニー公園 → 観音埼灯台 → 燈明堂緑地 → 横須賀美術館 海の広場 の順に、景観と滞在強度を変化させる。</x:v>
      </x:c>
      <x:c r="Q82" s="22"/>
      <x:c r="R82" s="23" t="n">
        <x:v>46232</x:v>
      </x:c>
      <x:c r="S82" s="22"/>
      <x:c r="T82" s="22"/>
      <x:c r="U82" s="22"/>
      <x:c r="V82" s="22"/>
      <x:c r="W82" s="22"/>
      <x:c r="X82" s="22"/>
      <x:c r="Y82" s="22" t="str">
        <x:v>東京港・水辺</x:v>
      </x:c>
      <x:c r="Z82" s="22"/>
    </x:row>
    <x:row r="83">
      <x:c r="A83" s="22" t="str">
        <x:v>R103</x:v>
      </x:c>
      <x:c r="B83" s="22" t="str">
        <x:v>葉山・美術と御用邸の庭</x:v>
      </x:c>
      <x:c r="C83" s="22" t="str">
        <x:v>美術／日本庭園／海</x:v>
      </x:c>
      <x:c r="D83" s="22" t="str">
        <x:v>現在地</x:v>
      </x:c>
      <x:c r="E83" s="22" t="str">
        <x:v>神奈川県立近代美術館 葉山館</x:v>
      </x:c>
      <x:c r="F83" s="22" t="str">
        <x:v>葉山しおさい公園</x:v>
      </x:c>
      <x:c r="G83" s="22" t="str">
        <x:v>県立葉山公園</x:v>
      </x:c>
      <x:c r="H83" s="22" t="str">
        <x:v>葉山港</x:v>
      </x:c>
      <x:c r="I83" s="22" t="str">
        <x:v>190～260分</x:v>
      </x:c>
      <x:c r="J83" s="22" t="n">
        <x:v>2</x:v>
      </x:c>
      <x:c r="K83" s="22" t="str">
        <x:v>美術館としおさい公園は入庫・入園締切が早い。完全な昼～夕方向け。</x:v>
      </x:c>
      <x:c r="L83" s="95" t="e">
        <x:f>HYPERLINK("https://www.google.com/maps/dir/?api=1&amp;destination=%E8%91%89%E5%B1%B1%E6%B8%AF&amp;travelmode=driving&amp;waypoints=%E7%A5%9E%E5%A5%88%E5%B7%9D%E7%9C%8C%E7%AB%8B%E8%BF%91%E4%BB%A3%E7%BE%8E%E8%A1%93%E9%A4%A8%20%E8%91%89%E5%B1%B1%E9%A4%A8%7C%E8%91%89%E5%B1%B1%E3%81%97%E3%81%8A%E3%81%95%E3%81%84%E5%85%AC%E5%9C%92%7C%E7%9C%8C%E7%AB%8B%E8%91%89%E5%B1%B1%E5%85%AC%E5%9C%92","現在地からルート開始")</x:f>
      </x:c>
      <x:c r="M83" s="22" t="str">
        <x:v>昼専用</x:v>
      </x:c>
      <x:c r="N83" s="22" t="n">
        <x:v>71</x:v>
      </x:c>
      <x:c r="O83" s="22" t="str">
        <x:v>維持</x:v>
      </x:c>
      <x:c r="P83" s="22" t="str">
        <x:v>神奈川県立近代美術館 葉山館 → 葉山しおさい公園 → 県立葉山公園 → 葉山港 の順に、景観と滞在強度を変化させる。</x:v>
      </x:c>
      <x:c r="Q83" s="22"/>
      <x:c r="R83" s="23" t="n">
        <x:v>46232</x:v>
      </x:c>
      <x:c r="S83" s="22"/>
      <x:c r="T83" s="22"/>
      <x:c r="U83" s="22"/>
      <x:c r="V83" s="22"/>
      <x:c r="W83" s="22"/>
      <x:c r="X83" s="22"/>
      <x:c r="Y83" s="22" t="str">
        <x:v>東京港・水辺</x:v>
      </x:c>
      <x:c r="Z83" s="22"/>
    </x:row>
    <x:row r="84">
      <x:c r="A84" s="22" t="str">
        <x:v>R104</x:v>
      </x:c>
      <x:c r="B84" s="22" t="str">
        <x:v>宮ヶ瀬ダム構造体験</x:v>
      </x:c>
      <x:c r="C84" s="22" t="str">
        <x:v>ダム／インフラ／湖</x:v>
      </x:c>
      <x:c r="D84" s="22" t="str">
        <x:v>現在地</x:v>
      </x:c>
      <x:c r="E84" s="22" t="str">
        <x:v>県立あいかわ公園</x:v>
      </x:c>
      <x:c r="F84" s="22" t="str">
        <x:v>宮ヶ瀬ダム 水とエネルギー館</x:v>
      </x:c>
      <x:c r="G84" s="22" t="str">
        <x:v>鳥居原園地</x:v>
      </x:c>
      <x:c r="H84" s="22" t="str">
        <x:v>宮ヶ瀬湖畔園地</x:v>
      </x:c>
      <x:c r="I84" s="22" t="str">
        <x:v>230～320分</x:v>
      </x:c>
      <x:c r="J84" s="22" t="n">
        <x:v>1</x:v>
      </x:c>
      <x:c r="K84" s="22" t="str">
        <x:v>ダム立入、観光放流、駐車場時間を当日確認。閉場時刻から逆算する。</x:v>
      </x:c>
      <x:c r="L84" s="95" t="e">
        <x:f>HYPERLINK("https://www.google.com/maps/dir/?api=1&amp;destination=%E5%AE%AE%E3%83%B6%E7%80%AC%E6%B9%96%E7%95%94%E5%9C%92%E5%9C%B0&amp;travelmode=driving&amp;waypoints=%E7%9C%8C%E7%AB%8B%E3%81%82%E3%81%84%E3%81%8B%E3%82%8F%E5%85%AC%E5%9C%92%7C%E5%AE%AE%E3%83%B6%E7%80%AC%E3%83%80%E3%83%A0%20%E6%B0%B4%E3%81%A8%E3%82%A8%E3%83%8D%E3%83%AB%E3%82%AE%E3%83%BC%E9%A4%A8%7C%E9%B3%A5%E5%B1%85%E5%8E%9F%E5%9C%92%E5%9C%B0","現在地からルート開始")</x:f>
      </x:c>
      <x:c r="M84" s="22" t="str">
        <x:v>昼専用</x:v>
      </x:c>
      <x:c r="N84" s="22" t="n">
        <x:v>81</x:v>
      </x:c>
      <x:c r="O84" s="22" t="str">
        <x:v>維持</x:v>
      </x:c>
      <x:c r="P84" s="22" t="str">
        <x:v>県立あいかわ公園 → 宮ヶ瀬ダム 水とエネルギー館 → 鳥居原園地 → 宮ヶ瀬湖畔園地 の順に、景観と滞在強度を変化させる。</x:v>
      </x:c>
      <x:c r="Q84" s="22"/>
      <x:c r="R84" s="23" t="n">
        <x:v>46232</x:v>
      </x:c>
      <x:c r="S84" s="22"/>
      <x:c r="T84" s="22"/>
      <x:c r="U84" s="22"/>
      <x:c r="V84" s="22"/>
      <x:c r="W84" s="22"/>
      <x:c r="X84" s="22"/>
      <x:c r="Y84" s="22" t="str">
        <x:v>都市公園・休憩</x:v>
      </x:c>
      <x:c r="Z84" s="22"/>
    </x:row>
    <x:row r="85">
      <x:c r="A85" s="22" t="str">
        <x:v>R105</x:v>
      </x:c>
      <x:c r="B85" s="22" t="str">
        <x:v>海老名SAから宮ヶ瀬へ</x:v>
      </x:c>
      <x:c r="C85" s="22" t="str">
        <x:v>SA／ダム／帰路</x:v>
      </x:c>
      <x:c r="D85" s="22" t="str">
        <x:v>現在地</x:v>
      </x:c>
      <x:c r="E85" s="22" t="str">
        <x:v>EXPASA海老名（下り）</x:v>
      </x:c>
      <x:c r="F85" s="22" t="str">
        <x:v>県立あいかわ公園</x:v>
      </x:c>
      <x:c r="G85" s="22" t="str">
        <x:v>宮ヶ瀬ダム 水とエネルギー館</x:v>
      </x:c>
      <x:c r="H85" s="22" t="str">
        <x:v>EXPASA海老名（上り）</x:v>
      </x:c>
      <x:c r="I85" s="22" t="str">
        <x:v>230～320分</x:v>
      </x:c>
      <x:c r="J85" s="22" t="n">
        <x:v>3</x:v>
      </x:c>
      <x:c r="K85" s="22" t="str">
        <x:v>下り→一般道→上りの循環。ETC・IC経路と渋滞をナビで確認。</x:v>
      </x:c>
      <x:c r="L85" s="95" t="e">
        <x:f>HYPERLINK("https://www.google.com/maps/dir/?api=1&amp;destination=EXPASA%E6%B5%B7%E8%80%81%E5%90%8D%EF%BC%88%E4%B8%8A%E3%82%8A%EF%BC%89&amp;travelmode=driving&amp;waypoints=EXPASA%E6%B5%B7%E8%80%81%E5%90%8D%EF%BC%88%E4%B8%8B%E3%82%8A%EF%BC%89%7C%E7%9C%8C%E7%AB%8B%E3%81%82%E3%81%84%E3%81%8B%E3%82%8F%E5%85%AC%E5%9C%92%7C%E5%AE%AE%E3%83%B6%E7%80%AC%E3%83%80%E3%83%A0%20%E6%B0%B4%E3%81%A8%E3%82%A8%E3%83%8D%E3%83%AB%E3%82%AE%E3%83%BC%E9%A4%A8","現在地からルート開始")</x:f>
      </x:c>
      <x:c r="M85" s="22" t="str">
        <x:v>高速方向制約</x:v>
      </x:c>
      <x:c r="N85" s="22" t="n">
        <x:v>77</x:v>
      </x:c>
      <x:c r="O85" s="22" t="str">
        <x:v>維持</x:v>
      </x:c>
      <x:c r="P85" s="22" t="str">
        <x:v>EXPASA海老名（下り） → 県立あいかわ公園 → 宮ヶ瀬ダム 水とエネルギー館 → EXPASA海老名（上り） の順に、景観と滞在強度を変化させる。</x:v>
      </x:c>
      <x:c r="Q85" s="22"/>
      <x:c r="R85" s="23" t="n">
        <x:v>46232</x:v>
      </x:c>
      <x:c r="S85" s="22"/>
      <x:c r="T85" s="22"/>
      <x:c r="U85" s="22"/>
      <x:c r="V85" s="22"/>
      <x:c r="W85" s="22"/>
      <x:c r="X85" s="22"/>
      <x:c r="Y85" s="22" t="str">
        <x:v>PA・高速</x:v>
      </x:c>
      <x:c r="Z85" s="22"/>
    </x:row>
    <x:row r="86">
      <x:c r="A86" s="22" t="str">
        <x:v>R106</x:v>
      </x:c>
      <x:c r="B86" s="22" t="str">
        <x:v>境川・湘南水系ライン</x:v>
      </x:c>
      <x:c r="C86" s="22" t="str">
        <x:v>遊水地／里山／海</x:v>
      </x:c>
      <x:c r="D86" s="22" t="str">
        <x:v>現在地</x:v>
      </x:c>
      <x:c r="E86" s="22" t="str">
        <x:v>境川遊水地公園</x:v>
      </x:c>
      <x:c r="F86" s="22" t="str">
        <x:v>県立座間谷戸山公園</x:v>
      </x:c>
      <x:c r="G86" s="22" t="str">
        <x:v>七里ヶ浜海岸駐車場</x:v>
      </x:c>
      <x:c r="H86" s="22" t="str">
        <x:v>辻堂海浜公園</x:v>
      </x:c>
      <x:c r="I86" s="22" t="str">
        <x:v>220～300分</x:v>
      </x:c>
      <x:c r="J86" s="22" t="n">
        <x:v>2</x:v>
      </x:c>
      <x:c r="K86" s="22" t="str">
        <x:v>遊水地・谷戸山は昼限定。七里ヶ浜と辻堂の閉場時刻を優先。</x:v>
      </x:c>
      <x:c r="L86" s="95" t="e">
        <x:f>HYPERLINK("https://www.google.com/maps/dir/?api=1&amp;destination=%E8%BE%BB%E5%A0%82%E6%B5%B7%E6%B5%9C%E5%85%AC%E5%9C%92&amp;travelmode=driving&amp;waypoints=%E5%A2%83%E5%B7%9D%E9%81%8A%E6%B0%B4%E5%9C%B0%E5%85%AC%E5%9C%92%7C%E7%9C%8C%E7%AB%8B%E5%BA%A7%E9%96%93%E8%B0%B7%E6%88%B8%E5%B1%B1%E5%85%AC%E5%9C%92%7C%E4%B8%83%E9%87%8C%E3%83%B6%E6%B5%9C%E6%B5%B7%E5%B2%B8%E9%A7%90%E8%BB%8A%E5%A0%B4","現在地からルート開始")</x:f>
      </x:c>
      <x:c r="M86" s="22" t="str">
        <x:v>昼専用</x:v>
      </x:c>
      <x:c r="N86" s="22" t="n">
        <x:v>75</x:v>
      </x:c>
      <x:c r="O86" s="22" t="str">
        <x:v>維持</x:v>
      </x:c>
      <x:c r="P86" s="22" t="str">
        <x:v>境川遊水地公園 → 県立座間谷戸山公園 → 七里ヶ浜海岸駐車場 → 辻堂海浜公園 の順に、景観と滞在強度を変化させる。</x:v>
      </x:c>
      <x:c r="Q86" s="22"/>
      <x:c r="R86" s="23" t="n">
        <x:v>46232</x:v>
      </x:c>
      <x:c r="S86" s="22"/>
      <x:c r="T86" s="22"/>
      <x:c r="U86" s="22"/>
      <x:c r="V86" s="22"/>
      <x:c r="W86" s="22"/>
      <x:c r="X86" s="22"/>
      <x:c r="Y86" s="22" t="str">
        <x:v>東京港・水辺</x:v>
      </x:c>
      <x:c r="Z86" s="22"/>
    </x:row>
    <x:row r="87">
      <x:c r="A87" s="22" t="str">
        <x:v>R107</x:v>
      </x:c>
      <x:c r="B87" s="22" t="str">
        <x:v>東京湾東岸PAショート</x:v>
      </x:c>
      <x:c r="C87" s="22" t="str">
        <x:v>PA／海辺／湾岸</x:v>
      </x:c>
      <x:c r="D87" s="22" t="str">
        <x:v>現在地</x:v>
      </x:c>
      <x:c r="E87" s="22" t="str">
        <x:v>湾岸幕張PA（下り）</x:v>
      </x:c>
      <x:c r="F87" s="22" t="str">
        <x:v>高洲海浜公園</x:v>
      </x:c>
      <x:c r="G87" s="22" t="str">
        <x:v>葛西臨海公園</x:v>
      </x:c>
      <x:c r="H87" s="22" t="str">
        <x:v>若洲海浜公園</x:v>
      </x:c>
      <x:c r="I87" s="22" t="str">
        <x:v>160～230分</x:v>
      </x:c>
      <x:c r="J87" s="22" t="n">
        <x:v>4</x:v>
      </x:c>
      <x:c r="K87" s="22" t="str">
        <x:v>湾岸幕張は下り線限定。高速を降りた後は24時間駐車場中心で構成。</x:v>
      </x:c>
      <x:c r="L87" s="95" t="e">
        <x:f>HYPERLINK("https://www.google.com/maps/dir/?api=1&amp;destination=%E8%8B%A5%E6%B4%B2%E6%B5%B7%E6%B5%9C%E5%85%AC%E5%9C%92&amp;travelmode=driving&amp;waypoints=%E6%B9%BE%E5%B2%B8%E5%B9%95%E5%BC%B5PA%EF%BC%88%E4%B8%8B%E3%82%8A%EF%BC%89%7C%E9%AB%98%E6%B4%B2%E6%B5%B7%E6%B5%9C%E5%85%AC%E5%9C%92%7C%E8%91%9B%E8%A5%BF%E8%87%A8%E6%B5%B7%E5%85%AC%E5%9C%92","現在地からルート開始")</x:f>
      </x:c>
      <x:c r="M87" s="22" t="str">
        <x:v>高速方向制約</x:v>
      </x:c>
      <x:c r="N87" s="22" t="n">
        <x:v>89</x:v>
      </x:c>
      <x:c r="O87" s="22" t="str">
        <x:v>維持</x:v>
      </x:c>
      <x:c r="P87" s="22" t="str">
        <x:v>湾岸幕張PA（下り） → 高洲海浜公園 → 葛西臨海公園 → 若洲海浜公園 の順に、景観と滞在強度を変化させる。</x:v>
      </x:c>
      <x:c r="Q87" s="22"/>
      <x:c r="R87" s="23" t="n">
        <x:v>46232</x:v>
      </x:c>
      <x:c r="S87" s="22"/>
      <x:c r="T87" s="22"/>
      <x:c r="U87" s="22"/>
      <x:c r="V87" s="22"/>
      <x:c r="W87" s="22"/>
      <x:c r="X87" s="22"/>
      <x:c r="Y87" s="22" t="str">
        <x:v>東京港・水辺</x:v>
      </x:c>
      <x:c r="Z87" s="22"/>
    </x:row>
    <x:row r="88">
      <x:c r="A88" s="22" t="str">
        <x:v>R108</x:v>
      </x:c>
      <x:c r="B88" s="22" t="str">
        <x:v>海辺の建築三連</x:v>
      </x:c>
      <x:c r="C88" s="22" t="str">
        <x:v>美術館／灯台／歴史</x:v>
      </x:c>
      <x:c r="D88" s="22" t="str">
        <x:v>現在地</x:v>
      </x:c>
      <x:c r="E88" s="22" t="str">
        <x:v>神奈川県立近代美術館 葉山館</x:v>
      </x:c>
      <x:c r="F88" s="22" t="str">
        <x:v>横須賀美術館 海の広場</x:v>
      </x:c>
      <x:c r="G88" s="22" t="str">
        <x:v>観音埼灯台</x:v>
      </x:c>
      <x:c r="H88" s="22" t="str">
        <x:v>燈明堂緑地</x:v>
      </x:c>
      <x:c r="I88" s="22" t="str">
        <x:v>230～320分</x:v>
      </x:c>
      <x:c r="J88" s="22" t="n">
        <x:v>2</x:v>
      </x:c>
      <x:c r="K88" s="22" t="str">
        <x:v>入館・参観時刻が早いため午前開始。建築→灯台→江戸の航路標識へ時代を遡る。</x:v>
      </x:c>
      <x:c r="L88" s="95" t="e">
        <x:f>HYPERLINK("https://www.google.com/maps/dir/?api=1&amp;destination=%E7%87%88%E6%98%8E%E5%A0%82%E7%B7%91%E5%9C%B0&amp;travelmode=driving&amp;waypoints=%E7%A5%9E%E5%A5%88%E5%B7%9D%E7%9C%8C%E7%AB%8B%E8%BF%91%E4%BB%A3%E7%BE%8E%E8%A1%93%E9%A4%A8%20%E8%91%89%E5%B1%B1%E9%A4%A8%7C%E6%A8%AA%E9%A0%88%E8%B3%80%E7%BE%8E%E8%A1%93%E9%A4%A8%20%E6%B5%B7%E3%81%AE%E5%BA%83%E5%A0%B4%7C%E8%A6%B3%E9%9F%B3%E5%9F%BC%E7%81%AF%E5%8F%B0","現在地からルート開始")</x:f>
      </x:c>
      <x:c r="M88" s="22" t="str">
        <x:v>昼専用</x:v>
      </x:c>
      <x:c r="N88" s="22" t="n">
        <x:v>76</x:v>
      </x:c>
      <x:c r="O88" s="22" t="str">
        <x:v>維持</x:v>
      </x:c>
      <x:c r="P88" s="22" t="str">
        <x:v>神奈川県立近代美術館 葉山館 → 横須賀美術館 海の広場 → 観音埼灯台 → 燈明堂緑地 の順に、景観と滞在強度を変化させる。</x:v>
      </x:c>
      <x:c r="Q88" s="22"/>
      <x:c r="R88" s="23" t="n">
        <x:v>46232</x:v>
      </x:c>
      <x:c r="S88" s="22"/>
      <x:c r="T88" s="22"/>
      <x:c r="U88" s="22"/>
      <x:c r="V88" s="22"/>
      <x:c r="W88" s="22"/>
      <x:c r="X88" s="22"/>
      <x:c r="Y88" s="22" t="str">
        <x:v>Story・文化</x:v>
      </x:c>
      <x:c r="Z88" s="22"/>
    </x:row>
    <x:row r="89">
      <x:c r="A89" s="22" t="str">
        <x:v>R109</x:v>
      </x:c>
      <x:c r="B89" s="22" t="str">
        <x:v>成田A滑走路・低空進入線</x:v>
      </x:c>
      <x:c r="C89" s="22" t="str">
        <x:v>飛行機／芝生／空港</x:v>
      </x:c>
      <x:c r="D89" s="22" t="str">
        <x:v>現在地</x:v>
      </x:c>
      <x:c r="E89" s="22" t="str">
        <x:v>成田空港 第1ターミナル展望デッキ</x:v>
      </x:c>
      <x:c r="F89" s="22" t="str">
        <x:v>三里塚さくらの丘</x:v>
      </x:c>
      <x:c r="G89" s="22"/>
      <x:c r="H89" s="22" t="str">
        <x:v>ひこうきの丘</x:v>
      </x:c>
      <x:c r="I89" s="22" t="str">
        <x:v>260～340分</x:v>
      </x:c>
      <x:c r="J89" s="22" t="n">
        <x:v>5</x:v>
      </x:c>
      <x:c r="K89" s="22" t="str">
        <x:v>風向きで順序変更。ひこうきの丘の当日開放・交通規制を確認。</x:v>
      </x:c>
      <x:c r="L89" s="95" t="e">
        <x:f>HYPERLINK("https://www.google.com/maps/dir/?api=1&amp;destination=%E3%81%B2%E3%81%93%E3%81%86%E3%81%8D%E3%81%AE%E4%B8%98&amp;travelmode=driving&amp;waypoints=%E6%88%90%E7%94%B0%E7%A9%BA%E6%B8%AF%20%E7%AC%AC1%E3%82%BF%E3%83%BC%E3%83%9F%E3%83%8A%E3%83%AB%E5%B1%95%E6%9C%9B%E3%83%87%E3%83%83%E3%82%AD%7C%E4%B8%89%E9%87%8C%E5%A1%9A%E3%81%95%E3%81%8F%E3%82%89%E3%81%AE%E4%B8%98","現在地からルート開始")</x:f>
      </x:c>
      <x:c r="M89" s="22" t="str">
        <x:v>通常</x:v>
      </x:c>
      <x:c r="N89" s="22" t="n">
        <x:v>82</x:v>
      </x:c>
      <x:c r="O89" s="22" t="str">
        <x:v>維持</x:v>
      </x:c>
      <x:c r="P89" s="22" t="str">
        <x:v>成田空港 第1ターミナル展望デッキ → 三里塚さくらの丘 → ひこうきの丘 の順に、景観と滞在強度を変化させる。</x:v>
      </x:c>
      <x:c r="Q89" s="22"/>
      <x:c r="R89" s="23" t="n">
        <x:v>46232</x:v>
      </x:c>
      <x:c r="S89" s="22"/>
      <x:c r="T89" s="22"/>
      <x:c r="U89" s="22"/>
      <x:c r="V89" s="22"/>
      <x:c r="W89" s="22"/>
      <x:c r="X89" s="22"/>
      <x:c r="Y89" s="22" t="str">
        <x:v>羽田・航空</x:v>
      </x:c>
      <x:c r="Z89" s="22"/>
    </x:row>
    <x:row r="90">
      <x:c r="A90" s="22" t="str">
        <x:v>R110</x:v>
      </x:c>
      <x:c r="B90" s="22" t="str">
        <x:v>小田原・魚と花の終着</x:v>
      </x:c>
      <x:c r="C90" s="22" t="str">
        <x:v>漁港／植物園／相模湾</x:v>
      </x:c>
      <x:c r="D90" s="22" t="str">
        <x:v>現在地</x:v>
      </x:c>
      <x:c r="E90" s="22" t="str">
        <x:v>漁港の駅 TOTOCO小田原</x:v>
      </x:c>
      <x:c r="F90" s="22" t="str">
        <x:v>小田原城址公園</x:v>
      </x:c>
      <x:c r="G90" s="22"/>
      <x:c r="H90" s="22" t="str">
        <x:v>小田原フラワーガーデン</x:v>
      </x:c>
      <x:c r="I90" s="22" t="str">
        <x:v>250～330分</x:v>
      </x:c>
      <x:c r="J90" s="22" t="n">
        <x:v>1</x:v>
      </x:c>
      <x:c r="K90" s="22" t="str">
        <x:v>フラワーガーデン17時閉園のため午前開始。城址は周辺有料駐車場を利用。</x:v>
      </x:c>
      <x:c r="L90" s="95" t="e">
        <x:f>HYPERLINK("https://www.google.com/maps/dir/?api=1&amp;destination=%E5%B0%8F%E7%94%B0%E5%8E%9F%E3%83%95%E3%83%A9%E3%83%AF%E3%83%BC%E3%82%AC%E3%83%BC%E3%83%87%E3%83%B3&amp;travelmode=driving&amp;waypoints=%E6%BC%81%E6%B8%AF%E3%81%AE%E9%A7%85%20TOTOCO%E5%B0%8F%E7%94%B0%E5%8E%9F%7C%E5%B0%8F%E7%94%B0%E5%8E%9F%E5%9F%8E%E5%9D%80%E5%85%AC%E5%9C%92","現在地からルート開始")</x:f>
      </x:c>
      <x:c r="M90" s="22" t="str">
        <x:v>昼専用</x:v>
      </x:c>
      <x:c r="N90" s="22" t="n">
        <x:v>80</x:v>
      </x:c>
      <x:c r="O90" s="22" t="str">
        <x:v>維持</x:v>
      </x:c>
      <x:c r="P90" s="22" t="str">
        <x:v>漁港の駅 TOTOCO小田原 → 小田原城址公園 → 小田原フラワーガーデン の順に、景観と滞在強度を変化させる。</x:v>
      </x:c>
      <x:c r="Q90" s="22"/>
      <x:c r="R90" s="23" t="n">
        <x:v>46232</x:v>
      </x:c>
      <x:c r="S90" s="22"/>
      <x:c r="T90" s="22"/>
      <x:c r="U90" s="22"/>
      <x:c r="V90" s="22"/>
      <x:c r="W90" s="22"/>
      <x:c r="X90" s="22"/>
      <x:c r="Y90" s="22" t="str">
        <x:v>東京港・水辺</x:v>
      </x:c>
      <x:c r="Z90" s="22"/>
    </x:row>
    <x:row r="91">
      <x:c r="A91" s="22" t="str">
        <x:v>R111</x:v>
      </x:c>
      <x:c r="B91" s="22" t="str">
        <x:v>北条氏の城と漁港</x:v>
      </x:c>
      <x:c r="C91" s="22" t="str">
        <x:v>城址／戦国史／漁港</x:v>
      </x:c>
      <x:c r="D91" s="22" t="str">
        <x:v>現在地</x:v>
      </x:c>
      <x:c r="E91" s="22" t="str">
        <x:v>小田原城址公園</x:v>
      </x:c>
      <x:c r="F91" s="22" t="str">
        <x:v>石垣山一夜城歴史公園</x:v>
      </x:c>
      <x:c r="G91" s="22"/>
      <x:c r="H91" s="22" t="str">
        <x:v>漁港の駅 TOTOCO小田原</x:v>
      </x:c>
      <x:c r="I91" s="22" t="str">
        <x:v>250～340分</x:v>
      </x:c>
      <x:c r="J91" s="22" t="n">
        <x:v>2</x:v>
      </x:c>
      <x:c r="K91" s="22" t="str">
        <x:v>秀吉側と北条側の城を見た後、漁港の食で終える。TOTOCO17時前到着。</x:v>
      </x:c>
      <x:c r="L91" s="95" t="e">
        <x:f>HYPERLINK("https://www.google.com/maps/dir/?api=1&amp;destination=%E6%BC%81%E6%B8%AF%E3%81%AE%E9%A7%85%20TOTOCO%E5%B0%8F%E7%94%B0%E5%8E%9F&amp;travelmode=driving&amp;waypoints=%E5%B0%8F%E7%94%B0%E5%8E%9F%E5%9F%8E%E5%9D%80%E5%85%AC%E5%9C%92%7C%E7%9F%B3%E5%9E%A3%E5%B1%B1%E4%B8%80%E5%A4%9C%E5%9F%8E%E6%AD%B4%E5%8F%B2%E5%85%AC%E5%9C%92","現在地からルート開始")</x:f>
      </x:c>
      <x:c r="M91" s="22" t="str">
        <x:v>昼専用</x:v>
      </x:c>
      <x:c r="N91" s="22" t="n">
        <x:v>86</x:v>
      </x:c>
      <x:c r="O91" s="22" t="str">
        <x:v>維持</x:v>
      </x:c>
      <x:c r="P91" s="22" t="str">
        <x:v>小田原城址公園 → 石垣山一夜城歴史公園 → 漁港の駅 TOTOCO小田原 の順に、景観と滞在強度を変化させる。</x:v>
      </x:c>
      <x:c r="Q91" s="22"/>
      <x:c r="R91" s="23" t="n">
        <x:v>46232</x:v>
      </x:c>
      <x:c r="S91" s="22"/>
      <x:c r="T91" s="22"/>
      <x:c r="U91" s="22"/>
      <x:c r="V91" s="22"/>
      <x:c r="W91" s="22"/>
      <x:c r="X91" s="22"/>
      <x:c r="Y91" s="22" t="str">
        <x:v>東京港・水辺</x:v>
      </x:c>
      <x:c r="Z91" s="22"/>
    </x:row>
    <x:row r="92">
      <x:c r="A92" s="22" t="str">
        <x:v>R112</x:v>
      </x:c>
      <x:c r="B92" s="22" t="str">
        <x:v>本牧から金沢の緑へ</x:v>
      </x:c>
      <x:c r="C92" s="22" t="str">
        <x:v>日本庭園／丘陵／海辺</x:v>
      </x:c>
      <x:c r="D92" s="22" t="str">
        <x:v>現在地</x:v>
      </x:c>
      <x:c r="E92" s="22" t="str">
        <x:v>三溪園</x:v>
      </x:c>
      <x:c r="F92" s="22" t="str">
        <x:v>金沢自然公園</x:v>
      </x:c>
      <x:c r="G92" s="22"/>
      <x:c r="H92" s="22" t="str">
        <x:v>小柴自然公園</x:v>
      </x:c>
      <x:c r="I92" s="22" t="str">
        <x:v>190～260分</x:v>
      </x:c>
      <x:c r="J92" s="22" t="n">
        <x:v>2</x:v>
      </x:c>
      <x:c r="K92" s="22" t="str">
        <x:v>三溪園・金沢自然公園の閉場を優先。最後を24時間駐車の小柴へ移す。</x:v>
      </x:c>
      <x:c r="L92" s="95" t="e">
        <x:f>HYPERLINK("https://www.google.com/maps/dir/?api=1&amp;destination=%E5%B0%8F%E6%9F%B4%E8%87%AA%E7%84%B6%E5%85%AC%E5%9C%92&amp;travelmode=driving&amp;waypoints=%E4%B8%89%E6%BA%AA%E5%9C%92%7C%E9%87%91%E6%B2%A2%E8%87%AA%E7%84%B6%E5%85%AC%E5%9C%92","現在地からルート開始")</x:f>
      </x:c>
      <x:c r="M92" s="22" t="str">
        <x:v>昼専用</x:v>
      </x:c>
      <x:c r="N92" s="22" t="n">
        <x:v>80</x:v>
      </x:c>
      <x:c r="O92" s="22" t="str">
        <x:v>維持</x:v>
      </x:c>
      <x:c r="P92" s="22" t="str">
        <x:v>三溪園 → 金沢自然公園 → 小柴自然公園 の順に、景観と滞在強度を変化させる。</x:v>
      </x:c>
      <x:c r="Q92" s="22"/>
      <x:c r="R92" s="23" t="n">
        <x:v>46232</x:v>
      </x:c>
      <x:c r="S92" s="22"/>
      <x:c r="T92" s="22"/>
      <x:c r="U92" s="22"/>
      <x:c r="V92" s="22"/>
      <x:c r="W92" s="22"/>
      <x:c r="X92" s="22"/>
      <x:c r="Y92" s="22" t="str">
        <x:v>東京港・水辺</x:v>
      </x:c>
      <x:c r="Z92" s="22"/>
    </x:row>
    <x:row r="93">
      <x:c r="A93" s="22" t="str">
        <x:v>R114</x:v>
      </x:c>
      <x:c r="B93" s="22" t="str">
        <x:v>大宮・鉄道と県営公園</x:v>
      </x:c>
      <x:c r="C93" s="22" t="str">
        <x:v>鉄道／歴史公園／夜間</x:v>
      </x:c>
      <x:c r="D93" s="22" t="str">
        <x:v>現在地</x:v>
      </x:c>
      <x:c r="E93" s="22" t="str">
        <x:v>鉄道博物館</x:v>
      </x:c>
      <x:c r="F93" s="22" t="str">
        <x:v>大宮公園</x:v>
      </x:c>
      <x:c r="G93" s="22"/>
      <x:c r="H93" s="22" t="str">
        <x:v>和光樹林公園</x:v>
      </x:c>
      <x:c r="I93" s="22" t="str">
        <x:v>190～260分</x:v>
      </x:c>
      <x:c r="J93" s="22" t="n">
        <x:v>3</x:v>
      </x:c>
      <x:c r="K93" s="22" t="str">
        <x:v>鉄道博物館17時閉館。最後は中央駐車場23:30までの和光樹林へ。</x:v>
      </x:c>
      <x:c r="L93" s="95" t="e">
        <x:f>HYPERLINK("https://www.google.com/maps/dir/?api=1&amp;destination=%E5%92%8C%E5%85%89%E6%A8%B9%E6%9E%97%E5%85%AC%E5%9C%92&amp;travelmode=driving&amp;waypoints=%E9%89%84%E9%81%93%E5%8D%9A%E7%89%A9%E9%A4%A8%7C%E5%A4%A7%E5%AE%AE%E5%85%AC%E5%9C%92","現在地からルート開始")</x:f>
      </x:c>
      <x:c r="M93" s="22" t="str">
        <x:v>通常</x:v>
      </x:c>
      <x:c r="N93" s="22" t="n">
        <x:v>82</x:v>
      </x:c>
      <x:c r="O93" s="22" t="str">
        <x:v>維持</x:v>
      </x:c>
      <x:c r="P93" s="22" t="str">
        <x:v>鉄道博物館 → 大宮公園 → 和光樹林公園 の順に、景観と滞在強度を変化させる。</x:v>
      </x:c>
      <x:c r="Q93" s="22"/>
      <x:c r="R93" s="23" t="n">
        <x:v>46232</x:v>
      </x:c>
      <x:c r="S93" s="22"/>
      <x:c r="T93" s="22"/>
      <x:c r="U93" s="22"/>
      <x:c r="V93" s="22"/>
      <x:c r="W93" s="22"/>
      <x:c r="X93" s="22"/>
      <x:c r="Y93" s="22" t="str">
        <x:v>Story・文化</x:v>
      </x:c>
      <x:c r="Z93" s="22"/>
    </x:row>
    <x:row r="94">
      <x:c r="A94" s="22" t="str">
        <x:v>R115</x:v>
      </x:c>
      <x:c r="B94" s="22" t="str">
        <x:v>川越から大宮の水と森</x:v>
      </x:c>
      <x:c r="C94" s="22" t="str">
        <x:v>水上公園／歴史公園／樹林</x:v>
      </x:c>
      <x:c r="D94" s="22" t="str">
        <x:v>現在地</x:v>
      </x:c>
      <x:c r="E94" s="22" t="str">
        <x:v>川越水上公園</x:v>
      </x:c>
      <x:c r="F94" s="22" t="str">
        <x:v>大宮公園</x:v>
      </x:c>
      <x:c r="G94" s="22"/>
      <x:c r="H94" s="22" t="str">
        <x:v>和光樹林公園</x:v>
      </x:c>
      <x:c r="I94" s="22" t="str">
        <x:v>220～300分</x:v>
      </x:c>
      <x:c r="J94" s="22" t="n">
        <x:v>4</x:v>
      </x:c>
      <x:c r="K94" s="22" t="str">
        <x:v>川越公園は0:30～5:00正門閉鎖。イベント日は大宮公園を省略。</x:v>
      </x:c>
      <x:c r="L94" s="95" t="e">
        <x:f>HYPERLINK("https://www.google.com/maps/dir/?api=1&amp;destination=%E5%92%8C%E5%85%89%E6%A8%B9%E6%9E%97%E5%85%AC%E5%9C%92&amp;travelmode=driving&amp;waypoints=%E5%B7%9D%E8%B6%8A%E6%B0%B4%E4%B8%8A%E5%85%AC%E5%9C%92%7C%E5%A4%A7%E5%AE%AE%E5%85%AC%E5%9C%92","現在地からルート開始")</x:f>
      </x:c>
      <x:c r="M94" s="22" t="str">
        <x:v>通常</x:v>
      </x:c>
      <x:c r="N94" s="22" t="n">
        <x:v>81</x:v>
      </x:c>
      <x:c r="O94" s="22" t="str">
        <x:v>維持</x:v>
      </x:c>
      <x:c r="P94" s="22" t="str">
        <x:v>川越水上公園 → 大宮公園 → 和光樹林公園 の順に、景観と滞在強度を変化させる。</x:v>
      </x:c>
      <x:c r="Q94" s="22"/>
      <x:c r="R94" s="23" t="n">
        <x:v>46232</x:v>
      </x:c>
      <x:c r="S94" s="22"/>
      <x:c r="T94" s="22"/>
      <x:c r="U94" s="22"/>
      <x:c r="V94" s="22"/>
      <x:c r="W94" s="22"/>
      <x:c r="X94" s="22"/>
      <x:c r="Y94" s="22" t="str">
        <x:v>Story・文化</x:v>
      </x:c>
      <x:c r="Z94" s="22"/>
    </x:row>
    <x:row r="95">
      <x:c r="A95" s="22" t="str">
        <x:v>R116</x:v>
      </x:c>
      <x:c r="B95" s="22" t="str">
        <x:v>八王子・二つの土の城</x:v>
      </x:c>
      <x:c r="C95" s="22" t="str">
        <x:v>山城／空堀／道の駅</x:v>
      </x:c>
      <x:c r="D95" s="22" t="str">
        <x:v>現在地</x:v>
      </x:c>
      <x:c r="E95" s="22" t="str">
        <x:v>滝山城跡</x:v>
      </x:c>
      <x:c r="F95" s="22" t="str">
        <x:v>片倉城跡公園</x:v>
      </x:c>
      <x:c r="G95" s="22"/>
      <x:c r="H95" s="22" t="str">
        <x:v>道の駅 八王子滝山</x:v>
      </x:c>
      <x:c r="I95" s="22" t="str">
        <x:v>210～290分</x:v>
      </x:c>
      <x:c r="J95" s="22" t="n">
        <x:v>2</x:v>
      </x:c>
      <x:c r="K95" s="22" t="str">
        <x:v>滝山城駐車場の季節閉場時刻を厳守。夜は道の駅で終了。</x:v>
      </x:c>
      <x:c r="L95" s="95" t="e">
        <x:f>HYPERLINK("https://www.google.com/maps/dir/?api=1&amp;destination=%E9%81%93%E3%81%AE%E9%A7%85%20%E5%85%AB%E7%8E%8B%E5%AD%90%E6%BB%9D%E5%B1%B1&amp;travelmode=driving&amp;waypoints=%E6%BB%9D%E5%B1%B1%E5%9F%8E%E8%B7%A1%7C%E7%89%87%E5%80%89%E5%9F%8E%E8%B7%A1%E5%85%AC%E5%9C%92","現在地からルート開始")</x:f>
      </x:c>
      <x:c r="M95" s="22" t="str">
        <x:v>昼専用</x:v>
      </x:c>
      <x:c r="N95" s="22" t="n">
        <x:v>79</x:v>
      </x:c>
      <x:c r="O95" s="22" t="str">
        <x:v>維持</x:v>
      </x:c>
      <x:c r="P95" s="22" t="str">
        <x:v>滝山城跡 → 片倉城跡公園 → 道の駅 八王子滝山 の順に、景観と滞在強度を変化させる。</x:v>
      </x:c>
      <x:c r="Q95" s="22"/>
      <x:c r="R95" s="23" t="n">
        <x:v>46232</x:v>
      </x:c>
      <x:c r="S95" s="22"/>
      <x:c r="T95" s="22"/>
      <x:c r="U95" s="22"/>
      <x:c r="V95" s="22"/>
      <x:c r="W95" s="22"/>
      <x:c r="X95" s="22"/>
      <x:c r="Y95" s="22" t="str">
        <x:v>都市公園・休憩</x:v>
      </x:c>
      <x:c r="Z95" s="22"/>
    </x:row>
    <x:row r="96">
      <x:c r="A96" s="22" t="str">
        <x:v>R117</x:v>
      </x:c>
      <x:c r="B96" s="22" t="str">
        <x:v>相模川・八方除と高台</x:v>
      </x:c>
      <x:c r="C96" s="22" t="str">
        <x:v>河川／神社／防災</x:v>
      </x:c>
      <x:c r="D96" s="22" t="str">
        <x:v>現在地</x:v>
      </x:c>
      <x:c r="E96" s="22" t="str">
        <x:v>県立相模三川公園</x:v>
      </x:c>
      <x:c r="F96" s="22" t="str">
        <x:v>寒川神社</x:v>
      </x:c>
      <x:c r="G96" s="22"/>
      <x:c r="H96" s="22" t="str">
        <x:v>ぼうさいの丘公園</x:v>
      </x:c>
      <x:c r="I96" s="22" t="str">
        <x:v>180～250分</x:v>
      </x:c>
      <x:c r="J96" s="22" t="n">
        <x:v>3</x:v>
      </x:c>
      <x:c r="K96" s="22" t="str">
        <x:v>三川公園17時閉場。寒川神社は日没前、最後は21時までの高台へ。</x:v>
      </x:c>
      <x:c r="L96" s="95" t="e">
        <x:f>HYPERLINK("https://www.google.com/maps/dir/?api=1&amp;destination=%E3%81%BC%E3%81%86%E3%81%95%E3%81%84%E3%81%AE%E4%B8%98%E5%85%AC%E5%9C%92&amp;travelmode=driving&amp;waypoints=%E7%9C%8C%E7%AB%8B%E7%9B%B8%E6%A8%A1%E4%B8%89%E5%B7%9D%E5%85%AC%E5%9C%92%7C%E5%AF%92%E5%B7%9D%E7%A5%9E%E7%A4%BE","現在地からルート開始")</x:f>
      </x:c>
      <x:c r="M96" s="22" t="str">
        <x:v>通常</x:v>
      </x:c>
      <x:c r="N96" s="22" t="n">
        <x:v>78</x:v>
      </x:c>
      <x:c r="O96" s="22" t="str">
        <x:v>維持</x:v>
      </x:c>
      <x:c r="P96" s="22" t="str">
        <x:v>県立相模三川公園 → 寒川神社 → ぼうさいの丘公園 の順に、景観と滞在強度を変化させる。</x:v>
      </x:c>
      <x:c r="Q96" s="22"/>
      <x:c r="R96" s="23" t="n">
        <x:v>46232</x:v>
      </x:c>
      <x:c r="S96" s="22"/>
      <x:c r="T96" s="22"/>
      <x:c r="U96" s="22"/>
      <x:c r="V96" s="22"/>
      <x:c r="W96" s="22"/>
      <x:c r="X96" s="22"/>
      <x:c r="Y96" s="22" t="str">
        <x:v>河川・多摩川</x:v>
      </x:c>
      <x:c r="Z96" s="22"/>
    </x:row>
    <x:row r="97">
      <x:c r="A97" s="22" t="str">
        <x:v>R118</x:v>
      </x:c>
      <x:c r="B97" s="22" t="str">
        <x:v>相模原・展望と防災</x:v>
      </x:c>
      <x:c r="C97" s="22" t="str">
        <x:v>展望塔／防災／24時間駐車</x:v>
      </x:c>
      <x:c r="D97" s="22" t="str">
        <x:v>現在地</x:v>
      </x:c>
      <x:c r="E97" s="22" t="str">
        <x:v>相模原麻溝公園</x:v>
      </x:c>
      <x:c r="F97" s="22" t="str">
        <x:v>ぼうさいの丘公園</x:v>
      </x:c>
      <x:c r="G97" s="22"/>
      <x:c r="H97" s="22" t="str">
        <x:v>F・マリノス 成城石井パーク（大和ゆとりの森）</x:v>
      </x:c>
      <x:c r="I97" s="22" t="str">
        <x:v>170～230分</x:v>
      </x:c>
      <x:c r="J97" s="22" t="n">
        <x:v>4</x:v>
      </x:c>
      <x:c r="K97" s="22" t="str">
        <x:v>展望塔は日中。ぼうさいの丘21時後は直接ゆとりの森へ。</x:v>
      </x:c>
      <x:c r="L97" s="95" t="e">
        <x:f>HYPERLINK("https://www.google.com/maps/dir/?api=1&amp;destination=F%E3%83%BB%E3%83%9E%E3%83%AA%E3%83%8E%E3%82%B9%20%E6%88%90%E5%9F%8E%E7%9F%B3%E4%BA%95%E3%83%91%E3%83%BC%E3%82%AF%EF%BC%88%E5%A4%A7%E5%92%8C%E3%82%86%E3%81%A8%E3%82%8A%E3%81%AE%E6%A3%AE%EF%BC%89&amp;travelmode=driving&amp;waypoints=%E7%9B%B8%E6%A8%A1%E5%8E%9F%E9%BA%BB%E6%BA%9D%E5%85%AC%E5%9C%92%7C%E3%81%BC%E3%81%86%E3%81%95%E3%81%84%E3%81%AE%E4%B8%98%E5%85%AC%E5%9C%92","現在地からルート開始")</x:f>
      </x:c>
      <x:c r="M97" s="22" t="str">
        <x:v>通常</x:v>
      </x:c>
      <x:c r="N97" s="22" t="n">
        <x:v>83</x:v>
      </x:c>
      <x:c r="O97" s="22" t="str">
        <x:v>維持</x:v>
      </x:c>
      <x:c r="P97" s="22" t="str">
        <x:v>相模原麻溝公園 → ぼうさいの丘公園 → F・マリノス 成城石井パーク（大和ゆとりの森） の順に、景観と滞在強度を変化させる。</x:v>
      </x:c>
      <x:c r="Q97" s="22"/>
      <x:c r="R97" s="23" t="n">
        <x:v>46232</x:v>
      </x:c>
      <x:c r="S97" s="22"/>
      <x:c r="T97" s="22"/>
      <x:c r="U97" s="22"/>
      <x:c r="V97" s="22"/>
      <x:c r="W97" s="22"/>
      <x:c r="X97" s="22"/>
      <x:c r="Y97" s="22" t="str">
        <x:v>都市公園・休憩</x:v>
      </x:c>
      <x:c r="Z97" s="22"/>
    </x:row>
    <x:row r="98">
      <x:c r="A98" s="22" t="str">
        <x:v>R120</x:v>
      </x:c>
      <x:c r="B98" s="22" t="str">
        <x:v>大田区から小田原へ物語をつなぐ</x:v>
      </x:c>
      <x:c r="C98" s="22" t="str">
        <x:v>洋館／神社／漁港</x:v>
      </x:c>
      <x:c r="D98" s="22" t="str">
        <x:v>現在地</x:v>
      </x:c>
      <x:c r="E98" s="22" t="str">
        <x:v>俣野別邸庭園</x:v>
      </x:c>
      <x:c r="F98" s="22" t="str">
        <x:v>寒川神社</x:v>
      </x:c>
      <x:c r="G98" s="22"/>
      <x:c r="H98" s="22" t="str">
        <x:v>漁港の駅 TOTOCO小田原</x:v>
      </x:c>
      <x:c r="I98" s="22" t="str">
        <x:v>240～330分</x:v>
      </x:c>
      <x:c r="J98" s="22" t="n">
        <x:v>2</x:v>
      </x:c>
      <x:c r="K98" s="22" t="str">
        <x:v>俣野別邸とTOTOCOの営業時間がHard Gate。圏央道・西湘方面の渋滞を考慮。</x:v>
      </x:c>
      <x:c r="L98" s="95" t="e">
        <x:f>HYPERLINK("https://www.google.com/maps/dir/?api=1&amp;destination=%E6%BC%81%E6%B8%AF%E3%81%AE%E9%A7%85%20TOTOCO%E5%B0%8F%E7%94%B0%E5%8E%9F&amp;travelmode=driving&amp;waypoints=%E4%BF%A3%E9%87%8E%E5%88%A5%E9%82%B8%E5%BA%AD%E5%9C%92%7C%E5%AF%92%E5%B7%9D%E7%A5%9E%E7%A4%BE","現在地からルート開始")</x:f>
      </x:c>
      <x:c r="M98" s="22" t="str">
        <x:v>昼専用</x:v>
      </x:c>
      <x:c r="N98" s="22" t="n">
        <x:v>76</x:v>
      </x:c>
      <x:c r="O98" s="22" t="str">
        <x:v>維持</x:v>
      </x:c>
      <x:c r="P98" s="22" t="str">
        <x:v>俣野別邸庭園 → 寒川神社 → 漁港の駅 TOTOCO小田原 の順に、景観と滞在強度を変化させる。</x:v>
      </x:c>
      <x:c r="Q98" s="22"/>
      <x:c r="R98" s="23" t="n">
        <x:v>46232</x:v>
      </x:c>
      <x:c r="S98" s="22"/>
      <x:c r="T98" s="22"/>
      <x:c r="U98" s="22"/>
      <x:c r="V98" s="22"/>
      <x:c r="W98" s="22"/>
      <x:c r="X98" s="22"/>
      <x:c r="Y98" s="22" t="str">
        <x:v>東京港・水辺</x:v>
      </x:c>
      <x:c r="Z98" s="22"/>
    </x:row>
    <x:row r="99">
      <x:c r="A99" s="22" t="str">
        <x:v>R122</x:v>
      </x:c>
      <x:c r="B99" s="22" t="str">
        <x:v>多摩丘陵・戦車道路Story</x:v>
      </x:c>
      <x:c r="C99" s="22" t="str">
        <x:v>旧軍用地／尾根／里山</x:v>
      </x:c>
      <x:c r="D99" s="22" t="str">
        <x:v>現在地</x:v>
      </x:c>
      <x:c r="E99" s="22" t="str">
        <x:v>小山内裏公園</x:v>
      </x:c>
      <x:c r="F99" s="22" t="str">
        <x:v>長池公園</x:v>
      </x:c>
      <x:c r="G99" s="22"/>
      <x:c r="H99" s="22" t="str">
        <x:v>こどもの国</x:v>
      </x:c>
      <x:c r="I99" s="22" t="str">
        <x:v>200～280分</x:v>
      </x:c>
      <x:c r="J99" s="22" t="n">
        <x:v>1</x:v>
      </x:c>
      <x:c r="K99" s="22" t="str">
        <x:v>全地点17時前後で閉鎖。午前開始し、こどもの国の最終入場時刻を優先。</x:v>
      </x:c>
      <x:c r="L99" s="95" t="e">
        <x:f>HYPERLINK("https://www.google.com/maps/dir/?api=1&amp;destination=%E3%81%93%E3%81%A9%E3%82%82%E3%81%AE%E5%9B%BD&amp;travelmode=driving&amp;waypoints=%E5%B0%8F%E5%B1%B1%E5%86%85%E8%A3%8F%E5%85%AC%E5%9C%92%7C%E9%95%B7%E6%B1%A0%E5%85%AC%E5%9C%92","現在地からルート開始")</x:f>
      </x:c>
      <x:c r="M99" s="22" t="str">
        <x:v>昼専用</x:v>
      </x:c>
      <x:c r="N99" s="22" t="n">
        <x:v>82</x:v>
      </x:c>
      <x:c r="O99" s="22" t="str">
        <x:v>維持</x:v>
      </x:c>
      <x:c r="P99" s="22" t="str">
        <x:v>小山内裏公園 → 長池公園 → こどもの国 の順に、景観と滞在強度を変化させる。</x:v>
      </x:c>
      <x:c r="Q99" s="22"/>
      <x:c r="R99" s="23" t="n">
        <x:v>46232</x:v>
      </x:c>
      <x:c r="S99" s="22"/>
      <x:c r="T99" s="22"/>
      <x:c r="U99" s="22"/>
      <x:c r="V99" s="22"/>
      <x:c r="W99" s="22"/>
      <x:c r="X99" s="22"/>
      <x:c r="Y99" s="22" t="str">
        <x:v>森林・高台</x:v>
      </x:c>
      <x:c r="Z99" s="22"/>
    </x:row>
    <x:row r="100">
      <x:c r="A100" s="22" t="str">
        <x:v>R123</x:v>
      </x:c>
      <x:c r="B100" s="22" t="str">
        <x:v>横浜西部・大池と丘陵</x:v>
      </x:c>
      <x:c r="C100" s="22" t="str">
        <x:v>谷戸／池／丘陵</x:v>
      </x:c>
      <x:c r="D100" s="22" t="str">
        <x:v>現在地</x:v>
      </x:c>
      <x:c r="E100" s="22" t="str">
        <x:v>こども自然公園</x:v>
      </x:c>
      <x:c r="F100" s="22" t="str">
        <x:v>こどもの国</x:v>
      </x:c>
      <x:c r="G100" s="22"/>
      <x:c r="H100" s="22" t="str">
        <x:v>県立東高根森林公園</x:v>
      </x:c>
      <x:c r="I100" s="22" t="str">
        <x:v>170～240分</x:v>
      </x:c>
      <x:c r="J100" s="22" t="n">
        <x:v>2</x:v>
      </x:c>
      <x:c r="K100" s="22" t="str">
        <x:v>こどもの国の入場締切がHard Gate。東高根19時閉場。</x:v>
      </x:c>
      <x:c r="L100" s="95" t="e">
        <x:f>HYPERLINK("https://www.google.com/maps/dir/?api=1&amp;destination=%E7%9C%8C%E7%AB%8B%E6%9D%B1%E9%AB%98%E6%A0%B9%E6%A3%AE%E6%9E%97%E5%85%AC%E5%9C%92&amp;travelmode=driving&amp;waypoints=%E3%81%93%E3%81%A9%E3%82%82%E8%87%AA%E7%84%B6%E5%85%AC%E5%9C%92%7C%E3%81%93%E3%81%A9%E3%82%82%E3%81%AE%E5%9B%BD","現在地からルート開始")</x:f>
      </x:c>
      <x:c r="M100" s="22" t="str">
        <x:v>昼専用</x:v>
      </x:c>
      <x:c r="N100" s="22" t="n">
        <x:v>78</x:v>
      </x:c>
      <x:c r="O100" s="22" t="str">
        <x:v>維持</x:v>
      </x:c>
      <x:c r="P100" s="22" t="str">
        <x:v>こども自然公園 → こどもの国 → 県立東高根森林公園 の順に、景観と滞在強度を変化させる。</x:v>
      </x:c>
      <x:c r="Q100" s="22"/>
      <x:c r="R100" s="23" t="n">
        <x:v>46232</x:v>
      </x:c>
      <x:c r="S100" s="22"/>
      <x:c r="T100" s="22"/>
      <x:c r="U100" s="22"/>
      <x:c r="V100" s="22"/>
      <x:c r="W100" s="22"/>
      <x:c r="X100" s="22"/>
      <x:c r="Y100" s="22" t="str">
        <x:v>森林・高台</x:v>
      </x:c>
      <x:c r="Z100" s="22"/>
    </x:row>
    <x:row r="101">
      <x:c r="A101" s="22" t="str">
        <x:v>R124</x:v>
      </x:c>
      <x:c r="B101" s="22" t="str">
        <x:v>湘南二宮・二つの丘</x:v>
      </x:c>
      <x:c r="C101" s="22" t="str">
        <x:v>花／高台／富士山</x:v>
      </x:c>
      <x:c r="D101" s="22" t="str">
        <x:v>現在地</x:v>
      </x:c>
      <x:c r="E101" s="22" t="str">
        <x:v>ラディアン花の丘公園</x:v>
      </x:c>
      <x:c r="F101" s="22" t="str">
        <x:v>吾妻山公園</x:v>
      </x:c>
      <x:c r="G101" s="22"/>
      <x:c r="H101" s="22" t="str">
        <x:v>大磯城山公園</x:v>
      </x:c>
      <x:c r="I101" s="22" t="str">
        <x:v>190～260分</x:v>
      </x:c>
      <x:c r="J101" s="22" t="n">
        <x:v>1</x:v>
      </x:c>
      <x:c r="K101" s="22" t="str">
        <x:v>徒歩登頂時間を含む。全地点昼専用。</x:v>
      </x:c>
      <x:c r="L101" s="95" t="e">
        <x:f>HYPERLINK("https://www.google.com/maps/dir/?api=1&amp;destination=%E5%A4%A7%E7%A3%AF%E5%9F%8E%E5%B1%B1%E5%85%AC%E5%9C%92&amp;travelmode=driving&amp;waypoints=%E3%83%A9%E3%83%87%E3%82%A3%E3%82%A2%E3%83%B3%E8%8A%B1%E3%81%AE%E4%B8%98%E5%85%AC%E5%9C%92%7C%E5%90%BE%E5%A6%BB%E5%B1%B1%E5%85%AC%E5%9C%92","現在地からルート開始")</x:f>
      </x:c>
      <x:c r="M101" s="22" t="str">
        <x:v>昼専用</x:v>
      </x:c>
      <x:c r="N101" s="22" t="n">
        <x:v>80</x:v>
      </x:c>
      <x:c r="O101" s="22" t="str">
        <x:v>維持</x:v>
      </x:c>
      <x:c r="P101" s="22" t="str">
        <x:v>ラディアン花の丘公園 → 吾妻山公園 → 大磯城山公園 の順に、景観と滞在強度を変化させる。</x:v>
      </x:c>
      <x:c r="Q101" s="22"/>
      <x:c r="R101" s="23" t="n">
        <x:v>46232</x:v>
      </x:c>
      <x:c r="S101" s="22"/>
      <x:c r="T101" s="22"/>
      <x:c r="U101" s="22"/>
      <x:c r="V101" s="22"/>
      <x:c r="W101" s="22"/>
      <x:c r="X101" s="22"/>
      <x:c r="Y101" s="22" t="str">
        <x:v>森林・高台</x:v>
      </x:c>
      <x:c r="Z101" s="22"/>
    </x:row>
    <x:row r="102">
      <x:c r="A102" s="22" t="str">
        <x:v>R125</x:v>
      </x:c>
      <x:c r="B102" s="22" t="str">
        <x:v>足柄高台と金太郎帰路</x:v>
      </x:c>
      <x:c r="C102" s="22" t="str">
        <x:v>高台／富士山／道の駅</x:v>
      </x:c>
      <x:c r="D102" s="22" t="str">
        <x:v>現在地</x:v>
      </x:c>
      <x:c r="E102" s="22" t="str">
        <x:v>西平畑公園</x:v>
      </x:c>
      <x:c r="F102" s="22" t="str">
        <x:v>弘法山公園</x:v>
      </x:c>
      <x:c r="G102" s="22"/>
      <x:c r="H102" s="22" t="str">
        <x:v>道の駅 足柄・金太郎のふるさと</x:v>
      </x:c>
      <x:c r="I102" s="22" t="str">
        <x:v>230～310分</x:v>
      </x:c>
      <x:c r="J102" s="22" t="n">
        <x:v>3</x:v>
      </x:c>
      <x:c r="K102" s="22" t="str">
        <x:v>公園閉場前に回り、最後を24時間駐車の道の駅にする。</x:v>
      </x:c>
      <x:c r="L102" s="95" t="e">
        <x:f>HYPERLINK("https://www.google.com/maps/dir/?api=1&amp;destination=%E9%81%93%E3%81%AE%E9%A7%85%20%E8%B6%B3%E6%9F%84%E3%83%BB%E9%87%91%E5%A4%AA%E9%83%8E%E3%81%AE%E3%81%B5%E3%82%8B%E3%81%95%E3%81%A8&amp;travelmode=driving&amp;waypoints=%E8%A5%BF%E5%B9%B3%E7%95%91%E5%85%AC%E5%9C%92%7C%E5%BC%98%E6%B3%95%E5%B1%B1%E5%85%AC%E5%9C%92","現在地からルート開始")</x:f>
      </x:c>
      <x:c r="M102" s="22" t="str">
        <x:v>通常</x:v>
      </x:c>
      <x:c r="N102" s="22" t="n">
        <x:v>81</x:v>
      </x:c>
      <x:c r="O102" s="22" t="str">
        <x:v>維持</x:v>
      </x:c>
      <x:c r="P102" s="22" t="str">
        <x:v>西平畑公園 → 弘法山公園 → 道の駅 足柄・金太郎のふるさと の順に、景観と滞在強度を変化させる。</x:v>
      </x:c>
      <x:c r="Q102" s="22"/>
      <x:c r="R102" s="23" t="n">
        <x:v>46232</x:v>
      </x:c>
      <x:c r="S102" s="22"/>
      <x:c r="T102" s="22"/>
      <x:c r="U102" s="22"/>
      <x:c r="V102" s="22"/>
      <x:c r="W102" s="22"/>
      <x:c r="X102" s="22"/>
      <x:c r="Y102" s="22" t="str">
        <x:v>森林・高台</x:v>
      </x:c>
      <x:c r="Z102" s="22"/>
    </x:row>
    <x:row r="103">
      <x:c r="A103" s="22" t="str">
        <x:v>R126</x:v>
      </x:c>
      <x:c r="B103" s="22" t="str">
        <x:v>入間・飛行場跡公園線</x:v>
      </x:c>
      <x:c r="C103" s="22" t="str">
        <x:v>旧飛行場／芝生／防災</x:v>
      </x:c>
      <x:c r="D103" s="22" t="str">
        <x:v>現在地</x:v>
      </x:c>
      <x:c r="E103" s="22" t="str">
        <x:v>狭山稲荷山公園</x:v>
      </x:c>
      <x:c r="F103" s="22" t="str">
        <x:v>彩の森入間公園</x:v>
      </x:c>
      <x:c r="G103" s="22"/>
      <x:c r="H103" s="22" t="str">
        <x:v>智光山公園</x:v>
      </x:c>
      <x:c r="I103" s="22" t="str">
        <x:v>210～280分</x:v>
      </x:c>
      <x:c r="J103" s="22" t="n">
        <x:v>2</x:v>
      </x:c>
      <x:c r="K103" s="22" t="str">
        <x:v>入間基地イベント日は中止。智光山は利用する駐車場の時間を確認。</x:v>
      </x:c>
      <x:c r="L103" s="95" t="e">
        <x:f>HYPERLINK("https://www.google.com/maps/dir/?api=1&amp;destination=%E6%99%BA%E5%85%89%E5%B1%B1%E5%85%AC%E5%9C%92&amp;travelmode=driving&amp;waypoints=%E7%8B%AD%E5%B1%B1%E7%A8%B2%E8%8D%B7%E5%B1%B1%E5%85%AC%E5%9C%92%7C%E5%BD%A9%E3%81%AE%E6%A3%AE%E5%85%A5%E9%96%93%E5%85%AC%E5%9C%92","現在地からルート開始")</x:f>
      </x:c>
      <x:c r="M103" s="22" t="str">
        <x:v>昼専用</x:v>
      </x:c>
      <x:c r="N103" s="22" t="n">
        <x:v>83</x:v>
      </x:c>
      <x:c r="O103" s="22" t="str">
        <x:v>維持</x:v>
      </x:c>
      <x:c r="P103" s="22" t="str">
        <x:v>狭山稲荷山公園 → 彩の森入間公園 → 智光山公園 の順に、景観と滞在強度を変化させる。</x:v>
      </x:c>
      <x:c r="Q103" s="22"/>
      <x:c r="R103" s="23" t="n">
        <x:v>46232</x:v>
      </x:c>
      <x:c r="S103" s="22"/>
      <x:c r="T103" s="22"/>
      <x:c r="U103" s="22"/>
      <x:c r="V103" s="22"/>
      <x:c r="W103" s="22"/>
      <x:c r="X103" s="22"/>
      <x:c r="Y103" s="22" t="str">
        <x:v>羽田・航空</x:v>
      </x:c>
      <x:c r="Z103" s="22"/>
    </x:row>
    <x:row r="104">
      <x:c r="A104" s="22" t="str">
        <x:v>R127</x:v>
      </x:c>
      <x:c r="B104" s="22" t="str">
        <x:v>国分寺崖線・湧水Story</x:v>
      </x:c>
      <x:c r="C104" s="22" t="str">
        <x:v>湧水／古代史／24時間</x:v>
      </x:c>
      <x:c r="D104" s="22" t="str">
        <x:v>現在地</x:v>
      </x:c>
      <x:c r="E104" s="22" t="str">
        <x:v>野川公園</x:v>
      </x:c>
      <x:c r="F104" s="22" t="str">
        <x:v>武蔵野公園</x:v>
      </x:c>
      <x:c r="G104" s="22"/>
      <x:c r="H104" s="22" t="str">
        <x:v>武蔵国分寺公園</x:v>
      </x:c>
      <x:c r="I104" s="22" t="str">
        <x:v>170～230分</x:v>
      </x:c>
      <x:c r="J104" s="22" t="n">
        <x:v>4</x:v>
      </x:c>
      <x:c r="K104" s="22" t="str">
        <x:v>野川20時入庫終了。最後を24時間の国分寺公園に設定。</x:v>
      </x:c>
      <x:c r="L104" s="95" t="e">
        <x:f>HYPERLINK("https://www.google.com/maps/dir/?api=1&amp;destination=%E6%AD%A6%E8%94%B5%E5%9B%BD%E5%88%86%E5%AF%BA%E5%85%AC%E5%9C%92&amp;travelmode=driving&amp;waypoints=%E9%87%8E%E5%B7%9D%E5%85%AC%E5%9C%92%7C%E6%AD%A6%E8%94%B5%E9%87%8E%E5%85%AC%E5%9C%92","現在地からルート開始")</x:f>
      </x:c>
      <x:c r="M104" s="22" t="str">
        <x:v>通常</x:v>
      </x:c>
      <x:c r="N104" s="22" t="n">
        <x:v>86</x:v>
      </x:c>
      <x:c r="O104" s="22" t="str">
        <x:v>維持</x:v>
      </x:c>
      <x:c r="P104" s="22" t="str">
        <x:v>野川公園 → 武蔵野公園 → 武蔵国分寺公園 の順に、景観と滞在強度を変化させる。</x:v>
      </x:c>
      <x:c r="Q104" s="22"/>
      <x:c r="R104" s="23" t="n">
        <x:v>46232</x:v>
      </x:c>
      <x:c r="S104" s="22"/>
      <x:c r="T104" s="22"/>
      <x:c r="U104" s="22"/>
      <x:c r="V104" s="22"/>
      <x:c r="W104" s="22"/>
      <x:c r="X104" s="22"/>
      <x:c r="Y104" s="22" t="str">
        <x:v>都市公園・休憩</x:v>
      </x:c>
      <x:c r="Z104" s="22"/>
    </x:row>
    <x:row r="105">
      <x:c r="A105" s="22" t="str">
        <x:v>R128</x:v>
      </x:c>
      <x:c r="B105" s="22" t="str">
        <x:v>幕張・計画都市ナイト</x:v>
      </x:c>
      <x:c r="C105" s="22" t="str">
        <x:v>計画都市／日本庭園／海辺</x:v>
      </x:c>
      <x:c r="D105" s="22" t="str">
        <x:v>現在地</x:v>
      </x:c>
      <x:c r="E105" s="22" t="str">
        <x:v>千葉県立幕張海浜公園</x:v>
      </x:c>
      <x:c r="F105" s="22" t="str">
        <x:v>海浜大通り展望駐車場</x:v>
      </x:c>
      <x:c r="G105" s="22"/>
      <x:c r="H105" s="22" t="str">
        <x:v>高洲海浜公園</x:v>
      </x:c>
      <x:c r="I105" s="22" t="str">
        <x:v>180～250分</x:v>
      </x:c>
      <x:c r="J105" s="22" t="n">
        <x:v>5</x:v>
      </x:c>
      <x:c r="K105" s="22" t="str">
        <x:v>幕張のイベント混雑を確認。24時間駐車地点中心。</x:v>
      </x:c>
      <x:c r="L105" s="95" t="e">
        <x:f>HYPERLINK("https://www.google.com/maps/dir/?api=1&amp;destination=%E9%AB%98%E6%B4%B2%E6%B5%B7%E6%B5%9C%E5%85%AC%E5%9C%92&amp;travelmode=driving&amp;waypoints=%E5%8D%83%E8%91%89%E7%9C%8C%E7%AB%8B%E5%B9%95%E5%BC%B5%E6%B5%B7%E6%B5%9C%E5%85%AC%E5%9C%92%7C%E6%B5%B7%E6%B5%9C%E5%A4%A7%E9%80%9A%E3%82%8A%E5%B1%95%E6%9C%9B%E9%A7%90%E8%BB%8A%E5%A0%B4","現在地からルート開始")</x:f>
      </x:c>
      <x:c r="M105" s="22" t="str">
        <x:v>通常</x:v>
      </x:c>
      <x:c r="N105" s="22" t="n">
        <x:v>68</x:v>
      </x:c>
      <x:c r="O105" s="22" t="str">
        <x:v>維持</x:v>
      </x:c>
      <x:c r="P105" s="22" t="str">
        <x:v>千葉県立幕張海浜公園 → 海浜大通り展望駐車場 → 高洲海浜公園 の順に、景観と滞在強度を変化させる。</x:v>
      </x:c>
      <x:c r="Q105" s="22"/>
      <x:c r="R105" s="23" t="n">
        <x:v>46232</x:v>
      </x:c>
      <x:c r="S105" s="22"/>
      <x:c r="T105" s="22"/>
      <x:c r="U105" s="22"/>
      <x:c r="V105" s="22"/>
      <x:c r="W105" s="22"/>
      <x:c r="X105" s="22"/>
      <x:c r="Y105" s="22" t="str">
        <x:v>東京港・水辺</x:v>
      </x:c>
      <x:c r="Z105" s="22"/>
    </x:row>
    <x:row r="106">
      <x:c r="A106" s="22" t="str">
        <x:v>R129</x:v>
      </x:c>
      <x:c r="B106" s="22" t="str">
        <x:v>千葉・動物から道の駅へ</x:v>
      </x:c>
      <x:c r="C106" s="22" t="str">
        <x:v>動物／都市農業／食</x:v>
      </x:c>
      <x:c r="D106" s="22" t="str">
        <x:v>現在地</x:v>
      </x:c>
      <x:c r="E106" s="22" t="str">
        <x:v>千葉市動物公園</x:v>
      </x:c>
      <x:c r="F106" s="22" t="str">
        <x:v>道の駅 いちかわ</x:v>
      </x:c>
      <x:c r="G106" s="22"/>
      <x:c r="H106" s="22" t="str">
        <x:v>高洲海浜公園</x:v>
      </x:c>
      <x:c r="I106" s="22" t="str">
        <x:v>210～290分</x:v>
      </x:c>
      <x:c r="J106" s="22" t="n">
        <x:v>3</x:v>
      </x:c>
      <x:c r="K106" s="22" t="str">
        <x:v>動物園17時駐車場閉鎖。市川は22時まで。</x:v>
      </x:c>
      <x:c r="L106" s="95" t="e">
        <x:f>HYPERLINK("https://www.google.com/maps/dir/?api=1&amp;destination=%E9%AB%98%E6%B4%B2%E6%B5%B7%E6%B5%9C%E5%85%AC%E5%9C%92&amp;travelmode=driving&amp;waypoints=%E5%8D%83%E8%91%89%E5%B8%82%E5%8B%95%E7%89%A9%E5%85%AC%E5%9C%92%7C%E9%81%93%E3%81%AE%E9%A7%85%20%E3%81%84%E3%81%A1%E3%81%8B%E3%82%8F","現在地からルート開始")</x:f>
      </x:c>
      <x:c r="M106" s="22" t="str">
        <x:v>通常</x:v>
      </x:c>
      <x:c r="N106" s="22" t="n">
        <x:v>76</x:v>
      </x:c>
      <x:c r="O106" s="22" t="str">
        <x:v>維持</x:v>
      </x:c>
      <x:c r="P106" s="22" t="str">
        <x:v>千葉市動物公園 → 道の駅 いちかわ → 高洲海浜公園 の順に、景観と滞在強度を変化させる。</x:v>
      </x:c>
      <x:c r="Q106" s="22"/>
      <x:c r="R106" s="23" t="n">
        <x:v>46232</x:v>
      </x:c>
      <x:c r="S106" s="22"/>
      <x:c r="T106" s="22"/>
      <x:c r="U106" s="22"/>
      <x:c r="V106" s="22"/>
      <x:c r="W106" s="22"/>
      <x:c r="X106" s="22"/>
      <x:c r="Y106" s="22" t="str">
        <x:v>都市公園・休憩</x:v>
      </x:c>
      <x:c r="Z106" s="22"/>
    </x:row>
    <x:row r="107">
      <x:c r="A107" s="22" t="str">
        <x:v>R130</x:v>
      </x:c>
      <x:c r="B107" s="22" t="str">
        <x:v>手賀沼・農産物ナイト</x:v>
      </x:c>
      <x:c r="C107" s="22" t="str">
        <x:v>水辺／道の駅／24時間</x:v>
      </x:c>
      <x:c r="D107" s="22" t="str">
        <x:v>現在地</x:v>
      </x:c>
      <x:c r="E107" s="22" t="str">
        <x:v>道の駅 しょうなん</x:v>
      </x:c>
      <x:c r="F107" s="22" t="str">
        <x:v>手賀沼親水広場</x:v>
      </x:c>
      <x:c r="G107" s="22"/>
      <x:c r="H107" s="22" t="str">
        <x:v>道の駅 いちかわ</x:v>
      </x:c>
      <x:c r="I107" s="22" t="str">
        <x:v>190～260分</x:v>
      </x:c>
      <x:c r="J107" s="22" t="n">
        <x:v>4</x:v>
      </x:c>
      <x:c r="K107" s="22" t="str">
        <x:v>手賀沼イベント日の駐車規制を確認。</x:v>
      </x:c>
      <x:c r="L107" s="95" t="e">
        <x:f>HYPERLINK("https://www.google.com/maps/dir/?api=1&amp;destination=%E9%81%93%E3%81%AE%E9%A7%85%20%E3%81%84%E3%81%A1%E3%81%8B%E3%82%8F&amp;travelmode=driving&amp;waypoints=%E9%81%93%E3%81%AE%E9%A7%85%20%E3%81%97%E3%82%87%E3%81%86%E3%81%AA%E3%82%93%7C%E6%89%8B%E8%B3%80%E6%B2%BC%E8%A6%AA%E6%B0%B4%E5%BA%83%E5%A0%B4","現在地からルート開始")</x:f>
      </x:c>
      <x:c r="M107" s="22" t="str">
        <x:v>通常</x:v>
      </x:c>
      <x:c r="N107" s="22" t="n">
        <x:v>64</x:v>
      </x:c>
      <x:c r="O107" s="22" t="str">
        <x:v>維持</x:v>
      </x:c>
      <x:c r="P107" s="22" t="str">
        <x:v>道の駅 しょうなん → 手賀沼親水広場 → 道の駅 いちかわ の順に、景観と滞在強度を変化させる。</x:v>
      </x:c>
      <x:c r="Q107" s="22"/>
      <x:c r="R107" s="23" t="n">
        <x:v>46232</x:v>
      </x:c>
      <x:c r="S107" s="22"/>
      <x:c r="T107" s="22"/>
      <x:c r="U107" s="22"/>
      <x:c r="V107" s="22"/>
      <x:c r="W107" s="22"/>
      <x:c r="X107" s="22"/>
      <x:c r="Y107" s="22" t="str">
        <x:v>都市公園・休憩</x:v>
      </x:c>
      <x:c r="Z107" s="22"/>
    </x:row>
    <x:row r="108">
      <x:c r="A108" s="22" t="str">
        <x:v>R132</x:v>
      </x:c>
      <x:c r="B108" s="22" t="str">
        <x:v>西東京から足柄へ長距離Story</x:v>
      </x:c>
      <x:c r="C108" s="22" t="str">
        <x:v>古代史／高台／伝説</x:v>
      </x:c>
      <x:c r="D108" s="22" t="str">
        <x:v>現在地</x:v>
      </x:c>
      <x:c r="E108" s="22" t="str">
        <x:v>武蔵国分寺公園</x:v>
      </x:c>
      <x:c r="F108" s="22" t="str">
        <x:v>弘法山公園</x:v>
      </x:c>
      <x:c r="G108" s="22" t="str">
        <x:v>西平畑公園</x:v>
      </x:c>
      <x:c r="H108" s="22" t="str">
        <x:v>道の駅 足柄・金太郎のふるさと</x:v>
      </x:c>
      <x:c r="I108" s="22" t="str">
        <x:v>280～370分</x:v>
      </x:c>
      <x:c r="J108" s="22" t="n">
        <x:v>3</x:v>
      </x:c>
      <x:c r="K108" s="22" t="str">
        <x:v>昼開始。西平畑17時前到着、最後は24時間道の駅。</x:v>
      </x:c>
      <x:c r="L108" s="95" t="e">
        <x:f>HYPERLINK("https://www.google.com/maps/dir/?api=1&amp;destination=%E9%81%93%E3%81%AE%E9%A7%85%20%E8%B6%B3%E6%9F%84%E3%83%BB%E9%87%91%E5%A4%AA%E9%83%8E%E3%81%AE%E3%81%B5%E3%82%8B%E3%81%95%E3%81%A8&amp;travelmode=driving&amp;waypoints=%E6%AD%A6%E8%94%B5%E5%9B%BD%E5%88%86%E5%AF%BA%E5%85%AC%E5%9C%92%7C%E5%BC%98%E6%B3%95%E5%B1%B1%E5%85%AC%E5%9C%92%7C%E8%A5%BF%E5%B9%B3%E7%95%91%E5%85%AC%E5%9C%92","現在地からルート開始")</x:f>
      </x:c>
      <x:c r="M108" s="22" t="str">
        <x:v>通常</x:v>
      </x:c>
      <x:c r="N108" s="22" t="n">
        <x:v>83</x:v>
      </x:c>
      <x:c r="O108" s="22" t="str">
        <x:v>維持</x:v>
      </x:c>
      <x:c r="P108" s="22" t="str">
        <x:v>武蔵国分寺公園 → 弘法山公園 → 西平畑公園 → 道の駅 足柄・金太郎のふるさと の順に、景観と滞在強度を変化させる。</x:v>
      </x:c>
      <x:c r="Q108" s="22"/>
      <x:c r="R108" s="23" t="n">
        <x:v>46232</x:v>
      </x:c>
      <x:c r="S108" s="22"/>
      <x:c r="T108" s="22"/>
      <x:c r="U108" s="22"/>
      <x:c r="V108" s="22"/>
      <x:c r="W108" s="22"/>
      <x:c r="X108" s="22"/>
      <x:c r="Y108" s="22" t="str">
        <x:v>森林・高台</x:v>
      </x:c>
      <x:c r="Z108" s="22"/>
    </x:row>
    <x:row r="109">
      <x:c r="A109" s="22"/>
      <x:c r="B109" s="22"/>
      <x:c r="C109" s="22"/>
      <x:c r="D109" s="22"/>
      <x:c r="E109" s="22"/>
      <x:c r="F109" s="22"/>
      <x:c r="G109" s="22"/>
      <x:c r="H109" s="22"/>
      <x:c r="I109" s="22"/>
      <x:c r="J109" s="22"/>
      <x:c r="K109" s="22"/>
      <x:c r="L109" s="95"/>
    </x:row>
    <x:row r="110">
      <x:c r="A110" s="22"/>
      <x:c r="B110" s="22"/>
      <x:c r="C110" s="22"/>
      <x:c r="D110" s="22"/>
      <x:c r="E110" s="22"/>
      <x:c r="F110" s="22"/>
      <x:c r="G110" s="22"/>
      <x:c r="H110" s="22"/>
      <x:c r="I110" s="22"/>
      <x:c r="J110" s="22"/>
      <x:c r="K110" s="22"/>
      <x:c r="L110" s="95"/>
    </x:row>
  </x:sheetData>
  <x:conditionalFormatting sqref="J2:J110">
    <x:cfRule type="colorScale" priority="1">
      <x:colorScale>
        <x:cfvo type="min"/>
        <x:cfvo type="percentile" val="50"/>
        <x:cfvo type="max"/>
        <x:color rgb="FFFEE2E2"/>
        <x:color rgb="FFFEF3C7"/>
        <x:color rgb="FFDCFCE7"/>
      </x:colorScale>
    </x:cfRule>
  </x:conditionalFormatting>
  <x:conditionalFormatting sqref="N2:T108">
    <x:cfRule type="colorScale" priority="2">
      <x:colorScale>
        <x:cfvo type="min"/>
        <x:cfvo type="percentile" val="50"/>
        <x:cfvo type="max"/>
        <x:color rgb="FFFEE2E2"/>
        <x:color rgb="FFFEF3C7"/>
        <x:color rgb="FFDCFCE7"/>
      </x:colorScale>
    </x:cfRule>
    <x:cfRule type="colorScale" priority="3">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6ad8906bf23c40cc"/>
  </x:tableParts>
</x:worksheet>
</file>

<file path=xl/worksheets/sheet12.xml><?xml version="1.0" encoding="utf-8"?>
<x:worksheet xmlns:x="http://schemas.openxmlformats.org/spreadsheetml/2006/main">
  <x:sheetFormatPr defaultRowHeight="15"/>
  <x:cols>
    <x:col min="1" max="1" width="23" hidden="0" customWidth="1"/>
    <x:col min="2" max="2" width="22" hidden="0" customWidth="1"/>
    <x:col min="3" max="3" width="22" hidden="0" customWidth="1"/>
    <x:col min="4" max="4" width="22" hidden="0" customWidth="1"/>
    <x:col min="5" max="5" width="22" hidden="0" customWidth="1"/>
  </x:cols>
  <x:sheetData>
    <x:row r="1">
      <x:c r="A1" s="126" t="str">
        <x:v>Project Cruise｜近距離コア再編サマリー</x:v>
      </x:c>
      <x:c r="B1" s="126"/>
      <x:c r="C1" s="126"/>
      <x:c r="D1" s="126"/>
      <x:c r="E1" s="126"/>
    </x:row>
    <x:row r="2">
      <x:c r="A2" s="22"/>
      <x:c r="B2" s="22"/>
      <x:c r="C2" s="22"/>
      <x:c r="D2" s="22"/>
      <x:c r="E2" s="22"/>
    </x:row>
    <x:row r="3">
      <x:c r="A3" s="127" t="str">
        <x:v>距離帯</x:v>
      </x:c>
      <x:c r="B3" s="127" t="str">
        <x:v>地点数</x:v>
      </x:c>
      <x:c r="C3" s="22"/>
      <x:c r="D3" s="127" t="str">
        <x:v>指標</x:v>
      </x:c>
      <x:c r="E3" s="127" t="str">
        <x:v>値</x:v>
      </x:c>
    </x:row>
    <x:row r="4">
      <x:c r="A4" s="22" t="str">
        <x:v>0〜10km</x:v>
      </x:c>
      <x:c r="B4" s="22" t="n">
        <x:v>35</x:v>
      </x:c>
      <x:c r="C4" s="22"/>
      <x:c r="D4" s="22" t="str">
        <x:v>全地点</x:v>
      </x:c>
      <x:c r="E4" s="22" t="n">
        <x:v>275</x:v>
      </x:c>
    </x:row>
    <x:row r="5">
      <x:c r="A5" s="22" t="str">
        <x:v>10〜20km</x:v>
      </x:c>
      <x:c r="B5" s="22" t="n">
        <x:v>37</x:v>
      </x:c>
      <x:c r="C5" s="22"/>
      <x:c r="D5" s="22" t="str">
        <x:v>近距離コア（25km以内）</x:v>
      </x:c>
      <x:c r="E5" s="22" t="n">
        <x:v>93</x:v>
      </x:c>
    </x:row>
    <x:row r="6">
      <x:c r="A6" s="22" t="str">
        <x:v>20〜25km</x:v>
      </x:c>
      <x:c r="B6" s="22" t="n">
        <x:v>21</x:v>
      </x:c>
      <x:c r="C6" s="22"/>
      <x:c r="D6" s="22" t="str">
        <x:v>準コア（25〜35km）</x:v>
      </x:c>
      <x:c r="E6" s="22" t="n">
        <x:v>22</x:v>
      </x:c>
    </x:row>
    <x:row r="7">
      <x:c r="A7" s="22" t="str">
        <x:v>25〜35km</x:v>
      </x:c>
      <x:c r="B7" s="22" t="n">
        <x:v>22</x:v>
      </x:c>
      <x:c r="C7" s="22"/>
      <x:c r="D7" s="22" t="str">
        <x:v>遠距離アーカイブ</x:v>
      </x:c>
      <x:c r="E7" s="22" t="n">
        <x:v>160</x:v>
      </x:c>
    </x:row>
    <x:row r="8">
      <x:c r="A8" s="22" t="str">
        <x:v>35km超</x:v>
      </x:c>
      <x:c r="B8" s="22" t="n">
        <x:v>160</x:v>
      </x:c>
      <x:c r="C8" s="22"/>
      <x:c r="D8" s="22" t="str">
        <x:v>近距離ルート</x:v>
      </x:c>
      <x:c r="E8" s="22" t="n">
        <x:v>45</x:v>
      </x:c>
    </x:row>
    <x:row r="9">
      <x:c r="A9" s="22"/>
      <x:c r="B9" s="22"/>
      <x:c r="C9" s="22"/>
      <x:c r="D9" s="22"/>
      <x:c r="E9" s="22"/>
    </x:row>
    <x:row r="10">
      <x:c r="A10" s="128" t="str">
        <x:v>今回の方針変更</x:v>
      </x:c>
      <x:c r="B10" s="128" t="str"/>
      <x:c r="C10" s="128" t="str"/>
      <x:c r="D10" s="128" t="str"/>
      <x:c r="E10" s="128" t="str"/>
    </x:row>
    <x:row r="11">
      <x:c r="A11" s="22" t="str">
        <x:v>新規追加</x:v>
      </x:c>
      <x:c r="B11" s="22" t="str">
        <x:v>12地点</x:v>
      </x:c>
      <x:c r="C11" s="22" t="str">
        <x:v>全て概ね25km以内</x:v>
      </x:c>
      <x:c r="D11" s="22" t="str">
        <x:v>12ルート</x:v>
      </x:c>
      <x:c r="E11" s="22" t="str">
        <x:v>近距離用途別</x:v>
      </x:c>
    </x:row>
    <x:row r="12">
      <x:c r="A12" s="22" t="str">
        <x:v>主な深化</x:v>
      </x:c>
      <x:c r="B12" s="22" t="str">
        <x:v>距離帯</x:v>
      </x:c>
      <x:c r="C12" s="22" t="str">
        <x:v>所要時間</x:v>
      </x:c>
      <x:c r="D12" s="22" t="str">
        <x:v>雨天・車内適性</x:v>
      </x:c>
      <x:c r="E12" s="22" t="str">
        <x:v>代替・組合せ</x:v>
      </x:c>
    </x:row>
    <x:row r="13">
      <x:c r="A13" s="22" t="str">
        <x:v>注記</x:v>
      </x:c>
      <x:c r="B13" s="22" t="str">
        <x:v>距離・時間は蒲田周辺を基準にした概算。渋滞・出発位置で変動。</x:v>
      </x:c>
      <x:c r="C13" s="22" t="str"/>
      <x:c r="D13" s="22" t="str"/>
      <x:c r="E13" s="22" t="str"/>
    </x:row>
  </x:sheetData>
  <x:mergeCells>
    <x:mergeCell ref="A1:E1"/>
    <x:mergeCell ref="A10:E10"/>
  </x:mergeCells>
  <x:pageMargins left="0.7" right="0.7" top="0.75" bottom="0.75" header="0.3" footer="0.3"/>
</x:worksheet>
</file>

<file path=xl/worksheets/sheet13.xml><?xml version="1.0" encoding="utf-8"?>
<x:worksheet xmlns:x="http://schemas.openxmlformats.org/spreadsheetml/2006/main">
  <x:sheetFormatPr defaultRowHeight="15"/>
  <x:sheetData>
    <x:row r="1">
      <x:c r="A1" s="118" t="str">
        <x:v>地点名</x:v>
      </x:c>
      <x:c r="B1" s="118" t="str">
        <x:v>件数</x:v>
      </x:c>
      <x:c r="C1" s="118" t="str">
        <x:v>ID</x:v>
      </x:c>
      <x:c r="D1" s="118" t="str">
        <x:v>対応方針</x:v>
      </x:c>
    </x:row>
    <x:row r="2">
      <x:c r="A2" s="22" t="str">
        <x:v>本牧山頂公園</x:v>
      </x:c>
      <x:c r="B2" s="22" t="n">
        <x:v>2</x:v>
      </x:c>
      <x:c r="C2" s="22" t="str">
        <x:v>D027、D164</x:v>
      </x:c>
      <x:c r="D2" s="22" t="str">
        <x:v>完全同名。説明・駐車条件を比較して統合候補。</x:v>
      </x:c>
    </x:row>
    <x:row r="3">
      <x:c r="A3" s="22" t="str">
        <x:v>野島公園</x:v>
      </x:c>
      <x:c r="B3" s="22" t="n">
        <x:v>2</x:v>
      </x:c>
      <x:c r="C3" s="22" t="str">
        <x:v>D028、D161</x:v>
      </x:c>
      <x:c r="D3" s="22" t="str">
        <x:v>完全同名。説明・駐車条件を比較して統合候補。</x:v>
      </x:c>
    </x:row>
    <x:row r="4">
      <x:c r="A4" s="22" t="str">
        <x:v>海の公園</x:v>
      </x:c>
      <x:c r="B4" s="22" t="n">
        <x:v>2</x:v>
      </x:c>
      <x:c r="C4" s="22" t="str">
        <x:v>D029、D165</x:v>
      </x:c>
      <x:c r="D4" s="22" t="str">
        <x:v>完全同名。説明・駐車条件を比較して統合候補。</x:v>
      </x:c>
    </x:row>
    <x:row r="5">
      <x:c r="A5" s="22" t="str">
        <x:v>荒崎公園</x:v>
      </x:c>
      <x:c r="B5" s="22" t="n">
        <x:v>2</x:v>
      </x:c>
      <x:c r="C5" s="22" t="str">
        <x:v>D033、D162</x:v>
      </x:c>
      <x:c r="D5" s="22" t="str">
        <x:v>完全同名。説明・駐車条件を比較して統合候補。</x:v>
      </x:c>
    </x:row>
    <x:row r="6">
      <x:c r="A6" s="22" t="str">
        <x:v>燈明堂緑地</x:v>
      </x:c>
      <x:c r="B6" s="22" t="n">
        <x:v>2</x:v>
      </x:c>
      <x:c r="C6" s="22" t="str">
        <x:v>D034、D187</x:v>
      </x:c>
      <x:c r="D6" s="22" t="str">
        <x:v>完全同名。説明・駐車条件を比較して統合候補。</x:v>
      </x:c>
    </x:row>
    <x:row r="7">
      <x:c r="A7" s="22" t="str">
        <x:v>舎人公園</x:v>
      </x:c>
      <x:c r="B7" s="22" t="n">
        <x:v>2</x:v>
      </x:c>
      <x:c r="C7" s="22" t="str">
        <x:v>D042、D173</x:v>
      </x:c>
      <x:c r="D7" s="22" t="str">
        <x:v>完全同名。説明・駐車条件を比較して統合候補。</x:v>
      </x:c>
    </x:row>
    <x:row r="8">
      <x:c r="A8" s="22" t="str">
        <x:v>桜ヶ丘公園 ゆうひの丘</x:v>
      </x:c>
      <x:c r="B8" s="22" t="n">
        <x:v>2</x:v>
      </x:c>
      <x:c r="C8" s="22" t="str">
        <x:v>D044、D143</x:v>
      </x:c>
      <x:c r="D8" s="22" t="str">
        <x:v>完全同名。説明・駐車条件を比較して統合候補。</x:v>
      </x:c>
    </x:row>
    <x:row r="9">
      <x:c r="A9" s="22" t="str">
        <x:v>彩湖・道満グリーンパーク</x:v>
      </x:c>
      <x:c r="B9" s="22" t="n">
        <x:v>2</x:v>
      </x:c>
      <x:c r="C9" s="22" t="str">
        <x:v>D046、D178</x:v>
      </x:c>
      <x:c r="D9" s="22" t="str">
        <x:v>完全同名。説明・駐車条件を比較して統合候補。</x:v>
      </x:c>
    </x:row>
    <x:row r="10">
      <x:c r="A10" s="22" t="str">
        <x:v>秋ヶ瀬公園</x:v>
      </x:c>
      <x:c r="B10" s="22" t="n">
        <x:v>2</x:v>
      </x:c>
      <x:c r="C10" s="22" t="str">
        <x:v>D047、D170</x:v>
      </x:c>
      <x:c r="D10" s="22" t="str">
        <x:v>完全同名。説明・駐車条件を比較して統合候補。</x:v>
      </x:c>
    </x:row>
    <x:row r="11">
      <x:c r="A11" s="22" t="str">
        <x:v>袖ケ浦海浜公園</x:v>
      </x:c>
      <x:c r="B11" s="22" t="n">
        <x:v>2</x:v>
      </x:c>
      <x:c r="C11" s="22" t="str">
        <x:v>D052、D177</x:v>
      </x:c>
      <x:c r="D11" s="22" t="str">
        <x:v>完全同名。説明・駐車条件を比較して統合候補。</x:v>
      </x:c>
    </x:row>
    <x:row r="12">
      <x:c r="A12" s="22" t="str">
        <x:v>太田山公園</x:v>
      </x:c>
      <x:c r="B12" s="22" t="n">
        <x:v>2</x:v>
      </x:c>
      <x:c r="C12" s="22" t="str">
        <x:v>D066、D111</x:v>
      </x:c>
      <x:c r="D12" s="22" t="str">
        <x:v>完全同名。説明・駐車条件を比較して統合候補。</x:v>
      </x:c>
    </x:row>
    <x:row r="13">
      <x:c r="A13" s="22" t="str">
        <x:v>昭和の森</x:v>
      </x:c>
      <x:c r="B13" s="22" t="n">
        <x:v>2</x:v>
      </x:c>
      <x:c r="C13" s="22" t="str">
        <x:v>D073、D169</x:v>
      </x:c>
      <x:c r="D13" s="22" t="str">
        <x:v>完全同名。説明・駐車条件を比較して統合候補。</x:v>
      </x:c>
    </x:row>
    <x:row r="14">
      <x:c r="A14" s="22" t="str">
        <x:v>泉自然公園</x:v>
      </x:c>
      <x:c r="B14" s="22" t="n">
        <x:v>2</x:v>
      </x:c>
      <x:c r="C14" s="22" t="str">
        <x:v>D074、D176</x:v>
      </x:c>
      <x:c r="D14" s="22" t="str">
        <x:v>完全同名。説明・駐車条件を比較して統合候補。</x:v>
      </x:c>
    </x:row>
    <x:row r="15">
      <x:c r="A15" s="22" t="str">
        <x:v>道の駅 いちかわ</x:v>
      </x:c>
      <x:c r="B15" s="22" t="n">
        <x:v>2</x:v>
      </x:c>
      <x:c r="C15" s="22" t="str">
        <x:v>D081、D235</x:v>
      </x:c>
      <x:c r="D15" s="22" t="str">
        <x:v>完全同名。説明・駐車条件を比較して統合候補。</x:v>
      </x:c>
    </x:row>
    <x:row r="16">
      <x:c r="A16" s="22" t="str">
        <x:v>道の駅 しょうなん</x:v>
      </x:c>
      <x:c r="B16" s="22" t="n">
        <x:v>2</x:v>
      </x:c>
      <x:c r="C16" s="22" t="str">
        <x:v>D082、D238</x:v>
      </x:c>
      <x:c r="D16" s="22" t="str">
        <x:v>完全同名。説明・駐車条件を比較して統合候補。</x:v>
      </x:c>
    </x:row>
    <x:row r="17">
      <x:c r="A17" s="22" t="str">
        <x:v>県立相模三川公園</x:v>
      </x:c>
      <x:c r="B17" s="22" t="n">
        <x:v>2</x:v>
      </x:c>
      <x:c r="C17" s="22" t="str">
        <x:v>D141、D218</x:v>
      </x:c>
      <x:c r="D17" s="22" t="str">
        <x:v>完全同名。説明・駐車条件を比較して統合候補。</x:v>
      </x:c>
    </x:row>
  </x:sheetData>
  <x:pageMargins left="0.7" right="0.7" top="0.75" bottom="0.75" header="0.3" footer="0.3"/>
  <x:tableParts count="1">
    <x:tablePart xmlns:r="http://schemas.openxmlformats.org/officeDocument/2006/relationships" r:id="R1b0a95ea0f094b31"/>
  </x:tableParts>
</x:worksheet>
</file>

<file path=xl/worksheets/sheet14.xml><?xml version="1.0" encoding="utf-8"?>
<x:worksheet xmlns:x="http://schemas.openxmlformats.org/spreadsheetml/2006/main">
  <x:sheetFormatPr defaultRowHeight="15"/>
  <x:cols>
    <x:col min="1" max="1" width="8" hidden="0" customWidth="1"/>
    <x:col min="2" max="2" width="25" hidden="0" customWidth="1"/>
    <x:col min="3" max="3" width="10" hidden="0" customWidth="1"/>
    <x:col min="4" max="4" width="17" hidden="0" customWidth="1"/>
    <x:col min="5" max="5" width="22" hidden="0" customWidth="1"/>
    <x:col min="6" max="6" width="9" hidden="0" customWidth="1"/>
    <x:col min="7" max="7" width="3" hidden="0" customWidth="1"/>
    <x:col min="8" max="8" width="10" hidden="0" customWidth="1"/>
    <x:col min="9" max="9" width="25" hidden="0" customWidth="1"/>
    <x:col min="10" max="10" width="10" hidden="0" customWidth="1"/>
    <x:col min="11" max="11" width="17" hidden="0" customWidth="1"/>
    <x:col min="12" max="12" width="22" hidden="0" customWidth="1"/>
    <x:col min="13" max="13" width="9" hidden="0" customWidth="1"/>
    <x:col min="14" max="14" width="10" hidden="0" customWidth="1"/>
  </x:cols>
  <x:sheetData>
    <x:row r="1" ht="26" customHeight="1">
      <x:c r="A1" s="180" t="str">
        <x:v>Project Cruise｜今すぐ出発</x:v>
      </x:c>
      <x:c r="B1" s="180"/>
      <x:c r="C1" s="180"/>
      <x:c r="D1" s="180"/>
      <x:c r="E1" s="180"/>
      <x:c r="F1" s="180"/>
      <x:c r="G1" s="180"/>
      <x:c r="H1" s="180"/>
      <x:c r="I1" s="180"/>
      <x:c r="J1" s="180"/>
      <x:c r="K1" s="180"/>
      <x:c r="L1" s="180"/>
      <x:c r="M1" s="180"/>
      <x:c r="N1" s="180"/>
    </x:row>
    <x:row r="2" ht="26" customHeight="1">
      <x:c r="A2" s="180"/>
      <x:c r="B2" s="180"/>
      <x:c r="C2" s="180"/>
      <x:c r="D2" s="180"/>
      <x:c r="E2" s="180"/>
      <x:c r="F2" s="180"/>
      <x:c r="G2" s="180"/>
      <x:c r="H2" s="180"/>
      <x:c r="I2" s="180"/>
      <x:c r="J2" s="180"/>
      <x:c r="K2" s="180"/>
      <x:c r="L2" s="180"/>
      <x:c r="M2" s="180"/>
      <x:c r="N2" s="180"/>
    </x:row>
    <x:row r="3" ht="22" customHeight="1">
      <x:c r="A3" s="184" t="str">
        <x:v>蒲田周辺から、時間・天候・気分に合わせて近距離候補を即決するための判断画面</x:v>
      </x:c>
      <x:c r="B3" s="184"/>
      <x:c r="C3" s="184"/>
      <x:c r="D3" s="184"/>
      <x:c r="E3" s="184"/>
      <x:c r="F3" s="184"/>
      <x:c r="G3" s="184"/>
      <x:c r="H3" s="184"/>
      <x:c r="I3" s="184"/>
      <x:c r="J3" s="184"/>
      <x:c r="K3" s="184"/>
      <x:c r="L3" s="184"/>
      <x:c r="M3" s="184"/>
      <x:c r="N3" s="184"/>
    </x:row>
    <x:row r="4">
      <x:c r="A4" s="185"/>
      <x:c r="B4" s="185"/>
      <x:c r="C4" s="185"/>
      <x:c r="D4" s="185"/>
      <x:c r="E4" s="185"/>
      <x:c r="F4" s="190"/>
      <x:c r="G4" s="185"/>
      <x:c r="H4" s="185"/>
      <x:c r="I4" s="185"/>
      <x:c r="J4" s="185"/>
      <x:c r="K4" s="185"/>
      <x:c r="L4" s="185"/>
      <x:c r="M4" s="190"/>
      <x:c r="N4" s="185"/>
    </x:row>
    <x:row r="5" ht="28" customHeight="1">
      <x:c r="A5" s="168" t="str">
        <x:v>コア地点
70</x:v>
      </x:c>
      <x:c r="B5" s="168"/>
      <x:c r="C5" s="168" t="str">
        <x:v>0〜10km
25</x:v>
      </x:c>
      <x:c r="D5" s="168"/>
      <x:c r="E5" s="168" t="str">
        <x:v>夜間4以上
45</x:v>
      </x:c>
      <x:c r="F5" s="168"/>
      <x:c r="G5" s="168" t="str">
        <x:v>雨天4以上
6</x:v>
      </x:c>
      <x:c r="H5" s="168"/>
      <x:c r="I5" s="168" t="str">
        <x:v>車内4以上
11</x:v>
      </x:c>
      <x:c r="J5" s="168"/>
      <x:c r="K5" s="168" t="str">
        <x:v>近距離ルート
35</x:v>
      </x:c>
      <x:c r="L5" s="168"/>
      <x:c r="M5" s="190"/>
      <x:c r="N5" s="185"/>
    </x:row>
    <x:row r="6" ht="28" customHeight="1">
      <x:c r="A6" s="168"/>
      <x:c r="B6" s="168"/>
      <x:c r="C6" s="168"/>
      <x:c r="D6" s="168"/>
      <x:c r="E6" s="168"/>
      <x:c r="F6" s="168"/>
      <x:c r="G6" s="168"/>
      <x:c r="H6" s="168"/>
      <x:c r="I6" s="168"/>
      <x:c r="J6" s="168"/>
      <x:c r="K6" s="168"/>
      <x:c r="L6" s="168"/>
      <x:c r="M6" s="190"/>
      <x:c r="N6" s="185"/>
    </x:row>
    <x:row r="7" ht="28" customHeight="1">
      <x:c r="A7" s="168"/>
      <x:c r="B7" s="168"/>
      <x:c r="C7" s="168"/>
      <x:c r="D7" s="168"/>
      <x:c r="E7" s="168"/>
      <x:c r="F7" s="168"/>
      <x:c r="G7" s="168"/>
      <x:c r="H7" s="168"/>
      <x:c r="I7" s="168"/>
      <x:c r="J7" s="168"/>
      <x:c r="K7" s="168"/>
      <x:c r="L7" s="168"/>
      <x:c r="M7" s="190"/>
      <x:c r="N7" s="185"/>
    </x:row>
    <x:row r="8">
      <x:c r="A8" s="185"/>
      <x:c r="B8" s="185"/>
      <x:c r="C8" s="185"/>
      <x:c r="D8" s="185"/>
      <x:c r="E8" s="185"/>
      <x:c r="F8" s="190"/>
      <x:c r="G8" s="185"/>
      <x:c r="H8" s="185"/>
      <x:c r="I8" s="185"/>
      <x:c r="J8" s="185"/>
      <x:c r="K8" s="185"/>
      <x:c r="L8" s="185"/>
      <x:c r="M8" s="190"/>
      <x:c r="N8" s="185"/>
    </x:row>
    <x:row r="9" ht="22" customHeight="1">
      <x:c r="A9" s="146" t="str">
        <x:v>用途別トップ候補｜地点3件＋ルート1件</x:v>
      </x:c>
      <x:c r="B9" s="146"/>
      <x:c r="C9" s="146"/>
      <x:c r="D9" s="146"/>
      <x:c r="E9" s="146"/>
      <x:c r="F9" s="146"/>
      <x:c r="G9" s="146"/>
      <x:c r="H9" s="146"/>
      <x:c r="I9" s="146"/>
      <x:c r="J9" s="146"/>
      <x:c r="K9" s="146"/>
      <x:c r="L9" s="146"/>
      <x:c r="M9" s="146"/>
      <x:c r="N9" s="146"/>
    </x:row>
    <x:row r="10" ht="23" customHeight="1">
      <x:c r="A10" s="186" t="str">
        <x:v>平日夜90分</x:v>
      </x:c>
      <x:c r="B10" s="186"/>
      <x:c r="C10" s="186"/>
      <x:c r="D10" s="186"/>
      <x:c r="E10" s="186"/>
      <x:c r="F10" s="186"/>
      <x:c r="G10" s="185"/>
      <x:c r="H10" s="186" t="str">
        <x:v>深夜2時間</x:v>
      </x:c>
      <x:c r="I10" s="186"/>
      <x:c r="J10" s="186"/>
      <x:c r="K10" s="186"/>
      <x:c r="L10" s="186"/>
      <x:c r="M10" s="186"/>
      <x:c r="N10" s="185"/>
    </x:row>
    <x:row r="11" ht="22" customHeight="1">
      <x:c r="A11" s="187" t="str">
        <x:v>順位</x:v>
      </x:c>
      <x:c r="B11" s="187" t="str">
        <x:v>地点</x:v>
      </x:c>
      <x:c r="C11" s="187" t="str">
        <x:v>スコア</x:v>
      </x:c>
      <x:c r="D11" s="187" t="str">
        <x:v>距離</x:v>
      </x:c>
      <x:c r="E11" s="187" t="str">
        <x:v>到着目安</x:v>
      </x:c>
      <x:c r="F11" s="187" t="str">
        <x:v>ナビ</x:v>
      </x:c>
      <x:c r="G11" s="185"/>
      <x:c r="H11" s="187" t="str">
        <x:v>順位</x:v>
      </x:c>
      <x:c r="I11" s="187" t="str">
        <x:v>地点</x:v>
      </x:c>
      <x:c r="J11" s="187" t="str">
        <x:v>スコア</x:v>
      </x:c>
      <x:c r="K11" s="187" t="str">
        <x:v>距離</x:v>
      </x:c>
      <x:c r="L11" s="187" t="str">
        <x:v>到着目安</x:v>
      </x:c>
      <x:c r="M11" s="187" t="str">
        <x:v>ナビ</x:v>
      </x:c>
      <x:c r="N11" s="185"/>
    </x:row>
    <x:row r="12" ht="24" customHeight="1">
      <x:c r="A12" s="185" t="n">
        <x:v>1</x:v>
      </x:c>
      <x:c r="B12" s="185" t="str">
        <x:v>京浜島つばさ公園</x:v>
      </x:c>
      <x:c r="C12" s="185" t="n">
        <x:v>96</x:v>
      </x:c>
      <x:c r="D12" s="185" t="str">
        <x:v>概ね0〜10km</x:v>
      </x:c>
      <x:c r="E12" s="185" t="str">
        <x:v>いつでも</x:v>
      </x:c>
      <x:c r="F12" s="191" t="e">
        <x:f>HYPERLINK("https://www.google.com/maps/dir/?api=1&amp;destination=%E4%BA%AC%E6%B5%9C%E5%B3%B6%E3%81%A4%E3%81%B0%E3%81%95%E5%85%AC%E5%9C%92&amp;travelmode=driving","開く")</x:f>
      </x:c>
      <x:c r="G12" s="185"/>
      <x:c r="H12" s="185" t="n">
        <x:v>1</x:v>
      </x:c>
      <x:c r="I12" s="185" t="str">
        <x:v>京浜島つばさ公園</x:v>
      </x:c>
      <x:c r="J12" s="185" t="n">
        <x:v>97</x:v>
      </x:c>
      <x:c r="K12" s="185" t="str">
        <x:v>概ね0〜10km</x:v>
      </x:c>
      <x:c r="L12" s="185" t="str">
        <x:v>いつでも</x:v>
      </x:c>
      <x:c r="M12" s="191" t="e">
        <x:f>HYPERLINK("https://www.google.com/maps/dir/?api=1&amp;destination=%E4%BA%AC%E6%B5%9C%E5%B3%B6%E3%81%A4%E3%81%B0%E3%81%95%E5%85%AC%E5%9C%92&amp;travelmode=driving","開く")</x:f>
      </x:c>
      <x:c r="N12" s="185"/>
    </x:row>
    <x:row r="13" ht="24" customHeight="1">
      <x:c r="A13" s="185" t="n">
        <x:v>2</x:v>
      </x:c>
      <x:c r="B13" s="185" t="str">
        <x:v>ソラムナード羽田緑地</x:v>
      </x:c>
      <x:c r="C13" s="185" t="n">
        <x:v>94</x:v>
      </x:c>
      <x:c r="D13" s="185" t="str">
        <x:v>蒲田から約7〜10km</x:v>
      </x:c>
      <x:c r="E13" s="185" t="str">
        <x:v>いつでも</x:v>
      </x:c>
      <x:c r="F13" s="191" t="e">
        <x:f>HYPERLINK("https://www.google.com/maps/dir/?api=1&amp;destination=%E3%82%BD%E3%83%A9%E3%83%A0%E3%83%8A%E3%83%BC%E3%83%89%E7%BE%BD%E7%94%B0%E7%B7%91%E5%9C%B0&amp;travelmode=driving","開く")</x:f>
      </x:c>
      <x:c r="G13" s="185"/>
      <x:c r="H13" s="185" t="n">
        <x:v>2</x:v>
      </x:c>
      <x:c r="I13" s="185" t="str">
        <x:v>羽田空港 第3ターミナル展望デッキ</x:v>
      </x:c>
      <x:c r="J13" s="185" t="n">
        <x:v>95</x:v>
      </x:c>
      <x:c r="K13" s="185" t="str">
        <x:v>概ね0〜10km</x:v>
      </x:c>
      <x:c r="L13" s="185" t="str">
        <x:v>いつでも</x:v>
      </x:c>
      <x:c r="M13" s="191" t="e">
        <x:f>HYPERLINK("https://www.google.com/maps/dir/?api=1&amp;destination=%E7%BE%BD%E7%94%B0%E7%A9%BA%E6%B8%AF%20%E7%AC%AC3%E3%82%BF%E3%83%BC%E3%83%9F%E3%83%8A%E3%83%AB%E5%B1%95%E6%9C%9B%E3%83%87%E3%83%83%E3%82%AD&amp;travelmode=driving","開く")</x:f>
      </x:c>
      <x:c r="N13" s="185"/>
    </x:row>
    <x:row r="14" ht="24" customHeight="1">
      <x:c r="A14" s="185" t="n">
        <x:v>3</x:v>
      </x:c>
      <x:c r="B14" s="185" t="str">
        <x:v>HANEDA INNOVATION CITY 足湯スカイデッキ</x:v>
      </x:c>
      <x:c r="C14" s="185" t="n">
        <x:v>92</x:v>
      </x:c>
      <x:c r="D14" s="185" t="str">
        <x:v>蒲田から約6〜9km</x:v>
      </x:c>
      <x:c r="E14" s="185" t="str">
        <x:v>22:30までの到着推奨</x:v>
      </x:c>
      <x:c r="F14" s="191" t="e">
        <x:f>HYPERLINK("https://www.google.com/maps/dir/?api=1&amp;destination=HANEDA%20INNOVATION%20CITY%20%E8%B6%B3%E6%B9%AF%E3%82%B9%E3%82%AB%E3%82%A4%E3%83%87%E3%83%83%E3%82%AD&amp;travelmode=driving","開く")</x:f>
      </x:c>
      <x:c r="G14" s="185"/>
      <x:c r="H14" s="185" t="n">
        <x:v>3</x:v>
      </x:c>
      <x:c r="I14" s="185" t="str">
        <x:v>ソラムナード羽田緑地</x:v>
      </x:c>
      <x:c r="J14" s="185" t="n">
        <x:v>94</x:v>
      </x:c>
      <x:c r="K14" s="185" t="str">
        <x:v>蒲田から約7〜10km</x:v>
      </x:c>
      <x:c r="L14" s="185" t="str">
        <x:v>いつでも</x:v>
      </x:c>
      <x:c r="M14" s="191" t="e">
        <x:f>HYPERLINK("https://www.google.com/maps/dir/?api=1&amp;destination=%E3%82%BD%E3%83%A9%E3%83%A0%E3%83%8A%E3%83%BC%E3%83%89%E7%BE%BD%E7%94%B0%E7%B7%91%E5%9C%B0&amp;travelmode=driving","開く")</x:f>
      </x:c>
      <x:c r="N14" s="185"/>
    </x:row>
    <x:row r="15" ht="32" customHeight="1">
      <x:c r="A15" s="176" t="str">
        <x:v>推奨ルート</x:v>
      </x:c>
      <x:c r="B15" s="176"/>
      <x:c r="C15" s="176" t="str">
        <x:v>平日夜90分・最短リセット｜75～110分</x:v>
      </x:c>
      <x:c r="D15" s="176"/>
      <x:c r="E15" s="176"/>
      <x:c r="F15" s="192" t="e">
        <x:f>HYPERLINK("https://www.google.com/maps/dir/?api=1&amp;destination=%E7%BE%BD%E7%94%B0%E7%A9%BA%E6%B8%AF%20%E7%AC%AC3%E3%82%BF%E3%83%BC%E3%83%9F%E3%83%8A%E3%83%AB%E5%B1%95%E6%9C%9B%E3%83%87%E3%83%83%E3%82%AD&amp;travelmode=driving&amp;waypoints=%E6%A3%AE%E3%82%B1%E5%B4%8E%E5%85%AC%E5%9C%92%7CHANEDA%20INNOVATION%20CITY%20%E8%B6%B3%E6%B9%AF%E3%82%B9%E3%82%AB%E3%82%A4%E3%83%87%E3%83%83%E3%82%AD","開始")</x:f>
      </x:c>
      <x:c r="G15" s="185"/>
      <x:c r="H15" s="176" t="str">
        <x:v>推奨ルート</x:v>
      </x:c>
      <x:c r="I15" s="176"/>
      <x:c r="J15" s="176" t="str">
        <x:v>雨天・羽田インドア線｜80～130分</x:v>
      </x:c>
      <x:c r="K15" s="176"/>
      <x:c r="L15" s="176"/>
      <x:c r="M15" s="192" t="e">
        <x:f>HYPERLINK("https://www.google.com/maps/dir/?api=1&amp;destination=%E7%BE%BD%E7%94%B0%E7%A9%BA%E6%B8%AF%20%E7%AC%AC3%E3%82%BF%E3%83%BC%E3%83%9F%E3%83%8A%E3%83%AB%E5%B1%95%E6%9C%9B%E3%83%87%E3%83%83%E3%82%AD&amp;travelmode=driving&amp;waypoints=HANEDA%20INNOVATION%20CITY%20%E8%B6%B3%E6%B9%AF%E3%82%B9%E3%82%AB%E3%82%A4%E3%83%87%E3%83%83%E3%82%AD%7C%E7%BE%BD%E7%94%B0%E7%A9%BA%E6%B8%AF%20%E7%AC%AC2%E3%82%BF%E3%83%BC%E3%83%9F%E3%83%8A%E3%83%AB%E5%B1%95%E6%9C%9B%E3%83%87%E3%83%83%E3%82%AD%EF%BC%8FFLIGHT%20DECK%20TOKYO","開始")</x:f>
      </x:c>
      <x:c r="N15" s="185"/>
    </x:row>
    <x:row r="16" ht="8" customHeight="1">
      <x:c r="A16" s="185"/>
      <x:c r="B16" s="185"/>
      <x:c r="C16" s="185"/>
      <x:c r="D16" s="185"/>
      <x:c r="E16" s="185"/>
      <x:c r="F16" s="190"/>
      <x:c r="G16" s="185"/>
      <x:c r="H16" s="185"/>
      <x:c r="I16" s="185"/>
      <x:c r="J16" s="185"/>
      <x:c r="K16" s="185"/>
      <x:c r="L16" s="185"/>
      <x:c r="M16" s="190"/>
      <x:c r="N16" s="185"/>
    </x:row>
    <x:row r="17" ht="8" customHeight="1">
      <x:c r="A17" s="185"/>
      <x:c r="B17" s="185"/>
      <x:c r="C17" s="185"/>
      <x:c r="D17" s="185"/>
      <x:c r="E17" s="185"/>
      <x:c r="F17" s="190"/>
      <x:c r="G17" s="185"/>
      <x:c r="H17" s="185"/>
      <x:c r="I17" s="185"/>
      <x:c r="J17" s="185"/>
      <x:c r="K17" s="185"/>
      <x:c r="L17" s="185"/>
      <x:c r="M17" s="190"/>
      <x:c r="N17" s="185"/>
    </x:row>
    <x:row r="18" ht="23" customHeight="1">
      <x:c r="A18" s="186" t="str">
        <x:v>雨天</x:v>
      </x:c>
      <x:c r="B18" s="186"/>
      <x:c r="C18" s="186"/>
      <x:c r="D18" s="186"/>
      <x:c r="E18" s="186"/>
      <x:c r="F18" s="186"/>
      <x:c r="G18" s="185"/>
      <x:c r="H18" s="186" t="str">
        <x:v>飛行機</x:v>
      </x:c>
      <x:c r="I18" s="186"/>
      <x:c r="J18" s="186"/>
      <x:c r="K18" s="186"/>
      <x:c r="L18" s="186"/>
      <x:c r="M18" s="186"/>
      <x:c r="N18" s="185"/>
    </x:row>
    <x:row r="19" ht="22" customHeight="1">
      <x:c r="A19" s="187" t="str">
        <x:v>順位</x:v>
      </x:c>
      <x:c r="B19" s="187" t="str">
        <x:v>地点</x:v>
      </x:c>
      <x:c r="C19" s="187" t="str">
        <x:v>スコア</x:v>
      </x:c>
      <x:c r="D19" s="187" t="str">
        <x:v>距離</x:v>
      </x:c>
      <x:c r="E19" s="187" t="str">
        <x:v>到着目安</x:v>
      </x:c>
      <x:c r="F19" s="187" t="str">
        <x:v>ナビ</x:v>
      </x:c>
      <x:c r="G19" s="185"/>
      <x:c r="H19" s="187" t="str">
        <x:v>順位</x:v>
      </x:c>
      <x:c r="I19" s="187" t="str">
        <x:v>地点</x:v>
      </x:c>
      <x:c r="J19" s="187" t="str">
        <x:v>スコア</x:v>
      </x:c>
      <x:c r="K19" s="187" t="str">
        <x:v>距離</x:v>
      </x:c>
      <x:c r="L19" s="187" t="str">
        <x:v>到着目安</x:v>
      </x:c>
      <x:c r="M19" s="187" t="str">
        <x:v>ナビ</x:v>
      </x:c>
      <x:c r="N19" s="185"/>
    </x:row>
    <x:row r="20" ht="24" customHeight="1">
      <x:c r="A20" s="185" t="n">
        <x:v>1</x:v>
      </x:c>
      <x:c r="B20" s="185" t="str">
        <x:v>大井PA（東行き）</x:v>
      </x:c>
      <x:c r="C20" s="185" t="n">
        <x:v>96</x:v>
      </x:c>
      <x:c r="D20" s="185" t="str">
        <x:v>概ね0〜10km</x:v>
      </x:c>
      <x:c r="E20" s="185" t="str">
        <x:v>いつでも</x:v>
      </x:c>
      <x:c r="F20" s="191" t="e">
        <x:f>HYPERLINK("https://www.google.com/maps/dir/?api=1&amp;destination=%E5%A4%A7%E4%BA%95PA%EF%BC%88%E6%9D%B1%E8%A1%8C%E3%81%8D%EF%BC%89&amp;travelmode=driving","開く")</x:f>
      </x:c>
      <x:c r="G20" s="185"/>
      <x:c r="H20" s="185" t="n">
        <x:v>1</x:v>
      </x:c>
      <x:c r="I20" s="185" t="str">
        <x:v>京浜島つばさ公園</x:v>
      </x:c>
      <x:c r="J20" s="185" t="n">
        <x:v>97</x:v>
      </x:c>
      <x:c r="K20" s="185" t="str">
        <x:v>概ね0〜10km</x:v>
      </x:c>
      <x:c r="L20" s="185" t="str">
        <x:v>いつでも</x:v>
      </x:c>
      <x:c r="M20" s="191" t="e">
        <x:f>HYPERLINK("https://www.google.com/maps/dir/?api=1&amp;destination=%E4%BA%AC%E6%B5%9C%E5%B3%B6%E3%81%A4%E3%81%B0%E3%81%95%E5%85%AC%E5%9C%92&amp;travelmode=driving","開く")</x:f>
      </x:c>
      <x:c r="N20" s="185"/>
    </x:row>
    <x:row r="21" ht="24" customHeight="1">
      <x:c r="A21" s="185" t="n">
        <x:v>2</x:v>
      </x:c>
      <x:c r="B21" s="185" t="str">
        <x:v>平和島PA（上り）</x:v>
      </x:c>
      <x:c r="C21" s="185" t="n">
        <x:v>96</x:v>
      </x:c>
      <x:c r="D21" s="185" t="str">
        <x:v>概ね0〜10km</x:v>
      </x:c>
      <x:c r="E21" s="185" t="str">
        <x:v>いつでも</x:v>
      </x:c>
      <x:c r="F21" s="191" t="e">
        <x:f>HYPERLINK("https://www.google.com/maps/dir/?api=1&amp;destination=%E5%B9%B3%E5%92%8C%E5%B3%B6PA%EF%BC%88%E4%B8%8A%E3%82%8A%EF%BC%89&amp;travelmode=driving","開く")</x:f>
      </x:c>
      <x:c r="G21" s="185"/>
      <x:c r="H21" s="185" t="n">
        <x:v>2</x:v>
      </x:c>
      <x:c r="I21" s="185" t="str">
        <x:v>羽田空港 第3ターミナル展望デッキ</x:v>
      </x:c>
      <x:c r="J21" s="185" t="n">
        <x:v>95</x:v>
      </x:c>
      <x:c r="K21" s="185" t="str">
        <x:v>概ね0〜10km</x:v>
      </x:c>
      <x:c r="L21" s="185" t="str">
        <x:v>いつでも</x:v>
      </x:c>
      <x:c r="M21" s="191" t="e">
        <x:f>HYPERLINK("https://www.google.com/maps/dir/?api=1&amp;destination=%E7%BE%BD%E7%94%B0%E7%A9%BA%E6%B8%AF%20%E7%AC%AC3%E3%82%BF%E3%83%BC%E3%83%9F%E3%83%8A%E3%83%AB%E5%B1%95%E6%9C%9B%E3%83%87%E3%83%83%E3%82%AD&amp;travelmode=driving","開く")</x:f>
      </x:c>
      <x:c r="N21" s="185"/>
    </x:row>
    <x:row r="22" ht="24" customHeight="1">
      <x:c r="A22" s="185" t="n">
        <x:v>3</x:v>
      </x:c>
      <x:c r="B22" s="185" t="str">
        <x:v>辰巳第一PA</x:v>
      </x:c>
      <x:c r="C22" s="185" t="n">
        <x:v>91</x:v>
      </x:c>
      <x:c r="D22" s="185" t="str">
        <x:v>概ね10〜20km</x:v>
      </x:c>
      <x:c r="E22" s="185" t="str">
        <x:v>いつでも</x:v>
      </x:c>
      <x:c r="F22" s="191" t="e">
        <x:f>HYPERLINK("https://www.google.com/maps/dir/?api=1&amp;destination=%E8%BE%B0%E5%B7%B3%E7%AC%AC%E4%B8%80PA&amp;travelmode=driving","開く")</x:f>
      </x:c>
      <x:c r="G22" s="185"/>
      <x:c r="H22" s="185" t="n">
        <x:v>3</x:v>
      </x:c>
      <x:c r="I22" s="185" t="str">
        <x:v>ソラムナード羽田緑地</x:v>
      </x:c>
      <x:c r="J22" s="185" t="n">
        <x:v>94</x:v>
      </x:c>
      <x:c r="K22" s="185" t="str">
        <x:v>蒲田から約7〜10km</x:v>
      </x:c>
      <x:c r="L22" s="185" t="str">
        <x:v>いつでも</x:v>
      </x:c>
      <x:c r="M22" s="191" t="e">
        <x:f>HYPERLINK("https://www.google.com/maps/dir/?api=1&amp;destination=%E3%82%BD%E3%83%A9%E3%83%A0%E3%83%8A%E3%83%BC%E3%83%89%E7%BE%BD%E7%94%B0%E7%B7%91%E5%9C%B0&amp;travelmode=driving","開く")</x:f>
      </x:c>
      <x:c r="N22" s="185"/>
    </x:row>
    <x:row r="23" ht="32" customHeight="1">
      <x:c r="A23" s="176" t="str">
        <x:v>推奨ルート</x:v>
      </x:c>
      <x:c r="B23" s="176"/>
      <x:c r="C23" s="176" t="str">
        <x:v>雨天・羽田インドア線｜80～130分</x:v>
      </x:c>
      <x:c r="D23" s="176"/>
      <x:c r="E23" s="176"/>
      <x:c r="F23" s="192" t="e">
        <x:f>HYPERLINK("https://www.google.com/maps/dir/?api=1&amp;destination=%E7%BE%BD%E7%94%B0%E7%A9%BA%E6%B8%AF%20%E7%AC%AC3%E3%82%BF%E3%83%BC%E3%83%9F%E3%83%8A%E3%83%AB%E5%B1%95%E6%9C%9B%E3%83%87%E3%83%83%E3%82%AD&amp;travelmode=driving&amp;waypoints=HANEDA%20INNOVATION%20CITY%20%E8%B6%B3%E6%B9%AF%E3%82%B9%E3%82%AB%E3%82%A4%E3%83%87%E3%83%83%E3%82%AD%7C%E7%BE%BD%E7%94%B0%E7%A9%BA%E6%B8%AF%20%E7%AC%AC2%E3%82%BF%E3%83%BC%E3%83%9F%E3%83%8A%E3%83%AB%E5%B1%95%E6%9C%9B%E3%83%87%E3%83%83%E3%82%AD%EF%BC%8FFLIGHT%20DECK%20TOKYO","開始")</x:f>
      </x:c>
      <x:c r="G23" s="185"/>
      <x:c r="H23" s="176" t="str">
        <x:v>推奨ルート</x:v>
      </x:c>
      <x:c r="I23" s="176"/>
      <x:c r="J23" s="176" t="str">
        <x:v>平日夜90分・最短リセット｜75～110分</x:v>
      </x:c>
      <x:c r="K23" s="176"/>
      <x:c r="L23" s="176"/>
      <x:c r="M23" s="192" t="e">
        <x:f>HYPERLINK("https://www.google.com/maps/dir/?api=1&amp;destination=%E7%BE%BD%E7%94%B0%E7%A9%BA%E6%B8%AF%20%E7%AC%AC3%E3%82%BF%E3%83%BC%E3%83%9F%E3%83%8A%E3%83%AB%E5%B1%95%E6%9C%9B%E3%83%87%E3%83%83%E3%82%AD&amp;travelmode=driving&amp;waypoints=%E6%A3%AE%E3%82%B1%E5%B4%8E%E5%85%AC%E5%9C%92%7CHANEDA%20INNOVATION%20CITY%20%E8%B6%B3%E6%B9%AF%E3%82%B9%E3%82%AB%E3%82%A4%E3%83%87%E3%83%83%E3%82%AD","開始")</x:f>
      </x:c>
      <x:c r="N23" s="185"/>
    </x:row>
    <x:row r="24" ht="8" customHeight="1">
      <x:c r="A24" s="185"/>
      <x:c r="B24" s="185"/>
      <x:c r="C24" s="185"/>
      <x:c r="D24" s="185"/>
      <x:c r="E24" s="185"/>
      <x:c r="F24" s="190"/>
      <x:c r="G24" s="185"/>
      <x:c r="H24" s="185"/>
      <x:c r="I24" s="185"/>
      <x:c r="J24" s="185"/>
      <x:c r="K24" s="185"/>
      <x:c r="L24" s="185"/>
      <x:c r="M24" s="190"/>
      <x:c r="N24" s="185"/>
    </x:row>
    <x:row r="25" ht="8" customHeight="1">
      <x:c r="A25" s="185"/>
      <x:c r="B25" s="185"/>
      <x:c r="C25" s="185"/>
      <x:c r="D25" s="185"/>
      <x:c r="E25" s="185"/>
      <x:c r="F25" s="190"/>
      <x:c r="G25" s="185"/>
      <x:c r="H25" s="185"/>
      <x:c r="I25" s="185"/>
      <x:c r="J25" s="185"/>
      <x:c r="K25" s="185"/>
      <x:c r="L25" s="185"/>
      <x:c r="M25" s="190"/>
      <x:c r="N25" s="185"/>
    </x:row>
    <x:row r="26" ht="23" customHeight="1">
      <x:c r="A26" s="186" t="str">
        <x:v>海・港</x:v>
      </x:c>
      <x:c r="B26" s="186"/>
      <x:c r="C26" s="186"/>
      <x:c r="D26" s="186"/>
      <x:c r="E26" s="186"/>
      <x:c r="F26" s="186"/>
      <x:c r="G26" s="185"/>
      <x:c r="H26" s="186" t="str">
        <x:v>工場夜景</x:v>
      </x:c>
      <x:c r="I26" s="186"/>
      <x:c r="J26" s="186"/>
      <x:c r="K26" s="186"/>
      <x:c r="L26" s="186"/>
      <x:c r="M26" s="186"/>
      <x:c r="N26" s="185"/>
    </x:row>
    <x:row r="27" ht="22" customHeight="1">
      <x:c r="A27" s="187" t="str">
        <x:v>順位</x:v>
      </x:c>
      <x:c r="B27" s="187" t="str">
        <x:v>地点</x:v>
      </x:c>
      <x:c r="C27" s="187" t="str">
        <x:v>スコア</x:v>
      </x:c>
      <x:c r="D27" s="187" t="str">
        <x:v>距離</x:v>
      </x:c>
      <x:c r="E27" s="187" t="str">
        <x:v>到着目安</x:v>
      </x:c>
      <x:c r="F27" s="187" t="str">
        <x:v>ナビ</x:v>
      </x:c>
      <x:c r="G27" s="185"/>
      <x:c r="H27" s="187" t="str">
        <x:v>順位</x:v>
      </x:c>
      <x:c r="I27" s="187" t="str">
        <x:v>地点</x:v>
      </x:c>
      <x:c r="J27" s="187" t="str">
        <x:v>スコア</x:v>
      </x:c>
      <x:c r="K27" s="187" t="str">
        <x:v>距離</x:v>
      </x:c>
      <x:c r="L27" s="187" t="str">
        <x:v>到着目安</x:v>
      </x:c>
      <x:c r="M27" s="187" t="str">
        <x:v>ナビ</x:v>
      </x:c>
      <x:c r="N27" s="185"/>
    </x:row>
    <x:row r="28" ht="24" customHeight="1">
      <x:c r="A28" s="185" t="n">
        <x:v>1</x:v>
      </x:c>
      <x:c r="B28" s="185" t="str">
        <x:v>大井PA（東行き）</x:v>
      </x:c>
      <x:c r="C28" s="185" t="n">
        <x:v>93</x:v>
      </x:c>
      <x:c r="D28" s="185" t="str">
        <x:v>概ね0〜10km</x:v>
      </x:c>
      <x:c r="E28" s="185" t="str">
        <x:v>いつでも</x:v>
      </x:c>
      <x:c r="F28" s="191" t="e">
        <x:f>HYPERLINK("https://www.google.com/maps/dir/?api=1&amp;destination=%E5%A4%A7%E4%BA%95PA%EF%BC%88%E6%9D%B1%E8%A1%8C%E3%81%8D%EF%BC%89&amp;travelmode=driving","開く")</x:f>
      </x:c>
      <x:c r="G28" s="185"/>
      <x:c r="H28" s="185" t="n">
        <x:v>1</x:v>
      </x:c>
      <x:c r="I28" s="185" t="str">
        <x:v>川崎マリエン</x:v>
      </x:c>
      <x:c r="J28" s="185" t="n">
        <x:v>95</x:v>
      </x:c>
      <x:c r="K28" s="185" t="str">
        <x:v>概ね10〜20km</x:v>
      </x:c>
      <x:c r="L28" s="185" t="str">
        <x:v>いつでも</x:v>
      </x:c>
      <x:c r="M28" s="191" t="e">
        <x:f>HYPERLINK("https://www.google.com/maps/dir/?api=1&amp;destination=%E5%B7%9D%E5%B4%8E%E3%83%9E%E3%83%AA%E3%82%A8%E3%83%B3&amp;travelmode=driving","開く")</x:f>
      </x:c>
      <x:c r="N28" s="185"/>
    </x:row>
    <x:row r="29" ht="24" customHeight="1">
      <x:c r="A29" s="185" t="n">
        <x:v>2</x:v>
      </x:c>
      <x:c r="B29" s="185" t="str">
        <x:v>東扇島西公園</x:v>
      </x:c>
      <x:c r="C29" s="185" t="n">
        <x:v>92</x:v>
      </x:c>
      <x:c r="D29" s="185" t="str">
        <x:v>概ね10〜20km</x:v>
      </x:c>
      <x:c r="E29" s="185" t="str">
        <x:v>いつでも</x:v>
      </x:c>
      <x:c r="F29" s="191" t="e">
        <x:f>HYPERLINK("https://www.google.com/maps/dir/?api=1&amp;destination=%E6%9D%B1%E6%89%87%E5%B3%B6%E8%A5%BF%E5%85%AC%E5%9C%92&amp;travelmode=driving","開く")</x:f>
      </x:c>
      <x:c r="G29" s="185"/>
      <x:c r="H29" s="185" t="n">
        <x:v>2</x:v>
      </x:c>
      <x:c r="I29" s="185" t="str">
        <x:v>ソラムナード羽田緑地</x:v>
      </x:c>
      <x:c r="J29" s="185" t="n">
        <x:v>94</x:v>
      </x:c>
      <x:c r="K29" s="185" t="str">
        <x:v>蒲田から約7〜10km</x:v>
      </x:c>
      <x:c r="L29" s="185" t="str">
        <x:v>いつでも</x:v>
      </x:c>
      <x:c r="M29" s="191" t="e">
        <x:f>HYPERLINK("https://www.google.com/maps/dir/?api=1&amp;destination=%E3%82%BD%E3%83%A9%E3%83%A0%E3%83%8A%E3%83%BC%E3%83%89%E7%BE%BD%E7%94%B0%E7%B7%91%E5%9C%B0&amp;travelmode=driving","開く")</x:f>
      </x:c>
      <x:c r="N29" s="185"/>
    </x:row>
    <x:row r="30" ht="24" customHeight="1">
      <x:c r="A30" s="185" t="n">
        <x:v>3</x:v>
      </x:c>
      <x:c r="B30" s="185" t="str">
        <x:v>晴海ふ頭公園</x:v>
      </x:c>
      <x:c r="C30" s="185" t="n">
        <x:v>92</x:v>
      </x:c>
      <x:c r="D30" s="185" t="str">
        <x:v>概ね10〜20km</x:v>
      </x:c>
      <x:c r="E30" s="185" t="str">
        <x:v>いつでも</x:v>
      </x:c>
      <x:c r="F30" s="191" t="e">
        <x:f>HYPERLINK("https://www.google.com/maps/dir/?api=1&amp;destination=%E6%99%B4%E6%B5%B7%E3%81%B5%E9%A0%AD%E5%85%AC%E5%9C%92&amp;travelmode=driving","開く")</x:f>
      </x:c>
      <x:c r="G30" s="185"/>
      <x:c r="H30" s="185" t="n">
        <x:v>3</x:v>
      </x:c>
      <x:c r="I30" s="185" t="str">
        <x:v>京浜島つばさ公園</x:v>
      </x:c>
      <x:c r="J30" s="185" t="n">
        <x:v>90</x:v>
      </x:c>
      <x:c r="K30" s="185" t="str">
        <x:v>概ね0〜10km</x:v>
      </x:c>
      <x:c r="L30" s="185" t="str">
        <x:v>いつでも</x:v>
      </x:c>
      <x:c r="M30" s="191" t="e">
        <x:f>HYPERLINK("https://www.google.com/maps/dir/?api=1&amp;destination=%E4%BA%AC%E6%B5%9C%E5%B3%B6%E3%81%A4%E3%81%B0%E3%81%95%E5%85%AC%E5%9C%92&amp;travelmode=driving","開く")</x:f>
      </x:c>
      <x:c r="N30" s="185"/>
    </x:row>
    <x:row r="31" ht="32" customHeight="1">
      <x:c r="A31" s="176" t="str">
        <x:v>推奨ルート</x:v>
      </x:c>
      <x:c r="B31" s="176"/>
      <x:c r="C31" s="176" t="str">
        <x:v>雨天・羽田インドア線｜80～130分</x:v>
      </x:c>
      <x:c r="D31" s="176"/>
      <x:c r="E31" s="176"/>
      <x:c r="F31" s="192" t="e">
        <x:f>HYPERLINK("https://www.google.com/maps/dir/?api=1&amp;destination=%E7%BE%BD%E7%94%B0%E7%A9%BA%E6%B8%AF%20%E7%AC%AC3%E3%82%BF%E3%83%BC%E3%83%9F%E3%83%8A%E3%83%AB%E5%B1%95%E6%9C%9B%E3%83%87%E3%83%83%E3%82%AD&amp;travelmode=driving&amp;waypoints=HANEDA%20INNOVATION%20CITY%20%E8%B6%B3%E6%B9%AF%E3%82%B9%E3%82%AB%E3%82%A4%E3%83%87%E3%83%83%E3%82%AD%7C%E7%BE%BD%E7%94%B0%E7%A9%BA%E6%B8%AF%20%E7%AC%AC2%E3%82%BF%E3%83%BC%E3%83%9F%E3%83%8A%E3%83%AB%E5%B1%95%E6%9C%9B%E3%83%87%E3%83%83%E3%82%AD%EF%BC%8FFLIGHT%20DECK%20TOKYO","開始")</x:f>
      </x:c>
      <x:c r="G31" s="185"/>
      <x:c r="H31" s="176" t="str">
        <x:v>推奨ルート</x:v>
      </x:c>
      <x:c r="I31" s="176"/>
      <x:c r="J31" s="176" t="str">
        <x:v>川崎工場夜景ライン｜130～170分</x:v>
      </x:c>
      <x:c r="K31" s="176"/>
      <x:c r="L31" s="176"/>
      <x:c r="M31" s="192" t="e">
        <x:f>HYPERLINK("https://www.google.com/maps/dir/?api=1&amp;destination=%E5%B7%9D%E5%B4%8E%E3%83%9E%E3%83%AA%E3%82%A8%E3%83%B3&amp;travelmode=driving&amp;waypoints=%E4%BA%AC%E6%B5%9C%E5%B3%B6%E3%81%A4%E3%81%B0%E3%81%95%E5%85%AC%E5%9C%92%7C%E6%9D%B1%E6%89%87%E5%B3%B6%E6%9D%B1%E5%85%AC%E5%9C%92","開始")</x:f>
      </x:c>
      <x:c r="N31" s="185"/>
    </x:row>
    <x:row r="32" ht="8" customHeight="1">
      <x:c r="A32" s="185"/>
      <x:c r="B32" s="185"/>
      <x:c r="C32" s="185"/>
      <x:c r="D32" s="185"/>
      <x:c r="E32" s="185"/>
      <x:c r="F32" s="190"/>
      <x:c r="G32" s="185"/>
      <x:c r="H32" s="185"/>
      <x:c r="I32" s="185"/>
      <x:c r="J32" s="185"/>
      <x:c r="K32" s="185"/>
      <x:c r="L32" s="185"/>
      <x:c r="M32" s="190"/>
      <x:c r="N32" s="185"/>
    </x:row>
    <x:row r="33" ht="8" customHeight="1">
      <x:c r="A33" s="185"/>
      <x:c r="B33" s="185"/>
      <x:c r="C33" s="185"/>
      <x:c r="D33" s="185"/>
      <x:c r="E33" s="185"/>
      <x:c r="F33" s="190"/>
      <x:c r="G33" s="185"/>
      <x:c r="H33" s="185"/>
      <x:c r="I33" s="185"/>
      <x:c r="J33" s="185"/>
      <x:c r="K33" s="185"/>
      <x:c r="L33" s="185"/>
      <x:c r="M33" s="190"/>
      <x:c r="N33" s="185"/>
    </x:row>
    <x:row r="34" ht="23" customHeight="1">
      <x:c r="A34" s="186" t="str">
        <x:v>静かな場所</x:v>
      </x:c>
      <x:c r="B34" s="186"/>
      <x:c r="C34" s="186"/>
      <x:c r="D34" s="186"/>
      <x:c r="E34" s="186"/>
      <x:c r="F34" s="186"/>
      <x:c r="G34" s="185"/>
      <x:c r="H34" s="186" t="str">
        <x:v>休日半日</x:v>
      </x:c>
      <x:c r="I34" s="186"/>
      <x:c r="J34" s="186"/>
      <x:c r="K34" s="186"/>
      <x:c r="L34" s="186"/>
      <x:c r="M34" s="186"/>
      <x:c r="N34" s="185"/>
    </x:row>
    <x:row r="35" ht="22" customHeight="1">
      <x:c r="A35" s="187" t="str">
        <x:v>順位</x:v>
      </x:c>
      <x:c r="B35" s="187" t="str">
        <x:v>地点</x:v>
      </x:c>
      <x:c r="C35" s="187" t="str">
        <x:v>スコア</x:v>
      </x:c>
      <x:c r="D35" s="187" t="str">
        <x:v>距離</x:v>
      </x:c>
      <x:c r="E35" s="187" t="str">
        <x:v>到着目安</x:v>
      </x:c>
      <x:c r="F35" s="187" t="str">
        <x:v>ナビ</x:v>
      </x:c>
      <x:c r="G35" s="185"/>
      <x:c r="H35" s="187" t="str">
        <x:v>順位</x:v>
      </x:c>
      <x:c r="I35" s="187" t="str">
        <x:v>地点</x:v>
      </x:c>
      <x:c r="J35" s="187" t="str">
        <x:v>スコア</x:v>
      </x:c>
      <x:c r="K35" s="187" t="str">
        <x:v>距離</x:v>
      </x:c>
      <x:c r="L35" s="187" t="str">
        <x:v>到着目安</x:v>
      </x:c>
      <x:c r="M35" s="187" t="str">
        <x:v>ナビ</x:v>
      </x:c>
      <x:c r="N35" s="185"/>
    </x:row>
    <x:row r="36" ht="24" customHeight="1">
      <x:c r="A36" s="185" t="n">
        <x:v>1</x:v>
      </x:c>
      <x:c r="B36" s="185" t="str">
        <x:v>夢見ヶ崎動物公園</x:v>
      </x:c>
      <x:c r="C36" s="185" t="n">
        <x:v>90</x:v>
      </x:c>
      <x:c r="D36" s="185" t="str">
        <x:v>概ね0〜10km</x:v>
      </x:c>
      <x:c r="E36" s="185" t="str">
        <x:v>いつでも</x:v>
      </x:c>
      <x:c r="F36" s="191" t="e">
        <x:f>HYPERLINK("https://www.google.com/maps/dir/?api=1&amp;destination=%E5%A4%A2%E8%A6%8B%E3%83%B6%E5%B4%8E%E5%8B%95%E7%89%A9%E5%85%AC%E5%9C%92&amp;travelmode=driving","開く")</x:f>
      </x:c>
      <x:c r="G36" s="185"/>
      <x:c r="H36" s="185" t="n">
        <x:v>1</x:v>
      </x:c>
      <x:c r="I36" s="185" t="str">
        <x:v>浦安市総合公園</x:v>
      </x:c>
      <x:c r="J36" s="185" t="n">
        <x:v>76</x:v>
      </x:c>
      <x:c r="K36" s="185" t="str">
        <x:v>概ね20〜25km</x:v>
      </x:c>
      <x:c r="L36" s="185" t="str">
        <x:v>いつでも</x:v>
      </x:c>
      <x:c r="M36" s="191" t="e">
        <x:f>HYPERLINK("https://www.google.com/maps/dir/?api=1&amp;destination=%E6%B5%A6%E5%AE%89%E5%B8%82%E7%B7%8F%E5%90%88%E5%85%AC%E5%9C%92&amp;travelmode=driving","開く")</x:f>
      </x:c>
      <x:c r="N36" s="185"/>
    </x:row>
    <x:row r="37" ht="24" customHeight="1">
      <x:c r="A37" s="185" t="n">
        <x:v>2</x:v>
      </x:c>
      <x:c r="B37" s="185" t="str">
        <x:v>殿町緑地</x:v>
      </x:c>
      <x:c r="C37" s="185" t="n">
        <x:v>88</x:v>
      </x:c>
      <x:c r="D37" s="185" t="str">
        <x:v>概ね0〜10km</x:v>
      </x:c>
      <x:c r="E37" s="185" t="str">
        <x:v>出発前に閉場確認</x:v>
      </x:c>
      <x:c r="F37" s="191" t="e">
        <x:f>HYPERLINK("https://www.google.com/maps/dir/?api=1&amp;destination=%E6%AE%BF%E7%94%BA%E7%B7%91%E5%9C%B0&amp;travelmode=driving","開く")</x:f>
      </x:c>
      <x:c r="G37" s="185"/>
      <x:c r="H37" s="185" t="n">
        <x:v>2</x:v>
      </x:c>
      <x:c r="I37" s="185" t="str">
        <x:v>夢見ヶ崎動物公園</x:v>
      </x:c>
      <x:c r="J37" s="185" t="n">
        <x:v>74</x:v>
      </x:c>
      <x:c r="K37" s="185" t="str">
        <x:v>概ね0〜10km</x:v>
      </x:c>
      <x:c r="L37" s="185" t="str">
        <x:v>いつでも</x:v>
      </x:c>
      <x:c r="M37" s="191" t="e">
        <x:f>HYPERLINK("https://www.google.com/maps/dir/?api=1&amp;destination=%E5%A4%A2%E8%A6%8B%E3%83%B6%E5%B4%8E%E5%8B%95%E7%89%A9%E5%85%AC%E5%9C%92&amp;travelmode=driving","開く")</x:f>
      </x:c>
      <x:c r="N37" s="185"/>
    </x:row>
    <x:row r="38" ht="24" customHeight="1">
      <x:c r="A38" s="185" t="n">
        <x:v>3</x:v>
      </x:c>
      <x:c r="B38" s="185" t="str">
        <x:v>暁ふ頭公園</x:v>
      </x:c>
      <x:c r="C38" s="185" t="n">
        <x:v>87</x:v>
      </x:c>
      <x:c r="D38" s="185" t="str">
        <x:v>概ね10〜20km</x:v>
      </x:c>
      <x:c r="E38" s="185" t="str">
        <x:v>出発前に閉場確認</x:v>
      </x:c>
      <x:c r="F38" s="191" t="e">
        <x:f>HYPERLINK("https://www.google.com/maps/dir/?api=1&amp;destination=%E6%9A%81%E3%81%B5%E9%A0%AD%E5%85%AC%E5%9C%92&amp;travelmode=driving","開く")</x:f>
      </x:c>
      <x:c r="G38" s="185"/>
      <x:c r="H38" s="185" t="n">
        <x:v>3</x:v>
      </x:c>
      <x:c r="I38" s="185" t="str">
        <x:v>羽田空港 第1ターミナル展望デッキ</x:v>
      </x:c>
      <x:c r="J38" s="185" t="n">
        <x:v>73</x:v>
      </x:c>
      <x:c r="K38" s="185" t="str">
        <x:v>蒲田から約9〜13km</x:v>
      </x:c>
      <x:c r="L38" s="185" t="str">
        <x:v>21:00までの到着推奨</x:v>
      </x:c>
      <x:c r="M38" s="191" t="e">
        <x:f>HYPERLINK("https://www.google.com/maps/dir/?api=1&amp;destination=%E7%BE%BD%E7%94%B0%E7%A9%BA%E6%B8%AF%20%E7%AC%AC1%E3%82%BF%E3%83%BC%E3%83%9F%E3%83%8A%E3%83%AB%E5%B1%95%E6%9C%9B%E3%83%87%E3%83%83%E3%82%AD&amp;travelmode=driving","開く")</x:f>
      </x:c>
      <x:c r="N38" s="185"/>
    </x:row>
    <x:row r="39" ht="32" customHeight="1">
      <x:c r="A39" s="176" t="str">
        <x:v>推奨ルート</x:v>
      </x:c>
      <x:c r="B39" s="176"/>
      <x:c r="C39" s="176" t="str">
        <x:v>平日夜90分・最短リセット｜75～110分</x:v>
      </x:c>
      <x:c r="D39" s="176"/>
      <x:c r="E39" s="176"/>
      <x:c r="F39" s="192" t="e">
        <x:f>HYPERLINK("https://www.google.com/maps/dir/?api=1&amp;destination=%E7%BE%BD%E7%94%B0%E7%A9%BA%E6%B8%AF%20%E7%AC%AC3%E3%82%BF%E3%83%BC%E3%83%9F%E3%83%8A%E3%83%AB%E5%B1%95%E6%9C%9B%E3%83%87%E3%83%83%E3%82%AD&amp;travelmode=driving&amp;waypoints=%E6%A3%AE%E3%82%B1%E5%B4%8E%E5%85%AC%E5%9C%92%7CHANEDA%20INNOVATION%20CITY%20%E8%B6%B3%E6%B9%AF%E3%82%B9%E3%82%AB%E3%82%A4%E3%83%87%E3%83%83%E3%82%AD","開始")</x:f>
      </x:c>
      <x:c r="G39" s="185"/>
      <x:c r="H39" s="176" t="str">
        <x:v>推奨ルート</x:v>
      </x:c>
      <x:c r="I39" s="176"/>
      <x:c r="J39" s="176" t="str">
        <x:v>大森・海苔の海辺線｜80～130分</x:v>
      </x:c>
      <x:c r="K39" s="176"/>
      <x:c r="L39" s="176"/>
      <x:c r="M39" s="192" t="e">
        <x:f>HYPERLINK("https://www.google.com/maps/dir/?api=1&amp;destination=%E5%9F%8E%E5%8D%97%E5%B3%B6%E6%B5%B7%E6%B5%9C%E5%85%AC%E5%9C%92&amp;travelmode=driving&amp;waypoints=%E5%B9%B3%E5%92%8C%E3%81%AE%E6%A3%AE%E5%85%AC%E5%9C%92%7C%E5%A4%A7%E6%A3%AE%E3%81%B5%E3%82%8B%E3%81%95%E3%81%A8%E3%81%AE%E6%B5%9C%E8%BE%BA%E5%85%AC%E5%9C%92","開始")</x:f>
      </x:c>
      <x:c r="N39" s="185"/>
    </x:row>
    <x:row r="40" ht="8" customHeight="1">
      <x:c r="A40" s="185"/>
      <x:c r="B40" s="185"/>
      <x:c r="C40" s="185"/>
      <x:c r="D40" s="185"/>
      <x:c r="E40" s="185"/>
      <x:c r="F40" s="190"/>
      <x:c r="G40" s="185"/>
      <x:c r="H40" s="185"/>
      <x:c r="I40" s="185"/>
      <x:c r="J40" s="185"/>
      <x:c r="K40" s="185"/>
      <x:c r="L40" s="185"/>
      <x:c r="M40" s="190"/>
      <x:c r="N40" s="185"/>
    </x:row>
    <x:row r="41" ht="8" customHeight="1">
      <x:c r="A41" s="185"/>
      <x:c r="B41" s="185"/>
      <x:c r="C41" s="185"/>
      <x:c r="D41" s="185"/>
      <x:c r="E41" s="185"/>
      <x:c r="F41" s="190"/>
      <x:c r="G41" s="185"/>
      <x:c r="H41" s="185"/>
      <x:c r="I41" s="185"/>
      <x:c r="J41" s="185"/>
      <x:c r="K41" s="185"/>
      <x:c r="L41" s="185"/>
      <x:c r="M41" s="190"/>
      <x:c r="N41" s="185"/>
    </x:row>
    <x:row r="42">
      <x:c r="A42" s="185"/>
      <x:c r="B42" s="185"/>
      <x:c r="C42" s="185"/>
      <x:c r="D42" s="185"/>
      <x:c r="E42" s="185"/>
      <x:c r="F42" s="190"/>
      <x:c r="G42" s="185"/>
      <x:c r="H42" s="185"/>
      <x:c r="I42" s="185"/>
      <x:c r="J42" s="185"/>
      <x:c r="K42" s="185"/>
      <x:c r="L42" s="185"/>
      <x:c r="M42" s="190"/>
      <x:c r="N42" s="185"/>
    </x:row>
    <x:row r="43" ht="23" customHeight="1">
      <x:c r="A43" s="146" t="str">
        <x:v>迷ったらこの5地点</x:v>
      </x:c>
      <x:c r="B43" s="146"/>
      <x:c r="C43" s="146"/>
      <x:c r="D43" s="146"/>
      <x:c r="E43" s="146"/>
      <x:c r="F43" s="146"/>
      <x:c r="G43" s="185"/>
      <x:c r="H43" s="146" t="str">
        <x:v>出発前の4チェック</x:v>
      </x:c>
      <x:c r="I43" s="146"/>
      <x:c r="J43" s="146"/>
      <x:c r="K43" s="146"/>
      <x:c r="L43" s="146"/>
      <x:c r="M43" s="146"/>
      <x:c r="N43" s="146"/>
    </x:row>
    <x:row r="44" ht="28" customHeight="1">
      <x:c r="A44" s="189" t="str">
        <x:v>順位</x:v>
      </x:c>
      <x:c r="B44" s="189" t="str">
        <x:v>地点</x:v>
      </x:c>
      <x:c r="C44" s="189" t="str">
        <x:v>総合点</x:v>
      </x:c>
      <x:c r="D44" s="189" t="str">
        <x:v>推奨用途</x:v>
      </x:c>
      <x:c r="E44" s="189" t="str">
        <x:v>一言判断</x:v>
      </x:c>
      <x:c r="F44" s="193" t="str">
        <x:v>ナビ</x:v>
      </x:c>
      <x:c r="G44" s="185"/>
      <x:c r="H44" s="189" t="str">
        <x:v>順番</x:v>
      </x:c>
      <x:c r="I44" s="189" t="str">
        <x:v>確認項目</x:v>
      </x:c>
      <x:c r="J44" s="189" t="str">
        <x:v>見る場所</x:v>
      </x:c>
      <x:c r="K44" s="189" t="str">
        <x:v>判断</x:v>
      </x:c>
      <x:c r="L44" s="189"/>
      <x:c r="M44" s="193"/>
      <x:c r="N44" s="189"/>
    </x:row>
    <x:row r="45" ht="28" customHeight="1">
      <x:c r="A45" s="185" t="n">
        <x:v>1</x:v>
      </x:c>
      <x:c r="B45" s="185" t="str">
        <x:v>京浜島つばさ公園</x:v>
      </x:c>
      <x:c r="C45" s="185" t="n">
        <x:v>84</x:v>
      </x:c>
      <x:c r="D45" s="185" t="str">
        <x:v>深夜2時間／飛行機</x:v>
      </x:c>
      <x:c r="E45" s="185" t="str">
        <x:v>強い候補</x:v>
      </x:c>
      <x:c r="F45" s="191" t="e">
        <x:f>HYPERLINK("https://www.google.com/maps/dir/?api=1&amp;destination=%E4%BA%AC%E6%B5%9C%E5%B3%B6%E3%81%A4%E3%81%B0%E3%81%95%E5%85%AC%E5%9C%92&amp;travelmode=driving","開く")</x:f>
      </x:c>
      <x:c r="G45" s="185"/>
      <x:c r="H45" s="185" t="n">
        <x:v>1</x:v>
      </x:c>
      <x:c r="I45" s="185" t="str">
        <x:v>駐車場の閉場</x:v>
      </x:c>
      <x:c r="J45" s="185" t="str">
        <x:v>利用可能時間・注意事項</x:v>
      </x:c>
      <x:c r="K45" s="185" t="str">
        <x:v>帰る時刻ではなく入庫・出庫時刻で判断</x:v>
      </x:c>
      <x:c r="L45" s="185"/>
      <x:c r="M45" s="190"/>
      <x:c r="N45" s="185"/>
    </x:row>
    <x:row r="46" ht="28" customHeight="1">
      <x:c r="A46" s="185" t="n">
        <x:v>2</x:v>
      </x:c>
      <x:c r="B46" s="185" t="str">
        <x:v>ソラムナード羽田緑地</x:v>
      </x:c>
      <x:c r="C46" s="185" t="n">
        <x:v>81</x:v>
      </x:c>
      <x:c r="D46" s="185" t="str">
        <x:v>平日夜90分／深夜2時間</x:v>
      </x:c>
      <x:c r="E46" s="185" t="str">
        <x:v>強い候補</x:v>
      </x:c>
      <x:c r="F46" s="191" t="e">
        <x:f>HYPERLINK("https://www.google.com/maps/dir/?api=1&amp;destination=%E3%82%BD%E3%83%A9%E3%83%A0%E3%83%8A%E3%83%BC%E3%83%89%E7%BE%BD%E7%94%B0%E7%B7%91%E5%9C%B0&amp;travelmode=driving","開く")</x:f>
      </x:c>
      <x:c r="G46" s="185"/>
      <x:c r="H46" s="185" t="n">
        <x:v>2</x:v>
      </x:c>
      <x:c r="I46" s="185" t="str">
        <x:v>風・雨・増水</x:v>
      </x:c>
      <x:c r="J46" s="185" t="str">
        <x:v>公式情報・天気</x:v>
      </x:c>
      <x:c r="K46" s="185" t="str">
        <x:v>海・河川・屋上は体験価値が急落する</x:v>
      </x:c>
      <x:c r="L46" s="185"/>
      <x:c r="M46" s="190"/>
      <x:c r="N46" s="185"/>
    </x:row>
    <x:row r="47" ht="28" customHeight="1">
      <x:c r="A47" s="185" t="n">
        <x:v>3</x:v>
      </x:c>
      <x:c r="B47" s="185" t="str">
        <x:v>大井PA（東行き）</x:v>
      </x:c>
      <x:c r="C47" s="185" t="n">
        <x:v>78</x:v>
      </x:c>
      <x:c r="D47" s="185" t="str">
        <x:v>雨天／海・港</x:v>
      </x:c>
      <x:c r="E47" s="185" t="str">
        <x:v>条件が合えば有力</x:v>
      </x:c>
      <x:c r="F47" s="191" t="e">
        <x:f>HYPERLINK("https://www.google.com/maps/dir/?api=1&amp;destination=%E5%A4%A7%E4%BA%95PA%EF%BC%88%E6%9D%B1%E8%A1%8C%E3%81%8D%EF%BC%89&amp;travelmode=driving","開く")</x:f>
      </x:c>
      <x:c r="G47" s="185"/>
      <x:c r="H47" s="185" t="n">
        <x:v>3</x:v>
      </x:c>
      <x:c r="I47" s="185" t="str">
        <x:v>満車時の代替</x:v>
      </x:c>
      <x:c r="J47" s="185" t="str">
        <x:v>代替地点</x:v>
      </x:c>
      <x:c r="K47" s="185" t="str">
        <x:v>路上待機せず即座に切り替える</x:v>
      </x:c>
      <x:c r="L47" s="185"/>
      <x:c r="M47" s="190"/>
      <x:c r="N47" s="185"/>
    </x:row>
    <x:row r="48" ht="28" customHeight="1">
      <x:c r="A48" s="185" t="n">
        <x:v>4</x:v>
      </x:c>
      <x:c r="B48" s="185" t="str">
        <x:v>東扇島西公園</x:v>
      </x:c>
      <x:c r="C48" s="185" t="n">
        <x:v>78</x:v>
      </x:c>
      <x:c r="D48" s="185" t="str">
        <x:v>深夜2時間／海・港</x:v>
      </x:c>
      <x:c r="E48" s="185" t="str">
        <x:v>条件が合えば有力</x:v>
      </x:c>
      <x:c r="F48" s="191" t="e">
        <x:f>HYPERLINK("https://www.google.com/maps/dir/?api=1&amp;destination=%E6%9D%B1%E6%89%87%E5%B3%B6%E8%A5%BF%E5%85%AC%E5%9C%92&amp;travelmode=driving","開く")</x:f>
      </x:c>
      <x:c r="G48" s="185"/>
      <x:c r="H48" s="185" t="n">
        <x:v>4</x:v>
      </x:c>
      <x:c r="I48" s="185" t="str">
        <x:v>PA・SAの方向</x:v>
      </x:c>
      <x:c r="J48" s="185" t="str">
        <x:v>ルート注意事項</x:v>
      </x:c>
      <x:c r="K48" s="185" t="str">
        <x:v>上り・下りが合わなければルート不成立</x:v>
      </x:c>
      <x:c r="L48" s="185"/>
      <x:c r="M48" s="190"/>
      <x:c r="N48" s="185"/>
    </x:row>
    <x:row r="49" ht="28" customHeight="1">
      <x:c r="A49" s="185" t="n">
        <x:v>5</x:v>
      </x:c>
      <x:c r="B49" s="185" t="str">
        <x:v>HANEDA INNOVATION CITY 足湯スカイデッキ</x:v>
      </x:c>
      <x:c r="C49" s="185" t="n">
        <x:v>78</x:v>
      </x:c>
      <x:c r="D49" s="185" t="str">
        <x:v>深夜2時間／飛行機</x:v>
      </x:c>
      <x:c r="E49" s="185" t="str">
        <x:v>条件が合えば有力</x:v>
      </x:c>
      <x:c r="F49" s="191" t="e">
        <x:f>HYPERLINK("https://www.google.com/maps/dir/?api=1&amp;destination=HANEDA%20INNOVATION%20CITY%20%E8%B6%B3%E6%B9%AF%E3%82%B9%E3%82%AB%E3%82%A4%E3%83%87%E3%83%83%E3%82%AD&amp;travelmode=driving","開く")</x:f>
      </x:c>
      <x:c r="G49" s="185"/>
      <x:c r="H49" s="185" t="str">
        <x:v>結論</x:v>
      </x:c>
      <x:c r="I49" s="185" t="str">
        <x:v>迷ったら羽田・大森・東京港の近距離コアから選ぶ</x:v>
      </x:c>
      <x:c r="J49" s="185" t="str">
        <x:v>遠方へ伸ばすのは休日半日だけ</x:v>
      </x:c>
      <x:c r="K49" s="185"/>
      <x:c r="L49" s="185"/>
      <x:c r="M49" s="190"/>
      <x:c r="N49" s="185"/>
    </x:row>
    <x:row r="50">
      <x:c r="A50" s="185"/>
      <x:c r="B50" s="185"/>
      <x:c r="C50" s="185"/>
      <x:c r="D50" s="185"/>
      <x:c r="E50" s="185"/>
      <x:c r="F50" s="190"/>
      <x:c r="G50" s="185"/>
      <x:c r="H50" s="185"/>
      <x:c r="I50" s="185"/>
      <x:c r="J50" s="185"/>
      <x:c r="K50" s="185"/>
      <x:c r="L50" s="185"/>
      <x:c r="M50" s="190"/>
      <x:c r="N50" s="185"/>
    </x:row>
    <x:row r="51">
      <x:c r="A51" s="185"/>
      <x:c r="B51" s="185"/>
      <x:c r="C51" s="185"/>
      <x:c r="D51" s="185"/>
      <x:c r="E51" s="185"/>
      <x:c r="F51" s="190"/>
      <x:c r="G51" s="185"/>
      <x:c r="H51" s="185"/>
      <x:c r="I51" s="185"/>
      <x:c r="J51" s="185"/>
      <x:c r="K51" s="185"/>
      <x:c r="L51" s="185"/>
      <x:c r="M51" s="190"/>
      <x:c r="N51" s="185"/>
    </x:row>
    <x:row r="52" ht="22" customHeight="1">
      <x:c r="A52" s="189" t="str">
        <x:v>順位</x:v>
      </x:c>
      <x:c r="B52" s="189" t="str">
        <x:v>地点</x:v>
      </x:c>
      <x:c r="C52" s="189" t="str">
        <x:v>最終目的地力</x:v>
      </x:c>
      <x:c r="D52" s="185"/>
      <x:c r="E52" s="185"/>
      <x:c r="F52" s="190"/>
      <x:c r="G52" s="185"/>
      <x:c r="H52" s="185"/>
      <x:c r="I52" s="185"/>
      <x:c r="J52" s="185"/>
      <x:c r="K52" s="185"/>
      <x:c r="L52" s="185"/>
      <x:c r="M52" s="190"/>
      <x:c r="N52" s="185"/>
    </x:row>
    <x:row r="53" ht="22" customHeight="1">
      <x:c r="A53" s="185" t="n">
        <x:v>1</x:v>
      </x:c>
      <x:c r="B53" s="185" t="str">
        <x:v>京浜島つばさ公園</x:v>
      </x:c>
      <x:c r="C53" s="185" t="n">
        <x:v>84</x:v>
      </x:c>
      <x:c r="D53" s="185"/>
      <x:c r="E53" s="185"/>
      <x:c r="F53" s="190"/>
      <x:c r="G53" s="185"/>
      <x:c r="H53" s="185"/>
      <x:c r="I53" s="185"/>
      <x:c r="J53" s="185"/>
      <x:c r="K53" s="185"/>
      <x:c r="L53" s="185"/>
      <x:c r="M53" s="190"/>
      <x:c r="N53" s="185"/>
    </x:row>
    <x:row r="54" ht="22" customHeight="1">
      <x:c r="A54" s="185" t="n">
        <x:v>2</x:v>
      </x:c>
      <x:c r="B54" s="185" t="str">
        <x:v>ソラムナード羽田緑地</x:v>
      </x:c>
      <x:c r="C54" s="185" t="n">
        <x:v>81</x:v>
      </x:c>
      <x:c r="D54" s="185"/>
      <x:c r="E54" s="185"/>
      <x:c r="F54" s="190"/>
      <x:c r="G54" s="185"/>
      <x:c r="H54" s="185"/>
      <x:c r="I54" s="185"/>
      <x:c r="J54" s="185"/>
      <x:c r="K54" s="185"/>
      <x:c r="L54" s="185"/>
      <x:c r="M54" s="190"/>
      <x:c r="N54" s="185"/>
    </x:row>
    <x:row r="55" ht="22" customHeight="1">
      <x:c r="A55" s="185" t="n">
        <x:v>3</x:v>
      </x:c>
      <x:c r="B55" s="185" t="str">
        <x:v>大井PA（東行き）</x:v>
      </x:c>
      <x:c r="C55" s="185" t="n">
        <x:v>78</x:v>
      </x:c>
      <x:c r="D55" s="185"/>
      <x:c r="E55" s="185"/>
      <x:c r="F55" s="190"/>
      <x:c r="G55" s="185"/>
      <x:c r="H55" s="185"/>
      <x:c r="I55" s="185"/>
      <x:c r="J55" s="185"/>
      <x:c r="K55" s="185"/>
      <x:c r="L55" s="185"/>
      <x:c r="M55" s="190"/>
      <x:c r="N55" s="185"/>
    </x:row>
    <x:row r="56" ht="22" customHeight="1">
      <x:c r="A56" s="185" t="n">
        <x:v>4</x:v>
      </x:c>
      <x:c r="B56" s="185" t="str">
        <x:v>東扇島西公園</x:v>
      </x:c>
      <x:c r="C56" s="185" t="n">
        <x:v>78</x:v>
      </x:c>
      <x:c r="D56" s="185"/>
      <x:c r="E56" s="185"/>
      <x:c r="F56" s="190"/>
      <x:c r="G56" s="185"/>
      <x:c r="H56" s="185"/>
      <x:c r="I56" s="185"/>
      <x:c r="J56" s="185"/>
      <x:c r="K56" s="185"/>
      <x:c r="L56" s="185"/>
      <x:c r="M56" s="190"/>
      <x:c r="N56" s="185"/>
    </x:row>
    <x:row r="57" ht="22" customHeight="1">
      <x:c r="A57" s="185" t="n">
        <x:v>5</x:v>
      </x:c>
      <x:c r="B57" s="185" t="str">
        <x:v>HANEDA INNOVATION CITY 足湯スカイデッキ</x:v>
      </x:c>
      <x:c r="C57" s="185" t="n">
        <x:v>78</x:v>
      </x:c>
      <x:c r="D57" s="185"/>
      <x:c r="E57" s="185"/>
      <x:c r="F57" s="190"/>
      <x:c r="G57" s="185"/>
      <x:c r="H57" s="185"/>
      <x:c r="I57" s="185"/>
      <x:c r="J57" s="185"/>
      <x:c r="K57" s="185"/>
      <x:c r="L57" s="185"/>
      <x:c r="M57" s="190"/>
      <x:c r="N57" s="185"/>
    </x:row>
    <x:row r="58" ht="22" customHeight="1">
      <x:c r="A58" s="185" t="n">
        <x:v>6</x:v>
      </x:c>
      <x:c r="B58" s="185" t="str">
        <x:v>羽田空港 第3ターミナル展望デッキ</x:v>
      </x:c>
      <x:c r="C58" s="185" t="n">
        <x:v>77</x:v>
      </x:c>
      <x:c r="D58" s="185"/>
      <x:c r="E58" s="185"/>
      <x:c r="F58" s="190"/>
      <x:c r="G58" s="185"/>
      <x:c r="H58" s="185"/>
      <x:c r="I58" s="185"/>
      <x:c r="J58" s="185"/>
      <x:c r="K58" s="185"/>
      <x:c r="L58" s="185"/>
      <x:c r="M58" s="190"/>
      <x:c r="N58" s="185"/>
    </x:row>
    <x:row r="59" ht="22" customHeight="1">
      <x:c r="A59" s="185" t="n">
        <x:v>7</x:v>
      </x:c>
      <x:c r="B59" s="185" t="str">
        <x:v>羽田空港 第1ターミナル展望デッキ</x:v>
      </x:c>
      <x:c r="C59" s="185" t="n">
        <x:v>77</x:v>
      </x:c>
      <x:c r="D59" s="185"/>
      <x:c r="E59" s="185"/>
      <x:c r="F59" s="190"/>
      <x:c r="G59" s="185"/>
      <x:c r="H59" s="185"/>
      <x:c r="I59" s="185"/>
      <x:c r="J59" s="185"/>
      <x:c r="K59" s="185"/>
      <x:c r="L59" s="185"/>
      <x:c r="M59" s="190"/>
      <x:c r="N59" s="185"/>
    </x:row>
    <x:row r="60" ht="22" customHeight="1">
      <x:c r="A60" s="185" t="n">
        <x:v>8</x:v>
      </x:c>
      <x:c r="B60" s="185" t="str">
        <x:v>川崎マリエン</x:v>
      </x:c>
      <x:c r="C60" s="185" t="n">
        <x:v>76</x:v>
      </x:c>
      <x:c r="D60" s="185"/>
      <x:c r="E60" s="185"/>
      <x:c r="F60" s="190"/>
      <x:c r="G60" s="185"/>
      <x:c r="H60" s="185"/>
      <x:c r="I60" s="185"/>
      <x:c r="J60" s="185"/>
      <x:c r="K60" s="185"/>
      <x:c r="L60" s="185"/>
      <x:c r="M60" s="190"/>
      <x:c r="N60" s="185"/>
    </x:row>
    <x:row r="61" ht="22" customHeight="1">
      <x:c r="A61" s="185" t="n">
        <x:v>9</x:v>
      </x:c>
      <x:c r="B61" s="185" t="str">
        <x:v>晴海ふ頭公園</x:v>
      </x:c>
      <x:c r="C61" s="185" t="n">
        <x:v>76</x:v>
      </x:c>
      <x:c r="D61" s="185"/>
      <x:c r="E61" s="185"/>
      <x:c r="F61" s="190"/>
      <x:c r="G61" s="185"/>
      <x:c r="H61" s="185"/>
      <x:c r="I61" s="185"/>
      <x:c r="J61" s="185"/>
      <x:c r="K61" s="185"/>
      <x:c r="L61" s="185"/>
      <x:c r="M61" s="190"/>
      <x:c r="N61" s="185"/>
    </x:row>
    <x:row r="62" ht="22" customHeight="1">
      <x:c r="A62" s="185" t="n">
        <x:v>10</x:v>
      </x:c>
      <x:c r="B62" s="185" t="str">
        <x:v>城南島海浜公園</x:v>
      </x:c>
      <x:c r="C62" s="185" t="n">
        <x:v>75</x:v>
      </x:c>
      <x:c r="D62" s="185"/>
      <x:c r="E62" s="185"/>
      <x:c r="F62" s="190"/>
      <x:c r="G62" s="185"/>
      <x:c r="H62" s="185"/>
      <x:c r="I62" s="185"/>
      <x:c r="J62" s="185"/>
      <x:c r="K62" s="185"/>
      <x:c r="L62" s="185"/>
      <x:c r="M62" s="190"/>
      <x:c r="N62" s="185"/>
    </x:row>
    <x:row r="63">
      <x:c r="A63" s="185"/>
      <x:c r="B63" s="185"/>
      <x:c r="C63" s="185"/>
      <x:c r="D63" s="185"/>
      <x:c r="E63" s="185"/>
      <x:c r="F63" s="190"/>
      <x:c r="G63" s="185"/>
      <x:c r="H63" s="185"/>
      <x:c r="I63" s="185"/>
      <x:c r="J63" s="185"/>
      <x:c r="K63" s="185"/>
      <x:c r="L63" s="185"/>
      <x:c r="M63" s="190"/>
      <x:c r="N63" s="185"/>
    </x:row>
    <x:row r="64">
      <x:c r="A64" s="185"/>
      <x:c r="B64" s="185"/>
      <x:c r="C64" s="185"/>
      <x:c r="D64" s="185"/>
      <x:c r="E64" s="185"/>
      <x:c r="F64" s="190"/>
      <x:c r="G64" s="185"/>
      <x:c r="H64" s="185"/>
      <x:c r="I64" s="185"/>
      <x:c r="J64" s="185"/>
      <x:c r="K64" s="185"/>
      <x:c r="L64" s="185"/>
      <x:c r="M64" s="190"/>
      <x:c r="N64" s="185"/>
    </x:row>
    <x:row r="65">
      <x:c r="A65" s="185"/>
      <x:c r="B65" s="185"/>
      <x:c r="C65" s="185"/>
      <x:c r="D65" s="185"/>
      <x:c r="E65" s="185"/>
      <x:c r="F65" s="190"/>
      <x:c r="G65" s="185"/>
      <x:c r="H65" s="185"/>
      <x:c r="I65" s="185"/>
      <x:c r="J65" s="185"/>
      <x:c r="K65" s="185"/>
      <x:c r="L65" s="185"/>
      <x:c r="M65" s="190"/>
      <x:c r="N65" s="185"/>
    </x:row>
    <x:row r="66">
      <x:c r="A66" s="185"/>
      <x:c r="B66" s="185"/>
      <x:c r="C66" s="185"/>
      <x:c r="D66" s="185"/>
      <x:c r="E66" s="185"/>
      <x:c r="F66" s="190"/>
      <x:c r="G66" s="185"/>
      <x:c r="H66" s="185"/>
      <x:c r="I66" s="185"/>
      <x:c r="J66" s="185"/>
      <x:c r="K66" s="185"/>
      <x:c r="L66" s="185"/>
      <x:c r="M66" s="190"/>
      <x:c r="N66" s="185"/>
    </x:row>
    <x:row r="67">
      <x:c r="A67" s="185"/>
      <x:c r="B67" s="185"/>
      <x:c r="C67" s="185"/>
      <x:c r="D67" s="185"/>
      <x:c r="E67" s="185"/>
      <x:c r="F67" s="190"/>
      <x:c r="G67" s="185"/>
      <x:c r="H67" s="185"/>
      <x:c r="I67" s="185"/>
      <x:c r="J67" s="185"/>
      <x:c r="K67" s="185"/>
      <x:c r="L67" s="185"/>
      <x:c r="M67" s="190"/>
      <x:c r="N67" s="185"/>
    </x:row>
    <x:row r="68">
      <x:c r="A68" s="185"/>
      <x:c r="B68" s="185"/>
      <x:c r="C68" s="185"/>
      <x:c r="D68" s="185"/>
      <x:c r="E68" s="185"/>
      <x:c r="F68" s="190"/>
      <x:c r="G68" s="185"/>
      <x:c r="H68" s="185"/>
      <x:c r="I68" s="185"/>
      <x:c r="J68" s="185"/>
      <x:c r="K68" s="185"/>
      <x:c r="L68" s="185"/>
      <x:c r="M68" s="190"/>
      <x:c r="N68" s="185"/>
    </x:row>
    <x:row r="69">
      <x:c r="A69" s="185"/>
      <x:c r="B69" s="185"/>
      <x:c r="C69" s="185"/>
      <x:c r="D69" s="185"/>
      <x:c r="E69" s="185"/>
      <x:c r="F69" s="190"/>
      <x:c r="G69" s="185"/>
      <x:c r="H69" s="185"/>
      <x:c r="I69" s="185"/>
      <x:c r="J69" s="185"/>
      <x:c r="K69" s="185"/>
      <x:c r="L69" s="185"/>
      <x:c r="M69" s="190"/>
      <x:c r="N69" s="185"/>
    </x:row>
    <x:row r="70">
      <x:c r="A70" s="185"/>
      <x:c r="B70" s="185"/>
      <x:c r="C70" s="185"/>
      <x:c r="D70" s="185"/>
      <x:c r="E70" s="185"/>
      <x:c r="F70" s="190"/>
      <x:c r="G70" s="185"/>
      <x:c r="H70" s="185"/>
      <x:c r="I70" s="185"/>
      <x:c r="J70" s="185"/>
      <x:c r="K70" s="185"/>
      <x:c r="L70" s="185"/>
      <x:c r="M70" s="190"/>
      <x:c r="N70" s="185"/>
    </x:row>
    <x:row r="72">
      <x:c r="A72" s="225" t="str">
        <x:v>条件を入力して自動選定する</x:v>
      </x:c>
      <x:c r="B72" s="225"/>
      <x:c r="C72" s="225"/>
      <x:c r="D72" s="225"/>
      <x:c r="E72" s="225"/>
      <x:c r="F72" s="225"/>
      <x:c r="G72" s="225"/>
      <x:c r="H72" s="225"/>
      <x:c r="I72" s="225"/>
      <x:c r="J72" s="225"/>
      <x:c r="K72" s="225"/>
      <x:c r="L72" s="225"/>
      <x:c r="M72" s="225"/>
      <x:c r="N72" s="225"/>
    </x:row>
    <x:row r="73">
      <x:c r="A73" s="235" t="str">
        <x:v>時間・天候・気分・歩行量・駐車・高速道路を選択</x:v>
      </x:c>
      <x:c r="B73" s="235"/>
      <x:c r="C73" s="235"/>
      <x:c r="D73" s="235"/>
      <x:c r="E73" s="235"/>
      <x:c r="F73" s="235"/>
      <x:c r="H73" s="238" t="e">
        <x:f>HYPERLINK("#'条件入力ナビ'!A1","条件入力ナビを開く")</x:f>
      </x:c>
      <x:c r="I73" s="238"/>
      <x:c r="J73" s="238"/>
      <x:c r="K73" s="238"/>
      <x:c r="L73" s="238"/>
      <x:c r="M73" s="238"/>
      <x:c r="N73" s="238"/>
    </x:row>
    <x:row r="74">
      <x:c r="A74" s="235"/>
      <x:c r="B74" s="235"/>
      <x:c r="C74" s="235"/>
      <x:c r="D74" s="235"/>
      <x:c r="E74" s="235"/>
      <x:c r="F74" s="235"/>
      <x:c r="H74" s="238"/>
      <x:c r="I74" s="238"/>
      <x:c r="J74" s="238"/>
      <x:c r="K74" s="238"/>
      <x:c r="L74" s="238"/>
      <x:c r="M74" s="238"/>
      <x:c r="N74" s="238"/>
    </x:row>
    <x:row r="76">
      <x:c r="A76" s="291" t="str">
        <x:v>実走プランへ進む</x:v>
      </x:c>
      <x:c r="B76" s="291"/>
      <x:c r="C76" s="291"/>
      <x:c r="D76" s="291"/>
      <x:c r="E76" s="291"/>
      <x:c r="F76" s="291"/>
      <x:c r="G76" s="291"/>
      <x:c r="H76" s="291"/>
      <x:c r="I76" s="291"/>
      <x:c r="J76" s="291"/>
      <x:c r="K76" s="291"/>
      <x:c r="L76" s="291"/>
      <x:c r="M76" s="291"/>
    </x:row>
    <x:row r="77">
      <x:c r="A77" s="315" t="e">
        <x:f>HYPERLINK("#'実走プラン'!A1","出発時刻・閉場・Plan Bまで設計する")</x:f>
      </x:c>
      <x:c r="B77" s="315"/>
      <x:c r="C77" s="315"/>
      <x:c r="D77" s="315"/>
      <x:c r="E77" s="315"/>
      <x:c r="F77" s="315"/>
      <x:c r="G77" s="315"/>
      <x:c r="H77" s="315"/>
      <x:c r="I77" s="315"/>
      <x:c r="J77" s="315"/>
      <x:c r="K77" s="315"/>
      <x:c r="L77" s="315"/>
      <x:c r="M77" s="315"/>
    </x:row>
    <x:row r="78">
      <x:c r="A78" s="315"/>
      <x:c r="B78" s="315"/>
      <x:c r="C78" s="315"/>
      <x:c r="D78" s="315"/>
      <x:c r="E78" s="315"/>
      <x:c r="F78" s="315"/>
      <x:c r="G78" s="315"/>
      <x:c r="H78" s="315"/>
      <x:c r="I78" s="315"/>
      <x:c r="J78" s="315"/>
      <x:c r="K78" s="315"/>
      <x:c r="L78" s="315"/>
      <x:c r="M78" s="315"/>
    </x:row>
  </x:sheetData>
  <x:mergeCells>
    <x:mergeCell ref="A1:N2"/>
    <x:mergeCell ref="A3:N3"/>
    <x:mergeCell ref="A5:B7"/>
    <x:mergeCell ref="C5:D7"/>
    <x:mergeCell ref="E5:F7"/>
    <x:mergeCell ref="G5:H7"/>
    <x:mergeCell ref="I5:J7"/>
    <x:mergeCell ref="K5:L7"/>
    <x:mergeCell ref="A9:N9"/>
    <x:mergeCell ref="A10:F10"/>
    <x:mergeCell ref="A15:B15"/>
    <x:mergeCell ref="C15:E15"/>
    <x:mergeCell ref="H10:M10"/>
    <x:mergeCell ref="H15:I15"/>
    <x:mergeCell ref="J15:L15"/>
    <x:mergeCell ref="A18:F18"/>
    <x:mergeCell ref="A23:B23"/>
    <x:mergeCell ref="C23:E23"/>
    <x:mergeCell ref="H18:M18"/>
    <x:mergeCell ref="H23:I23"/>
    <x:mergeCell ref="J23:L23"/>
    <x:mergeCell ref="A26:F26"/>
    <x:mergeCell ref="A31:B31"/>
    <x:mergeCell ref="C31:E31"/>
    <x:mergeCell ref="H26:M26"/>
    <x:mergeCell ref="H31:I31"/>
    <x:mergeCell ref="J31:L31"/>
    <x:mergeCell ref="A34:F34"/>
    <x:mergeCell ref="A39:B39"/>
    <x:mergeCell ref="C39:E39"/>
    <x:mergeCell ref="H34:M34"/>
    <x:mergeCell ref="H39:I39"/>
    <x:mergeCell ref="J39:L39"/>
    <x:mergeCell ref="A43:F43"/>
    <x:mergeCell ref="H43:N43"/>
    <x:mergeCell ref="A72:N72"/>
    <x:mergeCell ref="A73:F74"/>
    <x:mergeCell ref="H73:N74"/>
    <x:mergeCell ref="A76:M76"/>
    <x:mergeCell ref="A77:M78"/>
  </x:mergeCells>
  <x:pageMargins left="0.7" right="0.7" top="0.75" bottom="0.75" header="0.3" footer="0.3"/>
  <x:drawing xmlns:r="http://schemas.openxmlformats.org/officeDocument/2006/relationships" r:id="R1350c5b8c35a4e2f"/>
</x:worksheet>
</file>

<file path=xl/worksheets/sheet15.xml><?xml version="1.0" encoding="utf-8"?>
<x:worksheet xmlns:x="http://schemas.openxmlformats.org/spreadsheetml/2006/main">
  <x:sheetFormatPr defaultRowHeight="15"/>
  <x:cols>
    <x:col min="1" max="1" width="16" hidden="0" customWidth="1"/>
    <x:col min="2" max="2" width="8" hidden="0" customWidth="1"/>
    <x:col min="3" max="3" width="28" hidden="0" customWidth="1"/>
    <x:col min="4" max="4" width="10" hidden="0" customWidth="1"/>
    <x:col min="5" max="5" width="12" hidden="0" customWidth="1"/>
    <x:col min="6" max="6" width="18" hidden="0" customWidth="1"/>
    <x:col min="7" max="7" width="10" hidden="0" customWidth="1"/>
    <x:col min="8" max="8" width="10" hidden="0" customWidth="1"/>
    <x:col min="9" max="9" width="10" hidden="0" customWidth="1"/>
    <x:col min="10" max="10" width="20" hidden="0" customWidth="1"/>
    <x:col min="11" max="11" width="10" hidden="0" customWidth="1"/>
  </x:cols>
  <x:sheetData>
    <x:row r="1">
      <x:c r="A1" s="397" t="str">
        <x:v>用途</x:v>
      </x:c>
      <x:c r="B1" s="397" t="str">
        <x:v>順位</x:v>
      </x:c>
      <x:c r="C1" s="397" t="str">
        <x:v>地点名</x:v>
      </x:c>
      <x:c r="D1" s="397" t="str">
        <x:v>スコア</x:v>
      </x:c>
      <x:c r="E1" s="397" t="str">
        <x:v>距離帯</x:v>
      </x:c>
      <x:c r="F1" s="397" t="str">
        <x:v>所要時間</x:v>
      </x:c>
      <x:c r="G1" s="397" t="str">
        <x:v>夜間</x:v>
      </x:c>
      <x:c r="H1" s="397" t="str">
        <x:v>雨天</x:v>
      </x:c>
      <x:c r="I1" s="397" t="str">
        <x:v>車内</x:v>
      </x:c>
      <x:c r="J1" s="397" t="str">
        <x:v>一言判断</x:v>
      </x:c>
      <x:c r="K1" s="397" t="str">
        <x:v>ナビ</x:v>
      </x:c>
    </x:row>
    <x:row r="2">
      <x:c r="A2" s="22" t="str">
        <x:v>平日夜90分</x:v>
      </x:c>
      <x:c r="B2" s="22" t="n">
        <x:v>1</x:v>
      </x:c>
      <x:c r="C2" s="22" t="str">
        <x:v>HANEDA INNOVATION CITY 足湯スカイデッキ</x:v>
      </x:c>
      <x:c r="D2" s="22" t="n">
        <x:v>92</x:v>
      </x:c>
      <x:c r="E2" s="22" t="str">
        <x:v>0〜10km</x:v>
      </x:c>
      <x:c r="F2" s="22" t="str">
        <x:v>通常15〜30分</x:v>
      </x:c>
      <x:c r="G2" s="22" t="n">
        <x:v>5</x:v>
      </x:c>
      <x:c r="H2" s="22" t="n">
        <x:v>3</x:v>
      </x:c>
      <x:c r="I2" s="22" t="n">
        <x:v>3</x:v>
      </x:c>
      <x:c r="J2" s="22" t="str">
        <x:v>条件が合えば有力</x:v>
      </x:c>
      <x:c r="K2" s="95" t="e">
        <x:f>HYPERLINK("https://www.google.com/maps/dir/?api=1&amp;destination=HANEDA%20INNOVATION%20CITY%20%E8%B6%B3%E6%B9%AF%E3%82%B9%E3%82%AB%E3%82%A4%E3%83%87%E3%83%83%E3%82%AD&amp;travelmode=driving","ナビ")</x:f>
      </x:c>
    </x:row>
    <x:row r="3">
      <x:c r="A3" s="22" t="str">
        <x:v>平日夜90分</x:v>
      </x:c>
      <x:c r="B3" s="22" t="n">
        <x:v>2</x:v>
      </x:c>
      <x:c r="C3" s="22" t="str">
        <x:v>羽田空港 第3ターミナル展望デッキ</x:v>
      </x:c>
      <x:c r="D3" s="22" t="n">
        <x:v>92</x:v>
      </x:c>
      <x:c r="E3" s="22" t="str">
        <x:v>0〜10km</x:v>
      </x:c>
      <x:c r="F3" s="22" t="str">
        <x:v>通常10〜30分</x:v>
      </x:c>
      <x:c r="G3" s="22" t="n">
        <x:v>5</x:v>
      </x:c>
      <x:c r="H3" s="22" t="n">
        <x:v>2</x:v>
      </x:c>
      <x:c r="I3" s="22" t="n">
        <x:v>4</x:v>
      </x:c>
      <x:c r="J3" s="22" t="str">
        <x:v>条件が合えば有力</x:v>
      </x:c>
      <x:c r="K3" s="95" t="e">
        <x:f>HYPERLINK("https://www.google.com/maps/dir/?api=1&amp;destination=%E7%BE%BD%E7%94%B0%E7%A9%BA%E6%B8%AF%20%E7%AC%AC3%E3%82%BF%E3%83%BC%E3%83%9F%E3%83%8A%E3%83%AB%E5%B1%95%E6%9C%9B%E3%83%87%E3%83%83%E3%82%AD&amp;travelmode=driving","ナビ")</x:f>
      </x:c>
    </x:row>
    <x:row r="4">
      <x:c r="A4" s="22" t="str">
        <x:v>平日夜90分</x:v>
      </x:c>
      <x:c r="B4" s="22" t="n">
        <x:v>3</x:v>
      </x:c>
      <x:c r="C4" s="22" t="str">
        <x:v>東扇島西公園</x:v>
      </x:c>
      <x:c r="D4" s="22" t="n">
        <x:v>89</x:v>
      </x:c>
      <x:c r="E4" s="22" t="str">
        <x:v>10〜20km</x:v>
      </x:c>
      <x:c r="F4" s="22" t="str">
        <x:v>通常25〜50分</x:v>
      </x:c>
      <x:c r="G4" s="22" t="n">
        <x:v>5</x:v>
      </x:c>
      <x:c r="H4" s="22" t="n">
        <x:v>2</x:v>
      </x:c>
      <x:c r="I4" s="22" t="n">
        <x:v>3</x:v>
      </x:c>
      <x:c r="J4" s="22" t="str">
        <x:v>条件が合えば有力</x:v>
      </x:c>
      <x:c r="K4" s="95" t="e">
        <x:f>HYPERLINK("https://www.google.com/maps/dir/?api=1&amp;destination=%E6%9D%B1%E6%89%87%E5%B3%B6%E8%A5%BF%E5%85%AC%E5%9C%92&amp;travelmode=driving","ナビ")</x:f>
      </x:c>
    </x:row>
    <x:row r="5">
      <x:c r="A5" s="22" t="str">
        <x:v>平日夜90分</x:v>
      </x:c>
      <x:c r="B5" s="22" t="n">
        <x:v>4</x:v>
      </x:c>
      <x:c r="C5" s="22" t="str">
        <x:v>川崎マリエン</x:v>
      </x:c>
      <x:c r="D5" s="22" t="n">
        <x:v>88</x:v>
      </x:c>
      <x:c r="E5" s="22" t="str">
        <x:v>10〜20km</x:v>
      </x:c>
      <x:c r="F5" s="22" t="str">
        <x:v>通常25〜50分</x:v>
      </x:c>
      <x:c r="G5" s="22" t="n">
        <x:v>5</x:v>
      </x:c>
      <x:c r="H5" s="22" t="n">
        <x:v>2</x:v>
      </x:c>
      <x:c r="I5" s="22" t="n">
        <x:v>4</x:v>
      </x:c>
      <x:c r="J5" s="22" t="str">
        <x:v>条件が合えば有力</x:v>
      </x:c>
      <x:c r="K5" s="95" t="e">
        <x:f>HYPERLINK("https://www.google.com/maps/dir/?api=1&amp;destination=%E5%B7%9D%E5%B4%8E%E3%83%9E%E3%83%AA%E3%82%A8%E3%83%B3&amp;travelmode=driving","ナビ")</x:f>
      </x:c>
    </x:row>
    <x:row r="6">
      <x:c r="A6" s="22" t="str">
        <x:v>平日夜90分</x:v>
      </x:c>
      <x:c r="B6" s="22" t="n">
        <x:v>5</x:v>
      </x:c>
      <x:c r="C6" s="22" t="str">
        <x:v>平和島PA（上り）</x:v>
      </x:c>
      <x:c r="D6" s="22" t="n">
        <x:v>88</x:v>
      </x:c>
      <x:c r="E6" s="22" t="str">
        <x:v>0〜10km</x:v>
      </x:c>
      <x:c r="F6" s="22" t="str">
        <x:v>通常10〜30分</x:v>
      </x:c>
      <x:c r="G6" s="22" t="n">
        <x:v>4</x:v>
      </x:c>
      <x:c r="H6" s="22" t="n">
        <x:v>4</x:v>
      </x:c>
      <x:c r="I6" s="22" t="n">
        <x:v>4</x:v>
      </x:c>
      <x:c r="J6" s="22" t="str">
        <x:v>条件が合えば有力</x:v>
      </x:c>
      <x:c r="K6" s="95" t="e">
        <x:f>HYPERLINK("https://www.google.com/maps/dir/?api=1&amp;destination=%E5%B9%B3%E5%92%8C%E5%B3%B6PA%EF%BC%88%E4%B8%8A%E3%82%8A%EF%BC%89&amp;travelmode=driving","ナビ")</x:f>
      </x:c>
    </x:row>
    <x:row r="7">
      <x:c r="A7" s="22" t="str">
        <x:v>平日夜90分</x:v>
      </x:c>
      <x:c r="B7" s="22" t="n">
        <x:v>6</x:v>
      </x:c>
      <x:c r="C7" s="22" t="str">
        <x:v>京浜島つばさ公園</x:v>
      </x:c>
      <x:c r="D7" s="22" t="n">
        <x:v>87</x:v>
      </x:c>
      <x:c r="E7" s="22" t="str">
        <x:v>0〜10km</x:v>
      </x:c>
      <x:c r="F7" s="22" t="str">
        <x:v>通常10〜30分</x:v>
      </x:c>
      <x:c r="G7" s="22" t="n">
        <x:v>5</x:v>
      </x:c>
      <x:c r="H7" s="22" t="n">
        <x:v>2</x:v>
      </x:c>
      <x:c r="I7" s="22" t="n">
        <x:v>4</x:v>
      </x:c>
      <x:c r="J7" s="22" t="str">
        <x:v>条件が合えば有力</x:v>
      </x:c>
      <x:c r="K7" s="95" t="e">
        <x:f>HYPERLINK("https://www.google.com/maps/dir/?api=1&amp;destination=%E4%BA%AC%E6%B5%9C%E5%B3%B6%E3%81%A4%E3%81%B0%E3%81%95%E5%85%AC%E5%9C%92&amp;travelmode=driving","ナビ")</x:f>
      </x:c>
    </x:row>
    <x:row r="8">
      <x:c r="A8" s="22" t="str">
        <x:v>平日夜90分</x:v>
      </x:c>
      <x:c r="B8" s="22" t="n">
        <x:v>7</x:v>
      </x:c>
      <x:c r="C8" s="22" t="str">
        <x:v>辰巳第一PA</x:v>
      </x:c>
      <x:c r="D8" s="22" t="n">
        <x:v>86</x:v>
      </x:c>
      <x:c r="E8" s="22" t="str">
        <x:v>10〜20km</x:v>
      </x:c>
      <x:c r="F8" s="22" t="str">
        <x:v>通常25〜50分</x:v>
      </x:c>
      <x:c r="G8" s="22" t="n">
        <x:v>5</x:v>
      </x:c>
      <x:c r="H8" s="22" t="n">
        <x:v>4</x:v>
      </x:c>
      <x:c r="I8" s="22" t="n">
        <x:v>4</x:v>
      </x:c>
      <x:c r="J8" s="22" t="str">
        <x:v>用途限定で有効</x:v>
      </x:c>
      <x:c r="K8" s="95" t="e">
        <x:f>HYPERLINK("https://www.google.com/maps/dir/?api=1&amp;destination=%E8%BE%B0%E5%B7%B3%E7%AC%AC%E4%B8%80PA&amp;travelmode=driving","ナビ")</x:f>
      </x:c>
    </x:row>
    <x:row r="9">
      <x:c r="A9" s="22" t="str">
        <x:v>平日夜90分</x:v>
      </x:c>
      <x:c r="B9" s="22" t="n">
        <x:v>8</x:v>
      </x:c>
      <x:c r="C9" s="22" t="str">
        <x:v>羽田空港 第2ターミナル展望デッキ／FLIGHT DECK TOKYO</x:v>
      </x:c>
      <x:c r="D9" s="22" t="n">
        <x:v>85</x:v>
      </x:c>
      <x:c r="E9" s="22" t="str">
        <x:v>0〜10km</x:v>
      </x:c>
      <x:c r="F9" s="22" t="str">
        <x:v>通常25〜45分</x:v>
      </x:c>
      <x:c r="G9" s="22" t="n">
        <x:v>5</x:v>
      </x:c>
      <x:c r="H9" s="22" t="n">
        <x:v>5</x:v>
      </x:c>
      <x:c r="I9" s="22" t="n">
        <x:v>2</x:v>
      </x:c>
      <x:c r="J9" s="22" t="str">
        <x:v>条件が合えば有力</x:v>
      </x:c>
      <x:c r="K9" s="95" t="e">
        <x:f>HYPERLINK("https://www.google.com/maps/dir/?api=1&amp;destination=%E7%BE%BD%E7%94%B0%E7%A9%BA%E6%B8%AF%20%E7%AC%AC2%E3%82%BF%E3%83%BC%E3%83%9F%E3%83%8A%E3%83%AB%E5%B1%95%E6%9C%9B%E3%83%87%E3%83%83%E3%82%AD%EF%BC%8FFLIGHT%20DECK%20TOKYO&amp;travelmode=driving","ナビ")</x:f>
      </x:c>
    </x:row>
    <x:row r="10">
      <x:c r="A10" s="22" t="str">
        <x:v>平日夜90分</x:v>
      </x:c>
      <x:c r="B10" s="22" t="n">
        <x:v>9</x:v>
      </x:c>
      <x:c r="C10" s="22" t="str">
        <x:v>大井ふ頭中央海浜公園</x:v>
      </x:c>
      <x:c r="D10" s="22" t="n">
        <x:v>85</x:v>
      </x:c>
      <x:c r="E10" s="22" t="str">
        <x:v>0〜10km</x:v>
      </x:c>
      <x:c r="F10" s="22" t="str">
        <x:v>通常20〜35分</x:v>
      </x:c>
      <x:c r="G10" s="22" t="n">
        <x:v>4</x:v>
      </x:c>
      <x:c r="H10" s="22" t="n">
        <x:v>1</x:v>
      </x:c>
      <x:c r="I10" s="22" t="n">
        <x:v>2</x:v>
      </x:c>
      <x:c r="J10" s="22" t="str">
        <x:v>条件が合えば有力</x:v>
      </x:c>
      <x:c r="K10" s="95" t="e">
        <x:f>HYPERLINK("https://www.google.com/maps/dir/?api=1&amp;destination=%E5%A4%A7%E4%BA%95%E3%81%B5%E9%A0%AD%E4%B8%AD%E5%A4%AE%E6%B5%B7%E6%B5%9C%E5%85%AC%E5%9C%92&amp;travelmode=driving","ナビ")</x:f>
      </x:c>
    </x:row>
    <x:row r="11">
      <x:c r="A11" s="22" t="str">
        <x:v>平日夜90分</x:v>
      </x:c>
      <x:c r="B11" s="22" t="n">
        <x:v>10</x:v>
      </x:c>
      <x:c r="C11" s="22" t="str">
        <x:v>平和島公園</x:v>
      </x:c>
      <x:c r="D11" s="22" t="n">
        <x:v>85</x:v>
      </x:c>
      <x:c r="E11" s="22" t="str">
        <x:v>0〜10km</x:v>
      </x:c>
      <x:c r="F11" s="22" t="str">
        <x:v>通常15〜25分</x:v>
      </x:c>
      <x:c r="G11" s="22" t="n">
        <x:v>4</x:v>
      </x:c>
      <x:c r="H11" s="22" t="n">
        <x:v>1</x:v>
      </x:c>
      <x:c r="I11" s="22" t="n">
        <x:v>2</x:v>
      </x:c>
      <x:c r="J11" s="22" t="str">
        <x:v>用途限定で有効</x:v>
      </x:c>
      <x:c r="K11" s="95" t="e">
        <x:f>HYPERLINK("https://www.google.com/maps/dir/?api=1&amp;destination=%E5%B9%B3%E5%92%8C%E5%B3%B6%E5%85%AC%E5%9C%92&amp;travelmode=driving","ナビ")</x:f>
      </x:c>
    </x:row>
    <x:row r="12">
      <x:c r="A12" s="22" t="str">
        <x:v>深夜2時間</x:v>
      </x:c>
      <x:c r="B12" s="22" t="n">
        <x:v>1</x:v>
      </x:c>
      <x:c r="C12" s="22" t="str">
        <x:v>羽田空港 第3ターミナル展望デッキ</x:v>
      </x:c>
      <x:c r="D12" s="22" t="n">
        <x:v>95</x:v>
      </x:c>
      <x:c r="E12" s="22" t="str">
        <x:v>0〜10km</x:v>
      </x:c>
      <x:c r="F12" s="22" t="str">
        <x:v>通常10〜30分</x:v>
      </x:c>
      <x:c r="G12" s="22" t="n">
        <x:v>5</x:v>
      </x:c>
      <x:c r="H12" s="22" t="n">
        <x:v>2</x:v>
      </x:c>
      <x:c r="I12" s="22" t="n">
        <x:v>4</x:v>
      </x:c>
      <x:c r="J12" s="22" t="str">
        <x:v>条件が合えば有力</x:v>
      </x:c>
      <x:c r="K12" s="95" t="e">
        <x:f>HYPERLINK("https://www.google.com/maps/dir/?api=1&amp;destination=%E7%BE%BD%E7%94%B0%E7%A9%BA%E6%B8%AF%20%E7%AC%AC3%E3%82%BF%E3%83%BC%E3%83%9F%E3%83%8A%E3%83%AB%E5%B1%95%E6%9C%9B%E3%83%87%E3%83%83%E3%82%AD&amp;travelmode=driving","ナビ")</x:f>
      </x:c>
    </x:row>
    <x:row r="13">
      <x:c r="A13" s="22" t="str">
        <x:v>深夜2時間</x:v>
      </x:c>
      <x:c r="B13" s="22" t="n">
        <x:v>2</x:v>
      </x:c>
      <x:c r="C13" s="22" t="str">
        <x:v>HANEDA INNOVATION CITY 足湯スカイデッキ</x:v>
      </x:c>
      <x:c r="D13" s="22" t="n">
        <x:v>94</x:v>
      </x:c>
      <x:c r="E13" s="22" t="str">
        <x:v>0〜10km</x:v>
      </x:c>
      <x:c r="F13" s="22" t="str">
        <x:v>通常15〜30分</x:v>
      </x:c>
      <x:c r="G13" s="22" t="n">
        <x:v>5</x:v>
      </x:c>
      <x:c r="H13" s="22" t="n">
        <x:v>3</x:v>
      </x:c>
      <x:c r="I13" s="22" t="n">
        <x:v>3</x:v>
      </x:c>
      <x:c r="J13" s="22" t="str">
        <x:v>条件が合えば有力</x:v>
      </x:c>
      <x:c r="K13" s="95" t="e">
        <x:f>HYPERLINK("https://www.google.com/maps/dir/?api=1&amp;destination=HANEDA%20INNOVATION%20CITY%20%E8%B6%B3%E6%B9%AF%E3%82%B9%E3%82%AB%E3%82%A4%E3%83%87%E3%83%83%E3%82%AD&amp;travelmode=driving","ナビ")</x:f>
      </x:c>
    </x:row>
    <x:row r="14">
      <x:c r="A14" s="22" t="str">
        <x:v>深夜2時間</x:v>
      </x:c>
      <x:c r="B14" s="22" t="n">
        <x:v>3</x:v>
      </x:c>
      <x:c r="C14" s="22" t="str">
        <x:v>東扇島西公園</x:v>
      </x:c>
      <x:c r="D14" s="22" t="n">
        <x:v>92</x:v>
      </x:c>
      <x:c r="E14" s="22" t="str">
        <x:v>10〜20km</x:v>
      </x:c>
      <x:c r="F14" s="22" t="str">
        <x:v>通常25〜50分</x:v>
      </x:c>
      <x:c r="G14" s="22" t="n">
        <x:v>5</x:v>
      </x:c>
      <x:c r="H14" s="22" t="n">
        <x:v>2</x:v>
      </x:c>
      <x:c r="I14" s="22" t="n">
        <x:v>3</x:v>
      </x:c>
      <x:c r="J14" s="22" t="str">
        <x:v>条件が合えば有力</x:v>
      </x:c>
      <x:c r="K14" s="95" t="e">
        <x:f>HYPERLINK("https://www.google.com/maps/dir/?api=1&amp;destination=%E6%9D%B1%E6%89%87%E5%B3%B6%E8%A5%BF%E5%85%AC%E5%9C%92&amp;travelmode=driving","ナビ")</x:f>
      </x:c>
    </x:row>
    <x:row r="15">
      <x:c r="A15" s="22" t="str">
        <x:v>深夜2時間</x:v>
      </x:c>
      <x:c r="B15" s="22" t="n">
        <x:v>4</x:v>
      </x:c>
      <x:c r="C15" s="22" t="str">
        <x:v>川崎マリエン</x:v>
      </x:c>
      <x:c r="D15" s="22" t="n">
        <x:v>90</x:v>
      </x:c>
      <x:c r="E15" s="22" t="str">
        <x:v>10〜20km</x:v>
      </x:c>
      <x:c r="F15" s="22" t="str">
        <x:v>通常25〜50分</x:v>
      </x:c>
      <x:c r="G15" s="22" t="n">
        <x:v>5</x:v>
      </x:c>
      <x:c r="H15" s="22" t="n">
        <x:v>2</x:v>
      </x:c>
      <x:c r="I15" s="22" t="n">
        <x:v>4</x:v>
      </x:c>
      <x:c r="J15" s="22" t="str">
        <x:v>条件が合えば有力</x:v>
      </x:c>
      <x:c r="K15" s="95" t="e">
        <x:f>HYPERLINK("https://www.google.com/maps/dir/?api=1&amp;destination=%E5%B7%9D%E5%B4%8E%E3%83%9E%E3%83%AA%E3%82%A8%E3%83%B3&amp;travelmode=driving","ナビ")</x:f>
      </x:c>
    </x:row>
    <x:row r="16">
      <x:c r="A16" s="22" t="str">
        <x:v>深夜2時間</x:v>
      </x:c>
      <x:c r="B16" s="22" t="n">
        <x:v>5</x:v>
      </x:c>
      <x:c r="C16" s="22" t="str">
        <x:v>武蔵野の森公園</x:v>
      </x:c>
      <x:c r="D16" s="22" t="n">
        <x:v>90</x:v>
      </x:c>
      <x:c r="E16" s="22" t="str">
        <x:v>20〜25km</x:v>
      </x:c>
      <x:c r="F16" s="22" t="str">
        <x:v>通常40〜70分</x:v>
      </x:c>
      <x:c r="G16" s="22" t="n">
        <x:v>5</x:v>
      </x:c>
      <x:c r="H16" s="22" t="n">
        <x:v>2</x:v>
      </x:c>
      <x:c r="I16" s="22" t="n">
        <x:v>4</x:v>
      </x:c>
      <x:c r="J16" s="22" t="str">
        <x:v>条件が合えば有力</x:v>
      </x:c>
      <x:c r="K16" s="95" t="e">
        <x:f>HYPERLINK("https://www.google.com/maps/dir/?api=1&amp;destination=%E6%AD%A6%E8%94%B5%E9%87%8E%E3%81%AE%E6%A3%AE%E5%85%AC%E5%9C%92&amp;travelmode=driving","ナビ")</x:f>
      </x:c>
    </x:row>
    <x:row r="17">
      <x:c r="A17" s="22" t="str">
        <x:v>深夜2時間</x:v>
      </x:c>
      <x:c r="B17" s="22" t="n">
        <x:v>6</x:v>
      </x:c>
      <x:c r="C17" s="22" t="str">
        <x:v>辰巳第一PA</x:v>
      </x:c>
      <x:c r="D17" s="22" t="n">
        <x:v>89</x:v>
      </x:c>
      <x:c r="E17" s="22" t="str">
        <x:v>10〜20km</x:v>
      </x:c>
      <x:c r="F17" s="22" t="str">
        <x:v>通常25〜50分</x:v>
      </x:c>
      <x:c r="G17" s="22" t="n">
        <x:v>5</x:v>
      </x:c>
      <x:c r="H17" s="22" t="n">
        <x:v>4</x:v>
      </x:c>
      <x:c r="I17" s="22" t="n">
        <x:v>4</x:v>
      </x:c>
      <x:c r="J17" s="22" t="str">
        <x:v>用途限定で有効</x:v>
      </x:c>
      <x:c r="K17" s="95" t="e">
        <x:f>HYPERLINK("https://www.google.com/maps/dir/?api=1&amp;destination=%E8%BE%B0%E5%B7%B3%E7%AC%AC%E4%B8%80PA&amp;travelmode=driving","ナビ")</x:f>
      </x:c>
    </x:row>
    <x:row r="18">
      <x:c r="A18" s="22" t="str">
        <x:v>深夜2時間</x:v>
      </x:c>
      <x:c r="B18" s="22" t="n">
        <x:v>7</x:v>
      </x:c>
      <x:c r="C18" s="22" t="str">
        <x:v>お台場海浜公園</x:v>
      </x:c>
      <x:c r="D18" s="22" t="n">
        <x:v>89</x:v>
      </x:c>
      <x:c r="E18" s="22" t="str">
        <x:v>10〜20km</x:v>
      </x:c>
      <x:c r="F18" s="22" t="str">
        <x:v>通常25〜45分</x:v>
      </x:c>
      <x:c r="G18" s="22" t="n">
        <x:v>5</x:v>
      </x:c>
      <x:c r="H18" s="22" t="n">
        <x:v>2</x:v>
      </x:c>
      <x:c r="I18" s="22" t="n">
        <x:v>3</x:v>
      </x:c>
      <x:c r="J18" s="22" t="str">
        <x:v>用途限定で有効</x:v>
      </x:c>
      <x:c r="K18" s="95" t="e">
        <x:f>HYPERLINK("https://www.google.com/maps/dir/?api=1&amp;destination=%E3%81%8A%E5%8F%B0%E5%A0%B4%E6%B5%B7%E6%B5%9C%E5%85%AC%E5%9C%92&amp;travelmode=driving","ナビ")</x:f>
      </x:c>
    </x:row>
    <x:row r="19">
      <x:c r="A19" s="22" t="str">
        <x:v>深夜2時間</x:v>
      </x:c>
      <x:c r="B19" s="22" t="n">
        <x:v>8</x:v>
      </x:c>
      <x:c r="C19" s="22" t="str">
        <x:v>羽田空港 第2ターミナル展望デッキ／FLIGHT DECK TOKYO</x:v>
      </x:c>
      <x:c r="D19" s="22" t="n">
        <x:v>87</x:v>
      </x:c>
      <x:c r="E19" s="22" t="str">
        <x:v>0〜10km</x:v>
      </x:c>
      <x:c r="F19" s="22" t="str">
        <x:v>通常25〜45分</x:v>
      </x:c>
      <x:c r="G19" s="22" t="n">
        <x:v>5</x:v>
      </x:c>
      <x:c r="H19" s="22" t="n">
        <x:v>5</x:v>
      </x:c>
      <x:c r="I19" s="22" t="n">
        <x:v>2</x:v>
      </x:c>
      <x:c r="J19" s="22" t="str">
        <x:v>条件が合えば有力</x:v>
      </x:c>
      <x:c r="K19" s="95" t="e">
        <x:f>HYPERLINK("https://www.google.com/maps/dir/?api=1&amp;destination=%E7%BE%BD%E7%94%B0%E7%A9%BA%E6%B8%AF%20%E7%AC%AC2%E3%82%BF%E3%83%BC%E3%83%9F%E3%83%8A%E3%83%AB%E5%B1%95%E6%9C%9B%E3%83%87%E3%83%83%E3%82%AD%EF%BC%8FFLIGHT%20DECK%20TOKYO&amp;travelmode=driving","ナビ")</x:f>
      </x:c>
    </x:row>
    <x:row r="20">
      <x:c r="A20" s="22" t="str">
        <x:v>深夜2時間</x:v>
      </x:c>
      <x:c r="B20" s="22" t="n">
        <x:v>9</x:v>
      </x:c>
      <x:c r="C20" s="22" t="str">
        <x:v>平和島PA（上り）</x:v>
      </x:c>
      <x:c r="D20" s="22" t="n">
        <x:v>87</x:v>
      </x:c>
      <x:c r="E20" s="22" t="str">
        <x:v>0〜10km</x:v>
      </x:c>
      <x:c r="F20" s="22" t="str">
        <x:v>通常10〜30分</x:v>
      </x:c>
      <x:c r="G20" s="22" t="n">
        <x:v>4</x:v>
      </x:c>
      <x:c r="H20" s="22" t="n">
        <x:v>4</x:v>
      </x:c>
      <x:c r="I20" s="22" t="n">
        <x:v>4</x:v>
      </x:c>
      <x:c r="J20" s="22" t="str">
        <x:v>条件が合えば有力</x:v>
      </x:c>
      <x:c r="K20" s="95" t="e">
        <x:f>HYPERLINK("https://www.google.com/maps/dir/?api=1&amp;destination=%E5%B9%B3%E5%92%8C%E5%B3%B6PA%EF%BC%88%E4%B8%8A%E3%82%8A%EF%BC%89&amp;travelmode=driving","ナビ")</x:f>
      </x:c>
    </x:row>
    <x:row r="21">
      <x:c r="A21" s="22" t="str">
        <x:v>深夜2時間</x:v>
      </x:c>
      <x:c r="B21" s="22" t="n">
        <x:v>10</x:v>
      </x:c>
      <x:c r="C21" s="22" t="str">
        <x:v>豊洲ぐるり公園</x:v>
      </x:c>
      <x:c r="D21" s="22" t="n">
        <x:v>87</x:v>
      </x:c>
      <x:c r="E21" s="22" t="str">
        <x:v>10〜20km</x:v>
      </x:c>
      <x:c r="F21" s="22" t="str">
        <x:v>通常25〜50分</x:v>
      </x:c>
      <x:c r="G21" s="22" t="n">
        <x:v>5</x:v>
      </x:c>
      <x:c r="H21" s="22" t="n">
        <x:v>2</x:v>
      </x:c>
      <x:c r="I21" s="22" t="n">
        <x:v>3</x:v>
      </x:c>
      <x:c r="J21" s="22" t="str">
        <x:v>用途限定で有効</x:v>
      </x:c>
      <x:c r="K21" s="95" t="e">
        <x:f>HYPERLINK("https://www.google.com/maps/dir/?api=1&amp;destination=%E8%B1%8A%E6%B4%B2%E3%81%90%E3%82%8B%E3%82%8A%E5%85%AC%E5%9C%92&amp;travelmode=driving","ナビ")</x:f>
      </x:c>
    </x:row>
    <x:row r="22">
      <x:c r="A22" s="22" t="str">
        <x:v>雨天</x:v>
      </x:c>
      <x:c r="B22" s="22" t="n">
        <x:v>1</x:v>
      </x:c>
      <x:c r="C22" s="22" t="str">
        <x:v>平和島PA（上り）</x:v>
      </x:c>
      <x:c r="D22" s="22" t="n">
        <x:v>85</x:v>
      </x:c>
      <x:c r="E22" s="22" t="str">
        <x:v>0〜10km</x:v>
      </x:c>
      <x:c r="F22" s="22" t="str">
        <x:v>通常10〜30分</x:v>
      </x:c>
      <x:c r="G22" s="22" t="n">
        <x:v>4</x:v>
      </x:c>
      <x:c r="H22" s="22" t="n">
        <x:v>4</x:v>
      </x:c>
      <x:c r="I22" s="22" t="n">
        <x:v>4</x:v>
      </x:c>
      <x:c r="J22" s="22" t="str">
        <x:v>条件が合えば有力</x:v>
      </x:c>
      <x:c r="K22" s="95" t="e">
        <x:f>HYPERLINK("https://www.google.com/maps/dir/?api=1&amp;destination=%E5%B9%B3%E5%92%8C%E5%B3%B6PA%EF%BC%88%E4%B8%8A%E3%82%8A%EF%BC%89&amp;travelmode=driving","ナビ")</x:f>
      </x:c>
    </x:row>
    <x:row r="23">
      <x:c r="A23" s="22" t="str">
        <x:v>雨天</x:v>
      </x:c>
      <x:c r="B23" s="22" t="n">
        <x:v>2</x:v>
      </x:c>
      <x:c r="C23" s="22" t="str">
        <x:v>羽田空港 第2ターミナル展望デッキ／FLIGHT DECK TOKYO</x:v>
      </x:c>
      <x:c r="D23" s="22" t="n">
        <x:v>84</x:v>
      </x:c>
      <x:c r="E23" s="22" t="str">
        <x:v>0〜10km</x:v>
      </x:c>
      <x:c r="F23" s="22" t="str">
        <x:v>通常25〜45分</x:v>
      </x:c>
      <x:c r="G23" s="22" t="n">
        <x:v>5</x:v>
      </x:c>
      <x:c r="H23" s="22" t="n">
        <x:v>5</x:v>
      </x:c>
      <x:c r="I23" s="22" t="n">
        <x:v>2</x:v>
      </x:c>
      <x:c r="J23" s="22" t="str">
        <x:v>条件が合えば有力</x:v>
      </x:c>
      <x:c r="K23" s="95" t="e">
        <x:f>HYPERLINK("https://www.google.com/maps/dir/?api=1&amp;destination=%E7%BE%BD%E7%94%B0%E7%A9%BA%E6%B8%AF%20%E7%AC%AC2%E3%82%BF%E3%83%BC%E3%83%9F%E3%83%8A%E3%83%AB%E5%B1%95%E6%9C%9B%E3%83%87%E3%83%83%E3%82%AD%EF%BC%8FFLIGHT%20DECK%20TOKYO&amp;travelmode=driving","ナビ")</x:f>
      </x:c>
    </x:row>
    <x:row r="24">
      <x:c r="A24" s="22" t="str">
        <x:v>雨天</x:v>
      </x:c>
      <x:c r="B24" s="22" t="n">
        <x:v>3</x:v>
      </x:c>
      <x:c r="C24" s="22" t="str">
        <x:v>横浜市高齢者保養研修施設 ふれーゆ</x:v>
      </x:c>
      <x:c r="D24" s="22" t="n">
        <x:v>83</x:v>
      </x:c>
      <x:c r="E24" s="22" t="str">
        <x:v>10〜20km</x:v>
      </x:c>
      <x:c r="F24" s="22" t="str">
        <x:v>通常35〜55分</x:v>
      </x:c>
      <x:c r="G24" s="22" t="n">
        <x:v>2</x:v>
      </x:c>
      <x:c r="H24" s="22" t="n">
        <x:v>5</x:v>
      </x:c>
      <x:c r="I24" s="22" t="n">
        <x:v>3</x:v>
      </x:c>
      <x:c r="J24" s="22" t="str">
        <x:v>用途限定で有効</x:v>
      </x:c>
      <x:c r="K24" s="95" t="e">
        <x:f>HYPERLINK("https://www.google.com/maps/dir/?api=1&amp;destination=%E6%A8%AA%E6%B5%9C%E5%B8%82%E9%AB%98%E9%BD%A2%E8%80%85%E4%BF%9D%E9%A4%8A%E7%A0%94%E4%BF%AE%E6%96%BD%E8%A8%AD%20%E3%81%B5%E3%82%8C%E3%83%BC%E3%82%86&amp;travelmode=driving","ナビ")</x:f>
      </x:c>
    </x:row>
    <x:row r="25">
      <x:c r="A25" s="22" t="str">
        <x:v>雨天</x:v>
      </x:c>
      <x:c r="B25" s="22" t="n">
        <x:v>4</x:v>
      </x:c>
      <x:c r="C25" s="22" t="str">
        <x:v>羽田空港 第1ターミナル展望デッキ</x:v>
      </x:c>
      <x:c r="D25" s="22" t="n">
        <x:v>82</x:v>
      </x:c>
      <x:c r="E25" s="22" t="str">
        <x:v>0〜10km</x:v>
      </x:c>
      <x:c r="F25" s="22" t="str">
        <x:v>通常20〜40分</x:v>
      </x:c>
      <x:c r="G25" s="22" t="n">
        <x:v>5</x:v>
      </x:c>
      <x:c r="H25" s="22" t="n">
        <x:v>4</x:v>
      </x:c>
      <x:c r="I25" s="22" t="n">
        <x:v>2</x:v>
      </x:c>
      <x:c r="J25" s="22" t="str">
        <x:v>条件が合えば有力</x:v>
      </x:c>
      <x:c r="K25" s="95" t="e">
        <x:f>HYPERLINK("https://www.google.com/maps/dir/?api=1&amp;destination=%E7%BE%BD%E7%94%B0%E7%A9%BA%E6%B8%AF%20%E7%AC%AC1%E3%82%BF%E3%83%BC%E3%83%9F%E3%83%8A%E3%83%AB%E5%B1%95%E6%9C%9B%E3%83%87%E3%83%83%E3%82%AD&amp;travelmode=driving","ナビ")</x:f>
      </x:c>
    </x:row>
    <x:row r="26">
      <x:c r="A26" s="22" t="str">
        <x:v>雨天</x:v>
      </x:c>
      <x:c r="B26" s="22" t="n">
        <x:v>5</x:v>
      </x:c>
      <x:c r="C26" s="22" t="str">
        <x:v>辰巳第一PA</x:v>
      </x:c>
      <x:c r="D26" s="22" t="n">
        <x:v>80</x:v>
      </x:c>
      <x:c r="E26" s="22" t="str">
        <x:v>10〜20km</x:v>
      </x:c>
      <x:c r="F26" s="22" t="str">
        <x:v>通常25〜50分</x:v>
      </x:c>
      <x:c r="G26" s="22" t="n">
        <x:v>5</x:v>
      </x:c>
      <x:c r="H26" s="22" t="n">
        <x:v>4</x:v>
      </x:c>
      <x:c r="I26" s="22" t="n">
        <x:v>4</x:v>
      </x:c>
      <x:c r="J26" s="22" t="str">
        <x:v>用途限定で有効</x:v>
      </x:c>
      <x:c r="K26" s="95" t="e">
        <x:f>HYPERLINK("https://www.google.com/maps/dir/?api=1&amp;destination=%E8%BE%B0%E5%B7%B3%E7%AC%AC%E4%B8%80PA&amp;travelmode=driving","ナビ")</x:f>
      </x:c>
    </x:row>
    <x:row r="27">
      <x:c r="A27" s="22" t="str">
        <x:v>雨天</x:v>
      </x:c>
      <x:c r="B27" s="22" t="n">
        <x:v>6</x:v>
      </x:c>
      <x:c r="C27" s="22" t="str">
        <x:v>HANEDA INNOVATION CITY 足湯スカイデッキ</x:v>
      </x:c>
      <x:c r="D27" s="22" t="n">
        <x:v>78</x:v>
      </x:c>
      <x:c r="E27" s="22" t="str">
        <x:v>0〜10km</x:v>
      </x:c>
      <x:c r="F27" s="22" t="str">
        <x:v>通常15〜30分</x:v>
      </x:c>
      <x:c r="G27" s="22" t="n">
        <x:v>5</x:v>
      </x:c>
      <x:c r="H27" s="22" t="n">
        <x:v>3</x:v>
      </x:c>
      <x:c r="I27" s="22" t="n">
        <x:v>3</x:v>
      </x:c>
      <x:c r="J27" s="22" t="str">
        <x:v>条件が合えば有力</x:v>
      </x:c>
      <x:c r="K27" s="95" t="e">
        <x:f>HYPERLINK("https://www.google.com/maps/dir/?api=1&amp;destination=HANEDA%20INNOVATION%20CITY%20%E8%B6%B3%E6%B9%AF%E3%82%B9%E3%82%AB%E3%82%A4%E3%83%87%E3%83%83%E3%82%AD&amp;travelmode=driving","ナビ")</x:f>
      </x:c>
    </x:row>
    <x:row r="28">
      <x:c r="A28" s="22" t="str">
        <x:v>雨天</x:v>
      </x:c>
      <x:c r="B28" s="22" t="n">
        <x:v>7</x:v>
      </x:c>
      <x:c r="C28" s="22" t="str">
        <x:v>大井PA（東行き）</x:v>
      </x:c>
      <x:c r="D28" s="22" t="n">
        <x:v>77</x:v>
      </x:c>
      <x:c r="E28" s="22" t="str">
        <x:v>0〜10km</x:v>
      </x:c>
      <x:c r="F28" s="22" t="str">
        <x:v>通常10〜30分</x:v>
      </x:c>
      <x:c r="G28" s="22" t="n">
        <x:v>4</x:v>
      </x:c>
      <x:c r="H28" s="22" t="n">
        <x:v>4</x:v>
      </x:c>
      <x:c r="I28" s="22" t="n">
        <x:v>4</x:v>
      </x:c>
      <x:c r="J28" s="22" t="str">
        <x:v>用途限定で有効</x:v>
      </x:c>
      <x:c r="K28" s="95" t="e">
        <x:f>HYPERLINK("https://www.google.com/maps/dir/?api=1&amp;destination=%E5%A4%A7%E4%BA%95PA%EF%BC%88%E6%9D%B1%E8%A1%8C%E3%81%8D%EF%BC%89&amp;travelmode=driving","ナビ")</x:f>
      </x:c>
    </x:row>
    <x:row r="29">
      <x:c r="A29" s="22" t="str">
        <x:v>雨天</x:v>
      </x:c>
      <x:c r="B29" s="22" t="n">
        <x:v>8</x:v>
      </x:c>
      <x:c r="C29" s="22" t="str">
        <x:v>芝浦PA</x:v>
      </x:c>
      <x:c r="D29" s="22" t="n">
        <x:v>72</x:v>
      </x:c>
      <x:c r="E29" s="22" t="str">
        <x:v>10〜20km</x:v>
      </x:c>
      <x:c r="F29" s="22" t="str">
        <x:v>通常25〜50分</x:v>
      </x:c>
      <x:c r="G29" s="22" t="n">
        <x:v>4</x:v>
      </x:c>
      <x:c r="H29" s="22" t="n">
        <x:v>4</x:v>
      </x:c>
      <x:c r="I29" s="22" t="n">
        <x:v>4</x:v>
      </x:c>
      <x:c r="J29" s="22" t="str">
        <x:v>用途限定で有効</x:v>
      </x:c>
      <x:c r="K29" s="95" t="e">
        <x:f>HYPERLINK("https://www.google.com/maps/dir/?api=1&amp;destination=%E8%8A%9D%E6%B5%A6PA&amp;travelmode=driving","ナビ")</x:f>
      </x:c>
    </x:row>
    <x:row r="30">
      <x:c r="A30" s="22" t="str">
        <x:v>雨天</x:v>
      </x:c>
      <x:c r="B30" s="22" t="n">
        <x:v>9</x:v>
      </x:c>
      <x:c r="C30" s="22" t="str">
        <x:v>羽田空港 第3ターミナル展望デッキ</x:v>
      </x:c>
      <x:c r="D30" s="22" t="n">
        <x:v>71</x:v>
      </x:c>
      <x:c r="E30" s="22" t="str">
        <x:v>0〜10km</x:v>
      </x:c>
      <x:c r="F30" s="22" t="str">
        <x:v>通常10〜30分</x:v>
      </x:c>
      <x:c r="G30" s="22" t="n">
        <x:v>5</x:v>
      </x:c>
      <x:c r="H30" s="22" t="n">
        <x:v>2</x:v>
      </x:c>
      <x:c r="I30" s="22" t="n">
        <x:v>4</x:v>
      </x:c>
      <x:c r="J30" s="22" t="str">
        <x:v>条件が合えば有力</x:v>
      </x:c>
      <x:c r="K30" s="95" t="e">
        <x:f>HYPERLINK("https://www.google.com/maps/dir/?api=1&amp;destination=%E7%BE%BD%E7%94%B0%E7%A9%BA%E6%B8%AF%20%E7%AC%AC3%E3%82%BF%E3%83%BC%E3%83%9F%E3%83%8A%E3%83%AB%E5%B1%95%E6%9C%9B%E3%83%87%E3%83%83%E3%82%AD&amp;travelmode=driving","ナビ")</x:f>
      </x:c>
    </x:row>
    <x:row r="31">
      <x:c r="A31" s="22" t="str">
        <x:v>雨天</x:v>
      </x:c>
      <x:c r="B31" s="22" t="n">
        <x:v>10</x:v>
      </x:c>
      <x:c r="C31" s="22" t="str">
        <x:v>東扇島西公園</x:v>
      </x:c>
      <x:c r="D31" s="22" t="n">
        <x:v>70</x:v>
      </x:c>
      <x:c r="E31" s="22" t="str">
        <x:v>10〜20km</x:v>
      </x:c>
      <x:c r="F31" s="22" t="str">
        <x:v>通常25〜50分</x:v>
      </x:c>
      <x:c r="G31" s="22" t="n">
        <x:v>5</x:v>
      </x:c>
      <x:c r="H31" s="22" t="n">
        <x:v>2</x:v>
      </x:c>
      <x:c r="I31" s="22" t="n">
        <x:v>3</x:v>
      </x:c>
      <x:c r="J31" s="22" t="str">
        <x:v>条件が合えば有力</x:v>
      </x:c>
      <x:c r="K31" s="95" t="e">
        <x:f>HYPERLINK("https://www.google.com/maps/dir/?api=1&amp;destination=%E6%9D%B1%E6%89%87%E5%B3%B6%E8%A5%BF%E5%85%AC%E5%9C%92&amp;travelmode=driving","ナビ")</x:f>
      </x:c>
    </x:row>
    <x:row r="32">
      <x:c r="A32" s="22" t="str">
        <x:v>飛行機</x:v>
      </x:c>
      <x:c r="B32" s="22" t="n">
        <x:v>1</x:v>
      </x:c>
      <x:c r="C32" s="22" t="str">
        <x:v>羽田空港 第3ターミナル展望デッキ</x:v>
      </x:c>
      <x:c r="D32" s="22" t="n">
        <x:v>95</x:v>
      </x:c>
      <x:c r="E32" s="22" t="str">
        <x:v>0〜10km</x:v>
      </x:c>
      <x:c r="F32" s="22" t="str">
        <x:v>通常10〜30分</x:v>
      </x:c>
      <x:c r="G32" s="22" t="n">
        <x:v>5</x:v>
      </x:c>
      <x:c r="H32" s="22" t="n">
        <x:v>2</x:v>
      </x:c>
      <x:c r="I32" s="22" t="n">
        <x:v>4</x:v>
      </x:c>
      <x:c r="J32" s="22" t="str">
        <x:v>条件が合えば有力</x:v>
      </x:c>
      <x:c r="K32" s="95" t="e">
        <x:f>HYPERLINK("https://www.google.com/maps/dir/?api=1&amp;destination=%E7%BE%BD%E7%94%B0%E7%A9%BA%E6%B8%AF%20%E7%AC%AC3%E3%82%BF%E3%83%BC%E3%83%9F%E3%83%8A%E3%83%AB%E5%B1%95%E6%9C%9B%E3%83%87%E3%83%83%E3%82%AD&amp;travelmode=driving","ナビ")</x:f>
      </x:c>
    </x:row>
    <x:row r="33">
      <x:c r="A33" s="22" t="str">
        <x:v>飛行機</x:v>
      </x:c>
      <x:c r="B33" s="22" t="n">
        <x:v>2</x:v>
      </x:c>
      <x:c r="C33" s="22" t="str">
        <x:v>HANEDA INNOVATION CITY 足湯スカイデッキ</x:v>
      </x:c>
      <x:c r="D33" s="22" t="n">
        <x:v>94</x:v>
      </x:c>
      <x:c r="E33" s="22" t="str">
        <x:v>0〜10km</x:v>
      </x:c>
      <x:c r="F33" s="22" t="str">
        <x:v>通常15〜30分</x:v>
      </x:c>
      <x:c r="G33" s="22" t="n">
        <x:v>5</x:v>
      </x:c>
      <x:c r="H33" s="22" t="n">
        <x:v>3</x:v>
      </x:c>
      <x:c r="I33" s="22" t="n">
        <x:v>3</x:v>
      </x:c>
      <x:c r="J33" s="22" t="str">
        <x:v>条件が合えば有力</x:v>
      </x:c>
      <x:c r="K33" s="95" t="e">
        <x:f>HYPERLINK("https://www.google.com/maps/dir/?api=1&amp;destination=HANEDA%20INNOVATION%20CITY%20%E8%B6%B3%E6%B9%AF%E3%82%B9%E3%82%AB%E3%82%A4%E3%83%87%E3%83%83%E3%82%AD&amp;travelmode=driving","ナビ")</x:f>
      </x:c>
    </x:row>
    <x:row r="34">
      <x:c r="A34" s="22" t="str">
        <x:v>飛行機</x:v>
      </x:c>
      <x:c r="B34" s="22" t="n">
        <x:v>3</x:v>
      </x:c>
      <x:c r="C34" s="22" t="str">
        <x:v>殿町緑地</x:v>
      </x:c>
      <x:c r="D34" s="22" t="n">
        <x:v>92</x:v>
      </x:c>
      <x:c r="E34" s="22" t="str">
        <x:v>0〜10km</x:v>
      </x:c>
      <x:c r="F34" s="22" t="str">
        <x:v>通常10〜30分</x:v>
      </x:c>
      <x:c r="G34" s="22" t="n">
        <x:v>4</x:v>
      </x:c>
      <x:c r="H34" s="22" t="n">
        <x:v>1</x:v>
      </x:c>
      <x:c r="I34" s="22" t="n">
        <x:v>4</x:v>
      </x:c>
      <x:c r="J34" s="22" t="str">
        <x:v>条件が合えば有力</x:v>
      </x:c>
      <x:c r="K34" s="95" t="e">
        <x:f>HYPERLINK("https://www.google.com/maps/dir/?api=1&amp;destination=%E6%AE%BF%E7%94%BA%E7%B7%91%E5%9C%B0&amp;travelmode=driving","ナビ")</x:f>
      </x:c>
    </x:row>
    <x:row r="35">
      <x:c r="A35" s="22" t="str">
        <x:v>飛行機</x:v>
      </x:c>
      <x:c r="B35" s="22" t="n">
        <x:v>4</x:v>
      </x:c>
      <x:c r="C35" s="22" t="str">
        <x:v>城南島海浜公園</x:v>
      </x:c>
      <x:c r="D35" s="22" t="n">
        <x:v>91</x:v>
      </x:c>
      <x:c r="E35" s="22" t="str">
        <x:v>0〜10km</x:v>
      </x:c>
      <x:c r="F35" s="22" t="str">
        <x:v>通常10〜30分</x:v>
      </x:c>
      <x:c r="G35" s="22" t="n">
        <x:v>4</x:v>
      </x:c>
      <x:c r="H35" s="22" t="n">
        <x:v>1</x:v>
      </x:c>
      <x:c r="I35" s="22" t="n">
        <x:v>4</x:v>
      </x:c>
      <x:c r="J35" s="22" t="str">
        <x:v>条件が合えば有力</x:v>
      </x:c>
      <x:c r="K35" s="95" t="e">
        <x:f>HYPERLINK("https://www.google.com/maps/dir/?api=1&amp;destination=%E5%9F%8E%E5%8D%97%E5%B3%B6%E6%B5%B7%E6%B5%9C%E5%85%AC%E5%9C%92&amp;travelmode=driving","ナビ")</x:f>
      </x:c>
    </x:row>
    <x:row r="36">
      <x:c r="A36" s="22" t="str">
        <x:v>飛行機</x:v>
      </x:c>
      <x:c r="B36" s="22" t="n">
        <x:v>5</x:v>
      </x:c>
      <x:c r="C36" s="22" t="str">
        <x:v>羽田空港 第1ターミナル展望デッキ</x:v>
      </x:c>
      <x:c r="D36" s="22" t="n">
        <x:v>88</x:v>
      </x:c>
      <x:c r="E36" s="22" t="str">
        <x:v>0〜10km</x:v>
      </x:c>
      <x:c r="F36" s="22" t="str">
        <x:v>通常20〜40分</x:v>
      </x:c>
      <x:c r="G36" s="22" t="n">
        <x:v>5</x:v>
      </x:c>
      <x:c r="H36" s="22" t="n">
        <x:v>4</x:v>
      </x:c>
      <x:c r="I36" s="22" t="n">
        <x:v>2</x:v>
      </x:c>
      <x:c r="J36" s="22" t="str">
        <x:v>条件が合えば有力</x:v>
      </x:c>
      <x:c r="K36" s="95" t="e">
        <x:f>HYPERLINK("https://www.google.com/maps/dir/?api=1&amp;destination=%E7%BE%BD%E7%94%B0%E7%A9%BA%E6%B8%AF%20%E7%AC%AC1%E3%82%BF%E3%83%BC%E3%83%9F%E3%83%8A%E3%83%AB%E5%B1%95%E6%9C%9B%E3%83%87%E3%83%83%E3%82%AD&amp;travelmode=driving","ナビ")</x:f>
      </x:c>
    </x:row>
    <x:row r="37">
      <x:c r="A37" s="22" t="str">
        <x:v>飛行機</x:v>
      </x:c>
      <x:c r="B37" s="22" t="n">
        <x:v>6</x:v>
      </x:c>
      <x:c r="C37" s="22" t="str">
        <x:v>羽田空港 第2ターミナル展望デッキ／FLIGHT DECK TOKYO</x:v>
      </x:c>
      <x:c r="D37" s="22" t="n">
        <x:v>88</x:v>
      </x:c>
      <x:c r="E37" s="22" t="str">
        <x:v>0〜10km</x:v>
      </x:c>
      <x:c r="F37" s="22" t="str">
        <x:v>通常25〜45分</x:v>
      </x:c>
      <x:c r="G37" s="22" t="n">
        <x:v>5</x:v>
      </x:c>
      <x:c r="H37" s="22" t="n">
        <x:v>5</x:v>
      </x:c>
      <x:c r="I37" s="22" t="n">
        <x:v>2</x:v>
      </x:c>
      <x:c r="J37" s="22" t="str">
        <x:v>条件が合えば有力</x:v>
      </x:c>
      <x:c r="K37" s="95" t="e">
        <x:f>HYPERLINK("https://www.google.com/maps/dir/?api=1&amp;destination=%E7%BE%BD%E7%94%B0%E7%A9%BA%E6%B8%AF%20%E7%AC%AC2%E3%82%BF%E3%83%BC%E3%83%9F%E3%83%8A%E3%83%AB%E5%B1%95%E6%9C%9B%E3%83%87%E3%83%83%E3%82%AD%EF%BC%8FFLIGHT%20DECK%20TOKYO&amp;travelmode=driving","ナビ")</x:f>
      </x:c>
    </x:row>
    <x:row r="38">
      <x:c r="A38" s="22" t="str">
        <x:v>飛行機</x:v>
      </x:c>
      <x:c r="B38" s="22" t="n">
        <x:v>7</x:v>
      </x:c>
      <x:c r="C38" s="22" t="str">
        <x:v>京浜島つばさ公園</x:v>
      </x:c>
      <x:c r="D38" s="22" t="n">
        <x:v>88</x:v>
      </x:c>
      <x:c r="E38" s="22" t="str">
        <x:v>0〜10km</x:v>
      </x:c>
      <x:c r="F38" s="22" t="str">
        <x:v>通常10〜30分</x:v>
      </x:c>
      <x:c r="G38" s="22" t="n">
        <x:v>5</x:v>
      </x:c>
      <x:c r="H38" s="22" t="n">
        <x:v>2</x:v>
      </x:c>
      <x:c r="I38" s="22" t="n">
        <x:v>4</x:v>
      </x:c>
      <x:c r="J38" s="22" t="str">
        <x:v>条件が合えば有力</x:v>
      </x:c>
      <x:c r="K38" s="95" t="e">
        <x:f>HYPERLINK("https://www.google.com/maps/dir/?api=1&amp;destination=%E4%BA%AC%E6%B5%9C%E5%B3%B6%E3%81%A4%E3%81%B0%E3%81%95%E5%85%AC%E5%9C%92&amp;travelmode=driving","ナビ")</x:f>
      </x:c>
    </x:row>
    <x:row r="39">
      <x:c r="A39" s="22" t="str">
        <x:v>飛行機</x:v>
      </x:c>
      <x:c r="B39" s="22" t="n">
        <x:v>8</x:v>
      </x:c>
      <x:c r="C39" s="22" t="str">
        <x:v>武蔵野の森公園</x:v>
      </x:c>
      <x:c r="D39" s="22" t="n">
        <x:v>88</x:v>
      </x:c>
      <x:c r="E39" s="22" t="str">
        <x:v>20〜25km</x:v>
      </x:c>
      <x:c r="F39" s="22" t="str">
        <x:v>通常40〜70分</x:v>
      </x:c>
      <x:c r="G39" s="22" t="n">
        <x:v>5</x:v>
      </x:c>
      <x:c r="H39" s="22" t="n">
        <x:v>2</x:v>
      </x:c>
      <x:c r="I39" s="22" t="n">
        <x:v>4</x:v>
      </x:c>
      <x:c r="J39" s="22" t="str">
        <x:v>条件が合えば有力</x:v>
      </x:c>
      <x:c r="K39" s="95" t="e">
        <x:f>HYPERLINK("https://www.google.com/maps/dir/?api=1&amp;destination=%E6%AD%A6%E8%94%B5%E9%87%8E%E3%81%AE%E6%A3%AE%E5%85%AC%E5%9C%92&amp;travelmode=driving","ナビ")</x:f>
      </x:c>
    </x:row>
    <x:row r="40">
      <x:c r="A40" s="22" t="str">
        <x:v>飛行機</x:v>
      </x:c>
      <x:c r="B40" s="22" t="n">
        <x:v>9</x:v>
      </x:c>
      <x:c r="C40" s="22" t="str">
        <x:v>森ケ崎公園</x:v>
      </x:c>
      <x:c r="D40" s="22" t="n">
        <x:v>87</x:v>
      </x:c>
      <x:c r="E40" s="22" t="str">
        <x:v>0〜10km</x:v>
      </x:c>
      <x:c r="F40" s="22" t="str">
        <x:v>通常15〜30分</x:v>
      </x:c>
      <x:c r="G40" s="22" t="n">
        <x:v>4</x:v>
      </x:c>
      <x:c r="H40" s="22" t="n">
        <x:v>1</x:v>
      </x:c>
      <x:c r="I40" s="22" t="n">
        <x:v>2</x:v>
      </x:c>
      <x:c r="J40" s="22" t="str">
        <x:v>条件が合えば有力</x:v>
      </x:c>
      <x:c r="K40" s="95" t="e">
        <x:f>HYPERLINK("https://www.google.com/maps/dir/?api=1&amp;destination=%E6%A3%AE%E3%82%B1%E5%B4%8E%E5%85%AC%E5%9C%92&amp;travelmode=driving","ナビ")</x:f>
      </x:c>
    </x:row>
    <x:row r="41">
      <x:c r="A41" s="22" t="str">
        <x:v>飛行機</x:v>
      </x:c>
      <x:c r="B41" s="22" t="n">
        <x:v>10</x:v>
      </x:c>
      <x:c r="C41" s="22" t="str">
        <x:v>ソラムナード羽田緑地</x:v>
      </x:c>
      <x:c r="D41" s="22" t="n">
        <x:v>82</x:v>
      </x:c>
      <x:c r="E41" s="22" t="str">
        <x:v>0〜10km</x:v>
      </x:c>
      <x:c r="F41" s="22" t="str">
        <x:v>通常20〜35分</x:v>
      </x:c>
      <x:c r="G41" s="22" t="n">
        <x:v>5</x:v>
      </x:c>
      <x:c r="H41" s="22" t="n">
        <x:v>1</x:v>
      </x:c>
      <x:c r="I41" s="22" t="n">
        <x:v>2</x:v>
      </x:c>
      <x:c r="J41" s="22" t="str">
        <x:v>用途限定で有効</x:v>
      </x:c>
      <x:c r="K41" s="95" t="e">
        <x:f>HYPERLINK("https://www.google.com/maps/dir/?api=1&amp;destination=%E3%82%BD%E3%83%A9%E3%83%A0%E3%83%8A%E3%83%BC%E3%83%89%E7%BE%BD%E7%94%B0%E7%B7%91%E5%9C%B0&amp;travelmode=driving","ナビ")</x:f>
      </x:c>
    </x:row>
    <x:row r="42">
      <x:c r="A42" s="22" t="str">
        <x:v>海・港</x:v>
      </x:c>
      <x:c r="B42" s="22" t="n">
        <x:v>1</x:v>
      </x:c>
      <x:c r="C42" s="22" t="str">
        <x:v>東扇島西公園</x:v>
      </x:c>
      <x:c r="D42" s="22" t="n">
        <x:v>92</x:v>
      </x:c>
      <x:c r="E42" s="22" t="str">
        <x:v>10〜20km</x:v>
      </x:c>
      <x:c r="F42" s="22" t="str">
        <x:v>通常25〜50分</x:v>
      </x:c>
      <x:c r="G42" s="22" t="n">
        <x:v>5</x:v>
      </x:c>
      <x:c r="H42" s="22" t="n">
        <x:v>2</x:v>
      </x:c>
      <x:c r="I42" s="22" t="n">
        <x:v>3</x:v>
      </x:c>
      <x:c r="J42" s="22" t="str">
        <x:v>条件が合えば有力</x:v>
      </x:c>
      <x:c r="K42" s="95" t="e">
        <x:f>HYPERLINK("https://www.google.com/maps/dir/?api=1&amp;destination=%E6%9D%B1%E6%89%87%E5%B3%B6%E8%A5%BF%E5%85%AC%E5%9C%92&amp;travelmode=driving","ナビ")</x:f>
      </x:c>
    </x:row>
    <x:row r="43">
      <x:c r="A43" s="22" t="str">
        <x:v>海・港</x:v>
      </x:c>
      <x:c r="B43" s="22" t="n">
        <x:v>2</x:v>
      </x:c>
      <x:c r="C43" s="22" t="str">
        <x:v>殿町緑地</x:v>
      </x:c>
      <x:c r="D43" s="22" t="n">
        <x:v>91</x:v>
      </x:c>
      <x:c r="E43" s="22" t="str">
        <x:v>0〜10km</x:v>
      </x:c>
      <x:c r="F43" s="22" t="str">
        <x:v>通常10〜30分</x:v>
      </x:c>
      <x:c r="G43" s="22" t="n">
        <x:v>4</x:v>
      </x:c>
      <x:c r="H43" s="22" t="n">
        <x:v>1</x:v>
      </x:c>
      <x:c r="I43" s="22" t="n">
        <x:v>4</x:v>
      </x:c>
      <x:c r="J43" s="22" t="str">
        <x:v>条件が合えば有力</x:v>
      </x:c>
      <x:c r="K43" s="95" t="e">
        <x:f>HYPERLINK("https://www.google.com/maps/dir/?api=1&amp;destination=%E6%AE%BF%E7%94%BA%E7%B7%91%E5%9C%B0&amp;travelmode=driving","ナビ")</x:f>
      </x:c>
    </x:row>
    <x:row r="44">
      <x:c r="A44" s="22" t="str">
        <x:v>海・港</x:v>
      </x:c>
      <x:c r="B44" s="22" t="n">
        <x:v>3</x:v>
      </x:c>
      <x:c r="C44" s="22" t="str">
        <x:v>城南島海浜公園</x:v>
      </x:c>
      <x:c r="D44" s="22" t="n">
        <x:v>90</x:v>
      </x:c>
      <x:c r="E44" s="22" t="str">
        <x:v>0〜10km</x:v>
      </x:c>
      <x:c r="F44" s="22" t="str">
        <x:v>通常10〜30分</x:v>
      </x:c>
      <x:c r="G44" s="22" t="n">
        <x:v>4</x:v>
      </x:c>
      <x:c r="H44" s="22" t="n">
        <x:v>1</x:v>
      </x:c>
      <x:c r="I44" s="22" t="n">
        <x:v>4</x:v>
      </x:c>
      <x:c r="J44" s="22" t="str">
        <x:v>条件が合えば有力</x:v>
      </x:c>
      <x:c r="K44" s="95" t="e">
        <x:f>HYPERLINK("https://www.google.com/maps/dir/?api=1&amp;destination=%E5%9F%8E%E5%8D%97%E5%B3%B6%E6%B5%B7%E6%B5%9C%E5%85%AC%E5%9C%92&amp;travelmode=driving","ナビ")</x:f>
      </x:c>
    </x:row>
    <x:row r="45">
      <x:c r="A45" s="22" t="str">
        <x:v>海・港</x:v>
      </x:c>
      <x:c r="B45" s="22" t="n">
        <x:v>4</x:v>
      </x:c>
      <x:c r="C45" s="22" t="str">
        <x:v>お台場海浜公園</x:v>
      </x:c>
      <x:c r="D45" s="22" t="n">
        <x:v>89</x:v>
      </x:c>
      <x:c r="E45" s="22" t="str">
        <x:v>10〜20km</x:v>
      </x:c>
      <x:c r="F45" s="22" t="str">
        <x:v>通常25〜45分</x:v>
      </x:c>
      <x:c r="G45" s="22" t="n">
        <x:v>5</x:v>
      </x:c>
      <x:c r="H45" s="22" t="n">
        <x:v>2</x:v>
      </x:c>
      <x:c r="I45" s="22" t="n">
        <x:v>3</x:v>
      </x:c>
      <x:c r="J45" s="22" t="str">
        <x:v>用途限定で有効</x:v>
      </x:c>
      <x:c r="K45" s="95" t="e">
        <x:f>HYPERLINK("https://www.google.com/maps/dir/?api=1&amp;destination=%E3%81%8A%E5%8F%B0%E5%A0%B4%E6%B5%B7%E6%B5%9C%E5%85%AC%E5%9C%92&amp;travelmode=driving","ナビ")</x:f>
      </x:c>
    </x:row>
    <x:row r="46">
      <x:c r="A46" s="22" t="str">
        <x:v>海・港</x:v>
      </x:c>
      <x:c r="B46" s="22" t="n">
        <x:v>5</x:v>
      </x:c>
      <x:c r="C46" s="22" t="str">
        <x:v>羽田空港 第1ターミナル展望デッキ</x:v>
      </x:c>
      <x:c r="D46" s="22" t="n">
        <x:v>88</x:v>
      </x:c>
      <x:c r="E46" s="22" t="str">
        <x:v>0〜10km</x:v>
      </x:c>
      <x:c r="F46" s="22" t="str">
        <x:v>通常20〜40分</x:v>
      </x:c>
      <x:c r="G46" s="22" t="n">
        <x:v>5</x:v>
      </x:c>
      <x:c r="H46" s="22" t="n">
        <x:v>4</x:v>
      </x:c>
      <x:c r="I46" s="22" t="n">
        <x:v>2</x:v>
      </x:c>
      <x:c r="J46" s="22" t="str">
        <x:v>条件が合えば有力</x:v>
      </x:c>
      <x:c r="K46" s="95" t="e">
        <x:f>HYPERLINK("https://www.google.com/maps/dir/?api=1&amp;destination=%E7%BE%BD%E7%94%B0%E7%A9%BA%E6%B8%AF%20%E7%AC%AC1%E3%82%BF%E3%83%BC%E3%83%9F%E3%83%8A%E3%83%AB%E5%B1%95%E6%9C%9B%E3%83%87%E3%83%83%E3%82%AD&amp;travelmode=driving","ナビ")</x:f>
      </x:c>
    </x:row>
    <x:row r="47">
      <x:c r="A47" s="22" t="str">
        <x:v>海・港</x:v>
      </x:c>
      <x:c r="B47" s="22" t="n">
        <x:v>6</x:v>
      </x:c>
      <x:c r="C47" s="22" t="str">
        <x:v>大井ふ頭中央海浜公園</x:v>
      </x:c>
      <x:c r="D47" s="22" t="n">
        <x:v>88</x:v>
      </x:c>
      <x:c r="E47" s="22" t="str">
        <x:v>0〜10km</x:v>
      </x:c>
      <x:c r="F47" s="22" t="str">
        <x:v>通常20〜35分</x:v>
      </x:c>
      <x:c r="G47" s="22" t="n">
        <x:v>4</x:v>
      </x:c>
      <x:c r="H47" s="22" t="n">
        <x:v>1</x:v>
      </x:c>
      <x:c r="I47" s="22" t="n">
        <x:v>2</x:v>
      </x:c>
      <x:c r="J47" s="22" t="str">
        <x:v>条件が合えば有力</x:v>
      </x:c>
      <x:c r="K47" s="95" t="e">
        <x:f>HYPERLINK("https://www.google.com/maps/dir/?api=1&amp;destination=%E5%A4%A7%E4%BA%95%E3%81%B5%E9%A0%AD%E4%B8%AD%E5%A4%AE%E6%B5%B7%E6%B5%9C%E5%85%AC%E5%9C%92&amp;travelmode=driving","ナビ")</x:f>
      </x:c>
    </x:row>
    <x:row r="48">
      <x:c r="A48" s="22" t="str">
        <x:v>海・港</x:v>
      </x:c>
      <x:c r="B48" s="22" t="n">
        <x:v>7</x:v>
      </x:c>
      <x:c r="C48" s="22" t="str">
        <x:v>豊洲ぐるり公園</x:v>
      </x:c>
      <x:c r="D48" s="22" t="n">
        <x:v>88</x:v>
      </x:c>
      <x:c r="E48" s="22" t="str">
        <x:v>10〜20km</x:v>
      </x:c>
      <x:c r="F48" s="22" t="str">
        <x:v>通常25〜50分</x:v>
      </x:c>
      <x:c r="G48" s="22" t="n">
        <x:v>5</x:v>
      </x:c>
      <x:c r="H48" s="22" t="n">
        <x:v>2</x:v>
      </x:c>
      <x:c r="I48" s="22" t="n">
        <x:v>3</x:v>
      </x:c>
      <x:c r="J48" s="22" t="str">
        <x:v>用途限定で有効</x:v>
      </x:c>
      <x:c r="K48" s="95" t="e">
        <x:f>HYPERLINK("https://www.google.com/maps/dir/?api=1&amp;destination=%E8%B1%8A%E6%B4%B2%E3%81%90%E3%82%8B%E3%82%8A%E5%85%AC%E5%9C%92&amp;travelmode=driving","ナビ")</x:f>
      </x:c>
    </x:row>
    <x:row r="49">
      <x:c r="A49" s="22" t="str">
        <x:v>海・港</x:v>
      </x:c>
      <x:c r="B49" s="22" t="n">
        <x:v>8</x:v>
      </x:c>
      <x:c r="C49" s="22" t="str">
        <x:v>潮風公園</x:v>
      </x:c>
      <x:c r="D49" s="22" t="n">
        <x:v>88</x:v>
      </x:c>
      <x:c r="E49" s="22" t="str">
        <x:v>10〜20km</x:v>
      </x:c>
      <x:c r="F49" s="22" t="str">
        <x:v>通常25〜50分</x:v>
      </x:c>
      <x:c r="G49" s="22" t="n">
        <x:v>5</x:v>
      </x:c>
      <x:c r="H49" s="22" t="n">
        <x:v>1</x:v>
      </x:c>
      <x:c r="I49" s="22" t="n">
        <x:v>3</x:v>
      </x:c>
      <x:c r="J49" s="22" t="str">
        <x:v>用途限定で有効</x:v>
      </x:c>
      <x:c r="K49" s="95" t="e">
        <x:f>HYPERLINK("https://www.google.com/maps/dir/?api=1&amp;destination=%E6%BD%AE%E9%A2%A8%E5%85%AC%E5%9C%92&amp;travelmode=driving","ナビ")</x:f>
      </x:c>
    </x:row>
    <x:row r="50">
      <x:c r="A50" s="22" t="str">
        <x:v>海・港</x:v>
      </x:c>
      <x:c r="B50" s="22" t="n">
        <x:v>9</x:v>
      </x:c>
      <x:c r="C50" s="22" t="str">
        <x:v>大森ふるさとの浜辺公園</x:v>
      </x:c>
      <x:c r="D50" s="22" t="n">
        <x:v>87</x:v>
      </x:c>
      <x:c r="E50" s="22" t="str">
        <x:v>0〜10km</x:v>
      </x:c>
      <x:c r="F50" s="22" t="str">
        <x:v>通常15〜25分</x:v>
      </x:c>
      <x:c r="G50" s="22" t="n">
        <x:v>4</x:v>
      </x:c>
      <x:c r="H50" s="22" t="n">
        <x:v>1</x:v>
      </x:c>
      <x:c r="I50" s="22" t="n">
        <x:v>2</x:v>
      </x:c>
      <x:c r="J50" s="22" t="str">
        <x:v>条件が合えば有力</x:v>
      </x:c>
      <x:c r="K50" s="95" t="e">
        <x:f>HYPERLINK("https://www.google.com/maps/dir/?api=1&amp;destination=%E5%A4%A7%E6%A3%AE%E3%81%B5%E3%82%8B%E3%81%95%E3%81%A8%E3%81%AE%E6%B5%9C%E8%BE%BA%E5%85%AC%E5%9C%92&amp;travelmode=driving","ナビ")</x:f>
      </x:c>
    </x:row>
    <x:row r="51">
      <x:c r="A51" s="22" t="str">
        <x:v>海・港</x:v>
      </x:c>
      <x:c r="B51" s="22" t="n">
        <x:v>10</x:v>
      </x:c>
      <x:c r="C51" s="22" t="str">
        <x:v>浦安市総合公園</x:v>
      </x:c>
      <x:c r="D51" s="22" t="n">
        <x:v>86</x:v>
      </x:c>
      <x:c r="E51" s="22" t="str">
        <x:v>20〜25km</x:v>
      </x:c>
      <x:c r="F51" s="22" t="str">
        <x:v>通常40〜70分</x:v>
      </x:c>
      <x:c r="G51" s="22" t="n">
        <x:v>5</x:v>
      </x:c>
      <x:c r="H51" s="22" t="n">
        <x:v>1</x:v>
      </x:c>
      <x:c r="I51" s="22" t="n">
        <x:v>3</x:v>
      </x:c>
      <x:c r="J51" s="22" t="str">
        <x:v>条件が合えば有力</x:v>
      </x:c>
      <x:c r="K51" s="95" t="e">
        <x:f>HYPERLINK("https://www.google.com/maps/dir/?api=1&amp;destination=%E6%B5%A6%E5%AE%89%E5%B8%82%E7%B7%8F%E5%90%88%E5%85%AC%E5%9C%92&amp;travelmode=driving","ナビ")</x:f>
      </x:c>
    </x:row>
    <x:row r="52">
      <x:c r="A52" s="22" t="str">
        <x:v>工場夜景</x:v>
      </x:c>
      <x:c r="B52" s="22" t="n">
        <x:v>1</x:v>
      </x:c>
      <x:c r="C52" s="22" t="str">
        <x:v>川崎マリエン</x:v>
      </x:c>
      <x:c r="D52" s="22" t="n">
        <x:v>92</x:v>
      </x:c>
      <x:c r="E52" s="22" t="str">
        <x:v>10〜20km</x:v>
      </x:c>
      <x:c r="F52" s="22" t="str">
        <x:v>通常25〜50分</x:v>
      </x:c>
      <x:c r="G52" s="22" t="n">
        <x:v>5</x:v>
      </x:c>
      <x:c r="H52" s="22" t="n">
        <x:v>2</x:v>
      </x:c>
      <x:c r="I52" s="22" t="n">
        <x:v>4</x:v>
      </x:c>
      <x:c r="J52" s="22" t="str">
        <x:v>条件が合えば有力</x:v>
      </x:c>
      <x:c r="K52" s="95" t="e">
        <x:f>HYPERLINK("https://www.google.com/maps/dir/?api=1&amp;destination=%E5%B7%9D%E5%B4%8E%E3%83%9E%E3%83%AA%E3%82%A8%E3%83%B3&amp;travelmode=driving","ナビ")</x:f>
      </x:c>
    </x:row>
    <x:row r="53">
      <x:c r="A53" s="22" t="str">
        <x:v>工場夜景</x:v>
      </x:c>
      <x:c r="B53" s="22" t="n">
        <x:v>2</x:v>
      </x:c>
      <x:c r="C53" s="22" t="str">
        <x:v>京浜島つばさ公園</x:v>
      </x:c>
      <x:c r="D53" s="22" t="n">
        <x:v>89</x:v>
      </x:c>
      <x:c r="E53" s="22" t="str">
        <x:v>0〜10km</x:v>
      </x:c>
      <x:c r="F53" s="22" t="str">
        <x:v>通常10〜30分</x:v>
      </x:c>
      <x:c r="G53" s="22" t="n">
        <x:v>5</x:v>
      </x:c>
      <x:c r="H53" s="22" t="n">
        <x:v>2</x:v>
      </x:c>
      <x:c r="I53" s="22" t="n">
        <x:v>4</x:v>
      </x:c>
      <x:c r="J53" s="22" t="str">
        <x:v>条件が合えば有力</x:v>
      </x:c>
      <x:c r="K53" s="95" t="e">
        <x:f>HYPERLINK("https://www.google.com/maps/dir/?api=1&amp;destination=%E4%BA%AC%E6%B5%9C%E5%B3%B6%E3%81%A4%E3%81%B0%E3%81%95%E5%85%AC%E5%9C%92&amp;travelmode=driving","ナビ")</x:f>
      </x:c>
    </x:row>
    <x:row r="54">
      <x:c r="A54" s="22" t="str">
        <x:v>工場夜景</x:v>
      </x:c>
      <x:c r="B54" s="22" t="n">
        <x:v>3</x:v>
      </x:c>
      <x:c r="C54" s="22" t="str">
        <x:v>ソラムナード羽田緑地</x:v>
      </x:c>
      <x:c r="D54" s="22" t="n">
        <x:v>82</x:v>
      </x:c>
      <x:c r="E54" s="22" t="str">
        <x:v>0〜10km</x:v>
      </x:c>
      <x:c r="F54" s="22" t="str">
        <x:v>通常20〜35分</x:v>
      </x:c>
      <x:c r="G54" s="22" t="n">
        <x:v>5</x:v>
      </x:c>
      <x:c r="H54" s="22" t="n">
        <x:v>1</x:v>
      </x:c>
      <x:c r="I54" s="22" t="n">
        <x:v>2</x:v>
      </x:c>
      <x:c r="J54" s="22" t="str">
        <x:v>用途限定で有効</x:v>
      </x:c>
      <x:c r="K54" s="95" t="e">
        <x:f>HYPERLINK("https://www.google.com/maps/dir/?api=1&amp;destination=%E3%82%BD%E3%83%A9%E3%83%A0%E3%83%8A%E3%83%BC%E3%83%89%E7%BE%BD%E7%94%B0%E7%B7%91%E5%9C%B0&amp;travelmode=driving","ナビ")</x:f>
      </x:c>
    </x:row>
    <x:row r="55">
      <x:c r="A55" s="22" t="str">
        <x:v>工場夜景</x:v>
      </x:c>
      <x:c r="B55" s="22" t="n">
        <x:v>4</x:v>
      </x:c>
      <x:c r="C55" s="22" t="str">
        <x:v>東扇島中公園</x:v>
      </x:c>
      <x:c r="D55" s="22" t="n">
        <x:v>81</x:v>
      </x:c>
      <x:c r="E55" s="22" t="str">
        <x:v>10〜20km</x:v>
      </x:c>
      <x:c r="F55" s="22" t="str">
        <x:v>通常35〜55分</x:v>
      </x:c>
      <x:c r="G55" s="22" t="n">
        <x:v>4</x:v>
      </x:c>
      <x:c r="H55" s="22" t="n">
        <x:v>1</x:v>
      </x:c>
      <x:c r="I55" s="22" t="n">
        <x:v>2</x:v>
      </x:c>
      <x:c r="J55" s="22" t="str">
        <x:v>用途限定で有効</x:v>
      </x:c>
      <x:c r="K55" s="95" t="e">
        <x:f>HYPERLINK("https://www.google.com/maps/dir/?api=1&amp;destination=%E6%9D%B1%E6%89%87%E5%B3%B6%E4%B8%AD%E5%85%AC%E5%9C%92&amp;travelmode=driving","ナビ")</x:f>
      </x:c>
    </x:row>
    <x:row r="56">
      <x:c r="A56" s="22" t="str">
        <x:v>工場夜景</x:v>
      </x:c>
      <x:c r="B56" s="22" t="n">
        <x:v>5</x:v>
      </x:c>
      <x:c r="C56" s="22" t="str">
        <x:v>羽田空港 第3ターミナル展望デッキ</x:v>
      </x:c>
      <x:c r="D56" s="22" t="n">
        <x:v>66</x:v>
      </x:c>
      <x:c r="E56" s="22" t="str">
        <x:v>0〜10km</x:v>
      </x:c>
      <x:c r="F56" s="22" t="str">
        <x:v>通常10〜30分</x:v>
      </x:c>
      <x:c r="G56" s="22" t="n">
        <x:v>5</x:v>
      </x:c>
      <x:c r="H56" s="22" t="n">
        <x:v>2</x:v>
      </x:c>
      <x:c r="I56" s="22" t="n">
        <x:v>4</x:v>
      </x:c>
      <x:c r="J56" s="22" t="str">
        <x:v>条件が合えば有力</x:v>
      </x:c>
      <x:c r="K56" s="95" t="e">
        <x:f>HYPERLINK("https://www.google.com/maps/dir/?api=1&amp;destination=%E7%BE%BD%E7%94%B0%E7%A9%BA%E6%B8%AF%20%E7%AC%AC3%E3%82%BF%E3%83%BC%E3%83%9F%E3%83%8A%E3%83%AB%E5%B1%95%E6%9C%9B%E3%83%87%E3%83%83%E3%82%AD&amp;travelmode=driving","ナビ")</x:f>
      </x:c>
    </x:row>
    <x:row r="57">
      <x:c r="A57" s="22" t="str">
        <x:v>工場夜景</x:v>
      </x:c>
      <x:c r="B57" s="22" t="n">
        <x:v>6</x:v>
      </x:c>
      <x:c r="C57" s="22" t="str">
        <x:v>HANEDA INNOVATION CITY 足湯スカイデッキ</x:v>
      </x:c>
      <x:c r="D57" s="22" t="n">
        <x:v>64</x:v>
      </x:c>
      <x:c r="E57" s="22" t="str">
        <x:v>0〜10km</x:v>
      </x:c>
      <x:c r="F57" s="22" t="str">
        <x:v>通常15〜30分</x:v>
      </x:c>
      <x:c r="G57" s="22" t="n">
        <x:v>5</x:v>
      </x:c>
      <x:c r="H57" s="22" t="n">
        <x:v>3</x:v>
      </x:c>
      <x:c r="I57" s="22" t="n">
        <x:v>3</x:v>
      </x:c>
      <x:c r="J57" s="22" t="str">
        <x:v>条件が合えば有力</x:v>
      </x:c>
      <x:c r="K57" s="95" t="e">
        <x:f>HYPERLINK("https://www.google.com/maps/dir/?api=1&amp;destination=HANEDA%20INNOVATION%20CITY%20%E8%B6%B3%E6%B9%AF%E3%82%B9%E3%82%AB%E3%82%A4%E3%83%87%E3%83%83%E3%82%AD&amp;travelmode=driving","ナビ")</x:f>
      </x:c>
    </x:row>
    <x:row r="58">
      <x:c r="A58" s="22" t="str">
        <x:v>工場夜景</x:v>
      </x:c>
      <x:c r="B58" s="22" t="n">
        <x:v>7</x:v>
      </x:c>
      <x:c r="C58" s="22" t="str">
        <x:v>東扇島西公園</x:v>
      </x:c>
      <x:c r="D58" s="22" t="n">
        <x:v>61</x:v>
      </x:c>
      <x:c r="E58" s="22" t="str">
        <x:v>10〜20km</x:v>
      </x:c>
      <x:c r="F58" s="22" t="str">
        <x:v>通常25〜50分</x:v>
      </x:c>
      <x:c r="G58" s="22" t="n">
        <x:v>5</x:v>
      </x:c>
      <x:c r="H58" s="22" t="n">
        <x:v>2</x:v>
      </x:c>
      <x:c r="I58" s="22" t="n">
        <x:v>3</x:v>
      </x:c>
      <x:c r="J58" s="22" t="str">
        <x:v>条件が合えば有力</x:v>
      </x:c>
      <x:c r="K58" s="95" t="e">
        <x:f>HYPERLINK("https://www.google.com/maps/dir/?api=1&amp;destination=%E6%9D%B1%E6%89%87%E5%B3%B6%E8%A5%BF%E5%85%AC%E5%9C%92&amp;travelmode=driving","ナビ")</x:f>
      </x:c>
    </x:row>
    <x:row r="59">
      <x:c r="A59" s="22" t="str">
        <x:v>工場夜景</x:v>
      </x:c>
      <x:c r="B59" s="22" t="n">
        <x:v>8</x:v>
      </x:c>
      <x:c r="C59" s="22" t="str">
        <x:v>お台場海浜公園</x:v>
      </x:c>
      <x:c r="D59" s="22" t="n">
        <x:v>61</x:v>
      </x:c>
      <x:c r="E59" s="22" t="str">
        <x:v>10〜20km</x:v>
      </x:c>
      <x:c r="F59" s="22" t="str">
        <x:v>通常25〜45分</x:v>
      </x:c>
      <x:c r="G59" s="22" t="n">
        <x:v>5</x:v>
      </x:c>
      <x:c r="H59" s="22" t="n">
        <x:v>2</x:v>
      </x:c>
      <x:c r="I59" s="22" t="n">
        <x:v>3</x:v>
      </x:c>
      <x:c r="J59" s="22" t="str">
        <x:v>用途限定で有効</x:v>
      </x:c>
      <x:c r="K59" s="95" t="e">
        <x:f>HYPERLINK("https://www.google.com/maps/dir/?api=1&amp;destination=%E3%81%8A%E5%8F%B0%E5%A0%B4%E6%B5%B7%E6%B5%9C%E5%85%AC%E5%9C%92&amp;travelmode=driving","ナビ")</x:f>
      </x:c>
    </x:row>
    <x:row r="60">
      <x:c r="A60" s="22" t="str">
        <x:v>工場夜景</x:v>
      </x:c>
      <x:c r="B60" s="22" t="n">
        <x:v>9</x:v>
      </x:c>
      <x:c r="C60" s="22" t="str">
        <x:v>武蔵野の森公園</x:v>
      </x:c>
      <x:c r="D60" s="22" t="n">
        <x:v>60</x:v>
      </x:c>
      <x:c r="E60" s="22" t="str">
        <x:v>20〜25km</x:v>
      </x:c>
      <x:c r="F60" s="22" t="str">
        <x:v>通常40〜70分</x:v>
      </x:c>
      <x:c r="G60" s="22" t="n">
        <x:v>5</x:v>
      </x:c>
      <x:c r="H60" s="22" t="n">
        <x:v>2</x:v>
      </x:c>
      <x:c r="I60" s="22" t="n">
        <x:v>4</x:v>
      </x:c>
      <x:c r="J60" s="22" t="str">
        <x:v>条件が合えば有力</x:v>
      </x:c>
      <x:c r="K60" s="95" t="e">
        <x:f>HYPERLINK("https://www.google.com/maps/dir/?api=1&amp;destination=%E6%AD%A6%E8%94%B5%E9%87%8E%E3%81%AE%E6%A3%AE%E5%85%AC%E5%9C%92&amp;travelmode=driving","ナビ")</x:f>
      </x:c>
    </x:row>
    <x:row r="61">
      <x:c r="A61" s="22" t="str">
        <x:v>工場夜景</x:v>
      </x:c>
      <x:c r="B61" s="22" t="n">
        <x:v>10</x:v>
      </x:c>
      <x:c r="C61" s="22" t="str">
        <x:v>辰巳第一PA</x:v>
      </x:c>
      <x:c r="D61" s="22" t="n">
        <x:v>60</x:v>
      </x:c>
      <x:c r="E61" s="22" t="str">
        <x:v>10〜20km</x:v>
      </x:c>
      <x:c r="F61" s="22" t="str">
        <x:v>通常25〜50分</x:v>
      </x:c>
      <x:c r="G61" s="22" t="n">
        <x:v>5</x:v>
      </x:c>
      <x:c r="H61" s="22" t="n">
        <x:v>4</x:v>
      </x:c>
      <x:c r="I61" s="22" t="n">
        <x:v>4</x:v>
      </x:c>
      <x:c r="J61" s="22" t="str">
        <x:v>用途限定で有効</x:v>
      </x:c>
      <x:c r="K61" s="95" t="e">
        <x:f>HYPERLINK("https://www.google.com/maps/dir/?api=1&amp;destination=%E8%BE%B0%E5%B7%B3%E7%AC%AC%E4%B8%80PA&amp;travelmode=driving","ナビ")</x:f>
      </x:c>
    </x:row>
    <x:row r="62">
      <x:c r="A62" s="22" t="str">
        <x:v>静かな場所</x:v>
      </x:c>
      <x:c r="B62" s="22" t="n">
        <x:v>1</x:v>
      </x:c>
      <x:c r="C62" s="22" t="str">
        <x:v>森ケ崎公園</x:v>
      </x:c>
      <x:c r="D62" s="22" t="n">
        <x:v>91</x:v>
      </x:c>
      <x:c r="E62" s="22" t="str">
        <x:v>0〜10km</x:v>
      </x:c>
      <x:c r="F62" s="22" t="str">
        <x:v>通常15〜30分</x:v>
      </x:c>
      <x:c r="G62" s="22" t="n">
        <x:v>4</x:v>
      </x:c>
      <x:c r="H62" s="22" t="n">
        <x:v>1</x:v>
      </x:c>
      <x:c r="I62" s="22" t="n">
        <x:v>2</x:v>
      </x:c>
      <x:c r="J62" s="22" t="str">
        <x:v>条件が合えば有力</x:v>
      </x:c>
      <x:c r="K62" s="95" t="e">
        <x:f>HYPERLINK("https://www.google.com/maps/dir/?api=1&amp;destination=%E6%A3%AE%E3%82%B1%E5%B4%8E%E5%85%AC%E5%9C%92&amp;travelmode=driving","ナビ")</x:f>
      </x:c>
    </x:row>
    <x:row r="63">
      <x:c r="A63" s="22" t="str">
        <x:v>静かな場所</x:v>
      </x:c>
      <x:c r="B63" s="22" t="n">
        <x:v>2</x:v>
      </x:c>
      <x:c r="C63" s="22" t="str">
        <x:v>平和島公園</x:v>
      </x:c>
      <x:c r="D63" s="22" t="n">
        <x:v>90</x:v>
      </x:c>
      <x:c r="E63" s="22" t="str">
        <x:v>0〜10km</x:v>
      </x:c>
      <x:c r="F63" s="22" t="str">
        <x:v>通常15〜25分</x:v>
      </x:c>
      <x:c r="G63" s="22" t="n">
        <x:v>4</x:v>
      </x:c>
      <x:c r="H63" s="22" t="n">
        <x:v>1</x:v>
      </x:c>
      <x:c r="I63" s="22" t="n">
        <x:v>2</x:v>
      </x:c>
      <x:c r="J63" s="22" t="str">
        <x:v>用途限定で有効</x:v>
      </x:c>
      <x:c r="K63" s="95" t="e">
        <x:f>HYPERLINK("https://www.google.com/maps/dir/?api=1&amp;destination=%E5%B9%B3%E5%92%8C%E5%B3%B6%E5%85%AC%E5%9C%92&amp;travelmode=driving","ナビ")</x:f>
      </x:c>
    </x:row>
    <x:row r="64">
      <x:c r="A64" s="22" t="str">
        <x:v>静かな場所</x:v>
      </x:c>
      <x:c r="B64" s="22" t="n">
        <x:v>3</x:v>
      </x:c>
      <x:c r="C64" s="22" t="str">
        <x:v>暁ふ頭公園</x:v>
      </x:c>
      <x:c r="D64" s="22" t="n">
        <x:v>87</x:v>
      </x:c>
      <x:c r="E64" s="22" t="str">
        <x:v>10〜20km</x:v>
      </x:c>
      <x:c r="F64" s="22" t="str">
        <x:v>通常25〜50分</x:v>
      </x:c>
      <x:c r="G64" s="22" t="n">
        <x:v>5</x:v>
      </x:c>
      <x:c r="H64" s="22" t="n">
        <x:v>2</x:v>
      </x:c>
      <x:c r="I64" s="22" t="n">
        <x:v>3</x:v>
      </x:c>
      <x:c r="J64" s="22" t="str">
        <x:v>用途限定で有効</x:v>
      </x:c>
      <x:c r="K64" s="95" t="e">
        <x:f>HYPERLINK("https://www.google.com/maps/dir/?api=1&amp;destination=%E6%9A%81%E3%81%B5%E9%A0%AD%E5%85%AC%E5%9C%92&amp;travelmode=driving","ナビ")</x:f>
      </x:c>
    </x:row>
    <x:row r="65">
      <x:c r="A65" s="22" t="str">
        <x:v>静かな場所</x:v>
      </x:c>
      <x:c r="B65" s="22" t="n">
        <x:v>4</x:v>
      </x:c>
      <x:c r="C65" s="22" t="str">
        <x:v>浦安市総合公園</x:v>
      </x:c>
      <x:c r="D65" s="22" t="n">
        <x:v>85</x:v>
      </x:c>
      <x:c r="E65" s="22" t="str">
        <x:v>20〜25km</x:v>
      </x:c>
      <x:c r="F65" s="22" t="str">
        <x:v>通常40〜70分</x:v>
      </x:c>
      <x:c r="G65" s="22" t="n">
        <x:v>5</x:v>
      </x:c>
      <x:c r="H65" s="22" t="n">
        <x:v>1</x:v>
      </x:c>
      <x:c r="I65" s="22" t="n">
        <x:v>3</x:v>
      </x:c>
      <x:c r="J65" s="22" t="str">
        <x:v>条件が合えば有力</x:v>
      </x:c>
      <x:c r="K65" s="95" t="e">
        <x:f>HYPERLINK("https://www.google.com/maps/dir/?api=1&amp;destination=%E6%B5%A6%E5%AE%89%E5%B8%82%E7%B7%8F%E5%90%88%E5%85%AC%E5%9C%92&amp;travelmode=driving","ナビ")</x:f>
      </x:c>
    </x:row>
    <x:row r="66">
      <x:c r="A66" s="22" t="str">
        <x:v>静かな場所</x:v>
      </x:c>
      <x:c r="B66" s="22" t="n">
        <x:v>5</x:v>
      </x:c>
      <x:c r="C66" s="22" t="str">
        <x:v>夢見ヶ崎動物公園</x:v>
      </x:c>
      <x:c r="D66" s="22" t="n">
        <x:v>85</x:v>
      </x:c>
      <x:c r="E66" s="22" t="str">
        <x:v>0〜10km</x:v>
      </x:c>
      <x:c r="F66" s="22" t="str">
        <x:v>通常10〜30分</x:v>
      </x:c>
      <x:c r="G66" s="22" t="n">
        <x:v>4</x:v>
      </x:c>
      <x:c r="H66" s="22" t="n">
        <x:v>1</x:v>
      </x:c>
      <x:c r="I66" s="22" t="n">
        <x:v>3</x:v>
      </x:c>
      <x:c r="J66" s="22" t="str">
        <x:v>用途限定で有効</x:v>
      </x:c>
      <x:c r="K66" s="95" t="e">
        <x:f>HYPERLINK("https://www.google.com/maps/dir/?api=1&amp;destination=%E5%A4%A2%E8%A6%8B%E3%83%B6%E5%B4%8E%E5%8B%95%E7%89%A9%E5%85%AC%E5%9C%92&amp;travelmode=driving","ナビ")</x:f>
      </x:c>
    </x:row>
    <x:row r="67">
      <x:c r="A67" s="22" t="str">
        <x:v>静かな場所</x:v>
      </x:c>
      <x:c r="B67" s="22" t="n">
        <x:v>6</x:v>
      </x:c>
      <x:c r="C67" s="22" t="str">
        <x:v>富士見公園</x:v>
      </x:c>
      <x:c r="D67" s="22" t="n">
        <x:v>85</x:v>
      </x:c>
      <x:c r="E67" s="22" t="str">
        <x:v>0〜10km</x:v>
      </x:c>
      <x:c r="F67" s="22" t="str">
        <x:v>通常10〜30分</x:v>
      </x:c>
      <x:c r="G67" s="22" t="n">
        <x:v>3</x:v>
      </x:c>
      <x:c r="H67" s="22" t="n">
        <x:v>1</x:v>
      </x:c>
      <x:c r="I67" s="22" t="n">
        <x:v>1</x:v>
      </x:c>
      <x:c r="J67" s="22" t="str">
        <x:v>用途限定で有効</x:v>
      </x:c>
      <x:c r="K67" s="95" t="e">
        <x:f>HYPERLINK("https://www.google.com/maps/dir/?api=1&amp;destination=%E5%AF%8C%E5%A3%AB%E8%A6%8B%E5%85%AC%E5%9C%92&amp;travelmode=driving","ナビ")</x:f>
      </x:c>
    </x:row>
    <x:row r="68">
      <x:c r="A68" s="22" t="str">
        <x:v>静かな場所</x:v>
      </x:c>
      <x:c r="B68" s="22" t="n">
        <x:v>7</x:v>
      </x:c>
      <x:c r="C68" s="22" t="str">
        <x:v>夢の島公園</x:v>
      </x:c>
      <x:c r="D68" s="22" t="n">
        <x:v>85</x:v>
      </x:c>
      <x:c r="E68" s="22" t="str">
        <x:v>10〜20km</x:v>
      </x:c>
      <x:c r="F68" s="22" t="str">
        <x:v>通常25〜50分</x:v>
      </x:c>
      <x:c r="G68" s="22" t="n">
        <x:v>3</x:v>
      </x:c>
      <x:c r="H68" s="22" t="n">
        <x:v>1</x:v>
      </x:c>
      <x:c r="I68" s="22" t="n">
        <x:v>1</x:v>
      </x:c>
      <x:c r="J68" s="22" t="str">
        <x:v>用途限定で有効</x:v>
      </x:c>
      <x:c r="K68" s="95" t="e">
        <x:f>HYPERLINK("https://www.google.com/maps/dir/?api=1&amp;destination=%E5%A4%A2%E3%81%AE%E5%B3%B6%E5%85%AC%E5%9C%92&amp;travelmode=driving","ナビ")</x:f>
      </x:c>
    </x:row>
    <x:row r="69">
      <x:c r="A69" s="22" t="str">
        <x:v>静かな場所</x:v>
      </x:c>
      <x:c r="B69" s="22" t="n">
        <x:v>8</x:v>
      </x:c>
      <x:c r="C69" s="22" t="str">
        <x:v>東扇島中公園</x:v>
      </x:c>
      <x:c r="D69" s="22" t="n">
        <x:v>84</x:v>
      </x:c>
      <x:c r="E69" s="22" t="str">
        <x:v>10〜20km</x:v>
      </x:c>
      <x:c r="F69" s="22" t="str">
        <x:v>通常35〜55分</x:v>
      </x:c>
      <x:c r="G69" s="22" t="n">
        <x:v>4</x:v>
      </x:c>
      <x:c r="H69" s="22" t="n">
        <x:v>1</x:v>
      </x:c>
      <x:c r="I69" s="22" t="n">
        <x:v>2</x:v>
      </x:c>
      <x:c r="J69" s="22" t="str">
        <x:v>用途限定で有効</x:v>
      </x:c>
      <x:c r="K69" s="95" t="e">
        <x:f>HYPERLINK("https://www.google.com/maps/dir/?api=1&amp;destination=%E6%9D%B1%E6%89%87%E5%B3%B6%E4%B8%AD%E5%85%AC%E5%9C%92&amp;travelmode=driving","ナビ")</x:f>
      </x:c>
    </x:row>
    <x:row r="70">
      <x:c r="A70" s="22" t="str">
        <x:v>静かな場所</x:v>
      </x:c>
      <x:c r="B70" s="22" t="n">
        <x:v>9</x:v>
      </x:c>
      <x:c r="C70" s="22" t="str">
        <x:v>大島小松川公園</x:v>
      </x:c>
      <x:c r="D70" s="22" t="n">
        <x:v>83</x:v>
      </x:c>
      <x:c r="E70" s="22" t="str">
        <x:v>20〜25km</x:v>
      </x:c>
      <x:c r="F70" s="22" t="str">
        <x:v>通常40〜70分</x:v>
      </x:c>
      <x:c r="G70" s="22" t="n">
        <x:v>4</x:v>
      </x:c>
      <x:c r="H70" s="22" t="n">
        <x:v>1</x:v>
      </x:c>
      <x:c r="I70" s="22" t="n">
        <x:v>1</x:v>
      </x:c>
      <x:c r="J70" s="22" t="str">
        <x:v>用途限定で有効</x:v>
      </x:c>
      <x:c r="K70" s="95" t="e">
        <x:f>HYPERLINK("https://www.google.com/maps/dir/?api=1&amp;destination=%E5%A4%A7%E5%B3%B6%E5%B0%8F%E6%9D%BE%E5%B7%9D%E5%85%AC%E5%9C%92&amp;travelmode=driving","ナビ")</x:f>
      </x:c>
    </x:row>
    <x:row r="71">
      <x:c r="A71" s="22" t="str">
        <x:v>静かな場所</x:v>
      </x:c>
      <x:c r="B71" s="22" t="n">
        <x:v>10</x:v>
      </x:c>
      <x:c r="C71" s="22" t="str">
        <x:v>篠崎公園</x:v>
      </x:c>
      <x:c r="D71" s="22" t="n">
        <x:v>83</x:v>
      </x:c>
      <x:c r="E71" s="22" t="str">
        <x:v>20〜25km</x:v>
      </x:c>
      <x:c r="F71" s="22" t="str">
        <x:v>通常40〜70分</x:v>
      </x:c>
      <x:c r="G71" s="22" t="n">
        <x:v>4</x:v>
      </x:c>
      <x:c r="H71" s="22" t="n">
        <x:v>1</x:v>
      </x:c>
      <x:c r="I71" s="22" t="n">
        <x:v>1</x:v>
      </x:c>
      <x:c r="J71" s="22" t="str">
        <x:v>用途限定で有効</x:v>
      </x:c>
      <x:c r="K71" s="95" t="e">
        <x:f>HYPERLINK("https://www.google.com/maps/dir/?api=1&amp;destination=%E7%AF%A0%E5%B4%8E%E5%85%AC%E5%9C%92&amp;travelmode=driving","ナビ")</x:f>
      </x:c>
    </x:row>
    <x:row r="72">
      <x:c r="A72" s="22" t="str">
        <x:v>休日半日</x:v>
      </x:c>
      <x:c r="B72" s="22" t="n">
        <x:v>1</x:v>
      </x:c>
      <x:c r="C72" s="22" t="str">
        <x:v>大井ふ頭中央海浜公園</x:v>
      </x:c>
      <x:c r="D72" s="22" t="n">
        <x:v>90</x:v>
      </x:c>
      <x:c r="E72" s="22" t="str">
        <x:v>0〜10km</x:v>
      </x:c>
      <x:c r="F72" s="22" t="str">
        <x:v>通常20〜35分</x:v>
      </x:c>
      <x:c r="G72" s="22" t="n">
        <x:v>4</x:v>
      </x:c>
      <x:c r="H72" s="22" t="n">
        <x:v>1</x:v>
      </x:c>
      <x:c r="I72" s="22" t="n">
        <x:v>2</x:v>
      </x:c>
      <x:c r="J72" s="22" t="str">
        <x:v>条件が合えば有力</x:v>
      </x:c>
      <x:c r="K72" s="95" t="e">
        <x:f>HYPERLINK("https://www.google.com/maps/dir/?api=1&amp;destination=%E5%A4%A7%E4%BA%95%E3%81%B5%E9%A0%AD%E4%B8%AD%E5%A4%AE%E6%B5%B7%E6%B5%9C%E5%85%AC%E5%9C%92&amp;travelmode=driving","ナビ")</x:f>
      </x:c>
    </x:row>
    <x:row r="73">
      <x:c r="A73" s="22" t="str">
        <x:v>休日半日</x:v>
      </x:c>
      <x:c r="B73" s="22" t="n">
        <x:v>2</x:v>
      </x:c>
      <x:c r="C73" s="22" t="str">
        <x:v>大森ふるさとの浜辺公園</x:v>
      </x:c>
      <x:c r="D73" s="22" t="n">
        <x:v>88</x:v>
      </x:c>
      <x:c r="E73" s="22" t="str">
        <x:v>0〜10km</x:v>
      </x:c>
      <x:c r="F73" s="22" t="str">
        <x:v>通常15〜25分</x:v>
      </x:c>
      <x:c r="G73" s="22" t="n">
        <x:v>4</x:v>
      </x:c>
      <x:c r="H73" s="22" t="n">
        <x:v>1</x:v>
      </x:c>
      <x:c r="I73" s="22" t="n">
        <x:v>2</x:v>
      </x:c>
      <x:c r="J73" s="22" t="str">
        <x:v>条件が合えば有力</x:v>
      </x:c>
      <x:c r="K73" s="95" t="e">
        <x:f>HYPERLINK("https://www.google.com/maps/dir/?api=1&amp;destination=%E5%A4%A7%E6%A3%AE%E3%81%B5%E3%82%8B%E3%81%95%E3%81%A8%E3%81%AE%E6%B5%9C%E8%BE%BA%E5%85%AC%E5%9C%92&amp;travelmode=driving","ナビ")</x:f>
      </x:c>
    </x:row>
    <x:row r="74">
      <x:c r="A74" s="22" t="str">
        <x:v>休日半日</x:v>
      </x:c>
      <x:c r="B74" s="22" t="n">
        <x:v>3</x:v>
      </x:c>
      <x:c r="C74" s="22" t="str">
        <x:v>大師公園</x:v>
      </x:c>
      <x:c r="D74" s="22" t="n">
        <x:v>82</x:v>
      </x:c>
      <x:c r="E74" s="22" t="str">
        <x:v>0〜10km</x:v>
      </x:c>
      <x:c r="F74" s="22" t="str">
        <x:v>通常10〜30分</x:v>
      </x:c>
      <x:c r="G74" s="22" t="n">
        <x:v>3</x:v>
      </x:c>
      <x:c r="H74" s="22" t="n">
        <x:v>1</x:v>
      </x:c>
      <x:c r="I74" s="22" t="n">
        <x:v>1</x:v>
      </x:c>
      <x:c r="J74" s="22" t="str">
        <x:v>用途限定で有効</x:v>
      </x:c>
      <x:c r="K74" s="95" t="e">
        <x:f>HYPERLINK("https://www.google.com/maps/dir/?api=1&amp;destination=%E5%A4%A7%E5%B8%AB%E5%85%AC%E5%9C%92&amp;travelmode=driving","ナビ")</x:f>
      </x:c>
    </x:row>
    <x:row r="75">
      <x:c r="A75" s="22" t="str">
        <x:v>休日半日</x:v>
      </x:c>
      <x:c r="B75" s="22" t="n">
        <x:v>4</x:v>
      </x:c>
      <x:c r="C75" s="22" t="str">
        <x:v>東品川海上公園</x:v>
      </x:c>
      <x:c r="D75" s="22" t="n">
        <x:v>81</x:v>
      </x:c>
      <x:c r="E75" s="22" t="str">
        <x:v>0〜10km</x:v>
      </x:c>
      <x:c r="F75" s="22" t="str">
        <x:v>通常10〜30分</x:v>
      </x:c>
      <x:c r="G75" s="22" t="n">
        <x:v>4</x:v>
      </x:c>
      <x:c r="H75" s="22" t="n">
        <x:v>1</x:v>
      </x:c>
      <x:c r="I75" s="22" t="n">
        <x:v>1</x:v>
      </x:c>
      <x:c r="J75" s="22" t="str">
        <x:v>用途限定で有効</x:v>
      </x:c>
      <x:c r="K75" s="95" t="e">
        <x:f>HYPERLINK("https://www.google.com/maps/dir/?api=1&amp;destination=%E6%9D%B1%E5%93%81%E5%B7%9D%E6%B5%B7%E4%B8%8A%E5%85%AC%E5%9C%92&amp;travelmode=driving","ナビ")</x:f>
      </x:c>
    </x:row>
    <x:row r="76">
      <x:c r="A76" s="22" t="str">
        <x:v>休日半日</x:v>
      </x:c>
      <x:c r="B76" s="22" t="n">
        <x:v>5</x:v>
      </x:c>
      <x:c r="C76" s="22" t="str">
        <x:v>神代植物公園・深大寺</x:v>
      </x:c>
      <x:c r="D76" s="22" t="n">
        <x:v>80</x:v>
      </x:c>
      <x:c r="E76" s="22" t="str">
        <x:v>20〜25km</x:v>
      </x:c>
      <x:c r="F76" s="22" t="str">
        <x:v>通常40〜70分</x:v>
      </x:c>
      <x:c r="G76" s="22" t="n">
        <x:v>3</x:v>
      </x:c>
      <x:c r="H76" s="22" t="n">
        <x:v>2</x:v>
      </x:c>
      <x:c r="I76" s="22" t="n">
        <x:v>1</x:v>
      </x:c>
      <x:c r="J76" s="22" t="str">
        <x:v>用途限定で有効</x:v>
      </x:c>
      <x:c r="K76" s="95" t="e">
        <x:f>HYPERLINK("https://www.google.com/maps/dir/?api=1&amp;destination=%E7%A5%9E%E4%BB%A3%E6%A4%8D%E7%89%A9%E5%85%AC%E5%9C%92%E3%83%BB%E6%B7%B1%E5%A4%A7%E5%AF%BA&amp;travelmode=driving","ナビ")</x:f>
      </x:c>
    </x:row>
    <x:row r="77">
      <x:c r="A77" s="22" t="str">
        <x:v>休日半日</x:v>
      </x:c>
      <x:c r="B77" s="22" t="n">
        <x:v>6</x:v>
      </x:c>
      <x:c r="C77" s="22" t="str">
        <x:v>平和の森公園</x:v>
      </x:c>
      <x:c r="D77" s="22" t="n">
        <x:v>79</x:v>
      </x:c>
      <x:c r="E77" s="22" t="str">
        <x:v>0〜10km</x:v>
      </x:c>
      <x:c r="F77" s="22" t="str">
        <x:v>通常15〜25分</x:v>
      </x:c>
      <x:c r="G77" s="22" t="n">
        <x:v>4</x:v>
      </x:c>
      <x:c r="H77" s="22" t="n">
        <x:v>1</x:v>
      </x:c>
      <x:c r="I77" s="22" t="n">
        <x:v>1</x:v>
      </x:c>
      <x:c r="J77" s="22" t="str">
        <x:v>用途限定で有効</x:v>
      </x:c>
      <x:c r="K77" s="95" t="e">
        <x:f>HYPERLINK("https://www.google.com/maps/dir/?api=1&amp;destination=%E5%B9%B3%E5%92%8C%E3%81%AE%E6%A3%AE%E5%85%AC%E5%9C%92&amp;travelmode=driving","ナビ")</x:f>
      </x:c>
    </x:row>
    <x:row r="78">
      <x:c r="A78" s="22" t="str">
        <x:v>休日半日</x:v>
      </x:c>
      <x:c r="B78" s="22" t="n">
        <x:v>7</x:v>
      </x:c>
      <x:c r="C78" s="22" t="str">
        <x:v>東扇島西公園</x:v>
      </x:c>
      <x:c r="D78" s="22" t="n">
        <x:v>77</x:v>
      </x:c>
      <x:c r="E78" s="22" t="str">
        <x:v>10〜20km</x:v>
      </x:c>
      <x:c r="F78" s="22" t="str">
        <x:v>通常25〜50分</x:v>
      </x:c>
      <x:c r="G78" s="22" t="n">
        <x:v>5</x:v>
      </x:c>
      <x:c r="H78" s="22" t="n">
        <x:v>2</x:v>
      </x:c>
      <x:c r="I78" s="22" t="n">
        <x:v>3</x:v>
      </x:c>
      <x:c r="J78" s="22" t="str">
        <x:v>条件が合えば有力</x:v>
      </x:c>
      <x:c r="K78" s="95" t="e">
        <x:f>HYPERLINK("https://www.google.com/maps/dir/?api=1&amp;destination=%E6%9D%B1%E6%89%87%E5%B3%B6%E8%A5%BF%E5%85%AC%E5%9C%92&amp;travelmode=driving","ナビ")</x:f>
      </x:c>
    </x:row>
    <x:row r="79">
      <x:c r="A79" s="22" t="str">
        <x:v>休日半日</x:v>
      </x:c>
      <x:c r="B79" s="22" t="n">
        <x:v>8</x:v>
      </x:c>
      <x:c r="C79" s="22" t="str">
        <x:v>羽田空港 第1ターミナル展望デッキ</x:v>
      </x:c>
      <x:c r="D79" s="22" t="n">
        <x:v>75</x:v>
      </x:c>
      <x:c r="E79" s="22" t="str">
        <x:v>0〜10km</x:v>
      </x:c>
      <x:c r="F79" s="22" t="str">
        <x:v>通常20〜40分</x:v>
      </x:c>
      <x:c r="G79" s="22" t="n">
        <x:v>5</x:v>
      </x:c>
      <x:c r="H79" s="22" t="n">
        <x:v>4</x:v>
      </x:c>
      <x:c r="I79" s="22" t="n">
        <x:v>2</x:v>
      </x:c>
      <x:c r="J79" s="22" t="str">
        <x:v>条件が合えば有力</x:v>
      </x:c>
      <x:c r="K79" s="95" t="e">
        <x:f>HYPERLINK("https://www.google.com/maps/dir/?api=1&amp;destination=%E7%BE%BD%E7%94%B0%E7%A9%BA%E6%B8%AF%20%E7%AC%AC1%E3%82%BF%E3%83%BC%E3%83%9F%E3%83%8A%E3%83%AB%E5%B1%95%E6%9C%9B%E3%83%87%E3%83%83%E3%82%AD&amp;travelmode=driving","ナビ")</x:f>
      </x:c>
    </x:row>
    <x:row r="80">
      <x:c r="A80" s="22" t="str">
        <x:v>休日半日</x:v>
      </x:c>
      <x:c r="B80" s="22" t="n">
        <x:v>9</x:v>
      </x:c>
      <x:c r="C80" s="22" t="str">
        <x:v>羽田空港 第2ターミナル展望デッキ／FLIGHT DECK TOKYO</x:v>
      </x:c>
      <x:c r="D80" s="22" t="n">
        <x:v>75</x:v>
      </x:c>
      <x:c r="E80" s="22" t="str">
        <x:v>0〜10km</x:v>
      </x:c>
      <x:c r="F80" s="22" t="str">
        <x:v>通常25〜45分</x:v>
      </x:c>
      <x:c r="G80" s="22" t="n">
        <x:v>5</x:v>
      </x:c>
      <x:c r="H80" s="22" t="n">
        <x:v>5</x:v>
      </x:c>
      <x:c r="I80" s="22" t="n">
        <x:v>2</x:v>
      </x:c>
      <x:c r="J80" s="22" t="str">
        <x:v>条件が合えば有力</x:v>
      </x:c>
      <x:c r="K80" s="95" t="e">
        <x:f>HYPERLINK("https://www.google.com/maps/dir/?api=1&amp;destination=%E7%BE%BD%E7%94%B0%E7%A9%BA%E6%B8%AF%20%E7%AC%AC2%E3%82%BF%E3%83%BC%E3%83%9F%E3%83%8A%E3%83%AB%E5%B1%95%E6%9C%9B%E3%83%87%E3%83%83%E3%82%AD%EF%BC%8FFLIGHT%20DECK%20TOKYO&amp;travelmode=driving","ナビ")</x:f>
      </x:c>
    </x:row>
    <x:row r="81">
      <x:c r="A81" s="22" t="str">
        <x:v>休日半日</x:v>
      </x:c>
      <x:c r="B81" s="22" t="n">
        <x:v>10</x:v>
      </x:c>
      <x:c r="C81" s="22" t="str">
        <x:v>三溪園</x:v>
      </x:c>
      <x:c r="D81" s="22" t="n">
        <x:v>75</x:v>
      </x:c>
      <x:c r="E81" s="22" t="str">
        <x:v>20〜25km</x:v>
      </x:c>
      <x:c r="F81" s="22" t="str">
        <x:v>通常40〜70分</x:v>
      </x:c>
      <x:c r="G81" s="22" t="n">
        <x:v>1</x:v>
      </x:c>
      <x:c r="H81" s="22" t="n">
        <x:v>1</x:v>
      </x:c>
      <x:c r="I81" s="22" t="n">
        <x:v>1</x:v>
      </x:c>
      <x:c r="J81" s="22" t="str">
        <x:v>用途限定で有効</x:v>
      </x:c>
      <x:c r="K81" s="95" t="e">
        <x:f>HYPERLINK("https://www.google.com/maps/dir/?api=1&amp;destination=%E4%B8%89%E6%BA%AA%E5%9C%92&amp;travelmode=driving","ナビ")</x:f>
      </x:c>
    </x:row>
  </x:sheetData>
  <x:conditionalFormatting sqref="D2:D81">
    <x:cfRule type="dataBar" priority="1">
      <x:dataBar>
        <x:cfvo type="min"/>
        <x:cfvo type="max"/>
        <x:color rgb="FFA02B93"/>
      </x:dataBar>
      <x:extLst>
        <x:ext xmlns:x14="http://schemas.microsoft.com/office/spreadsheetml/2009/9/main" uri="{B025F937-C7B1-47D3-B67F-A62EFF666E3E}">
          <x14:id>{A6D20ABF-42A2-5577-B3F4-36EB31D6552F}</x14:id>
        </x:ext>
      </x:extLst>
    </x:cfRule>
  </x:conditionalFormatting>
  <x:pageMargins left="0.7" right="0.7" top="0.75" bottom="0.75" header="0.3" footer="0.3"/>
  <x:tableParts count="1">
    <x:tablePart xmlns:r="http://schemas.openxmlformats.org/officeDocument/2006/relationships" r:id="Rd48de115119848b4"/>
  </x:tableParts>
  <x:extLst>
    <x:ext xmlns:x14="http://schemas.microsoft.com/office/spreadsheetml/2009/9/main" xmlns:xm="http://schemas.microsoft.com/office/excel/2006/main" uri="{78C0D931-6437-407d-A8EE-F0AAD7539E65}">
      <x14:conditionalFormattings>
        <x14:conditionalFormatting>
          <x14:cfRule type="dataBar" priority="1" id="{A6D20ABF-42A2-5577-B3F4-36EB31D6552F}">
            <x14:dataBar gradient="1">
              <x14:cfvo type="min"/>
              <x14:cfvo type="max"/>
              <x14:fillColor rgb="FFA02B93"/>
            </x14:dataBar>
          </x14:cfRule>
          <xm:sqref>D2:D81</xm:sqref>
        </x14:conditionalFormatting>
      </x14:conditionalFormattings>
    </x:ext>
  </x:extLst>
</x:worksheet>
</file>

<file path=xl/worksheets/sheet16.xml><?xml version="1.0" encoding="utf-8"?>
<x:worksheet xmlns:x="http://schemas.openxmlformats.org/spreadsheetml/2006/main">
  <x:sheetFormatPr defaultRowHeight="15"/>
  <x:cols>
    <x:col min="1" max="1" width="9" hidden="0" customWidth="1"/>
    <x:col min="2" max="2" width="29" hidden="0" customWidth="1"/>
    <x:col min="3" max="3" width="20" hidden="0" customWidth="1"/>
    <x:col min="4" max="4" width="25" hidden="0" customWidth="1"/>
    <x:col min="5" max="5" width="12" hidden="0" customWidth="1"/>
    <x:col min="6" max="6" width="12" hidden="0" customWidth="1"/>
    <x:col min="7" max="7" width="18" hidden="0" customWidth="1"/>
    <x:col min="8" max="8" width="20" hidden="0" customWidth="1"/>
    <x:col min="9" max="9" width="10" hidden="0" customWidth="1"/>
    <x:col min="10" max="10" width="10" hidden="0" customWidth="1"/>
    <x:col min="11" max="11" width="10" hidden="0" customWidth="1"/>
    <x:col min="12" max="12" width="10" hidden="0" customWidth="1"/>
    <x:col min="13" max="13" width="12" hidden="0" customWidth="1"/>
    <x:col min="14" max="14" width="10"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2" hidden="0" customWidth="1"/>
    <x:col min="22" max="22" width="11" hidden="0" customWidth="1"/>
    <x:col min="23" max="23" width="12" hidden="0" customWidth="1"/>
    <x:col min="24" max="24" width="20" hidden="0" customWidth="1"/>
    <x:col min="25" max="25" width="22" hidden="0" customWidth="1"/>
    <x:col min="26" max="26" width="20" hidden="0" customWidth="1"/>
    <x:col min="27" max="27" width="44" hidden="0" customWidth="1"/>
    <x:col min="28" max="28" width="44" hidden="0" customWidth="1"/>
    <x:col min="29" max="29" width="25" hidden="0" customWidth="1"/>
    <x:col min="30" max="30" width="34" hidden="0" customWidth="1"/>
  </x:cols>
  <x:sheetData>
    <x:row r="1">
      <x:c r="A1" s="408" t="str">
        <x:v>ID</x:v>
      </x:c>
      <x:c r="B1" s="408" t="str">
        <x:v>名称</x:v>
      </x:c>
      <x:c r="C1" s="408" t="str">
        <x:v>エリア</x:v>
      </x:c>
      <x:c r="D1" s="408" t="str">
        <x:v>カテゴリ</x:v>
      </x:c>
      <x:c r="E1" s="408" t="str">
        <x:v>Googleマップ</x:v>
      </x:c>
      <x:c r="F1" s="408" t="str">
        <x:v>距離帯</x:v>
      </x:c>
      <x:c r="G1" s="408" t="str">
        <x:v>概算距離</x:v>
      </x:c>
      <x:c r="H1" s="408" t="str">
        <x:v>概算所要時間</x:v>
      </x:c>
      <x:c r="I1" s="408" t="str">
        <x:v>夜間適性</x:v>
      </x:c>
      <x:c r="J1" s="408" t="str">
        <x:v>穴場度</x:v>
      </x:c>
      <x:c r="K1" s="408" t="str">
        <x:v>雨天適性</x:v>
      </x:c>
      <x:c r="L1" s="408" t="str">
        <x:v>車内鑑賞</x:v>
      </x:c>
      <x:c r="M1" s="408" t="str">
        <x:v>駐車確実性</x:v>
      </x:c>
      <x:c r="N1" s="408" t="str">
        <x:v>閉場余裕</x:v>
      </x:c>
      <x:c r="O1" s="408" t="str">
        <x:v>平日夜90分</x:v>
      </x:c>
      <x:c r="P1" s="408" t="str">
        <x:v>深夜2時間</x:v>
      </x:c>
      <x:c r="Q1" s="408" t="str">
        <x:v>雨天</x:v>
      </x:c>
      <x:c r="R1" s="408" t="str">
        <x:v>飛行機</x:v>
      </x:c>
      <x:c r="S1" s="408" t="str">
        <x:v>海・港</x:v>
      </x:c>
      <x:c r="T1" s="408" t="str">
        <x:v>工場夜景</x:v>
      </x:c>
      <x:c r="U1" s="408" t="str">
        <x:v>静かな場所</x:v>
      </x:c>
      <x:c r="V1" s="408" t="str">
        <x:v>休日半日</x:v>
      </x:c>
      <x:c r="W1" s="408" t="str">
        <x:v>最終目的地力</x:v>
      </x:c>
      <x:c r="X1" s="408" t="str">
        <x:v>推奨用途</x:v>
      </x:c>
      <x:c r="Y1" s="408" t="str">
        <x:v>推奨到着</x:v>
      </x:c>
      <x:c r="Z1" s="408" t="str">
        <x:v>一言判断</x:v>
      </x:c>
      <x:c r="AA1" s="408" t="str">
        <x:v>成立理由</x:v>
      </x:c>
      <x:c r="AB1" s="408" t="str">
        <x:v>注意事項</x:v>
      </x:c>
      <x:c r="AC1" s="408" t="str">
        <x:v>代替地点</x:v>
      </x:c>
      <x:c r="AD1" s="408" t="str">
        <x:v>組合せやすい経由地</x:v>
      </x:c>
      <x:c r="AE1" s="448" t="str">
        <x:v>路上短時間適性</x:v>
      </x:c>
      <x:c r="AF1" s="448" t="str">
        <x:v>路上合法性確度</x:v>
      </x:c>
    </x:row>
    <x:row r="2" ht="42" customHeight="1">
      <x:c r="A2" s="27" t="str">
        <x:v>D002</x:v>
      </x:c>
      <x:c r="B2" s="27" t="str">
        <x:v>京浜島つばさ公園</x:v>
      </x:c>
      <x:c r="C2" s="27" t="str">
        <x:v>大田区・京浜島</x:v>
      </x:c>
      <x:c r="D2" s="27" t="str">
        <x:v>飛行機・工業島</x:v>
      </x:c>
      <x:c r="E2" s="48" t="e">
        <x:f>HYPERLINK("https://www.google.com/maps/dir/?api=1&amp;destination=%E4%BA%AC%E6%B5%9C%E5%B3%B6%E3%81%A4%E3%81%B0%E3%81%95%E5%85%AC%E5%9C%92&amp;travelmode=driving","ナビ開始")</x:f>
      </x:c>
      <x:c r="F2" s="27" t="str">
        <x:v>0〜10km</x:v>
      </x:c>
      <x:c r="G2" s="27" t="str">
        <x:v>概ね0〜10km</x:v>
      </x:c>
      <x:c r="H2" s="27" t="str">
        <x:v>通常10〜30分</x:v>
      </x:c>
      <x:c r="I2" s="27" t="n">
        <x:v>5</x:v>
      </x:c>
      <x:c r="J2" s="27" t="n">
        <x:v>4</x:v>
      </x:c>
      <x:c r="K2" s="27" t="n">
        <x:v>2</x:v>
      </x:c>
      <x:c r="L2" s="27" t="n">
        <x:v>4</x:v>
      </x:c>
      <x:c r="M2" s="27" t="n">
        <x:v>4</x:v>
      </x:c>
      <x:c r="N2" s="27" t="n">
        <x:v>5</x:v>
      </x:c>
      <x:c r="O2" s="27" t="n">
        <x:v>93</x:v>
      </x:c>
      <x:c r="P2" s="27" t="n">
        <x:v>93</x:v>
      </x:c>
      <x:c r="Q2" s="27" t="n">
        <x:v>71</x:v>
      </x:c>
      <x:c r="R2" s="27" t="n">
        <x:v>94</x:v>
      </x:c>
      <x:c r="S2" s="27" t="n">
        <x:v>66</x:v>
      </x:c>
      <x:c r="T2" s="27" t="n">
        <x:v>95</x:v>
      </x:c>
      <x:c r="U2" s="27" t="n">
        <x:v>65</x:v>
      </x:c>
      <x:c r="V2" s="27" t="n">
        <x:v>64</x:v>
      </x:c>
      <x:c r="W2" s="27" t="n">
        <x:v>80</x:v>
      </x:c>
      <x:c r="X2" s="27" t="str">
        <x:v>工場夜景／飛行機</x:v>
      </x:c>
      <x:c r="Y2" s="27" t="str">
        <x:v>出発前に閉場確認</x:v>
      </x:c>
      <x:c r="Z2" s="27" t="str">
        <x:v>強い候補</x:v>
      </x:c>
      <x:c r="AA2" s="27" t="str">
        <x:v>滑走路を横から眺め、工業島の行き止まり感と航空機の迫力を味わえる。</x:v>
      </x:c>
      <x:c r="AB2" s="27" t="str">
        <x:v>台数が少ない。満車時の路上待機・路上駐車は禁止。</x:v>
      </x:c>
      <x:c r="AC2" s="27" t="str">
        <x:v>城南島海浜公園</x:v>
      </x:c>
      <x:c r="AD2" s="27" t="str">
        <x:v>京浜島つばさ公園／羽田空港 第3ターミナル展望デッキ</x:v>
      </x:c>
      <x:c r="AE2" t="n">
        <x:v>0</x:v>
      </x:c>
      <x:c r="AF2" t="str">
        <x:v>-</x:v>
      </x:c>
    </x:row>
    <x:row r="3" ht="42" customHeight="1">
      <x:c r="A3" s="27" t="str">
        <x:v>D245</x:v>
      </x:c>
      <x:c r="B3" s="27" t="str">
        <x:v>HANEDA INNOVATION CITY 足湯スカイデッキ</x:v>
      </x:c>
      <x:c r="C3" s="27" t="str">
        <x:v>大田区・天空橋</x:v>
      </x:c>
      <x:c r="D3" s="27" t="str">
        <x:v>足湯・飛行機・夜景</x:v>
      </x:c>
      <x:c r="E3" s="48" t="e">
        <x:f>HYPERLINK("https://www.google.com/maps/dir/?api=1&amp;destination=HANEDA%20INNOVATION%20CITY%20%E8%B6%B3%E6%B9%AF%E3%82%B9%E3%82%AB%E3%82%A4%E3%83%87%E3%83%83%E3%82%AD&amp;travelmode=driving","ナビ開始")</x:f>
      </x:c>
      <x:c r="F3" s="27" t="str">
        <x:v>0〜10km</x:v>
      </x:c>
      <x:c r="G3" s="27" t="str">
        <x:v>蒲田から約6〜9km</x:v>
      </x:c>
      <x:c r="H3" s="27" t="str">
        <x:v>通常15〜30分</x:v>
      </x:c>
      <x:c r="I3" s="27" t="n">
        <x:v>5</x:v>
      </x:c>
      <x:c r="J3" s="27" t="n">
        <x:v>3</x:v>
      </x:c>
      <x:c r="K3" s="27" t="n">
        <x:v>3</x:v>
      </x:c>
      <x:c r="L3" s="27" t="n">
        <x:v>3</x:v>
      </x:c>
      <x:c r="M3" s="27" t="n">
        <x:v>5</x:v>
      </x:c>
      <x:c r="N3" s="27" t="n">
        <x:v>5</x:v>
      </x:c>
      <x:c r="O3" s="27" t="n">
        <x:v>92</x:v>
      </x:c>
      <x:c r="P3" s="27" t="n">
        <x:v>94</x:v>
      </x:c>
      <x:c r="Q3" s="27" t="n">
        <x:v>78</x:v>
      </x:c>
      <x:c r="R3" s="27" t="n">
        <x:v>94</x:v>
      </x:c>
      <x:c r="S3" s="27" t="n">
        <x:v>66</x:v>
      </x:c>
      <x:c r="T3" s="27" t="n">
        <x:v>64</x:v>
      </x:c>
      <x:c r="U3" s="27" t="n">
        <x:v>64</x:v>
      </x:c>
      <x:c r="V3" s="27" t="n">
        <x:v>66</x:v>
      </x:c>
      <x:c r="W3" s="27" t="n">
        <x:v>78</x:v>
      </x:c>
      <x:c r="X3" s="27" t="str">
        <x:v>深夜2時間／飛行機</x:v>
      </x:c>
      <x:c r="Y3" s="27" t="str">
        <x:v>出発前に閉場確認</x:v>
      </x:c>
      <x:c r="Z3" s="27" t="str">
        <x:v>条件が合えば有力</x:v>
      </x:c>
      <x:c r="AA3" s="27" t="str">
        <x:v>無料の足湯に浸かりながら飛行機を眺められ、短時間でも『出かけた満足感』が非常に高い。</x:v>
      </x:c>
      <x:c r="AB3" s="27" t="str">
        <x:v>貸切利用時は入場不可。食事は禁止。深夜帯は静粛にし、P2は営業時間外出庫不可。</x:v>
      </x:c>
      <x:c r="AC3" s="27" t="str">
        <x:v>羽田空港 第3ターミナル展望デッキ</x:v>
      </x:c>
      <x:c r="AD3" s="27" t="str">
        <x:v>ソラムナード羽田緑地／森ケ崎公園</x:v>
      </x:c>
      <x:c r="AE3" t="n">
        <x:v>0</x:v>
      </x:c>
      <x:c r="AF3" t="str">
        <x:v>-</x:v>
      </x:c>
    </x:row>
    <x:row r="4" ht="42" customHeight="1">
      <x:c r="A4" s="27" t="str">
        <x:v>D146</x:v>
      </x:c>
      <x:c r="B4" s="27" t="str">
        <x:v>東扇島西公園</x:v>
      </x:c>
      <x:c r="C4" s="27" t="str">
        <x:v>川崎市・東扇島</x:v>
      </x:c>
      <x:c r="D4" s="27" t="str">
        <x:v>港・行き止まり・釣り</x:v>
      </x:c>
      <x:c r="E4" s="48" t="e">
        <x:f>HYPERLINK("https://www.google.com/maps/dir/?api=1&amp;destination=%E6%9D%B1%E6%89%87%E5%B3%B6%E8%A5%BF%E5%85%AC%E5%9C%92&amp;travelmode=driving","ナビ開始")</x:f>
      </x:c>
      <x:c r="F4" s="27" t="str">
        <x:v>10〜20km</x:v>
      </x:c>
      <x:c r="G4" s="27" t="str">
        <x:v>概ね10〜20km</x:v>
      </x:c>
      <x:c r="H4" s="27" t="str">
        <x:v>通常25〜50分</x:v>
      </x:c>
      <x:c r="I4" s="27" t="n">
        <x:v>5</x:v>
      </x:c>
      <x:c r="J4" s="27" t="n">
        <x:v>4</x:v>
      </x:c>
      <x:c r="K4" s="27" t="n">
        <x:v>2</x:v>
      </x:c>
      <x:c r="L4" s="27" t="n">
        <x:v>3</x:v>
      </x:c>
      <x:c r="M4" s="27" t="n">
        <x:v>5</x:v>
      </x:c>
      <x:c r="N4" s="27" t="n">
        <x:v>5</x:v>
      </x:c>
      <x:c r="O4" s="27" t="n">
        <x:v>89</x:v>
      </x:c>
      <x:c r="P4" s="27" t="n">
        <x:v>92</x:v>
      </x:c>
      <x:c r="Q4" s="27" t="n">
        <x:v>70</x:v>
      </x:c>
      <x:c r="R4" s="27" t="n">
        <x:v>63</x:v>
      </x:c>
      <x:c r="S4" s="27" t="n">
        <x:v>92</x:v>
      </x:c>
      <x:c r="T4" s="27" t="n">
        <x:v>61</x:v>
      </x:c>
      <x:c r="U4" s="27" t="n">
        <x:v>64</x:v>
      </x:c>
      <x:c r="V4" s="27" t="n">
        <x:v>65</x:v>
      </x:c>
      <x:c r="W4" s="27" t="n">
        <x:v>76</x:v>
      </x:c>
      <x:c r="X4" s="27" t="str">
        <x:v>深夜2時間／海・港</x:v>
      </x:c>
      <x:c r="Y4" s="27" t="str">
        <x:v>出発前に閉場確認</x:v>
      </x:c>
      <x:c r="Z4" s="27" t="str">
        <x:v>条件が合えば有力</x:v>
      </x:c>
      <x:c r="AA4" s="27" t="str">
        <x:v>東扇島の西端まで走り切り、東京湾・船舶・工業港湾を眺める行き止まり型Ending。</x:v>
      </x:c>
      <x:c r="AB4" s="27" t="str">
        <x:v>土日祝・釣り時間帯は混雑。路上駐車・アイドリング禁止。臨時閉鎖を当日確認。</x:v>
      </x:c>
      <x:c r="AC4" s="27" t="str">
        <x:v>城南島海浜公園</x:v>
      </x:c>
      <x:c r="AD4" s="27" t="str">
        <x:v>潮風公園／晴海ふ頭公園</x:v>
      </x:c>
      <x:c r="AE4" t="n">
        <x:v>0</x:v>
      </x:c>
      <x:c r="AF4" t="str">
        <x:v>-</x:v>
      </x:c>
    </x:row>
    <x:row r="5" ht="42" customHeight="1">
      <x:c r="A5" s="27" t="str">
        <x:v>D222</x:v>
      </x:c>
      <x:c r="B5" s="27" t="str">
        <x:v>東品川海上公園</x:v>
      </x:c>
      <x:c r="C5" s="27" t="str">
        <x:v>東京都品川区</x:v>
      </x:c>
      <x:c r="D5" s="27" t="str">
        <x:v>運河・屋上庭園・Story</x:v>
      </x:c>
      <x:c r="E5" s="48" t="e">
        <x:f>HYPERLINK("https://www.google.com/maps/dir/?api=1&amp;destination=%E6%9D%B1%E5%93%81%E5%B7%9D%E6%B5%B7%E4%B8%8A%E5%85%AC%E5%9C%92&amp;travelmode=driving","ナビ開始")</x:f>
      </x:c>
      <x:c r="F5" s="27" t="str">
        <x:v>0〜10km</x:v>
      </x:c>
      <x:c r="G5" s="27" t="str">
        <x:v>概ね0〜10km</x:v>
      </x:c>
      <x:c r="H5" s="27" t="str">
        <x:v>通常10〜30分</x:v>
      </x:c>
      <x:c r="I5" s="27" t="n">
        <x:v>4</x:v>
      </x:c>
      <x:c r="J5" s="27" t="n">
        <x:v>3</x:v>
      </x:c>
      <x:c r="K5" s="27" t="n">
        <x:v>1</x:v>
      </x:c>
      <x:c r="L5" s="27" t="n">
        <x:v>1</x:v>
      </x:c>
      <x:c r="M5" s="27" t="n">
        <x:v>5</x:v>
      </x:c>
      <x:c r="N5" s="27" t="n">
        <x:v>5</x:v>
      </x:c>
      <x:c r="O5" s="27" t="n">
        <x:v>83</x:v>
      </x:c>
      <x:c r="P5" s="27" t="n">
        <x:v>84</x:v>
      </x:c>
      <x:c r="Q5" s="27" t="n">
        <x:v>60</x:v>
      </x:c>
      <x:c r="R5" s="27" t="n">
        <x:v>59</x:v>
      </x:c>
      <x:c r="S5" s="27" t="n">
        <x:v>86</x:v>
      </x:c>
      <x:c r="T5" s="27" t="n">
        <x:v>56</x:v>
      </x:c>
      <x:c r="U5" s="27" t="n">
        <x:v>90</x:v>
      </x:c>
      <x:c r="V5" s="27" t="n">
        <x:v>78</x:v>
      </x:c>
      <x:c r="W5" s="27" t="n">
        <x:v>76</x:v>
      </x:c>
      <x:c r="X5" s="27" t="str">
        <x:v>静かな場所／海・港</x:v>
      </x:c>
      <x:c r="Y5" s="27" t="str">
        <x:v>出発前に閉場確認</x:v>
      </x:c>
      <x:c r="Z5" s="27" t="str">
        <x:v>条件が合えば有力</x:v>
      </x:c>
      <x:c r="AA5" s="27" t="str">
        <x:v>目黒川が天王洲南運河へ注ぐ河口で、運河、橋、ポンプ場屋上庭園、ミッフィー花壇を短時間で巡れる。</x:v>
      </x:c>
      <x:c r="AB5" s="27" t="str">
        <x:v>専用駐車場はない。必ず合法な時間貸し駐車場を利用し、周辺道路での乗降・待機をしない。Park-PFI工事確認。</x:v>
      </x:c>
      <x:c r="AC5" s="27" t="str">
        <x:v>羽田空港 第3ターミナル展望デッキ</x:v>
      </x:c>
      <x:c r="AD5" s="27" t="str">
        <x:v>城南島海浜公園／潮風公園</x:v>
      </x:c>
      <x:c r="AE5" t="n">
        <x:v>0</x:v>
      </x:c>
      <x:c r="AF5" t="str">
        <x:v>-</x:v>
      </x:c>
    </x:row>
    <x:row r="6" ht="42" customHeight="1">
      <x:c r="A6" s="27" t="str">
        <x:v>D246</x:v>
      </x:c>
      <x:c r="B6" s="27" t="str">
        <x:v>羽田空港 第1ターミナル展望デッキ</x:v>
      </x:c>
      <x:c r="C6" s="27" t="str">
        <x:v>大田区・羽田空港</x:v>
      </x:c>
      <x:c r="D6" s="27" t="str">
        <x:v>飛行機・国内線・空港</x:v>
      </x:c>
      <x:c r="E6" s="48" t="e">
        <x:f>HYPERLINK("https://www.google.com/maps/dir/?api=1&amp;destination=%E7%BE%BD%E7%94%B0%E7%A9%BA%E6%B8%AF%20%E7%AC%AC1%E3%82%BF%E3%83%BC%E3%83%9F%E3%83%8A%E3%83%AB%E5%B1%95%E6%9C%9B%E3%83%87%E3%83%83%E3%82%AD&amp;travelmode=driving","ナビ開始")</x:f>
      </x:c>
      <x:c r="F6" s="27" t="str">
        <x:v>0〜10km</x:v>
      </x:c>
      <x:c r="G6" s="27" t="str">
        <x:v>蒲田から約9〜13km</x:v>
      </x:c>
      <x:c r="H6" s="27" t="str">
        <x:v>通常20〜40分</x:v>
      </x:c>
      <x:c r="I6" s="27" t="n">
        <x:v>5</x:v>
      </x:c>
      <x:c r="J6" s="27" t="n">
        <x:v>2</x:v>
      </x:c>
      <x:c r="K6" s="27" t="n">
        <x:v>4</x:v>
      </x:c>
      <x:c r="L6" s="27" t="n">
        <x:v>2</x:v>
      </x:c>
      <x:c r="M6" s="27" t="n">
        <x:v>4</x:v>
      </x:c>
      <x:c r="N6" s="27" t="n">
        <x:v>4</x:v>
      </x:c>
      <x:c r="O6" s="27" t="n">
        <x:v>82</x:v>
      </x:c>
      <x:c r="P6" s="27" t="n">
        <x:v>83</x:v>
      </x:c>
      <x:c r="Q6" s="27" t="n">
        <x:v>82</x:v>
      </x:c>
      <x:c r="R6" s="27" t="n">
        <x:v>88</x:v>
      </x:c>
      <x:c r="S6" s="27" t="n">
        <x:v>88</x:v>
      </x:c>
      <x:c r="T6" s="27" t="n">
        <x:v>59</x:v>
      </x:c>
      <x:c r="U6" s="27" t="n">
        <x:v>57</x:v>
      </x:c>
      <x:c r="V6" s="27" t="n">
        <x:v>63</x:v>
      </x:c>
      <x:c r="W6" s="27" t="n">
        <x:v>76</x:v>
      </x:c>
      <x:c r="X6" s="27" t="str">
        <x:v>飛行機／海・港</x:v>
      </x:c>
      <x:c r="Y6" s="27" t="str">
        <x:v>出発前に閉場確認</x:v>
      </x:c>
      <x:c r="Z6" s="27" t="str">
        <x:v>条件が合えば有力</x:v>
      </x:c>
      <x:c r="AA6" s="27" t="str">
        <x:v>JAL系の国内線機材や滑走路運用を見ながら、空港飲食と組み合わせられる雨天対応の近距離Ending。</x:v>
      </x:c>
      <x:c r="AB6" s="27" t="str">
        <x:v>悪天候・保安上の閉鎖あり。多客期5:30～20:00は駐車場が数時間待ちになる場合がある。</x:v>
      </x:c>
      <x:c r="AC6" s="27" t="str">
        <x:v>羽田空港 第2ターミナル展望デッキ／FLIGHT DECK TOKYO</x:v>
      </x:c>
      <x:c r="AD6" s="27" t="str">
        <x:v>羽田空港 第3ターミナル展望デッキ／城南島海浜公園</x:v>
      </x:c>
      <x:c r="AE6" t="n">
        <x:v>0</x:v>
      </x:c>
      <x:c r="AF6" t="str">
        <x:v>-</x:v>
      </x:c>
    </x:row>
    <x:row r="7" ht="42" customHeight="1">
      <x:c r="A7" s="27" t="str">
        <x:v>D269</x:v>
      </x:c>
      <x:c r="B7" s="27" t="str">
        <x:v>東京ミッドタウン／ミッドタウン・ガーデン</x:v>
      </x:c>
      <x:c r="C7" s="27" t="str">
        <x:v>港区・赤坂</x:v>
      </x:c>
      <x:c r="D7" s="27" t="str">
        <x:v>現代建築・庭園・美術・雨天</x:v>
      </x:c>
      <x:c r="E7" s="48" t="e">
        <x:f>HYPERLINK("https://www.google.com/maps/dir/?api=1&amp;destination=%E6%9D%B1%E4%BA%AC%E3%83%9F%E3%83%83%E3%83%89%E3%82%BF%E3%82%A6%E3%83%B3%EF%BC%8F%E3%83%9F%E3%83%83%E3%83%89%E3%82%BF%E3%82%A6%E3%83%B3%E3%83%BB%E3%82%AC%E3%83%BC%E3%83%87%E3%83%B3&amp;travelmode=driving","ナビ開始")</x:f>
      </x:c>
      <x:c r="F7" s="27" t="str">
        <x:v>10〜20km</x:v>
      </x:c>
      <x:c r="G7" s="27" t="str">
        <x:v>蒲田から約15〜19km</x:v>
      </x:c>
      <x:c r="H7" s="27" t="str">
        <x:v>通常35〜55分</x:v>
      </x:c>
      <x:c r="I7" s="27" t="n">
        <x:v>5</x:v>
      </x:c>
      <x:c r="J7" s="27" t="n">
        <x:v>1</x:v>
      </x:c>
      <x:c r="K7" s="27" t="n">
        <x:v>5</x:v>
      </x:c>
      <x:c r="L7" s="27" t="n">
        <x:v>2</x:v>
      </x:c>
      <x:c r="M7" s="27" t="n">
        <x:v>5</x:v>
      </x:c>
      <x:c r="N7" s="27" t="n">
        <x:v>5</x:v>
      </x:c>
      <x:c r="O7" s="27" t="n">
        <x:v>81</x:v>
      </x:c>
      <x:c r="P7" s="27" t="n">
        <x:v>87</x:v>
      </x:c>
      <x:c r="Q7" s="27" t="n">
        <x:v>83</x:v>
      </x:c>
      <x:c r="R7" s="27" t="n">
        <x:v>58</x:v>
      </x:c>
      <x:c r="S7" s="27" t="n">
        <x:v>59</x:v>
      </x:c>
      <x:c r="T7" s="27" t="n">
        <x:v>59</x:v>
      </x:c>
      <x:c r="U7" s="27" t="n">
        <x:v>80</x:v>
      </x:c>
      <x:c r="V7" s="27" t="n">
        <x:v>90</x:v>
      </x:c>
      <x:c r="W7" s="27" t="n">
        <x:v>76</x:v>
      </x:c>
      <x:c r="X7" s="27" t="str">
        <x:v>休日半日／深夜2時間</x:v>
      </x:c>
      <x:c r="Y7" s="27" t="str">
        <x:v>出発前に閉場確認</x:v>
      </x:c>
      <x:c r="Z7" s="27" t="str">
        <x:v>条件が合えば有力</x:v>
      </x:c>
      <x:c r="AA7" s="27" t="str">
        <x:v>地下駐車から建築、庭園、美術館、飲食へ切り替えられ、天候と時間に合わせて滞在内容を調整しやすい。</x:v>
      </x:c>
      <x:c r="AB7" s="27" t="str">
        <x:v>イベント設営や季節催事で庭園動線が変わる。美術館・店舗の休館日を個別確認。</x:v>
      </x:c>
      <x:c r="AC7" s="27" t="str">
        <x:v>六本木ヒルズ 東京シティビュー</x:v>
      </x:c>
      <x:c r="AD7" s="27" t="str">
        <x:v>東京タワー／有栖川宮記念公園</x:v>
      </x:c>
      <x:c r="AE7" t="n">
        <x:v>0</x:v>
      </x:c>
      <x:c r="AF7" t="str">
        <x:v>-</x:v>
      </x:c>
    </x:row>
    <x:row r="8" ht="42" customHeight="1">
      <x:c r="A8" s="27" t="str">
        <x:v>D023</x:v>
      </x:c>
      <x:c r="B8" s="27" t="str">
        <x:v>晴海ふ頭公園</x:v>
      </x:c>
      <x:c r="C8" s="27" t="str">
        <x:v>中央区・晴海</x:v>
      </x:c>
      <x:c r="D8" s="27" t="str">
        <x:v>港・都市夜景・Story</x:v>
      </x:c>
      <x:c r="E8" s="48" t="e">
        <x:f>HYPERLINK("https://www.google.com/maps/dir/?api=1&amp;destination=%E6%99%B4%E6%B5%B7%E3%81%B5%E9%A0%AD%E5%85%AC%E5%9C%92&amp;travelmode=driving","ナビ開始")</x:f>
      </x:c>
      <x:c r="F8" s="27" t="str">
        <x:v>10〜20km</x:v>
      </x:c>
      <x:c r="G8" s="27" t="str">
        <x:v>概ね10〜20km</x:v>
      </x:c>
      <x:c r="H8" s="27" t="str">
        <x:v>通常25〜50分</x:v>
      </x:c>
      <x:c r="I8" s="27" t="n">
        <x:v>5</x:v>
      </x:c>
      <x:c r="J8" s="27" t="n">
        <x:v>4</x:v>
      </x:c>
      <x:c r="K8" s="27" t="n">
        <x:v>2</x:v>
      </x:c>
      <x:c r="L8" s="27" t="n">
        <x:v>3</x:v>
      </x:c>
      <x:c r="M8" s="27" t="n">
        <x:v>4</x:v>
      </x:c>
      <x:c r="N8" s="27" t="n">
        <x:v>5</x:v>
      </x:c>
      <x:c r="O8" s="27" t="n">
        <x:v>86</x:v>
      </x:c>
      <x:c r="P8" s="27" t="n">
        <x:v>88</x:v>
      </x:c>
      <x:c r="Q8" s="27" t="n">
        <x:v>66</x:v>
      </x:c>
      <x:c r="R8" s="27" t="n">
        <x:v>60</x:v>
      </x:c>
      <x:c r="S8" s="27" t="n">
        <x:v>89</x:v>
      </x:c>
      <x:c r="T8" s="27" t="n">
        <x:v>58</x:v>
      </x:c>
      <x:c r="U8" s="27" t="n">
        <x:v>61</x:v>
      </x:c>
      <x:c r="V8" s="27" t="n">
        <x:v>78</x:v>
      </x:c>
      <x:c r="W8" s="27" t="n">
        <x:v>75</x:v>
      </x:c>
      <x:c r="X8" s="27" t="str">
        <x:v>海・港／深夜2時間</x:v>
      </x:c>
      <x:c r="Y8" s="27" t="str">
        <x:v>出発前に閉場確認</x:v>
      </x:c>
      <x:c r="Z8" s="27" t="str">
        <x:v>条件が合えば有力</x:v>
      </x:c>
      <x:c r="AA8" s="27" t="str">
        <x:v>東京港とTOKYOモニュメントが重なる都市型Ending。</x:v>
      </x:c>
      <x:c r="AB8" s="27" t="str">
        <x:v>台数が少なくイベント時は入庫待ちに注意。</x:v>
      </x:c>
      <x:c r="AC8" s="27" t="str">
        <x:v>城南島海浜公園</x:v>
      </x:c>
      <x:c r="AD8" s="27" t="str">
        <x:v>潮風公園／晴海ふ頭公園</x:v>
      </x:c>
      <x:c r="AE8" t="n">
        <x:v>0</x:v>
      </x:c>
      <x:c r="AF8" t="str">
        <x:v>-</x:v>
      </x:c>
    </x:row>
    <x:row r="9" ht="42" customHeight="1">
      <x:c r="A9" s="27" t="str">
        <x:v>D001</x:v>
      </x:c>
      <x:c r="B9" s="27" t="str">
        <x:v>城南島海浜公園</x:v>
      </x:c>
      <x:c r="C9" s="27" t="str">
        <x:v>大田区・城南島</x:v>
      </x:c>
      <x:c r="D9" s="27" t="str">
        <x:v>飛行機・海・港</x:v>
      </x:c>
      <x:c r="E9" s="48" t="e">
        <x:f>HYPERLINK("https://www.google.com/maps/dir/?api=1&amp;destination=%E5%9F%8E%E5%8D%97%E5%B3%B6%E6%B5%B7%E6%B5%9C%E5%85%AC%E5%9C%92&amp;travelmode=driving","ナビ開始")</x:f>
      </x:c>
      <x:c r="F9" s="27" t="str">
        <x:v>0〜10km</x:v>
      </x:c>
      <x:c r="G9" s="27" t="str">
        <x:v>概ね0〜10km</x:v>
      </x:c>
      <x:c r="H9" s="27" t="str">
        <x:v>通常10〜30分</x:v>
      </x:c>
      <x:c r="I9" s="27" t="n">
        <x:v>4</x:v>
      </x:c>
      <x:c r="J9" s="27" t="n">
        <x:v>4</x:v>
      </x:c>
      <x:c r="K9" s="27" t="n">
        <x:v>1</x:v>
      </x:c>
      <x:c r="L9" s="27" t="n">
        <x:v>4</x:v>
      </x:c>
      <x:c r="M9" s="27" t="n">
        <x:v>4</x:v>
      </x:c>
      <x:c r="N9" s="27" t="n">
        <x:v>3</x:v>
      </x:c>
      <x:c r="O9" s="27" t="n">
        <x:v>82</x:v>
      </x:c>
      <x:c r="P9" s="27" t="n">
        <x:v>79</x:v>
      </x:c>
      <x:c r="Q9" s="27" t="n">
        <x:v>60</x:v>
      </x:c>
      <x:c r="R9" s="27" t="n">
        <x:v>91</x:v>
      </x:c>
      <x:c r="S9" s="27" t="n">
        <x:v>90</x:v>
      </x:c>
      <x:c r="T9" s="27" t="n">
        <x:v>59</x:v>
      </x:c>
      <x:c r="U9" s="27" t="n">
        <x:v>63</x:v>
      </x:c>
      <x:c r="V9" s="27" t="n">
        <x:v>61</x:v>
      </x:c>
      <x:c r="W9" s="27" t="n">
        <x:v>74</x:v>
      </x:c>
      <x:c r="X9" s="27" t="str">
        <x:v>飛行機／海・港</x:v>
      </x:c>
      <x:c r="Y9" s="27" t="str">
        <x:v>出発前に閉場確認</x:v>
      </x:c>
      <x:c r="Z9" s="27" t="str">
        <x:v>条件が合えば有力</x:v>
      </x:c>
      <x:c r="AA9" s="27" t="str">
        <x:v>羽田の航空機、東京湾、コンテナ港を同時に味わえる大田区起点の基準Ending。</x:v>
      </x:c>
      <x:c r="AB9" s="27" t="str">
        <x:v>21時以降は入出庫不可。臨時閉鎖と高さ制限を当日確認。</x:v>
      </x:c>
      <x:c r="AC9" s="27" t="str">
        <x:v>城南島海浜公園</x:v>
      </x:c>
      <x:c r="AD9" s="27" t="str">
        <x:v>京浜島つばさ公園／羽田空港 第3ターミナル展望デッキ</x:v>
      </x:c>
      <x:c r="AE9" t="n">
        <x:v>0</x:v>
      </x:c>
      <x:c r="AF9" t="str">
        <x:v>-</x:v>
      </x:c>
    </x:row>
    <x:row r="10" ht="42" customHeight="1">
      <x:c r="A10" s="27" t="str">
        <x:v>D009</x:v>
      </x:c>
      <x:c r="B10" s="27" t="str">
        <x:v>川崎マリエン</x:v>
      </x:c>
      <x:c r="C10" s="27" t="str">
        <x:v>川崎市・東扇島</x:v>
      </x:c>
      <x:c r="D10" s="27" t="str">
        <x:v>工場夜景・展望</x:v>
      </x:c>
      <x:c r="E10" s="48" t="e">
        <x:f>HYPERLINK("https://www.google.com/maps/dir/?api=1&amp;destination=%E5%B7%9D%E5%B4%8E%E3%83%9E%E3%83%AA%E3%82%A8%E3%83%B3&amp;travelmode=driving","ナビ開始")</x:f>
      </x:c>
      <x:c r="F10" s="27" t="str">
        <x:v>10〜20km</x:v>
      </x:c>
      <x:c r="G10" s="27" t="str">
        <x:v>概ね10〜20km</x:v>
      </x:c>
      <x:c r="H10" s="27" t="str">
        <x:v>通常25〜50分</x:v>
      </x:c>
      <x:c r="I10" s="27" t="n">
        <x:v>5</x:v>
      </x:c>
      <x:c r="J10" s="27" t="n">
        <x:v>4</x:v>
      </x:c>
      <x:c r="K10" s="27" t="n">
        <x:v>2</x:v>
      </x:c>
      <x:c r="L10" s="27" t="n">
        <x:v>4</x:v>
      </x:c>
      <x:c r="M10" s="27" t="n">
        <x:v>4</x:v>
      </x:c>
      <x:c r="N10" s="27" t="n">
        <x:v>5</x:v>
      </x:c>
      <x:c r="O10" s="27" t="n">
        <x:v>88</x:v>
      </x:c>
      <x:c r="P10" s="27" t="n">
        <x:v>90</x:v>
      </x:c>
      <x:c r="Q10" s="27" t="n">
        <x:v>68</x:v>
      </x:c>
      <x:c r="R10" s="27" t="n">
        <x:v>62</x:v>
      </x:c>
      <x:c r="S10" s="27" t="n">
        <x:v>63</x:v>
      </x:c>
      <x:c r="T10" s="27" t="n">
        <x:v>92</x:v>
      </x:c>
      <x:c r="U10" s="27" t="n">
        <x:v>61</x:v>
      </x:c>
      <x:c r="V10" s="27" t="n">
        <x:v>62</x:v>
      </x:c>
      <x:c r="W10" s="27" t="n">
        <x:v>74</x:v>
      </x:c>
      <x:c r="X10" s="27" t="str">
        <x:v>工場夜景／深夜2時間</x:v>
      </x:c>
      <x:c r="Y10" s="27" t="str">
        <x:v>出発前に閉場確認</x:v>
      </x:c>
      <x:c r="Z10" s="27" t="str">
        <x:v>条件が合えば有力</x:v>
      </x:c>
      <x:c r="AA10" s="27" t="str">
        <x:v>川崎港、工場、大型船、東京湾を高所から360度眺められる主力Ending。</x:v>
      </x:c>
      <x:c r="AB10" s="27" t="str">
        <x:v>最終入場、休館日、工事情報を当日確認。</x:v>
      </x:c>
      <x:c r="AC10" s="27" t="str">
        <x:v>川崎マリエン</x:v>
      </x:c>
      <x:c r="AD10" s="27" t="str">
        <x:v>東扇島東公園／ちどり公園</x:v>
      </x:c>
      <x:c r="AE10" t="n">
        <x:v>0</x:v>
      </x:c>
      <x:c r="AF10" t="str">
        <x:v>-</x:v>
      </x:c>
    </x:row>
    <x:row r="11" ht="42" customHeight="1">
      <x:c r="A11" s="27" t="str">
        <x:v>D247</x:v>
      </x:c>
      <x:c r="B11" s="27" t="str">
        <x:v>羽田空港 第2ターミナル展望デッキ／FLIGHT DECK TOKYO</x:v>
      </x:c>
      <x:c r="C11" s="27" t="str">
        <x:v>大田区・羽田空港</x:v>
      </x:c>
      <x:c r="D11" s="27" t="str">
        <x:v>飛行機・屋内展望・雨天</x:v>
      </x:c>
      <x:c r="E11" s="48" t="e">
        <x:f>HYPERLINK("https://www.google.com/maps/dir/?api=1&amp;destination=%E7%BE%BD%E7%94%B0%E7%A9%BA%E6%B8%AF%20%E7%AC%AC2%E3%82%BF%E3%83%BC%E3%83%9F%E3%83%8A%E3%83%AB%E5%B1%95%E6%9C%9B%E3%83%87%E3%83%83%E3%82%AD%EF%BC%8FFLIGHT%20DECK%20TOKYO&amp;travelmode=driving","ナビ開始")</x:f>
      </x:c>
      <x:c r="F11" s="27" t="str">
        <x:v>0〜10km</x:v>
      </x:c>
      <x:c r="G11" s="27" t="str">
        <x:v>蒲田から約10〜14km</x:v>
      </x:c>
      <x:c r="H11" s="27" t="str">
        <x:v>通常25〜45分</x:v>
      </x:c>
      <x:c r="I11" s="27" t="n">
        <x:v>5</x:v>
      </x:c>
      <x:c r="J11" s="27" t="n">
        <x:v>2</x:v>
      </x:c>
      <x:c r="K11" s="27" t="n">
        <x:v>5</x:v>
      </x:c>
      <x:c r="L11" s="27" t="n">
        <x:v>2</x:v>
      </x:c>
      <x:c r="M11" s="27" t="n">
        <x:v>4</x:v>
      </x:c>
      <x:c r="N11" s="27" t="n">
        <x:v>5</x:v>
      </x:c>
      <x:c r="O11" s="27" t="n">
        <x:v>85</x:v>
      </x:c>
      <x:c r="P11" s="27" t="n">
        <x:v>87</x:v>
      </x:c>
      <x:c r="Q11" s="27" t="n">
        <x:v>84</x:v>
      </x:c>
      <x:c r="R11" s="27" t="n">
        <x:v>88</x:v>
      </x:c>
      <x:c r="S11" s="27" t="n">
        <x:v>60</x:v>
      </x:c>
      <x:c r="T11" s="27" t="n">
        <x:v>59</x:v>
      </x:c>
      <x:c r="U11" s="27" t="n">
        <x:v>57</x:v>
      </x:c>
      <x:c r="V11" s="27" t="n">
        <x:v>63</x:v>
      </x:c>
      <x:c r="W11" s="27" t="n">
        <x:v>74</x:v>
      </x:c>
      <x:c r="X11" s="27" t="str">
        <x:v>飛行機／深夜2時間</x:v>
      </x:c>
      <x:c r="Y11" s="27" t="str">
        <x:v>出発前に閉場確認</x:v>
      </x:c>
      <x:c r="Z11" s="27" t="str">
        <x:v>条件が合えば有力</x:v>
      </x:c>
      <x:c r="AA11" s="27" t="str">
        <x:v>屋外デッキと屋内展望フロアを使い分けられ、雨天や強風でも航空機を目的地化しやすい。</x:v>
      </x:c>
      <x:c r="AB11" s="27" t="str">
        <x:v>悪天候時は屋外閉鎖。多客期は駐車場混雑。雨天ルートでは屋内FLIGHT DECKを優先。</x:v>
      </x:c>
      <x:c r="AC11" s="27" t="str">
        <x:v>羽田空港 第1ターミナル展望デッキ</x:v>
      </x:c>
      <x:c r="AD11" s="27" t="str">
        <x:v>羽田空港 第3ターミナル展望デッキ／京浜島つばさ公園</x:v>
      </x:c>
      <x:c r="AE11" t="n">
        <x:v>0</x:v>
      </x:c>
      <x:c r="AF11" t="str">
        <x:v>-</x:v>
      </x:c>
    </x:row>
    <x:row r="12" ht="42" customHeight="1">
      <x:c r="A12" s="27" t="str">
        <x:v>D103</x:v>
      </x:c>
      <x:c r="B12" s="27" t="str">
        <x:v>夢見ヶ崎動物公園</x:v>
      </x:c>
      <x:c r="C12" s="27" t="str">
        <x:v>川崎市・幸区</x:v>
      </x:c>
      <x:c r="D12" s="27" t="str">
        <x:v>高台・動物公園・夜景</x:v>
      </x:c>
      <x:c r="E12" s="48" t="e">
        <x:f>HYPERLINK("https://www.google.com/maps/dir/?api=1&amp;destination=%E5%A4%A2%E8%A6%8B%E3%83%B6%E5%B4%8E%E5%8B%95%E7%89%A9%E5%85%AC%E5%9C%92&amp;travelmode=driving","ナビ開始")</x:f>
      </x:c>
      <x:c r="F12" s="27" t="str">
        <x:v>0〜10km</x:v>
      </x:c>
      <x:c r="G12" s="27" t="str">
        <x:v>概ね0〜10km</x:v>
      </x:c>
      <x:c r="H12" s="27" t="str">
        <x:v>通常10〜30分</x:v>
      </x:c>
      <x:c r="I12" s="27" t="n">
        <x:v>4</x:v>
      </x:c>
      <x:c r="J12" s="27" t="n">
        <x:v>4</x:v>
      </x:c>
      <x:c r="K12" s="27" t="n">
        <x:v>1</x:v>
      </x:c>
      <x:c r="L12" s="27" t="n">
        <x:v>3</x:v>
      </x:c>
      <x:c r="M12" s="27" t="n">
        <x:v>4</x:v>
      </x:c>
      <x:c r="N12" s="27" t="n">
        <x:v>5</x:v>
      </x:c>
      <x:c r="O12" s="27" t="n">
        <x:v>86</x:v>
      </x:c>
      <x:c r="P12" s="27" t="n">
        <x:v>85</x:v>
      </x:c>
      <x:c r="Q12" s="27" t="n">
        <x:v>62</x:v>
      </x:c>
      <x:c r="R12" s="27" t="n">
        <x:v>61</x:v>
      </x:c>
      <x:c r="S12" s="27" t="n">
        <x:v>60</x:v>
      </x:c>
      <x:c r="T12" s="27" t="n">
        <x:v>57</x:v>
      </x:c>
      <x:c r="U12" s="27" t="n">
        <x:v>91</x:v>
      </x:c>
      <x:c r="V12" s="27" t="n">
        <x:v>73</x:v>
      </x:c>
      <x:c r="W12" s="27" t="n">
        <x:v>73</x:v>
      </x:c>
      <x:c r="X12" s="27" t="str">
        <x:v>静かな場所／平日夜90分</x:v>
      </x:c>
      <x:c r="Y12" s="27" t="str">
        <x:v>出発前に閉場確認</x:v>
      </x:c>
      <x:c r="Z12" s="27" t="str">
        <x:v>条件が合えば有力</x:v>
      </x:c>
      <x:c r="AA12" s="27" t="str">
        <x:v>小高い丘の展望広場から住宅地の灯りを眺められ、近距離の静かな夜景Endingになる。</x:v>
      </x:c>
      <x:c r="AB12" s="27" t="str">
        <x:v>夜間は動物舎周辺へ近づかず、近隣住宅へ配慮。</x:v>
      </x:c>
      <x:c r="AC12" s="27" t="str">
        <x:v>平和の森公園</x:v>
      </x:c>
      <x:c r="AD12" s="27" t="str">
        <x:v>大森ふるさとの浜辺公園／森ケ崎公園</x:v>
      </x:c>
      <x:c r="AE12" t="n">
        <x:v>0</x:v>
      </x:c>
      <x:c r="AF12" t="str">
        <x:v>-</x:v>
      </x:c>
    </x:row>
    <x:row r="13" ht="42" customHeight="1">
      <x:c r="A13" s="27" t="str">
        <x:v>D104</x:v>
      </x:c>
      <x:c r="B13" s="27" t="str">
        <x:v>殿町緑地</x:v>
      </x:c>
      <x:c r="C13" s="27" t="str">
        <x:v>川崎市・川崎区</x:v>
      </x:c>
      <x:c r="D13" s="27" t="str">
        <x:v>多摩川・飛行機・河川敷</x:v>
      </x:c>
      <x:c r="E13" s="48" t="e">
        <x:f>HYPERLINK("https://www.google.com/maps/dir/?api=1&amp;destination=%E6%AE%BF%E7%94%BA%E7%B7%91%E5%9C%B0&amp;travelmode=driving","ナビ開始")</x:f>
      </x:c>
      <x:c r="F13" s="27" t="str">
        <x:v>0〜10km</x:v>
      </x:c>
      <x:c r="G13" s="27" t="str">
        <x:v>概ね0〜10km</x:v>
      </x:c>
      <x:c r="H13" s="27" t="str">
        <x:v>通常10〜30分</x:v>
      </x:c>
      <x:c r="I13" s="27" t="n">
        <x:v>4</x:v>
      </x:c>
      <x:c r="J13" s="27" t="n">
        <x:v>5</x:v>
      </x:c>
      <x:c r="K13" s="27" t="n">
        <x:v>1</x:v>
      </x:c>
      <x:c r="L13" s="27" t="n">
        <x:v>4</x:v>
      </x:c>
      <x:c r="M13" s="27" t="n">
        <x:v>4</x:v>
      </x:c>
      <x:c r="N13" s="27" t="n">
        <x:v>1</x:v>
      </x:c>
      <x:c r="O13" s="27" t="n">
        <x:v>78</x:v>
      </x:c>
      <x:c r="P13" s="27" t="n">
        <x:v>72</x:v>
      </x:c>
      <x:c r="Q13" s="27" t="n">
        <x:v>58</x:v>
      </x:c>
      <x:c r="R13" s="27" t="n">
        <x:v>92</x:v>
      </x:c>
      <x:c r="S13" s="27" t="n">
        <x:v>91</x:v>
      </x:c>
      <x:c r="T13" s="27" t="n">
        <x:v>59</x:v>
      </x:c>
      <x:c r="U13" s="27" t="n">
        <x:v>67</x:v>
      </x:c>
      <x:c r="V13" s="27" t="n">
        <x:v>63</x:v>
      </x:c>
      <x:c r="W13" s="27" t="n">
        <x:v>73</x:v>
      </x:c>
      <x:c r="X13" s="27" t="str">
        <x:v>飛行機／海・港</x:v>
      </x:c>
      <x:c r="Y13" s="27" t="str">
        <x:v>出発前に閉場確認</x:v>
      </x:c>
      <x:c r="Z13" s="27" t="str">
        <x:v>条件が合えば有力</x:v>
      </x:c>
      <x:c r="AA13" s="27" t="str">
        <x:v>羽田空港対岸の多摩川沿いで、橋・航空機・広い空を近距離で味わえる。</x:v>
      </x:c>
      <x:c r="AB13" s="27" t="str">
        <x:v>増水・工事・閉鎖時は利用不可。緑地外や堤防上への駐車禁止。</x:v>
      </x:c>
      <x:c r="AC13" s="27" t="str">
        <x:v>城南島海浜公園</x:v>
      </x:c>
      <x:c r="AD13" s="27" t="str">
        <x:v>京浜島つばさ公園／羽田空港 第3ターミナル展望デッキ</x:v>
      </x:c>
      <x:c r="AE13" t="n">
        <x:v>0</x:v>
      </x:c>
      <x:c r="AF13" t="str">
        <x:v>-</x:v>
      </x:c>
    </x:row>
    <x:row r="14" ht="42" customHeight="1">
      <x:c r="A14" s="27" t="str">
        <x:v>D241</x:v>
      </x:c>
      <x:c r="B14" s="27" t="str">
        <x:v>大森ふるさとの浜辺公園</x:v>
      </x:c>
      <x:c r="C14" s="27" t="str">
        <x:v>大田区・大森東</x:v>
      </x:c>
      <x:c r="D14" s="27" t="str">
        <x:v>人工海浜・干潟・海苔Story</x:v>
      </x:c>
      <x:c r="E14" s="48" t="e">
        <x:f>HYPERLINK("https://www.google.com/maps/dir/?api=1&amp;destination=%E5%A4%A7%E6%A3%AE%E3%81%B5%E3%82%8B%E3%81%95%E3%81%A8%E3%81%AE%E6%B5%9C%E8%BE%BA%E5%85%AC%E5%9C%92&amp;travelmode=driving","ナビ開始")</x:f>
      </x:c>
      <x:c r="F14" s="27" t="str">
        <x:v>0〜10km</x:v>
      </x:c>
      <x:c r="G14" s="27" t="str">
        <x:v>蒲田から約4〜7km</x:v>
      </x:c>
      <x:c r="H14" s="27" t="str">
        <x:v>通常15〜25分</x:v>
      </x:c>
      <x:c r="I14" s="27" t="n">
        <x:v>4</x:v>
      </x:c>
      <x:c r="J14" s="27" t="n">
        <x:v>2</x:v>
      </x:c>
      <x:c r="K14" s="27" t="n">
        <x:v>1</x:v>
      </x:c>
      <x:c r="L14" s="27" t="n">
        <x:v>2</x:v>
      </x:c>
      <x:c r="M14" s="27" t="n">
        <x:v>5</x:v>
      </x:c>
      <x:c r="N14" s="27" t="n">
        <x:v>5</x:v>
      </x:c>
      <x:c r="O14" s="27" t="n">
        <x:v>83</x:v>
      </x:c>
      <x:c r="P14" s="27" t="n">
        <x:v>85</x:v>
      </x:c>
      <x:c r="Q14" s="27" t="n">
        <x:v>60</x:v>
      </x:c>
      <x:c r="R14" s="27" t="n">
        <x:v>60</x:v>
      </x:c>
      <x:c r="S14" s="27" t="n">
        <x:v>87</x:v>
      </x:c>
      <x:c r="T14" s="27" t="n">
        <x:v>58</x:v>
      </x:c>
      <x:c r="U14" s="27" t="n">
        <x:v>58</x:v>
      </x:c>
      <x:c r="V14" s="27" t="n">
        <x:v>76</x:v>
      </x:c>
      <x:c r="W14" s="27" t="n">
        <x:v>73</x:v>
      </x:c>
      <x:c r="X14" s="27" t="str">
        <x:v>海・港／深夜2時間</x:v>
      </x:c>
      <x:c r="Y14" s="27" t="str">
        <x:v>出発前に閉場確認</x:v>
      </x:c>
      <x:c r="Z14" s="27" t="str">
        <x:v>条件が合えば有力</x:v>
      </x:c>
      <x:c r="AA14" s="27" t="str">
        <x:v>蒲田から短時間で、砂浜・干潟・芝生・運河を味わえる。遠出せず『海へ来た感覚』を得られる近距離の主力Ending。</x:v>
      </x:c>
      <x:c r="AB14" s="27" t="str">
        <x:v>浜辺は21時閉門。休日は駐車待ちが発生。遊泳・釣り・火気は禁止。</x:v>
      </x:c>
      <x:c r="AC14" s="27" t="str">
        <x:v>平和の森公園</x:v>
      </x:c>
      <x:c r="AD14" s="27" t="str">
        <x:v>平和の森公園／城南島海浜公園</x:v>
      </x:c>
      <x:c r="AE14" t="n">
        <x:v>0</x:v>
      </x:c>
      <x:c r="AF14" t="str">
        <x:v>-</x:v>
      </x:c>
    </x:row>
    <x:row r="15" ht="42" customHeight="1">
      <x:c r="A15" s="27" t="str">
        <x:v>D251</x:v>
      </x:c>
      <x:c r="B15" s="27" t="str">
        <x:v>お台場海浜公園</x:v>
      </x:c>
      <x:c r="C15" s="27" t="str">
        <x:v>港区・台場</x:v>
      </x:c>
      <x:c r="D15" s="27" t="str">
        <x:v>海浜・第三台場・都市夜景</x:v>
      </x:c>
      <x:c r="E15" s="48" t="e">
        <x:f>HYPERLINK("https://www.google.com/maps/dir/?api=1&amp;destination=%E3%81%8A%E5%8F%B0%E5%A0%B4%E6%B5%B7%E6%B5%9C%E5%85%AC%E5%9C%92&amp;travelmode=driving","ナビ開始")</x:f>
      </x:c>
      <x:c r="F15" s="27" t="str">
        <x:v>10〜20km</x:v>
      </x:c>
      <x:c r="G15" s="27" t="str">
        <x:v>蒲田から約12〜18km</x:v>
      </x:c>
      <x:c r="H15" s="27" t="str">
        <x:v>通常25〜45分</x:v>
      </x:c>
      <x:c r="I15" s="27" t="n">
        <x:v>5</x:v>
      </x:c>
      <x:c r="J15" s="27" t="n">
        <x:v>1</x:v>
      </x:c>
      <x:c r="K15" s="27" t="n">
        <x:v>2</x:v>
      </x:c>
      <x:c r="L15" s="27" t="n">
        <x:v>3</x:v>
      </x:c>
      <x:c r="M15" s="27" t="n">
        <x:v>5</x:v>
      </x:c>
      <x:c r="N15" s="27" t="n">
        <x:v>5</x:v>
      </x:c>
      <x:c r="O15" s="27" t="n">
        <x:v>83</x:v>
      </x:c>
      <x:c r="P15" s="27" t="n">
        <x:v>89</x:v>
      </x:c>
      <x:c r="Q15" s="27" t="n">
        <x:v>64</x:v>
      </x:c>
      <x:c r="R15" s="27" t="n">
        <x:v>60</x:v>
      </x:c>
      <x:c r="S15" s="27" t="n">
        <x:v>89</x:v>
      </x:c>
      <x:c r="T15" s="27" t="n">
        <x:v>61</x:v>
      </x:c>
      <x:c r="U15" s="27" t="n">
        <x:v>52</x:v>
      </x:c>
      <x:c r="V15" s="27" t="n">
        <x:v>71</x:v>
      </x:c>
      <x:c r="W15" s="27" t="n">
        <x:v>73</x:v>
      </x:c>
      <x:c r="X15" s="27" t="str">
        <x:v>深夜2時間／海・港</x:v>
      </x:c>
      <x:c r="Y15" s="27" t="str">
        <x:v>出発前に閉場確認</x:v>
      </x:c>
      <x:c r="Z15" s="27" t="str">
        <x:v>条件が合えば有力</x:v>
      </x:c>
      <x:c r="AA15" s="27" t="str">
        <x:v>レインボーブリッジ、砂浜、第三台場、都心夜景が一つにまとまり、近距離でも王道の到達感を得られる。</x:v>
      </x:c>
      <x:c r="AB15" s="27" t="str">
        <x:v>大規模イベント時は駐車場閉鎖・交通規制あり。北口のみ24時間最大料金設定。</x:v>
      </x:c>
      <x:c r="AC15" s="27" t="str">
        <x:v>潮風公園</x:v>
      </x:c>
      <x:c r="AD15" s="27" t="str">
        <x:v>晴海ふ頭公園／豊洲ぐるり公園</x:v>
      </x:c>
      <x:c r="AE15" t="n">
        <x:v>0</x:v>
      </x:c>
      <x:c r="AF15" t="str">
        <x:v>-</x:v>
      </x:c>
    </x:row>
    <x:row r="16" ht="42" customHeight="1">
      <x:c r="A16" s="27" t="str">
        <x:v>D257</x:v>
      </x:c>
      <x:c r="B16" s="27" t="str">
        <x:v>東扇島中公園</x:v>
      </x:c>
      <x:c r="C16" s="27" t="str">
        <x:v>川崎市川崎区・東扇島</x:v>
      </x:c>
      <x:c r="D16" s="27" t="str">
        <x:v>芝生・港湾休憩・共有駐車</x:v>
      </x:c>
      <x:c r="E16" s="48" t="e">
        <x:f>HYPERLINK("https://www.google.com/maps/dir/?api=1&amp;destination=%E6%9D%B1%E6%89%87%E5%B3%B6%E4%B8%AD%E5%85%AC%E5%9C%92&amp;travelmode=driving","ナビ開始")</x:f>
      </x:c>
      <x:c r="F16" s="27" t="str">
        <x:v>10〜20km</x:v>
      </x:c>
      <x:c r="G16" s="27" t="str">
        <x:v>蒲田から約16〜21km</x:v>
      </x:c>
      <x:c r="H16" s="27" t="str">
        <x:v>通常35〜55分</x:v>
      </x:c>
      <x:c r="I16" s="27" t="n">
        <x:v>4</x:v>
      </x:c>
      <x:c r="J16" s="27" t="n">
        <x:v>4</x:v>
      </x:c>
      <x:c r="K16" s="27" t="n">
        <x:v>1</x:v>
      </x:c>
      <x:c r="L16" s="27" t="n">
        <x:v>2</x:v>
      </x:c>
      <x:c r="M16" s="27" t="n">
        <x:v>4</x:v>
      </x:c>
      <x:c r="N16" s="27" t="n">
        <x:v>5</x:v>
      </x:c>
      <x:c r="O16" s="27" t="n">
        <x:v>79</x:v>
      </x:c>
      <x:c r="P16" s="27" t="n">
        <x:v>80</x:v>
      </x:c>
      <x:c r="Q16" s="27" t="n">
        <x:v>57</x:v>
      </x:c>
      <x:c r="R16" s="27" t="n">
        <x:v>55</x:v>
      </x:c>
      <x:c r="S16" s="27" t="n">
        <x:v>83</x:v>
      </x:c>
      <x:c r="T16" s="27" t="n">
        <x:v>84</x:v>
      </x:c>
      <x:c r="U16" s="27" t="n">
        <x:v>87</x:v>
      </x:c>
      <x:c r="V16" s="27" t="n">
        <x:v>59</x:v>
      </x:c>
      <x:c r="W16" s="27" t="n">
        <x:v>73</x:v>
      </x:c>
      <x:c r="X16" s="27" t="str">
        <x:v>静かな場所／工場夜景</x:v>
      </x:c>
      <x:c r="Y16" s="27" t="str">
        <x:v>出発前に閉場確認</x:v>
      </x:c>
      <x:c r="Z16" s="27" t="str">
        <x:v>条件が合えば有力</x:v>
      </x:c>
      <x:c r="AA16" s="27" t="str">
        <x:v>川崎マリエンに隣接し、芝生・港湾の空・休憩を短時間で取り込める。マリエンと1回の駐車で組み合わせられる。</x:v>
      </x:c>
      <x:c r="AB16" s="27" t="str">
        <x:v>深夜は駐車場の入出場制限を確認。公園単独で再駐車せず、川崎マリエンとの徒歩連結を基本とする。</x:v>
      </x:c>
      <x:c r="AC16" s="27" t="str">
        <x:v>川崎マリエン</x:v>
      </x:c>
      <x:c r="AD16" s="27" t="str">
        <x:v>東扇島西公園／ちどり公園</x:v>
      </x:c>
      <x:c r="AE16" t="n">
        <x:v>0</x:v>
      </x:c>
      <x:c r="AF16" t="str">
        <x:v>-</x:v>
      </x:c>
    </x:row>
    <x:row r="17" ht="42" customHeight="1">
      <x:c r="A17" s="27" t="str">
        <x:v>D064</x:v>
      </x:c>
      <x:c r="B17" s="27" t="str">
        <x:v>大井PA（東行き）</x:v>
      </x:c>
      <x:c r="C17" s="27" t="str">
        <x:v>品川区・八潮</x:v>
      </x:c>
      <x:c r="D17" s="27" t="str">
        <x:v>PA・湾岸・近距離休憩</x:v>
      </x:c>
      <x:c r="E17" s="48" t="e">
        <x:f>HYPERLINK("https://www.google.com/maps/dir/?api=1&amp;destination=%E5%A4%A7%E4%BA%95PA%EF%BC%88%E6%9D%B1%E8%A1%8C%E3%81%8D%EF%BC%89&amp;travelmode=driving","ナビ開始")</x:f>
      </x:c>
      <x:c r="F17" s="27" t="str">
        <x:v>0〜10km</x:v>
      </x:c>
      <x:c r="G17" s="27" t="str">
        <x:v>概ね0〜10km</x:v>
      </x:c>
      <x:c r="H17" s="27" t="str">
        <x:v>通常10〜30分</x:v>
      </x:c>
      <x:c r="I17" s="27" t="n">
        <x:v>4</x:v>
      </x:c>
      <x:c r="J17" s="27" t="n">
        <x:v>4</x:v>
      </x:c>
      <x:c r="K17" s="27" t="n">
        <x:v>4</x:v>
      </x:c>
      <x:c r="L17" s="27" t="n">
        <x:v>4</x:v>
      </x:c>
      <x:c r="M17" s="27" t="n">
        <x:v>4</x:v>
      </x:c>
      <x:c r="N17" s="27" t="n">
        <x:v>5</x:v>
      </x:c>
      <x:c r="O17" s="27" t="n">
        <x:v>88</x:v>
      </x:c>
      <x:c r="P17" s="27" t="n">
        <x:v>87</x:v>
      </x:c>
      <x:c r="Q17" s="27" t="n">
        <x:v>85</x:v>
      </x:c>
      <x:c r="R17" s="27" t="n">
        <x:v>63</x:v>
      </x:c>
      <x:c r="S17" s="27" t="n">
        <x:v>62</x:v>
      </x:c>
      <x:c r="T17" s="27" t="n">
        <x:v>59</x:v>
      </x:c>
      <x:c r="U17" s="27" t="n">
        <x:v>63</x:v>
      </x:c>
      <x:c r="V17" s="27" t="n">
        <x:v>64</x:v>
      </x:c>
      <x:c r="W17" s="27" t="n">
        <x:v>72</x:v>
      </x:c>
      <x:c r="X17" s="27" t="str">
        <x:v>平日夜90分／深夜2時間</x:v>
      </x:c>
      <x:c r="Y17" s="27" t="str">
        <x:v>出発前に閉場確認</x:v>
      </x:c>
      <x:c r="Z17" s="27" t="str">
        <x:v>条件が合えば有力</x:v>
      </x:c>
      <x:c r="AA17" s="27" t="str">
        <x:v>大田区から近く、短時間だけ湾岸を走りたい夜のミニマムEndingになる。</x:v>
      </x:c>
      <x:c r="AB17" s="27" t="str">
        <x:v>東行き専用で進行方向制約あり。工事情報を確認。</x:v>
      </x:c>
      <x:c r="AC17" s="27" t="str">
        <x:v>羽田空港 第3ターミナル展望デッキ</x:v>
      </x:c>
      <x:c r="AD17" s="27" t="str">
        <x:v>城南島海浜公園／潮風公園</x:v>
      </x:c>
      <x:c r="AE17" t="n">
        <x:v>0</x:v>
      </x:c>
      <x:c r="AF17" t="str">
        <x:v>-</x:v>
      </x:c>
    </x:row>
    <x:row r="18" ht="42" customHeight="1">
      <x:c r="A18" s="27" t="str">
        <x:v>D065</x:v>
      </x:c>
      <x:c r="B18" s="27" t="str">
        <x:v>平和島PA（上り）</x:v>
      </x:c>
      <x:c r="C18" s="27" t="str">
        <x:v>大田区・平和島</x:v>
      </x:c>
      <x:c r="D18" s="27" t="str">
        <x:v>PA・近距離・夜間休憩</x:v>
      </x:c>
      <x:c r="E18" s="48" t="e">
        <x:f>HYPERLINK("https://www.google.com/maps/dir/?api=1&amp;destination=%E5%B9%B3%E5%92%8C%E5%B3%B6PA%EF%BC%88%E4%B8%8A%E3%82%8A%EF%BC%89&amp;travelmode=driving","ナビ開始")</x:f>
      </x:c>
      <x:c r="F18" s="27" t="str">
        <x:v>0〜10km</x:v>
      </x:c>
      <x:c r="G18" s="27" t="str">
        <x:v>概ね0〜10km</x:v>
      </x:c>
      <x:c r="H18" s="27" t="str">
        <x:v>通常10〜30分</x:v>
      </x:c>
      <x:c r="I18" s="27" t="n">
        <x:v>4</x:v>
      </x:c>
      <x:c r="J18" s="27" t="n">
        <x:v>4</x:v>
      </x:c>
      <x:c r="K18" s="27" t="n">
        <x:v>4</x:v>
      </x:c>
      <x:c r="L18" s="27" t="n">
        <x:v>4</x:v>
      </x:c>
      <x:c r="M18" s="27" t="n">
        <x:v>4</x:v>
      </x:c>
      <x:c r="N18" s="27" t="n">
        <x:v>5</x:v>
      </x:c>
      <x:c r="O18" s="27" t="n">
        <x:v>88</x:v>
      </x:c>
      <x:c r="P18" s="27" t="n">
        <x:v>87</x:v>
      </x:c>
      <x:c r="Q18" s="27" t="n">
        <x:v>85</x:v>
      </x:c>
      <x:c r="R18" s="27" t="n">
        <x:v>63</x:v>
      </x:c>
      <x:c r="S18" s="27" t="n">
        <x:v>62</x:v>
      </x:c>
      <x:c r="T18" s="27" t="n">
        <x:v>59</x:v>
      </x:c>
      <x:c r="U18" s="27" t="n">
        <x:v>63</x:v>
      </x:c>
      <x:c r="V18" s="27" t="n">
        <x:v>64</x:v>
      </x:c>
      <x:c r="W18" s="27" t="n">
        <x:v>72</x:v>
      </x:c>
      <x:c r="X18" s="27" t="str">
        <x:v>平日夜90分／深夜2時間</x:v>
      </x:c>
      <x:c r="Y18" s="27" t="str">
        <x:v>出発前に閉場確認</x:v>
      </x:c>
      <x:c r="Z18" s="27" t="str">
        <x:v>条件が合えば有力</x:v>
      </x:c>
      <x:c r="AA18" s="27" t="str">
        <x:v>大田区内で最短の首都高体験を作れ、出発後すぐに気分転換したい夜に使える。</x:v>
      </x:c>
      <x:c r="AB18" s="27" t="str">
        <x:v>上り線専用。短時間休憩に限定し、周回目的の走行はしない。</x:v>
      </x:c>
      <x:c r="AC18" s="27" t="str">
        <x:v>羽田空港 第3ターミナル展望デッキ</x:v>
      </x:c>
      <x:c r="AD18" s="27" t="str">
        <x:v>城南島海浜公園／潮風公園</x:v>
      </x:c>
      <x:c r="AE18" t="n">
        <x:v>0</x:v>
      </x:c>
      <x:c r="AF18" t="str">
        <x:v>-</x:v>
      </x:c>
    </x:row>
    <x:row r="19" ht="42" customHeight="1">
      <x:c r="A19" s="27" t="str">
        <x:v>D243</x:v>
      </x:c>
      <x:c r="B19" s="27" t="str">
        <x:v>森ケ崎公園</x:v>
      </x:c>
      <x:c r="C19" s="27" t="str">
        <x:v>大田区・大森南</x:v>
      </x:c>
      <x:c r="D19" s="27" t="str">
        <x:v>屋上公園・飛行機・富士山</x:v>
      </x:c>
      <x:c r="E19" s="48" t="e">
        <x:f>HYPERLINK("https://www.google.com/maps/dir/?api=1&amp;destination=%E6%A3%AE%E3%82%B1%E5%B4%8E%E5%85%AC%E5%9C%92&amp;travelmode=driving","ナビ開始")</x:f>
      </x:c>
      <x:c r="F19" s="27" t="str">
        <x:v>0〜10km</x:v>
      </x:c>
      <x:c r="G19" s="27" t="str">
        <x:v>蒲田から約5〜8km</x:v>
      </x:c>
      <x:c r="H19" s="27" t="str">
        <x:v>通常15〜30分</x:v>
      </x:c>
      <x:c r="I19" s="27" t="n">
        <x:v>4</x:v>
      </x:c>
      <x:c r="J19" s="27" t="n">
        <x:v>4</x:v>
      </x:c>
      <x:c r="K19" s="27" t="n">
        <x:v>1</x:v>
      </x:c>
      <x:c r="L19" s="27" t="n">
        <x:v>2</x:v>
      </x:c>
      <x:c r="M19" s="27" t="n">
        <x:v>4</x:v>
      </x:c>
      <x:c r="N19" s="27" t="n">
        <x:v>4</x:v>
      </x:c>
      <x:c r="O19" s="27" t="n">
        <x:v>81</x:v>
      </x:c>
      <x:c r="P19" s="27" t="n">
        <x:v>79</x:v>
      </x:c>
      <x:c r="Q19" s="27" t="n">
        <x:v>58</x:v>
      </x:c>
      <x:c r="R19" s="27" t="n">
        <x:v>87</x:v>
      </x:c>
      <x:c r="S19" s="27" t="n">
        <x:v>58</x:v>
      </x:c>
      <x:c r="T19" s="27" t="n">
        <x:v>55</x:v>
      </x:c>
      <x:c r="U19" s="27" t="n">
        <x:v>91</x:v>
      </x:c>
      <x:c r="V19" s="27" t="n">
        <x:v>61</x:v>
      </x:c>
      <x:c r="W19" s="27" t="n">
        <x:v>72</x:v>
      </x:c>
      <x:c r="X19" s="27" t="str">
        <x:v>静かな場所／飛行機</x:v>
      </x:c>
      <x:c r="Y19" s="27" t="str">
        <x:v>出発前に閉場確認</x:v>
      </x:c>
      <x:c r="Z19" s="27" t="str">
        <x:v>条件が合えば有力</x:v>
      </x:c>
      <x:c r="AA19" s="27" t="str">
        <x:v>水再生センター屋上という特殊な立地から、羽田空港と富士山方向を望める。近いのに地上から切り離された感覚がある。</x:v>
      </x:c>
      <x:c r="AB19" s="27" t="str">
        <x:v>利用時間外は入出庫不可。土日祝は入場待ちが発生しやすく、急ぐ場合は近隣民間駐車場へ切替。</x:v>
      </x:c>
      <x:c r="AC19" s="27" t="str">
        <x:v>HANEDA INNOVATION CITY 足湯スカイデッキ</x:v>
      </x:c>
      <x:c r="AD19" s="27" t="str">
        <x:v>ソラムナード羽田緑地／城南島海浜公園</x:v>
      </x:c>
      <x:c r="AE19" t="n">
        <x:v>0</x:v>
      </x:c>
      <x:c r="AF19" t="str">
        <x:v>-</x:v>
      </x:c>
    </x:row>
    <x:row r="20" ht="42" customHeight="1">
      <x:c r="A20" s="27" t="str">
        <x:v>D022</x:v>
      </x:c>
      <x:c r="B20" s="27" t="str">
        <x:v>豊洲ぐるり公園</x:v>
      </x:c>
      <x:c r="C20" s="27" t="str">
        <x:v>江東区・豊洲</x:v>
      </x:c>
      <x:c r="D20" s="27" t="str">
        <x:v>都市夜景・水辺</x:v>
      </x:c>
      <x:c r="E20" s="48" t="e">
        <x:f>HYPERLINK("https://www.google.com/maps/dir/?api=1&amp;destination=%E8%B1%8A%E6%B4%B2%E3%81%90%E3%82%8B%E3%82%8A%E5%85%AC%E5%9C%92&amp;travelmode=driving","ナビ開始")</x:f>
      </x:c>
      <x:c r="F20" s="27" t="str">
        <x:v>10〜20km</x:v>
      </x:c>
      <x:c r="G20" s="27" t="str">
        <x:v>概ね10〜20km</x:v>
      </x:c>
      <x:c r="H20" s="27" t="str">
        <x:v>通常25〜50分</x:v>
      </x:c>
      <x:c r="I20" s="27" t="n">
        <x:v>5</x:v>
      </x:c>
      <x:c r="J20" s="27" t="n">
        <x:v>3</x:v>
      </x:c>
      <x:c r="K20" s="27" t="n">
        <x:v>2</x:v>
      </x:c>
      <x:c r="L20" s="27" t="n">
        <x:v>3</x:v>
      </x:c>
      <x:c r="M20" s="27" t="n">
        <x:v>4</x:v>
      </x:c>
      <x:c r="N20" s="27" t="n">
        <x:v>5</x:v>
      </x:c>
      <x:c r="O20" s="27" t="n">
        <x:v>84</x:v>
      </x:c>
      <x:c r="P20" s="27" t="n">
        <x:v>87</x:v>
      </x:c>
      <x:c r="Q20" s="27" t="n">
        <x:v>64</x:v>
      </x:c>
      <x:c r="R20" s="27" t="n">
        <x:v>59</x:v>
      </x:c>
      <x:c r="S20" s="27" t="n">
        <x:v>88</x:v>
      </x:c>
      <x:c r="T20" s="27" t="n">
        <x:v>58</x:v>
      </x:c>
      <x:c r="U20" s="27" t="n">
        <x:v>57</x:v>
      </x:c>
      <x:c r="V20" s="27" t="n">
        <x:v>60</x:v>
      </x:c>
      <x:c r="W20" s="27" t="n">
        <x:v>71</x:v>
      </x:c>
      <x:c r="X20" s="27" t="str">
        <x:v>海・港／深夜2時間</x:v>
      </x:c>
      <x:c r="Y20" s="27" t="str">
        <x:v>出発前に閉場確認</x:v>
      </x:c>
      <x:c r="Z20" s="27" t="str">
        <x:v>用途限定で有効</x:v>
      </x:c>
      <x:c r="AA20" s="27" t="str">
        <x:v>レインボーブリッジと都心の高層群を水辺越しに眺め、歩いて余韻を作れる。</x:v>
      </x:c>
      <x:c r="AB20" s="27" t="str">
        <x:v>市場周辺イベント時は混雑。駐車位置と見たい景色の位置関係を確認。</x:v>
      </x:c>
      <x:c r="AC20" s="27" t="str">
        <x:v>羽田空港 第3ターミナル展望デッキ</x:v>
      </x:c>
      <x:c r="AD20" s="27" t="str">
        <x:v>城南島海浜公園／潮風公園</x:v>
      </x:c>
      <x:c r="AE20" t="n">
        <x:v>0</x:v>
      </x:c>
      <x:c r="AF20" t="str">
        <x:v>-</x:v>
      </x:c>
    </x:row>
    <x:row r="21" ht="42" customHeight="1">
      <x:c r="A21" s="27" t="str">
        <x:v>D058</x:v>
      </x:c>
      <x:c r="B21" s="27" t="str">
        <x:v>浦安市総合公園</x:v>
      </x:c>
      <x:c r="C21" s="27" t="str">
        <x:v>浦安市・明海</x:v>
      </x:c>
      <x:c r="D21" s="27" t="str">
        <x:v>海・芝生・夜間公園</x:v>
      </x:c>
      <x:c r="E21" s="48" t="e">
        <x:f>HYPERLINK("https://www.google.com/maps/dir/?api=1&amp;destination=%E6%B5%A6%E5%AE%89%E5%B8%82%E7%B7%8F%E5%90%88%E5%85%AC%E5%9C%92&amp;travelmode=driving","ナビ開始")</x:f>
      </x:c>
      <x:c r="F21" s="27" t="str">
        <x:v>20〜25km</x:v>
      </x:c>
      <x:c r="G21" s="27" t="str">
        <x:v>概ね20〜25km</x:v>
      </x:c>
      <x:c r="H21" s="27" t="str">
        <x:v>通常40〜70分</x:v>
      </x:c>
      <x:c r="I21" s="27" t="n">
        <x:v>5</x:v>
      </x:c>
      <x:c r="J21" s="27" t="n">
        <x:v>4</x:v>
      </x:c>
      <x:c r="K21" s="27" t="n">
        <x:v>1</x:v>
      </x:c>
      <x:c r="L21" s="27" t="n">
        <x:v>3</x:v>
      </x:c>
      <x:c r="M21" s="27" t="n">
        <x:v>4</x:v>
      </x:c>
      <x:c r="N21" s="27" t="n">
        <x:v>5</x:v>
      </x:c>
      <x:c r="O21" s="27" t="n">
        <x:v>81</x:v>
      </x:c>
      <x:c r="P21" s="27" t="n">
        <x:v>85</x:v>
      </x:c>
      <x:c r="Q21" s="27" t="n">
        <x:v>56</x:v>
      </x:c>
      <x:c r="R21" s="27" t="n">
        <x:v>56</x:v>
      </x:c>
      <x:c r="S21" s="27" t="n">
        <x:v>86</x:v>
      </x:c>
      <x:c r="T21" s="27" t="n">
        <x:v>55</x:v>
      </x:c>
      <x:c r="U21" s="27" t="n">
        <x:v>85</x:v>
      </x:c>
      <x:c r="V21" s="27" t="n">
        <x:v>59</x:v>
      </x:c>
      <x:c r="W21" s="27" t="n">
        <x:v>71</x:v>
      </x:c>
      <x:c r="X21" s="27" t="str">
        <x:v>海・港／深夜2時間</x:v>
      </x:c>
      <x:c r="Y21" s="27" t="str">
        <x:v>出発前に閉場確認</x:v>
      </x:c>
      <x:c r="Z21" s="27" t="str">
        <x:v>用途限定で有効</x:v>
      </x:c>
      <x:c r="AA21" s="27" t="str">
        <x:v>海沿いの広い芝生と新浦安の灯りがあり、深夜にも使える穏やかな湾岸Ending。</x:v>
      </x:c>
      <x:c r="AB21" s="27" t="str">
        <x:v>海側は風が強い。住宅・ホテルに近いため静粛に。</x:v>
      </x:c>
      <x:c r="AC21" s="27" t="str">
        <x:v>城南島海浜公園</x:v>
      </x:c>
      <x:c r="AD21" s="27" t="str">
        <x:v>潮風公園／晴海ふ頭公園</x:v>
      </x:c>
      <x:c r="AE21" t="n">
        <x:v>0</x:v>
      </x:c>
      <x:c r="AF21" t="str">
        <x:v>-</x:v>
      </x:c>
    </x:row>
    <x:row r="22" ht="42" customHeight="1">
      <x:c r="A22" s="27" t="str">
        <x:v>D062</x:v>
      </x:c>
      <x:c r="B22" s="27" t="str">
        <x:v>辰巳第一PA</x:v>
      </x:c>
      <x:c r="C22" s="27" t="str">
        <x:v>江東区・辰巳</x:v>
      </x:c>
      <x:c r="D22" s="27" t="str">
        <x:v>PA・高層夜景・首都高</x:v>
      </x:c>
      <x:c r="E22" s="48" t="e">
        <x:f>HYPERLINK("https://www.google.com/maps/dir/?api=1&amp;destination=%E8%BE%B0%E5%B7%B3%E7%AC%AC%E4%B8%80PA&amp;travelmode=driving","ナビ開始")</x:f>
      </x:c>
      <x:c r="F22" s="27" t="str">
        <x:v>10〜20km</x:v>
      </x:c>
      <x:c r="G22" s="27" t="str">
        <x:v>概ね10〜20km</x:v>
      </x:c>
      <x:c r="H22" s="27" t="str">
        <x:v>通常25〜50分</x:v>
      </x:c>
      <x:c r="I22" s="27" t="n">
        <x:v>5</x:v>
      </x:c>
      <x:c r="J22" s="27" t="n">
        <x:v>3</x:v>
      </x:c>
      <x:c r="K22" s="27" t="n">
        <x:v>4</x:v>
      </x:c>
      <x:c r="L22" s="27" t="n">
        <x:v>4</x:v>
      </x:c>
      <x:c r="M22" s="27" t="n">
        <x:v>4</x:v>
      </x:c>
      <x:c r="N22" s="27" t="n">
        <x:v>5</x:v>
      </x:c>
      <x:c r="O22" s="27" t="n">
        <x:v>86</x:v>
      </x:c>
      <x:c r="P22" s="27" t="n">
        <x:v>89</x:v>
      </x:c>
      <x:c r="Q22" s="27" t="n">
        <x:v>80</x:v>
      </x:c>
      <x:c r="R22" s="27" t="n">
        <x:v>61</x:v>
      </x:c>
      <x:c r="S22" s="27" t="n">
        <x:v>62</x:v>
      </x:c>
      <x:c r="T22" s="27" t="n">
        <x:v>60</x:v>
      </x:c>
      <x:c r="U22" s="27" t="n">
        <x:v>57</x:v>
      </x:c>
      <x:c r="V22" s="27" t="n">
        <x:v>62</x:v>
      </x:c>
      <x:c r="W22" s="27" t="n">
        <x:v>71</x:v>
      </x:c>
      <x:c r="X22" s="27" t="str">
        <x:v>深夜2時間／平日夜90分</x:v>
      </x:c>
      <x:c r="Y22" s="27" t="str">
        <x:v>出発前に閉場確認</x:v>
      </x:c>
      <x:c r="Z22" s="27" t="str">
        <x:v>用途限定で有効</x:v>
      </x:c>
      <x:c r="AA22" s="27" t="str">
        <x:v>湾岸線から都心高層群を見渡せ、短時間で首都高ドライブを締められる。</x:v>
      </x:c>
      <x:c r="AB22" s="27" t="str">
        <x:v>夜間閉鎖や入口規制を確認。撮影・滞留・騒音行為は避ける。</x:v>
      </x:c>
      <x:c r="AC22" s="27" t="str">
        <x:v>羽田空港 第3ターミナル展望デッキ</x:v>
      </x:c>
      <x:c r="AD22" s="27" t="str">
        <x:v>城南島海浜公園／潮風公園</x:v>
      </x:c>
      <x:c r="AE22" t="n">
        <x:v>0</x:v>
      </x:c>
      <x:c r="AF22" t="str">
        <x:v>-</x:v>
      </x:c>
    </x:row>
    <x:row r="23" ht="42" customHeight="1">
      <x:c r="A23" s="27" t="str">
        <x:v>D253</x:v>
      </x:c>
      <x:c r="B23" s="27" t="str">
        <x:v>平和島公園</x:v>
      </x:c>
      <x:c r="C23" s="27" t="str">
        <x:v>大田区・平和島</x:v>
      </x:c>
      <x:c r="D23" s="27" t="str">
        <x:v>総合公園・防災・24時間駐車</x:v>
      </x:c>
      <x:c r="E23" s="48" t="e">
        <x:f>HYPERLINK("https://www.google.com/maps/dir/?api=1&amp;destination=%E5%B9%B3%E5%92%8C%E5%B3%B6%E5%85%AC%E5%9C%92&amp;travelmode=driving","ナビ開始")</x:f>
      </x:c>
      <x:c r="F23" s="27" t="str">
        <x:v>0〜10km</x:v>
      </x:c>
      <x:c r="G23" s="27" t="str">
        <x:v>蒲田から約4〜7km</x:v>
      </x:c>
      <x:c r="H23" s="27" t="str">
        <x:v>通常15〜25分</x:v>
      </x:c>
      <x:c r="I23" s="27" t="n">
        <x:v>4</x:v>
      </x:c>
      <x:c r="J23" s="27" t="n">
        <x:v>3</x:v>
      </x:c>
      <x:c r="K23" s="27" t="n">
        <x:v>1</x:v>
      </x:c>
      <x:c r="L23" s="27" t="n">
        <x:v>2</x:v>
      </x:c>
      <x:c r="M23" s="27" t="n">
        <x:v>5</x:v>
      </x:c>
      <x:c r="N23" s="27" t="n">
        <x:v>5</x:v>
      </x:c>
      <x:c r="O23" s="27" t="n">
        <x:v>85</x:v>
      </x:c>
      <x:c r="P23" s="27" t="n">
        <x:v>86</x:v>
      </x:c>
      <x:c r="Q23" s="27" t="n">
        <x:v>62</x:v>
      </x:c>
      <x:c r="R23" s="27" t="n">
        <x:v>61</x:v>
      </x:c>
      <x:c r="S23" s="27" t="n">
        <x:v>60</x:v>
      </x:c>
      <x:c r="T23" s="27" t="n">
        <x:v>58</x:v>
      </x:c>
      <x:c r="U23" s="27" t="n">
        <x:v>90</x:v>
      </x:c>
      <x:c r="V23" s="27" t="n">
        <x:v>62</x:v>
      </x:c>
      <x:c r="W23" s="27" t="n">
        <x:v>71</x:v>
      </x:c>
      <x:c r="X23" s="27" t="str">
        <x:v>静かな場所／深夜2時間</x:v>
      </x:c>
      <x:c r="Y23" s="27" t="str">
        <x:v>出発前に閉場確認</x:v>
      </x:c>
      <x:c r="Z23" s="27" t="str">
        <x:v>用途限定で有効</x:v>
      </x:c>
      <x:c r="AA23" s="27" t="str">
        <x:v>蒲田から近く、80台の24時間駐車場がある。遠出する気力がない夜でも、緑・広場・水施設で短時間のリセット先になる。</x:v>
      </x:c>
      <x:c r="AB23" s="27" t="str">
        <x:v>休日は入庫待ちが長くなる場合がある。公園利用以外の駐車は禁止。夜間は住宅・スポーツ利用者へ配慮。</x:v>
      </x:c>
      <x:c r="AC23" s="27" t="str">
        <x:v>平和の森公園</x:v>
      </x:c>
      <x:c r="AD23" s="27" t="str">
        <x:v>しながわ区民公園／大森ふるさとの浜辺公園</x:v>
      </x:c>
      <x:c r="AE23" t="n">
        <x:v>0</x:v>
      </x:c>
      <x:c r="AF23" t="str">
        <x:v>-</x:v>
      </x:c>
    </x:row>
    <x:row r="24" ht="42" customHeight="1">
      <x:c r="A24" s="27" t="str">
        <x:v>D005</x:v>
      </x:c>
      <x:c r="B24" s="27" t="str">
        <x:v>潮風公園</x:v>
      </x:c>
      <x:c r="C24" s="27" t="str">
        <x:v>港区・台場</x:v>
      </x:c>
      <x:c r="D24" s="27" t="str">
        <x:v>海・都市夜景</x:v>
      </x:c>
      <x:c r="E24" s="48" t="e">
        <x:f>HYPERLINK("https://www.google.com/maps/dir/?api=1&amp;destination=%E6%BD%AE%E9%A2%A8%E5%85%AC%E5%9C%92&amp;travelmode=driving","ナビ開始")</x:f>
      </x:c>
      <x:c r="F24" s="27" t="str">
        <x:v>10〜20km</x:v>
      </x:c>
      <x:c r="G24" s="27" t="str">
        <x:v>概ね10〜20km</x:v>
      </x:c>
      <x:c r="H24" s="27" t="str">
        <x:v>通常25〜50分</x:v>
      </x:c>
      <x:c r="I24" s="27" t="n">
        <x:v>5</x:v>
      </x:c>
      <x:c r="J24" s="27" t="n">
        <x:v>3</x:v>
      </x:c>
      <x:c r="K24" s="27" t="n">
        <x:v>1</x:v>
      </x:c>
      <x:c r="L24" s="27" t="n">
        <x:v>3</x:v>
      </x:c>
      <x:c r="M24" s="27" t="n">
        <x:v>4</x:v>
      </x:c>
      <x:c r="N24" s="27" t="n">
        <x:v>5</x:v>
      </x:c>
      <x:c r="O24" s="27" t="n">
        <x:v>84</x:v>
      </x:c>
      <x:c r="P24" s="27" t="n">
        <x:v>87</x:v>
      </x:c>
      <x:c r="Q24" s="27" t="n">
        <x:v>57</x:v>
      </x:c>
      <x:c r="R24" s="27" t="n">
        <x:v>59</x:v>
      </x:c>
      <x:c r="S24" s="27" t="n">
        <x:v>88</x:v>
      </x:c>
      <x:c r="T24" s="27" t="n">
        <x:v>58</x:v>
      </x:c>
      <x:c r="U24" s="27" t="n">
        <x:v>57</x:v>
      </x:c>
      <x:c r="V24" s="27" t="n">
        <x:v>59</x:v>
      </x:c>
      <x:c r="W24" s="27" t="n">
        <x:v>70</x:v>
      </x:c>
      <x:c r="X24" s="27" t="str">
        <x:v>海・港／深夜2時間</x:v>
      </x:c>
      <x:c r="Y24" s="27" t="str">
        <x:v>出発前に閉場確認</x:v>
      </x:c>
      <x:c r="Z24" s="27" t="str">
        <x:v>用途限定で有効</x:v>
      </x:c>
      <x:c r="AA24" s="27" t="str">
        <x:v>海辺でレインボーブリッジと都心の灯りを眺め、余韻を作りやすい。</x:v>
      </x:c>
      <x:c r="AB24" s="27" t="str">
        <x:v>イベント・工事による部分閉鎖を当日確認。集会や騒音行為は禁止。</x:v>
      </x:c>
      <x:c r="AC24" s="27" t="str">
        <x:v>城南島海浜公園</x:v>
      </x:c>
      <x:c r="AD24" s="27" t="str">
        <x:v>潮風公園／晴海ふ頭公園</x:v>
      </x:c>
      <x:c r="AE24" t="n">
        <x:v>0</x:v>
      </x:c>
      <x:c r="AF24" t="str">
        <x:v>-</x:v>
      </x:c>
    </x:row>
    <x:row r="25" ht="42" customHeight="1">
      <x:c r="A25" s="27" t="str">
        <x:v>D021</x:v>
      </x:c>
      <x:c r="B25" s="27" t="str">
        <x:v>暁ふ頭公園</x:v>
      </x:c>
      <x:c r="C25" s="27" t="str">
        <x:v>江東区・青海</x:v>
      </x:c>
      <x:c r="D25" s="27" t="str">
        <x:v>港・行き止まり・静かな休憩</x:v>
      </x:c>
      <x:c r="E25" s="48" t="e">
        <x:f>HYPERLINK("https://www.google.com/maps/dir/?api=1&amp;destination=%E6%9A%81%E3%81%B5%E9%A0%AD%E5%85%AC%E5%9C%92&amp;travelmode=driving","ナビ開始")</x:f>
      </x:c>
      <x:c r="F25" s="27" t="str">
        <x:v>10〜20km</x:v>
      </x:c>
      <x:c r="G25" s="27" t="str">
        <x:v>概ね10〜20km</x:v>
      </x:c>
      <x:c r="H25" s="27" t="str">
        <x:v>通常25〜50分</x:v>
      </x:c>
      <x:c r="I25" s="27" t="n">
        <x:v>5</x:v>
      </x:c>
      <x:c r="J25" s="27" t="n">
        <x:v>5</x:v>
      </x:c>
      <x:c r="K25" s="27" t="n">
        <x:v>2</x:v>
      </x:c>
      <x:c r="L25" s="27" t="n">
        <x:v>3</x:v>
      </x:c>
      <x:c r="M25" s="27" t="n">
        <x:v>4</x:v>
      </x:c>
      <x:c r="N25" s="27" t="n">
        <x:v>1</x:v>
      </x:c>
      <x:c r="O25" s="27" t="n">
        <x:v>76</x:v>
      </x:c>
      <x:c r="P25" s="27" t="n">
        <x:v>73</x:v>
      </x:c>
      <x:c r="Q25" s="27" t="n">
        <x:v>60</x:v>
      </x:c>
      <x:c r="R25" s="27" t="n">
        <x:v>61</x:v>
      </x:c>
      <x:c r="S25" s="27" t="n">
        <x:v>90</x:v>
      </x:c>
      <x:c r="T25" s="27" t="n">
        <x:v>58</x:v>
      </x:c>
      <x:c r="U25" s="27" t="n">
        <x:v>65</x:v>
      </x:c>
      <x:c r="V25" s="27" t="n">
        <x:v>64</x:v>
      </x:c>
      <x:c r="W25" s="27" t="n">
        <x:v>69</x:v>
      </x:c>
      <x:c r="X25" s="27" t="str">
        <x:v>海・港／平日夜90分</x:v>
      </x:c>
      <x:c r="Y25" s="27" t="str">
        <x:v>出発前に閉場確認</x:v>
      </x:c>
      <x:c r="Z25" s="27" t="str">
        <x:v>用途限定で有効</x:v>
      </x:c>
      <x:c r="AA25" s="27" t="str">
        <x:v>東京港最奥まで走り切る感覚があり、船と海を近距離で眺める穴場Ending。</x:v>
      </x:c>
      <x:c r="AB25" s="27" t="str">
        <x:v>港湾部で風が強い。工事・駐車運用変更を当日確認。</x:v>
      </x:c>
      <x:c r="AC25" s="27" t="str">
        <x:v>城南島海浜公園</x:v>
      </x:c>
      <x:c r="AD25" s="27" t="str">
        <x:v>潮風公園／晴海ふ頭公園</x:v>
      </x:c>
      <x:c r="AE25" t="n">
        <x:v>0</x:v>
      </x:c>
      <x:c r="AF25" t="str">
        <x:v>-</x:v>
      </x:c>
    </x:row>
    <x:row r="26" ht="42" customHeight="1">
      <x:c r="A26" s="27" t="str">
        <x:v>D244</x:v>
      </x:c>
      <x:c r="B26" s="27" t="str">
        <x:v>ソラムナード羽田緑地</x:v>
      </x:c>
      <x:c r="C26" s="27" t="str">
        <x:v>大田区・羽田空港</x:v>
      </x:c>
      <x:c r="D26" s="27" t="str">
        <x:v>飛行機・多摩川0km・工場夜景</x:v>
      </x:c>
      <x:c r="E26" s="48" t="e">
        <x:f>HYPERLINK("https://www.google.com/maps/dir/?api=1&amp;destination=%E3%82%BD%E3%83%A9%E3%83%A0%E3%83%8A%E3%83%BC%E3%83%89%E7%BE%BD%E7%94%B0%E7%B7%91%E5%9C%B0&amp;travelmode=driving","ナビ開始")</x:f>
      </x:c>
      <x:c r="F26" s="27" t="str">
        <x:v>0〜10km</x:v>
      </x:c>
      <x:c r="G26" s="27" t="str">
        <x:v>蒲田から約7〜10km</x:v>
      </x:c>
      <x:c r="H26" s="27" t="str">
        <x:v>通常20〜35分</x:v>
      </x:c>
      <x:c r="I26" s="27" t="n">
        <x:v>5</x:v>
      </x:c>
      <x:c r="J26" s="27" t="n">
        <x:v>5</x:v>
      </x:c>
      <x:c r="K26" s="27" t="n">
        <x:v>1</x:v>
      </x:c>
      <x:c r="L26" s="27" t="n">
        <x:v>2</x:v>
      </x:c>
      <x:c r="M26" s="27" t="n">
        <x:v>1</x:v>
      </x:c>
      <x:c r="N26" s="27" t="n">
        <x:v>5</x:v>
      </x:c>
      <x:c r="O26" s="27" t="n">
        <x:v>82</x:v>
      </x:c>
      <x:c r="P26" s="27" t="n">
        <x:v>78</x:v>
      </x:c>
      <x:c r="Q26" s="27" t="n">
        <x:v>50</x:v>
      </x:c>
      <x:c r="R26" s="27" t="n">
        <x:v>82</x:v>
      </x:c>
      <x:c r="S26" s="27" t="n">
        <x:v>54</x:v>
      </x:c>
      <x:c r="T26" s="27" t="n">
        <x:v>82</x:v>
      </x:c>
      <x:c r="U26" s="27" t="n">
        <x:v>60</x:v>
      </x:c>
      <x:c r="V26" s="27" t="n">
        <x:v>56</x:v>
      </x:c>
      <x:c r="W26" s="27" t="n">
        <x:v>69</x:v>
      </x:c>
      <x:c r="X26" s="27" t="str">
        <x:v>平日夜90分／飛行機</x:v>
      </x:c>
      <x:c r="Y26" s="27" t="str">
        <x:v>出発前に閉場確認</x:v>
      </x:c>
      <x:c r="Z26" s="27" t="str">
        <x:v>用途限定で有効</x:v>
      </x:c>
      <x:c r="AA26" s="27" t="str">
        <x:v>多摩川河口、離着陸機、対岸の川崎工場夜景、日の出と夕日を一本の遊歩道で切り替えられる。</x:v>
      </x:c>
      <x:c r="AB26" s="27" t="str">
        <x:v>路上駐車禁止。HICなど合法駐車場から徒歩。強風・高潮・増水時は利用を避ける。</x:v>
      </x:c>
      <x:c r="AC26" s="27" t="str">
        <x:v>HANEDA INNOVATION CITY 足湯スカイデッキ</x:v>
      </x:c>
      <x:c r="AD26" s="27" t="str">
        <x:v>羽田空港 第3ターミナル展望デッキ／殿町緑地</x:v>
      </x:c>
      <x:c r="AE26" t="n">
        <x:v>0</x:v>
      </x:c>
      <x:c r="AF26" t="str">
        <x:v>-</x:v>
      </x:c>
    </x:row>
    <x:row r="27" ht="42" customHeight="1">
      <x:c r="A27" s="27" t="str">
        <x:v>D262</x:v>
      </x:c>
      <x:c r="B27" s="27" t="str">
        <x:v>昭和島二丁目公園</x:v>
      </x:c>
      <x:c r="C27" s="27" t="str">
        <x:v>大田区・昭和島</x:v>
      </x:c>
      <x:c r="D27" s="27" t="str">
        <x:v>工業島・運河・スポーツ・行き止まり</x:v>
      </x:c>
      <x:c r="E27" s="48" t="e">
        <x:f>HYPERLINK("https://www.google.com/maps/dir/?api=1&amp;destination=%E6%98%AD%E5%92%8C%E5%B3%B6%E4%BA%8C%E4%B8%81%E7%9B%AE%E5%85%AC%E5%9C%92&amp;travelmode=driving","ナビ開始")</x:f>
      </x:c>
      <x:c r="F27" s="27" t="str">
        <x:v>0〜10km</x:v>
      </x:c>
      <x:c r="G27" s="27" t="str">
        <x:v>蒲田から約7〜10km</x:v>
      </x:c>
      <x:c r="H27" s="27" t="str">
        <x:v>通常20〜35分</x:v>
      </x:c>
      <x:c r="I27" s="27" t="n">
        <x:v>4</x:v>
      </x:c>
      <x:c r="J27" s="27" t="n">
        <x:v>5</x:v>
      </x:c>
      <x:c r="K27" s="27" t="n">
        <x:v>1</x:v>
      </x:c>
      <x:c r="L27" s="27" t="n">
        <x:v>3</x:v>
      </x:c>
      <x:c r="M27" s="27" t="n">
        <x:v>2</x:v>
      </x:c>
      <x:c r="N27" s="27" t="n">
        <x:v>4</x:v>
      </x:c>
      <x:c r="O27" s="27" t="n">
        <x:v>79</x:v>
      </x:c>
      <x:c r="P27" s="27" t="n">
        <x:v>74</x:v>
      </x:c>
      <x:c r="Q27" s="27" t="n">
        <x:v>54</x:v>
      </x:c>
      <x:c r="R27" s="27" t="n">
        <x:v>56</x:v>
      </x:c>
      <x:c r="S27" s="27" t="n">
        <x:v>83</x:v>
      </x:c>
      <x:c r="T27" s="27" t="n">
        <x:v>83</x:v>
      </x:c>
      <x:c r="U27" s="27" t="n">
        <x:v>61</x:v>
      </x:c>
      <x:c r="V27" s="27" t="n">
        <x:v>57</x:v>
      </x:c>
      <x:c r="W27" s="27" t="n">
        <x:v>69</x:v>
      </x:c>
      <x:c r="X27" s="27" t="str">
        <x:v>海・港／工場夜景</x:v>
      </x:c>
      <x:c r="Y27" s="27" t="str">
        <x:v>出発前に閉場確認</x:v>
      </x:c>
      <x:c r="Z27" s="27" t="str">
        <x:v>用途限定で有効</x:v>
      </x:c>
      <x:c r="AA27" s="27" t="str">
        <x:v>工業専用島の奥まで走る到達感があり、運河、モノレール、工場の気配を近距離で味わえる。羽田系とは違う産業景観の終点。</x:v>
      </x:c>
      <x:c r="AB27" s="27" t="str">
        <x:v>年末年始休場。競技利用・工事で混雑する場合あり。工場敷地や岸壁へ入らない。閉場後は出庫不可。</x:v>
      </x:c>
      <x:c r="AC27" s="27" t="str">
        <x:v>京浜島つばさ公園</x:v>
      </x:c>
      <x:c r="AD27" s="27" t="str">
        <x:v>大森 海苔のふるさと館／大井ふ頭中央海浜公園</x:v>
      </x:c>
      <x:c r="AE27" t="n">
        <x:v>0</x:v>
      </x:c>
      <x:c r="AF27" t="str">
        <x:v>-</x:v>
      </x:c>
    </x:row>
    <x:row r="28" ht="42" customHeight="1">
      <x:c r="A28" s="27" t="str">
        <x:v>D272</x:v>
      </x:c>
      <x:c r="B28" s="27" t="str">
        <x:v>東京都庁展望室</x:v>
      </x:c>
      <x:c r="C28" s="27" t="str">
        <x:v>新宿区・西新宿</x:v>
      </x:c>
      <x:c r="D28" s="27" t="str">
        <x:v>無料展望・超高層建築・都市夜景</x:v>
      </x:c>
      <x:c r="E28" s="48" t="e">
        <x:f>HYPERLINK("https://www.google.com/maps/dir/?api=1&amp;destination=%E6%9D%B1%E4%BA%AC%E9%83%BD%E5%BA%81%E5%B1%95%E6%9C%9B%E5%AE%A4&amp;travelmode=driving","ナビ開始")</x:f>
      </x:c>
      <x:c r="F28" s="27" t="str">
        <x:v>10〜20km</x:v>
      </x:c>
      <x:c r="G28" s="27" t="str">
        <x:v>蒲田から約18〜23km</x:v>
      </x:c>
      <x:c r="H28" s="27" t="str">
        <x:v>通常40〜65分</x:v>
      </x:c>
      <x:c r="I28" s="27" t="n">
        <x:v>5</x:v>
      </x:c>
      <x:c r="J28" s="27" t="n">
        <x:v>2</x:v>
      </x:c>
      <x:c r="K28" s="27" t="n">
        <x:v>5</x:v>
      </x:c>
      <x:c r="L28" s="27" t="n">
        <x:v>1</x:v>
      </x:c>
      <x:c r="M28" s="27" t="n">
        <x:v>4</x:v>
      </x:c>
      <x:c r="N28" s="27" t="n">
        <x:v>4</x:v>
      </x:c>
      <x:c r="O28" s="27" t="n">
        <x:v>75</x:v>
      </x:c>
      <x:c r="P28" s="27" t="n">
        <x:v>78</x:v>
      </x:c>
      <x:c r="Q28" s="27" t="n">
        <x:v>77</x:v>
      </x:c>
      <x:c r="R28" s="27" t="n">
        <x:v>54</x:v>
      </x:c>
      <x:c r="S28" s="27" t="n">
        <x:v>55</x:v>
      </x:c>
      <x:c r="T28" s="27" t="n">
        <x:v>54</x:v>
      </x:c>
      <x:c r="U28" s="27" t="n">
        <x:v>53</x:v>
      </x:c>
      <x:c r="V28" s="27" t="n">
        <x:v>89</x:v>
      </x:c>
      <x:c r="W28" s="27" t="n">
        <x:v>69</x:v>
      </x:c>
      <x:c r="X28" s="27" t="str">
        <x:v>休日半日／深夜2時間</x:v>
      </x:c>
      <x:c r="Y28" s="27" t="str">
        <x:v>出発前に閉場確認</x:v>
      </x:c>
      <x:c r="Z28" s="27" t="str">
        <x:v>用途限定で有効</x:v>
      </x:c>
      <x:c r="AA28" s="27" t="str">
        <x:v>無料で高層夜景を得られ、西新宿の建築群そのものがStoryになる。大田区からの都市ドライブの明確な終点。</x:v>
      </x:c>
      <x:c r="AB28" s="27" t="str">
        <x:v>22:00を過ぎると出庫不可。都庁通り入口8:30、公園通り入口8:00、入庫締切21:30。展望室休室・入場待ちを確認。</x:v>
      </x:c>
      <x:c r="AC28" s="27" t="str">
        <x:v>東京タワー</x:v>
      </x:c>
      <x:c r="AD28" s="27" t="str">
        <x:v>新宿NSビル／新宿御苑</x:v>
      </x:c>
      <x:c r="AE28" t="n">
        <x:v>3</x:v>
      </x:c>
      <x:c r="AF28" t="str">
        <x:v>B</x:v>
      </x:c>
    </x:row>
    <x:row r="29" ht="42" customHeight="1">
      <x:c r="A29" s="27" t="str">
        <x:v>D003</x:v>
      </x:c>
      <x:c r="B29" s="27" t="str">
        <x:v>羽田空港 第3ターミナル展望デッキ</x:v>
      </x:c>
      <x:c r="C29" s="27" t="str">
        <x:v>大田区・羽田</x:v>
      </x:c>
      <x:c r="D29" s="27" t="str">
        <x:v>飛行機・展望</x:v>
      </x:c>
      <x:c r="E29" s="48" t="e">
        <x:f>HYPERLINK("https://www.google.com/maps/dir/?api=1&amp;destination=%E7%BE%BD%E7%94%B0%E7%A9%BA%E6%B8%AF%20%E7%AC%AC3%E3%82%BF%E3%83%BC%E3%83%9F%E3%83%8A%E3%83%AB%E5%B1%95%E6%9C%9B%E3%83%87%E3%83%83%E3%82%AD&amp;travelmode=driving","ナビ開始")</x:f>
      </x:c>
      <x:c r="F29" s="27" t="str">
        <x:v>0〜10km</x:v>
      </x:c>
      <x:c r="G29" s="27" t="str">
        <x:v>概ね0〜10km</x:v>
      </x:c>
      <x:c r="H29" s="27" t="str">
        <x:v>通常10〜30分</x:v>
      </x:c>
      <x:c r="I29" s="27" t="n">
        <x:v>5</x:v>
      </x:c>
      <x:c r="J29" s="27" t="n">
        <x:v>2</x:v>
      </x:c>
      <x:c r="K29" s="27" t="n">
        <x:v>2</x:v>
      </x:c>
      <x:c r="L29" s="27" t="n">
        <x:v>4</x:v>
      </x:c>
      <x:c r="M29" s="27" t="n">
        <x:v>2</x:v>
      </x:c>
      <x:c r="N29" s="27" t="n">
        <x:v>5</x:v>
      </x:c>
      <x:c r="O29" s="27" t="n">
        <x:v>83</x:v>
      </x:c>
      <x:c r="P29" s="27" t="n">
        <x:v>83</x:v>
      </x:c>
      <x:c r="Q29" s="27" t="n">
        <x:v>59</x:v>
      </x:c>
      <x:c r="R29" s="27" t="n">
        <x:v>86</x:v>
      </x:c>
      <x:c r="S29" s="27" t="n">
        <x:v>58</x:v>
      </x:c>
      <x:c r="T29" s="27" t="n">
        <x:v>57</x:v>
      </x:c>
      <x:c r="U29" s="27" t="n">
        <x:v>51</x:v>
      </x:c>
      <x:c r="V29" s="27" t="n">
        <x:v>54</x:v>
      </x:c>
      <x:c r="W29" s="27" t="n">
        <x:v>68</x:v>
      </x:c>
      <x:c r="X29" s="27" t="str">
        <x:v>飛行機／平日夜90分</x:v>
      </x:c>
      <x:c r="Y29" s="27" t="str">
        <x:v>出発前に閉場確認</x:v>
      </x:c>
      <x:c r="Z29" s="27" t="str">
        <x:v>用途限定で有効</x:v>
      </x:c>
      <x:c r="AA29" s="27" t="str">
        <x:v>深夜でも滑走路灯火と航空機を楽しめる、安定性の高いEnding。</x:v>
      </x:c>
      <x:c r="AB29" s="27" t="str">
        <x:v>保安・悪天候・イベントで一時閉鎖の場合あり。多客期は駐車場混雑。</x:v>
      </x:c>
      <x:c r="AC29" s="27" t="str">
        <x:v>城南島海浜公園</x:v>
      </x:c>
      <x:c r="AD29" s="27" t="str">
        <x:v>京浜島つばさ公園／羽田空港 第3ターミナル展望デッキ</x:v>
      </x:c>
      <x:c r="AE29" t="n">
        <x:v>0</x:v>
      </x:c>
      <x:c r="AF29" t="str">
        <x:v>-</x:v>
      </x:c>
    </x:row>
    <x:row r="30" ht="42" customHeight="1">
      <x:c r="A30" s="27" t="str">
        <x:v>D181</x:v>
      </x:c>
      <x:c r="B30" s="27" t="str">
        <x:v>高洲海浜公園</x:v>
      </x:c>
      <x:c r="C30" s="27" t="str">
        <x:v>浦安市・高洲</x:v>
      </x:c>
      <x:c r="D30" s="27" t="str">
        <x:v>海・展望の丘・24時間駐車</x:v>
      </x:c>
      <x:c r="E30" s="48" t="e">
        <x:f>HYPERLINK("https://www.google.com/maps/dir/?api=1&amp;destination=%E9%AB%98%E6%B4%B2%E6%B5%B7%E6%B5%9C%E5%85%AC%E5%9C%92&amp;travelmode=driving","ナビ開始")</x:f>
      </x:c>
      <x:c r="F30" s="27" t="str">
        <x:v>20〜25km</x:v>
      </x:c>
      <x:c r="G30" s="27" t="str">
        <x:v>概ね20〜25km</x:v>
      </x:c>
      <x:c r="H30" s="27" t="str">
        <x:v>通常40〜70分</x:v>
      </x:c>
      <x:c r="I30" s="27" t="n">
        <x:v>5</x:v>
      </x:c>
      <x:c r="J30" s="27" t="n">
        <x:v>4</x:v>
      </x:c>
      <x:c r="K30" s="27" t="n">
        <x:v>1</x:v>
      </x:c>
      <x:c r="L30" s="27" t="n">
        <x:v>3</x:v>
      </x:c>
      <x:c r="M30" s="27" t="n">
        <x:v>4</x:v>
      </x:c>
      <x:c r="N30" s="27" t="n">
        <x:v>5</x:v>
      </x:c>
      <x:c r="O30" s="27" t="n">
        <x:v>81</x:v>
      </x:c>
      <x:c r="P30" s="27" t="n">
        <x:v>85</x:v>
      </x:c>
      <x:c r="Q30" s="27" t="n">
        <x:v>56</x:v>
      </x:c>
      <x:c r="R30" s="27" t="n">
        <x:v>56</x:v>
      </x:c>
      <x:c r="S30" s="27" t="n">
        <x:v>86</x:v>
      </x:c>
      <x:c r="T30" s="27" t="n">
        <x:v>55</x:v>
      </x:c>
      <x:c r="U30" s="27" t="n">
        <x:v>57</x:v>
      </x:c>
      <x:c r="V30" s="27" t="n">
        <x:v>59</x:v>
      </x:c>
      <x:c r="W30" s="27" t="n">
        <x:v>68</x:v>
      </x:c>
      <x:c r="X30" s="27" t="str">
        <x:v>海・港／深夜2時間</x:v>
      </x:c>
      <x:c r="Y30" s="27" t="str">
        <x:v>出発前に閉場確認</x:v>
      </x:c>
      <x:c r="Z30" s="27" t="str">
        <x:v>用途限定で有効</x:v>
      </x:c>
      <x:c r="AA30" s="27" t="str">
        <x:v>芝生、展望の丘、テラス式海岸を備え、東京湾の風と新浦安の街明かりを安全な駐車場から楽しめる。</x:v>
      </x:c>
      <x:c r="AB30" s="27" t="str">
        <x:v>海沿いは強風になりやすい。火気禁止。深夜は住宅地側への騒音と長時間滞在を避ける。</x:v>
      </x:c>
      <x:c r="AC30" s="27" t="str">
        <x:v>城南島海浜公園</x:v>
      </x:c>
      <x:c r="AD30" s="27" t="str">
        <x:v>潮風公園／晴海ふ頭公園</x:v>
      </x:c>
      <x:c r="AE30" t="n">
        <x:v>0</x:v>
      </x:c>
      <x:c r="AF30" t="str">
        <x:v>-</x:v>
      </x:c>
    </x:row>
    <x:row r="31" ht="42" customHeight="1">
      <x:c r="A31" s="27" t="str">
        <x:v>D267</x:v>
      </x:c>
      <x:c r="B31" s="27" t="str">
        <x:v>東京シティ競馬 大井競馬場</x:v>
      </x:c>
      <x:c r="C31" s="27" t="str">
        <x:v>品川区・勝島</x:v>
      </x:c>
      <x:c r="D31" s="27" t="str">
        <x:v>ナイター競馬・照明・昭和娯楽Story</x:v>
      </x:c>
      <x:c r="E31" s="48" t="e">
        <x:f>HYPERLINK("https://www.google.com/maps/dir/?api=1&amp;destination=%E6%9D%B1%E4%BA%AC%E3%82%B7%E3%83%86%E3%82%A3%E7%AB%B6%E9%A6%AC%20%E5%A4%A7%E4%BA%95%E7%AB%B6%E9%A6%AC%E5%A0%B4&amp;travelmode=driving","ナビ開始")</x:f>
      </x:c>
      <x:c r="F31" s="27" t="str">
        <x:v>0〜10km</x:v>
      </x:c>
      <x:c r="G31" s="27" t="str">
        <x:v>蒲田から約7〜10km</x:v>
      </x:c>
      <x:c r="H31" s="27" t="str">
        <x:v>通常20〜35分</x:v>
      </x:c>
      <x:c r="I31" s="27" t="n">
        <x:v>5</x:v>
      </x:c>
      <x:c r="J31" s="27" t="n">
        <x:v>2</x:v>
      </x:c>
      <x:c r="K31" s="27" t="n">
        <x:v>3</x:v>
      </x:c>
      <x:c r="L31" s="27" t="n">
        <x:v>2</x:v>
      </x:c>
      <x:c r="M31" s="27" t="n">
        <x:v>4</x:v>
      </x:c>
      <x:c r="N31" s="27" t="n">
        <x:v>1</x:v>
      </x:c>
      <x:c r="O31" s="27" t="n">
        <x:v>73</x:v>
      </x:c>
      <x:c r="P31" s="27" t="n">
        <x:v>71</x:v>
      </x:c>
      <x:c r="Q31" s="27" t="n">
        <x:v>62</x:v>
      </x:c>
      <x:c r="R31" s="27" t="n">
        <x:v>60</x:v>
      </x:c>
      <x:c r="S31" s="27" t="n">
        <x:v>60</x:v>
      </x:c>
      <x:c r="T31" s="27" t="n">
        <x:v>59</x:v>
      </x:c>
      <x:c r="U31" s="27" t="n">
        <x:v>57</x:v>
      </x:c>
      <x:c r="V31" s="27" t="n">
        <x:v>89</x:v>
      </x:c>
      <x:c r="W31" s="27" t="n">
        <x:v>68</x:v>
      </x:c>
      <x:c r="X31" s="27" t="str">
        <x:v>休日半日／平日夜90分</x:v>
      </x:c>
      <x:c r="Y31" s="27" t="str">
        <x:v>出発前に閉場確認</x:v>
      </x:c>
      <x:c r="Z31" s="27" t="str">
        <x:v>用途限定で有効</x:v>
      </x:c>
      <x:c r="AA31" s="27" t="str">
        <x:v>照明、歓声、厩舎文化、運河沿いの巨大施設が一体となる。開催日は単なる観光地ではない強い夜の最終目的地になる。</x:v>
      </x:c>
      <x:c r="AB31" s="27" t="str">
        <x:v>非開催日は目的地として成立しにくい。繁忙日は完全予約制や料金変更あり。飲酒運転厳禁。</x:v>
      </x:c>
      <x:c r="AC31" s="27" t="str">
        <x:v>しながわ区民公園</x:v>
      </x:c>
      <x:c r="AD31" s="27" t="str">
        <x:v>品川歴史館／大井ふ頭中央海浜公園</x:v>
      </x:c>
      <x:c r="AE31" t="n">
        <x:v>0</x:v>
      </x:c>
      <x:c r="AF31" t="str">
        <x:v>-</x:v>
      </x:c>
    </x:row>
    <x:row r="32" ht="42" customHeight="1">
      <x:c r="A32" s="27" t="str">
        <x:v>D268</x:v>
      </x:c>
      <x:c r="B32" s="27" t="str">
        <x:v>東京タワー</x:v>
      </x:c>
      <x:c r="C32" s="27" t="str">
        <x:v>港区・芝公園</x:v>
      </x:c>
      <x:c r="D32" s="27" t="str">
        <x:v>展望・建築・放送塔Story・夜景</x:v>
      </x:c>
      <x:c r="E32" s="48" t="e">
        <x:f>HYPERLINK("https://www.google.com/maps/dir/?api=1&amp;destination=%E6%9D%B1%E4%BA%AC%E3%82%BF%E3%83%AF%E3%83%BC&amp;travelmode=driving","ナビ開始")</x:f>
      </x:c>
      <x:c r="F32" s="27" t="str">
        <x:v>10〜20km</x:v>
      </x:c>
      <x:c r="G32" s="27" t="str">
        <x:v>蒲田から約13〜17km</x:v>
      </x:c>
      <x:c r="H32" s="27" t="str">
        <x:v>通常30〜50分</x:v>
      </x:c>
      <x:c r="I32" s="27" t="n">
        <x:v>5</x:v>
      </x:c>
      <x:c r="J32" s="27" t="n">
        <x:v>1</x:v>
      </x:c>
      <x:c r="K32" s="27" t="n">
        <x:v>5</x:v>
      </x:c>
      <x:c r="L32" s="27" t="n">
        <x:v>2</x:v>
      </x:c>
      <x:c r="M32" s="27" t="n">
        <x:v>4</x:v>
      </x:c>
      <x:c r="N32" s="27" t="n">
        <x:v>5</x:v>
      </x:c>
      <x:c r="O32" s="27" t="n">
        <x:v>78</x:v>
      </x:c>
      <x:c r="P32" s="27" t="n">
        <x:v>83</x:v>
      </x:c>
      <x:c r="Q32" s="27" t="n">
        <x:v>79</x:v>
      </x:c>
      <x:c r="R32" s="27" t="n">
        <x:v>55</x:v>
      </x:c>
      <x:c r="S32" s="27" t="n">
        <x:v>56</x:v>
      </x:c>
      <x:c r="T32" s="27" t="n">
        <x:v>56</x:v>
      </x:c>
      <x:c r="U32" s="27" t="n">
        <x:v>49</x:v>
      </x:c>
      <x:c r="V32" s="27" t="n">
        <x:v>75</x:v>
      </x:c>
      <x:c r="W32" s="27" t="n">
        <x:v>68</x:v>
      </x:c>
      <x:c r="X32" s="27" t="str">
        <x:v>深夜2時間／雨天</x:v>
      </x:c>
      <x:c r="Y32" s="27" t="str">
        <x:v>出発前に閉場確認</x:v>
      </x:c>
      <x:c r="Z32" s="27" t="str">
        <x:v>用途限定で有効</x:v>
      </x:c>
      <x:c r="AA32" s="27" t="str">
        <x:v>大田区から1時間以内で、東京の象徴的建築と360度夜景を確実に回収できる。王道だが最終目的地力は非常に高い。</x:v>
      </x:c>
      <x:c r="AB32" s="27" t="str">
        <x:v>地下駐車場は2026年6月1日以降、営業見合わせ中。地上駐車場満車時は近隣駐車場へ。最終入場22:30を過ぎたら外観鑑賞ルートへ変更。</x:v>
      </x:c>
      <x:c r="AC32" s="27" t="str">
        <x:v>東京都庁展望室</x:v>
      </x:c>
      <x:c r="AD32" s="27" t="str">
        <x:v>品川シーズンテラス／東京ミッドタウン</x:v>
      </x:c>
      <x:c r="AE32" t="n">
        <x:v>5</x:v>
      </x:c>
      <x:c r="AF32" t="str">
        <x:v>A</x:v>
      </x:c>
    </x:row>
    <x:row r="33" ht="42" customHeight="1">
      <x:c r="A33" s="27" t="str">
        <x:v>D063</x:v>
      </x:c>
      <x:c r="B33" s="27" t="str">
        <x:v>芝浦PA</x:v>
      </x:c>
      <x:c r="C33" s="27" t="str">
        <x:v>港区・海岸</x:v>
      </x:c>
      <x:c r="D33" s="27" t="str">
        <x:v>PA・高架・都市夜景</x:v>
      </x:c>
      <x:c r="E33" s="48" t="e">
        <x:f>HYPERLINK("https://www.google.com/maps/dir/?api=1&amp;destination=%E8%8A%9D%E6%B5%A6PA&amp;travelmode=driving","ナビ開始")</x:f>
      </x:c>
      <x:c r="F33" s="27" t="str">
        <x:v>10〜20km</x:v>
      </x:c>
      <x:c r="G33" s="27" t="str">
        <x:v>概ね10〜20km</x:v>
      </x:c>
      <x:c r="H33" s="27" t="str">
        <x:v>通常25〜50分</x:v>
      </x:c>
      <x:c r="I33" s="27" t="n">
        <x:v>4</x:v>
      </x:c>
      <x:c r="J33" s="27" t="n">
        <x:v>3</x:v>
      </x:c>
      <x:c r="K33" s="27" t="n">
        <x:v>4</x:v>
      </x:c>
      <x:c r="L33" s="27" t="n">
        <x:v>4</x:v>
      </x:c>
      <x:c r="M33" s="27" t="n">
        <x:v>4</x:v>
      </x:c>
      <x:c r="N33" s="27" t="n">
        <x:v>5</x:v>
      </x:c>
      <x:c r="O33" s="27" t="n">
        <x:v>81</x:v>
      </x:c>
      <x:c r="P33" s="27" t="n">
        <x:v>83</x:v>
      </x:c>
      <x:c r="Q33" s="27" t="n">
        <x:v>80</x:v>
      </x:c>
      <x:c r="R33" s="27" t="n">
        <x:v>58</x:v>
      </x:c>
      <x:c r="S33" s="27" t="n">
        <x:v>58</x:v>
      </x:c>
      <x:c r="T33" s="27" t="n">
        <x:v>56</x:v>
      </x:c>
      <x:c r="U33" s="27" t="n">
        <x:v>55</x:v>
      </x:c>
      <x:c r="V33" s="27" t="n">
        <x:v>60</x:v>
      </x:c>
      <x:c r="W33" s="27" t="n">
        <x:v>67</x:v>
      </x:c>
      <x:c r="X33" s="27" t="str">
        <x:v>深夜2時間／平日夜90分</x:v>
      </x:c>
      <x:c r="Y33" s="27" t="str">
        <x:v>出発前に閉場確認</x:v>
      </x:c>
      <x:c r="Z33" s="27" t="str">
        <x:v>用途限定で有効</x:v>
      </x:c>
      <x:c r="AA33" s="27" t="str">
        <x:v>レインボーブリッジ手前の高架空間で、都心湾岸ルートの余韻を短く残せる。</x:v>
      </x:c>
      <x:c r="AB33" s="27" t="str">
        <x:v>閉鎖措置が入りやすい。満車時は通過し、待機しない。</x:v>
      </x:c>
      <x:c r="AC33" s="27" t="str">
        <x:v>羽田空港 第3ターミナル展望デッキ</x:v>
      </x:c>
      <x:c r="AD33" s="27" t="str">
        <x:v>城南島海浜公園／潮風公園</x:v>
      </x:c>
      <x:c r="AE33" t="n">
        <x:v>0</x:v>
      </x:c>
      <x:c r="AF33" t="str">
        <x:v>-</x:v>
      </x:c>
    </x:row>
    <x:row r="34" ht="42" customHeight="1">
      <x:c r="A34" s="27" t="str">
        <x:v>D266</x:v>
      </x:c>
      <x:c r="B34" s="27" t="str">
        <x:v>八潮北公園</x:v>
      </x:c>
      <x:c r="C34" s="27" t="str">
        <x:v>品川区・八潮</x:v>
      </x:c>
      <x:c r="D34" s="27" t="str">
        <x:v>スケート・湾岸高架・工業景観</x:v>
      </x:c>
      <x:c r="E34" s="48" t="e">
        <x:f>HYPERLINK("https://www.google.com/maps/dir/?api=1&amp;destination=%E5%85%AB%E6%BD%AE%E5%8C%97%E5%85%AC%E5%9C%92&amp;travelmode=driving","ナビ開始")</x:f>
      </x:c>
      <x:c r="F34" s="27" t="str">
        <x:v>10〜20km</x:v>
      </x:c>
      <x:c r="G34" s="27" t="str">
        <x:v>蒲田から約9〜13km</x:v>
      </x:c>
      <x:c r="H34" s="27" t="str">
        <x:v>通常20〜40分</x:v>
      </x:c>
      <x:c r="I34" s="27" t="n">
        <x:v>4</x:v>
      </x:c>
      <x:c r="J34" s="27" t="n">
        <x:v>5</x:v>
      </x:c>
      <x:c r="K34" s="27" t="n">
        <x:v>1</x:v>
      </x:c>
      <x:c r="L34" s="27" t="n">
        <x:v>3</x:v>
      </x:c>
      <x:c r="M34" s="27" t="n">
        <x:v>4</x:v>
      </x:c>
      <x:c r="N34" s="27" t="n">
        <x:v>3</x:v>
      </x:c>
      <x:c r="O34" s="27" t="n">
        <x:v>77</x:v>
      </x:c>
      <x:c r="P34" s="27" t="n">
        <x:v>75</x:v>
      </x:c>
      <x:c r="Q34" s="27" t="n">
        <x:v>57</x:v>
      </x:c>
      <x:c r="R34" s="27" t="n">
        <x:v>58</x:v>
      </x:c>
      <x:c r="S34" s="27" t="n">
        <x:v>58</x:v>
      </x:c>
      <x:c r="T34" s="27" t="n">
        <x:v>86</x:v>
      </x:c>
      <x:c r="U34" s="27" t="n">
        <x:v>63</x:v>
      </x:c>
      <x:c r="V34" s="27" t="n">
        <x:v>61</x:v>
      </x:c>
      <x:c r="W34" s="27" t="n">
        <x:v>67</x:v>
      </x:c>
      <x:c r="X34" s="27" t="str">
        <x:v>工場夜景／平日夜90分</x:v>
      </x:c>
      <x:c r="Y34" s="27" t="str">
        <x:v>出発前に閉場確認</x:v>
      </x:c>
      <x:c r="Z34" s="27" t="str">
        <x:v>用途限定で有効</x:v>
      </x:c>
      <x:c r="AA34" s="27" t="str">
        <x:v>首都高と物流街区の下でスケート施設や運動施設が成立する、東京湾岸らしい都市インフラ型の穴場経由地。</x:v>
      </x:c>
      <x:c r="AB34" s="27" t="str">
        <x:v>スケート場・球技利用で混雑。施設休場日と大会予定を確認。夜間は利用範囲と照明区域を守る。</x:v>
      </x:c>
      <x:c r="AC34" s="27" t="str">
        <x:v>大井ふ頭中央海浜公園</x:v>
      </x:c>
      <x:c r="AD34" s="27" t="str">
        <x:v>天王洲公園／品川シーズンテラス</x:v>
      </x:c>
      <x:c r="AE34" t="n">
        <x:v>0</x:v>
      </x:c>
      <x:c r="AF34" t="str">
        <x:v>-</x:v>
      </x:c>
    </x:row>
    <x:row r="35" ht="42" customHeight="1">
      <x:c r="A35" s="27" t="str">
        <x:v>D116</x:v>
      </x:c>
      <x:c r="B35" s="27" t="str">
        <x:v>大師公園</x:v>
      </x:c>
      <x:c r="C35" s="27" t="str">
        <x:v>川崎市・川崎区</x:v>
      </x:c>
      <x:c r="D35" s="27" t="str">
        <x:v>大規模公園・Story・近距離</x:v>
      </x:c>
      <x:c r="E35" s="48" t="e">
        <x:f>HYPERLINK("https://www.google.com/maps/dir/?api=1&amp;destination=%E5%A4%A7%E5%B8%AB%E5%85%AC%E5%9C%92&amp;travelmode=driving","ナビ開始")</x:f>
      </x:c>
      <x:c r="F35" s="27" t="str">
        <x:v>0〜10km</x:v>
      </x:c>
      <x:c r="G35" s="27" t="str">
        <x:v>概ね0〜10km</x:v>
      </x:c>
      <x:c r="H35" s="27" t="str">
        <x:v>通常10〜30分</x:v>
      </x:c>
      <x:c r="I35" s="27" t="n">
        <x:v>3</x:v>
      </x:c>
      <x:c r="J35" s="27" t="n">
        <x:v>3</x:v>
      </x:c>
      <x:c r="K35" s="27" t="n">
        <x:v>1</x:v>
      </x:c>
      <x:c r="L35" s="27" t="n">
        <x:v>1</x:v>
      </x:c>
      <x:c r="M35" s="27" t="n">
        <x:v>4</x:v>
      </x:c>
      <x:c r="N35" s="27" t="n">
        <x:v>5</x:v>
      </x:c>
      <x:c r="O35" s="27" t="n">
        <x:v>75</x:v>
      </x:c>
      <x:c r="P35" s="27" t="n">
        <x:v>74</x:v>
      </x:c>
      <x:c r="Q35" s="27" t="n">
        <x:v>56</x:v>
      </x:c>
      <x:c r="R35" s="27" t="n">
        <x:v>53</x:v>
      </x:c>
      <x:c r="S35" s="27" t="n">
        <x:v>51</x:v>
      </x:c>
      <x:c r="T35" s="27" t="n">
        <x:v>49</x:v>
      </x:c>
      <x:c r="U35" s="27" t="n">
        <x:v>85</x:v>
      </x:c>
      <x:c r="V35" s="27" t="n">
        <x:v>73</x:v>
      </x:c>
      <x:c r="W35" s="27" t="n">
        <x:v>66</x:v>
      </x:c>
      <x:c r="X35" s="27" t="str">
        <x:v>静かな場所／平日夜90分</x:v>
      </x:c>
      <x:c r="Y35" s="27" t="str">
        <x:v>出発前に閉場確認</x:v>
      </x:c>
      <x:c r="Z35" s="27" t="str">
        <x:v>用途限定で有効</x:v>
      </x:c>
      <x:c r="AA35" s="27" t="str">
        <x:v>川崎大師周辺の街並みと公園を組み合わせ、短距離のStory Layerとして使える。</x:v>
      </x:c>
      <x:c r="AB35" s="27" t="str">
        <x:v>祭事日は道路規制と大混雑。路上駐車禁止。</x:v>
      </x:c>
      <x:c r="AC35" s="27" t="str">
        <x:v>平和の森公園</x:v>
      </x:c>
      <x:c r="AD35" s="27" t="str">
        <x:v>大森ふるさとの浜辺公園／森ケ崎公園</x:v>
      </x:c>
      <x:c r="AE35" t="n">
        <x:v>0</x:v>
      </x:c>
      <x:c r="AF35" t="str">
        <x:v>-</x:v>
      </x:c>
    </x:row>
    <x:row r="36" ht="42" customHeight="1">
      <x:c r="A36" s="27" t="str">
        <x:v>D260</x:v>
      </x:c>
      <x:c r="B36" s="27" t="str">
        <x:v>萩中公園</x:v>
      </x:c>
      <x:c r="C36" s="27" t="str">
        <x:v>大田区・萩中</x:v>
      </x:c>
      <x:c r="D36" s="27" t="str">
        <x:v>交通公園・SL・プール・家族Story</x:v>
      </x:c>
      <x:c r="E36" s="48" t="e">
        <x:f>HYPERLINK("https://www.google.com/maps/dir/?api=1&amp;destination=%E8%90%A9%E4%B8%AD%E5%85%AC%E5%9C%92&amp;travelmode=driving","ナビ開始")</x:f>
      </x:c>
      <x:c r="F36" s="27" t="str">
        <x:v>0〜10km</x:v>
      </x:c>
      <x:c r="G36" s="27" t="str">
        <x:v>蒲田から約3〜6km</x:v>
      </x:c>
      <x:c r="H36" s="27" t="str">
        <x:v>通常10〜20分</x:v>
      </x:c>
      <x:c r="I36" s="27" t="n">
        <x:v>4</x:v>
      </x:c>
      <x:c r="J36" s="27" t="n">
        <x:v>3</x:v>
      </x:c>
      <x:c r="K36" s="27" t="n">
        <x:v>3</x:v>
      </x:c>
      <x:c r="L36" s="27" t="n">
        <x:v>2</x:v>
      </x:c>
      <x:c r="M36" s="27" t="n">
        <x:v>2</x:v>
      </x:c>
      <x:c r="N36" s="27" t="n">
        <x:v>5</x:v>
      </x:c>
      <x:c r="O36" s="27" t="n">
        <x:v>76</x:v>
      </x:c>
      <x:c r="P36" s="27" t="n">
        <x:v>74</x:v>
      </x:c>
      <x:c r="Q36" s="27" t="n">
        <x:v>64</x:v>
      </x:c>
      <x:c r="R36" s="27" t="n">
        <x:v>52</x:v>
      </x:c>
      <x:c r="S36" s="27" t="n">
        <x:v>51</x:v>
      </x:c>
      <x:c r="T36" s="27" t="n">
        <x:v>49</x:v>
      </x:c>
      <x:c r="U36" s="27" t="n">
        <x:v>81</x:v>
      </x:c>
      <x:c r="V36" s="27" t="n">
        <x:v>71</x:v>
      </x:c>
      <x:c r="W36" s="27" t="n">
        <x:v>66</x:v>
      </x:c>
      <x:c r="X36" s="27" t="str">
        <x:v>静かな場所／平日夜90分</x:v>
      </x:c>
      <x:c r="Y36" s="27" t="str">
        <x:v>出発前に閉場確認</x:v>
      </x:c>
      <x:c r="Z36" s="27" t="str">
        <x:v>用途限定で有効</x:v>
      </x:c>
      <x:c r="AA36" s="27" t="str">
        <x:v>蒸気機関車や路面電車、交通公園、屋内外プールがまとまり、飛行機以外の羽田周辺Storyを作れる近距離の大型公園。</x:v>
      </x:c>
      <x:c r="AB36" s="27" t="str">
        <x:v>夜間は公園・駐車のみ成立し、保存車両・交通公園・遊具Storyは17時までが主力。土日祝は駐車場混雑。プール利用者専用駐車場ではない。</x:v>
      </x:c>
      <x:c r="AC36" s="27" t="str">
        <x:v>東糀谷防災公園</x:v>
      </x:c>
      <x:c r="AD36" s="27" t="str">
        <x:v>HANEDA INNOVATION CITY 足湯スカイデッキ／穴守稲荷神社</x:v>
      </x:c>
      <x:c r="AE36" t="n">
        <x:v>0</x:v>
      </x:c>
      <x:c r="AF36" t="str">
        <x:v>-</x:v>
      </x:c>
    </x:row>
    <x:row r="37" ht="42" customHeight="1">
      <x:c r="A37" s="27" t="str">
        <x:v>D263</x:v>
      </x:c>
      <x:c r="B37" s="27" t="str">
        <x:v>東糀谷防災公園</x:v>
      </x:c>
      <x:c r="C37" s="27" t="str">
        <x:v>大田区・東糀谷</x:v>
      </x:c>
      <x:c r="D37" s="27" t="str">
        <x:v>防災公園・ビオトープ・都市インフラ</x:v>
      </x:c>
      <x:c r="E37" s="48" t="e">
        <x:f>HYPERLINK("https://www.google.com/maps/dir/?api=1&amp;destination=%E6%9D%B1%E7%B3%80%E8%B0%B7%E9%98%B2%E7%81%BD%E5%85%AC%E5%9C%92&amp;travelmode=driving","ナビ開始")</x:f>
      </x:c>
      <x:c r="F37" s="27" t="str">
        <x:v>0〜10km</x:v>
      </x:c>
      <x:c r="G37" s="27" t="str">
        <x:v>蒲田から約4〜7km</x:v>
      </x:c>
      <x:c r="H37" s="27" t="str">
        <x:v>通常15〜25分</x:v>
      </x:c>
      <x:c r="I37" s="27" t="n">
        <x:v>4</x:v>
      </x:c>
      <x:c r="J37" s="27" t="n">
        <x:v>5</x:v>
      </x:c>
      <x:c r="K37" s="27" t="n">
        <x:v>1</x:v>
      </x:c>
      <x:c r="L37" s="27" t="n">
        <x:v>3</x:v>
      </x:c>
      <x:c r="M37" s="27" t="n">
        <x:v>2</x:v>
      </x:c>
      <x:c r="N37" s="27" t="n">
        <x:v>5</x:v>
      </x:c>
      <x:c r="O37" s="27" t="n">
        <x:v>82</x:v>
      </x:c>
      <x:c r="P37" s="27" t="n">
        <x:v>78</x:v>
      </x:c>
      <x:c r="Q37" s="27" t="n">
        <x:v>56</x:v>
      </x:c>
      <x:c r="R37" s="27" t="n">
        <x:v>56</x:v>
      </x:c>
      <x:c r="S37" s="27" t="n">
        <x:v>55</x:v>
      </x:c>
      <x:c r="T37" s="27" t="n">
        <x:v>51</x:v>
      </x:c>
      <x:c r="U37" s="27" t="n">
        <x:v>89</x:v>
      </x:c>
      <x:c r="V37" s="27" t="n">
        <x:v>57</x:v>
      </x:c>
      <x:c r="W37" s="27" t="n">
        <x:v>66</x:v>
      </x:c>
      <x:c r="X37" s="27" t="str">
        <x:v>静かな場所／平日夜90分</x:v>
      </x:c>
      <x:c r="Y37" s="27" t="str">
        <x:v>出発前に閉場確認</x:v>
      </x:c>
      <x:c r="Z37" s="27" t="str">
        <x:v>用途限定で有効</x:v>
      </x:c>
      <x:c r="AA37" s="27" t="str">
        <x:v>24時間駐車できる小規模防災公園で、羽田周辺の短時間経由地として使いやすい。防災設備とビオトープという明確なStoryがある。</x:v>
      </x:c>
      <x:c r="AB37" s="27" t="str">
        <x:v>駐車枠は合計10台だが一般枠は9台。満車時は待たずに萩中公園またはHICへ切替。災害時は防災拠点として一般利用制限の可能性あり。</x:v>
      </x:c>
      <x:c r="AC37" s="27" t="str">
        <x:v>萩中公園</x:v>
      </x:c>
      <x:c r="AD37" s="27" t="str">
        <x:v>HANEDA INNOVATION CITY 足湯スカイデッキ／森ケ崎公園</x:v>
      </x:c>
      <x:c r="AE37" t="n">
        <x:v>0</x:v>
      </x:c>
      <x:c r="AF37" t="str">
        <x:v>-</x:v>
      </x:c>
    </x:row>
    <x:row r="38" ht="42" customHeight="1">
      <x:c r="A38" s="27" t="str">
        <x:v>D265</x:v>
      </x:c>
      <x:c r="B38" s="27" t="str">
        <x:v>天王洲公園</x:v>
      </x:c>
      <x:c r="C38" s="27" t="str">
        <x:v>品川区・東品川</x:v>
      </x:c>
      <x:c r="D38" s="27" t="str">
        <x:v>運河・倉庫街・スポーツ・アート街区</x:v>
      </x:c>
      <x:c r="E38" s="48" t="e">
        <x:f>HYPERLINK("https://www.google.com/maps/dir/?api=1&amp;destination=%E5%A4%A9%E7%8E%8B%E6%B4%B2%E5%85%AC%E5%9C%92&amp;travelmode=driving","ナビ開始")</x:f>
      </x:c>
      <x:c r="F38" s="27" t="str">
        <x:v>10〜20km</x:v>
      </x:c>
      <x:c r="G38" s="27" t="str">
        <x:v>蒲田から約10〜14km</x:v>
      </x:c>
      <x:c r="H38" s="27" t="str">
        <x:v>通常25〜40分</x:v>
      </x:c>
      <x:c r="I38" s="27" t="n">
        <x:v>4</x:v>
      </x:c>
      <x:c r="J38" s="27" t="n">
        <x:v>3</x:v>
      </x:c>
      <x:c r="K38" s="27" t="n">
        <x:v>2</x:v>
      </x:c>
      <x:c r="L38" s="27" t="n">
        <x:v>2</x:v>
      </x:c>
      <x:c r="M38" s="27" t="n">
        <x:v>4</x:v>
      </x:c>
      <x:c r="N38" s="27" t="n">
        <x:v>5</x:v>
      </x:c>
      <x:c r="O38" s="27" t="n">
        <x:v>77</x:v>
      </x:c>
      <x:c r="P38" s="27" t="n">
        <x:v>79</x:v>
      </x:c>
      <x:c r="Q38" s="27" t="n">
        <x:v>62</x:v>
      </x:c>
      <x:c r="R38" s="27" t="n">
        <x:v>54</x:v>
      </x:c>
      <x:c r="S38" s="27" t="n">
        <x:v>82</x:v>
      </x:c>
      <x:c r="T38" s="27" t="n">
        <x:v>52</x:v>
      </x:c>
      <x:c r="U38" s="27" t="n">
        <x:v>55</x:v>
      </x:c>
      <x:c r="V38" s="27" t="n">
        <x:v>58</x:v>
      </x:c>
      <x:c r="W38" s="27" t="n">
        <x:v>66</x:v>
      </x:c>
      <x:c r="X38" s="27" t="str">
        <x:v>海・港／深夜2時間</x:v>
      </x:c>
      <x:c r="Y38" s="27" t="str">
        <x:v>出発前に閉場確認</x:v>
      </x:c>
      <x:c r="Z38" s="27" t="str">
        <x:v>用途限定で有効</x:v>
      </x:c>
      <x:c r="AA38" s="27" t="str">
        <x:v>天王洲運河と倉庫街再生の空気を味わえ、都心湾岸へ入る前の短時間経由地として使える。夜は橋・運河・高層建築の対比が出る。</x:v>
      </x:c>
      <x:c r="AB38" s="27" t="str">
        <x:v>イベント・大会日は駐車混雑。運河沿いは強風時に体感が悪化。アート施設や店舗の営業時間は個別確認。</x:v>
      </x:c>
      <x:c r="AC38" s="27" t="str">
        <x:v>東品川海上公園</x:v>
      </x:c>
      <x:c r="AD38" s="27" t="str">
        <x:v>品川シーズンテラス／八潮北公園</x:v>
      </x:c>
      <x:c r="AE38" t="n">
        <x:v>3</x:v>
      </x:c>
      <x:c r="AF38" t="str">
        <x:v>B</x:v>
      </x:c>
    </x:row>
    <x:row r="39" ht="42" customHeight="1">
      <x:c r="A39" s="27" t="str">
        <x:v>D270</x:v>
      </x:c>
      <x:c r="B39" s="27" t="str">
        <x:v>六本木ヒルズ 東京シティビュー</x:v>
      </x:c>
      <x:c r="C39" s="27" t="str">
        <x:v>港区・六本木</x:v>
      </x:c>
      <x:c r="D39" s="27" t="str">
        <x:v>高層展望・現代都市・美術</x:v>
      </x:c>
      <x:c r="E39" s="48" t="e">
        <x:f>HYPERLINK("https://www.google.com/maps/dir/?api=1&amp;destination=%E5%85%AD%E6%9C%AC%E6%9C%A8%E3%83%92%E3%83%AB%E3%82%BA%20%E6%9D%B1%E4%BA%AC%E3%82%B7%E3%83%86%E3%82%A3%E3%83%93%E3%83%A5%E3%83%BC&amp;travelmode=driving","ナビ開始")</x:f>
      </x:c>
      <x:c r="F39" s="27" t="str">
        <x:v>10〜20km</x:v>
      </x:c>
      <x:c r="G39" s="27" t="str">
        <x:v>蒲田から約15〜19km</x:v>
      </x:c>
      <x:c r="H39" s="27" t="str">
        <x:v>通常35〜60分</x:v>
      </x:c>
      <x:c r="I39" s="27" t="n">
        <x:v>5</x:v>
      </x:c>
      <x:c r="J39" s="27" t="n">
        <x:v>1</x:v>
      </x:c>
      <x:c r="K39" s="27" t="n">
        <x:v>5</x:v>
      </x:c>
      <x:c r="L39" s="27" t="n">
        <x:v>1</x:v>
      </x:c>
      <x:c r="M39" s="27" t="n">
        <x:v>5</x:v>
      </x:c>
      <x:c r="N39" s="27" t="n">
        <x:v>4</x:v>
      </x:c>
      <x:c r="O39" s="27" t="n">
        <x:v>76</x:v>
      </x:c>
      <x:c r="P39" s="27" t="n">
        <x:v>81</x:v>
      </x:c>
      <x:c r="Q39" s="27" t="n">
        <x:v>79</x:v>
      </x:c>
      <x:c r="R39" s="27" t="n">
        <x:v>56</x:v>
      </x:c>
      <x:c r="S39" s="27" t="n">
        <x:v>57</x:v>
      </x:c>
      <x:c r="T39" s="27" t="n">
        <x:v>57</x:v>
      </x:c>
      <x:c r="U39" s="27" t="n">
        <x:v>52</x:v>
      </x:c>
      <x:c r="V39" s="27" t="n">
        <x:v>62</x:v>
      </x:c>
      <x:c r="W39" s="27" t="n">
        <x:v>66</x:v>
      </x:c>
      <x:c r="X39" s="27" t="str">
        <x:v>深夜2時間／雨天</x:v>
      </x:c>
      <x:c r="Y39" s="27" t="str">
        <x:v>出発前に閉場確認</x:v>
      </x:c>
      <x:c r="Z39" s="27" t="str">
        <x:v>用途限定で有効</x:v>
      </x:c>
      <x:c r="AA39" s="27" t="str">
        <x:v>52階から東京タワーと都心を正面に見る構図が強く、建築・展望・美術を一体化した夜の最終目的地になる。</x:v>
      </x:c>
      <x:c r="AB39" s="27" t="str">
        <x:v>2026年7月29日現在は休館中。8月1日再開予定。企画展切替・貸切で営業時間変更あり。</x:v>
      </x:c>
      <x:c r="AC39" s="27" t="str">
        <x:v>東京タワー</x:v>
      </x:c>
      <x:c r="AD39" s="27" t="str">
        <x:v>東京ミッドタウン／東京都庁展望室</x:v>
      </x:c>
      <x:c r="AE39" t="n">
        <x:v>0</x:v>
      </x:c>
      <x:c r="AF39" t="str">
        <x:v>-</x:v>
      </x:c>
    </x:row>
    <x:row r="40" ht="42" customHeight="1">
      <x:c r="A40" s="27" t="str">
        <x:v>D006</x:v>
      </x:c>
      <x:c r="B40" s="27" t="str">
        <x:v>若洲海浜公園</x:v>
      </x:c>
      <x:c r="C40" s="27" t="str">
        <x:v>江東区・若洲</x:v>
      </x:c>
      <x:c r="D40" s="27" t="str">
        <x:v>橋・海・港</x:v>
      </x:c>
      <x:c r="E40" s="48" t="e">
        <x:f>HYPERLINK("https://www.google.com/maps/dir/?api=1&amp;destination=%E8%8B%A5%E6%B4%B2%E6%B5%B7%E6%B5%9C%E5%85%AC%E5%9C%92&amp;travelmode=driving","ナビ開始")</x:f>
      </x:c>
      <x:c r="F40" s="27" t="str">
        <x:v>10〜20km</x:v>
      </x:c>
      <x:c r="G40" s="27" t="str">
        <x:v>概ね10〜20km</x:v>
      </x:c>
      <x:c r="H40" s="27" t="str">
        <x:v>通常25〜50分</x:v>
      </x:c>
      <x:c r="I40" s="27" t="n">
        <x:v>4</x:v>
      </x:c>
      <x:c r="J40" s="27" t="n">
        <x:v>3</x:v>
      </x:c>
      <x:c r="K40" s="27" t="n">
        <x:v>1</x:v>
      </x:c>
      <x:c r="L40" s="27" t="n">
        <x:v>3</x:v>
      </x:c>
      <x:c r="M40" s="27" t="n">
        <x:v>4</x:v>
      </x:c>
      <x:c r="N40" s="27" t="n">
        <x:v>4</x:v>
      </x:c>
      <x:c r="O40" s="27" t="n">
        <x:v>76</x:v>
      </x:c>
      <x:c r="P40" s="27" t="n">
        <x:v>77</x:v>
      </x:c>
      <x:c r="Q40" s="27" t="n">
        <x:v>55</x:v>
      </x:c>
      <x:c r="R40" s="27" t="n">
        <x:v>56</x:v>
      </x:c>
      <x:c r="S40" s="27" t="n">
        <x:v>84</x:v>
      </x:c>
      <x:c r="T40" s="27" t="n">
        <x:v>54</x:v>
      </x:c>
      <x:c r="U40" s="27" t="n">
        <x:v>55</x:v>
      </x:c>
      <x:c r="V40" s="27" t="n">
        <x:v>57</x:v>
      </x:c>
      <x:c r="W40" s="27" t="n">
        <x:v>65</x:v>
      </x:c>
      <x:c r="X40" s="27" t="str">
        <x:v>海・港／深夜2時間</x:v>
      </x:c>
      <x:c r="Y40" s="27" t="str">
        <x:v>出発前に閉場確認</x:v>
      </x:c>
      <x:c r="Z40" s="27" t="str">
        <x:v>用途限定で有効</x:v>
      </x:c>
      <x:c r="AA40" s="27" t="str">
        <x:v>東京ゲートブリッジを間近に感じ、東京港の最奥へ走る感覚が強い。</x:v>
      </x:c>
      <x:c r="AB40" s="27" t="str">
        <x:v>江東区立若洲公園はリニューアル工事中で、駐車場の一部・キャンプ場・貸自転車等が利用休止。強風時は滞在短縮。</x:v>
      </x:c>
      <x:c r="AC40" s="27" t="str">
        <x:v>城南島海浜公園</x:v>
      </x:c>
      <x:c r="AD40" s="27" t="str">
        <x:v>潮風公園／晴海ふ頭公園</x:v>
      </x:c>
      <x:c r="AE40" t="n">
        <x:v>0</x:v>
      </x:c>
      <x:c r="AF40" t="str">
        <x:v>-</x:v>
      </x:c>
    </x:row>
    <x:row r="41" ht="42" customHeight="1">
      <x:c r="A41" s="27" t="str">
        <x:v>D096</x:v>
      </x:c>
      <x:c r="B41" s="27" t="str">
        <x:v>大島小松川公園</x:v>
      </x:c>
      <x:c r="C41" s="27" t="str">
        <x:v>江戸川区・小松川</x:v>
      </x:c>
      <x:c r="D41" s="27" t="str">
        <x:v>河川・高台・夜間公園</x:v>
      </x:c>
      <x:c r="E41" s="48" t="e">
        <x:f>HYPERLINK("https://www.google.com/maps/dir/?api=1&amp;destination=%E5%A4%A7%E5%B3%B6%E5%B0%8F%E6%9D%BE%E5%B7%9D%E5%85%AC%E5%9C%92&amp;travelmode=driving","ナビ開始")</x:f>
      </x:c>
      <x:c r="F41" s="27" t="str">
        <x:v>20〜25km</x:v>
      </x:c>
      <x:c r="G41" s="27" t="str">
        <x:v>概ね20〜25km</x:v>
      </x:c>
      <x:c r="H41" s="27" t="str">
        <x:v>通常40〜70分</x:v>
      </x:c>
      <x:c r="I41" s="27" t="n">
        <x:v>4</x:v>
      </x:c>
      <x:c r="J41" s="27" t="n">
        <x:v>4</x:v>
      </x:c>
      <x:c r="K41" s="27" t="n">
        <x:v>1</x:v>
      </x:c>
      <x:c r="L41" s="27" t="n">
        <x:v>1</x:v>
      </x:c>
      <x:c r="M41" s="27" t="n">
        <x:v>4</x:v>
      </x:c>
      <x:c r="N41" s="27" t="n">
        <x:v>5</x:v>
      </x:c>
      <x:c r="O41" s="27" t="n">
        <x:v>72</x:v>
      </x:c>
      <x:c r="P41" s="27" t="n">
        <x:v>75</x:v>
      </x:c>
      <x:c r="Q41" s="27" t="n">
        <x:v>52</x:v>
      </x:c>
      <x:c r="R41" s="27" t="n">
        <x:v>49</x:v>
      </x:c>
      <x:c r="S41" s="27" t="n">
        <x:v>78</x:v>
      </x:c>
      <x:c r="T41" s="27" t="n">
        <x:v>47</x:v>
      </x:c>
      <x:c r="U41" s="27" t="n">
        <x:v>83</x:v>
      </x:c>
      <x:c r="V41" s="27" t="n">
        <x:v>57</x:v>
      </x:c>
      <x:c r="W41" s="27" t="n">
        <x:v>65</x:v>
      </x:c>
      <x:c r="X41" s="27" t="str">
        <x:v>静かな場所／海・港</x:v>
      </x:c>
      <x:c r="Y41" s="27" t="str">
        <x:v>出発前に閉場確認</x:v>
      </x:c>
      <x:c r="Z41" s="27" t="str">
        <x:v>用途限定で有効</x:v>
      </x:c>
      <x:c r="AA41" s="27" t="str">
        <x:v>旧中川と荒川に挟まれた高台公園で、都心東側を静かに終える24時間候補になる。</x:v>
      </x:c>
      <x:c r="AB41" s="27" t="str">
        <x:v>夜は暗い区域を避ける。公道での入庫待ち・騒音行為は禁止。</x:v>
      </x:c>
      <x:c r="AC41" s="27" t="str">
        <x:v>多摩川浅間神社</x:v>
      </x:c>
      <x:c r="AD41" s="27" t="str">
        <x:v>多摩川六郷橋緑地／多摩川ガス橋緑地</x:v>
      </x:c>
      <x:c r="AE41" t="n">
        <x:v>0</x:v>
      </x:c>
      <x:c r="AF41" t="str">
        <x:v>-</x:v>
      </x:c>
    </x:row>
    <x:row r="42" ht="42" customHeight="1">
      <x:c r="A42" s="27" t="str">
        <x:v>D097</x:v>
      </x:c>
      <x:c r="B42" s="27" t="str">
        <x:v>篠崎公園</x:v>
      </x:c>
      <x:c r="C42" s="27" t="str">
        <x:v>江戸川区・上篠崎</x:v>
      </x:c>
      <x:c r="D42" s="27" t="str">
        <x:v>河川敷・公園・夜間休憩</x:v>
      </x:c>
      <x:c r="E42" s="48" t="e">
        <x:f>HYPERLINK("https://www.google.com/maps/dir/?api=1&amp;destination=%E7%AF%A0%E5%B4%8E%E5%85%AC%E5%9C%92&amp;travelmode=driving","ナビ開始")</x:f>
      </x:c>
      <x:c r="F42" s="27" t="str">
        <x:v>20〜25km</x:v>
      </x:c>
      <x:c r="G42" s="27" t="str">
        <x:v>概ね20〜25km</x:v>
      </x:c>
      <x:c r="H42" s="27" t="str">
        <x:v>通常40〜70分</x:v>
      </x:c>
      <x:c r="I42" s="27" t="n">
        <x:v>4</x:v>
      </x:c>
      <x:c r="J42" s="27" t="n">
        <x:v>4</x:v>
      </x:c>
      <x:c r="K42" s="27" t="n">
        <x:v>1</x:v>
      </x:c>
      <x:c r="L42" s="27" t="n">
        <x:v>1</x:v>
      </x:c>
      <x:c r="M42" s="27" t="n">
        <x:v>4</x:v>
      </x:c>
      <x:c r="N42" s="27" t="n">
        <x:v>5</x:v>
      </x:c>
      <x:c r="O42" s="27" t="n">
        <x:v>72</x:v>
      </x:c>
      <x:c r="P42" s="27" t="n">
        <x:v>75</x:v>
      </x:c>
      <x:c r="Q42" s="27" t="n">
        <x:v>52</x:v>
      </x:c>
      <x:c r="R42" s="27" t="n">
        <x:v>49</x:v>
      </x:c>
      <x:c r="S42" s="27" t="n">
        <x:v>78</x:v>
      </x:c>
      <x:c r="T42" s="27" t="n">
        <x:v>47</x:v>
      </x:c>
      <x:c r="U42" s="27" t="n">
        <x:v>83</x:v>
      </x:c>
      <x:c r="V42" s="27" t="n">
        <x:v>57</x:v>
      </x:c>
      <x:c r="W42" s="27" t="n">
        <x:v>65</x:v>
      </x:c>
      <x:c r="X42" s="27" t="str">
        <x:v>静かな場所／海・港</x:v>
      </x:c>
      <x:c r="Y42" s="27" t="str">
        <x:v>出発前に閉場確認</x:v>
      </x:c>
      <x:c r="Z42" s="27" t="str">
        <x:v>用途限定で有効</x:v>
      </x:c>
      <x:c r="AA42" s="27" t="str">
        <x:v>江戸川に近い広い公園で、東東京方面の長い一般道ドライブを落ち着かせられる。</x:v>
      </x:c>
      <x:c r="AB42" s="27" t="str">
        <x:v>花火大会日は駐車場利用制限あり。夜間は外灯のある区域に限定。</x:v>
      </x:c>
      <x:c r="AC42" s="27" t="str">
        <x:v>多摩川浅間神社</x:v>
      </x:c>
      <x:c r="AD42" s="27" t="str">
        <x:v>多摩川六郷橋緑地／多摩川ガス橋緑地</x:v>
      </x:c>
      <x:c r="AE42" t="n">
        <x:v>0</x:v>
      </x:c>
      <x:c r="AF42" t="str">
        <x:v>-</x:v>
      </x:c>
    </x:row>
    <x:row r="43" ht="42" customHeight="1">
      <x:c r="A43" s="27" t="str">
        <x:v>D101</x:v>
      </x:c>
      <x:c r="B43" s="27" t="str">
        <x:v>武蔵野公園</x:v>
      </x:c>
      <x:c r="C43" s="27" t="str">
        <x:v>府中市・小金井市</x:v>
      </x:c>
      <x:c r="D43" s="27" t="str">
        <x:v>河川・草地・夜間公園</x:v>
      </x:c>
      <x:c r="E43" s="48" t="e">
        <x:f>HYPERLINK("https://www.google.com/maps/dir/?api=1&amp;destination=%E6%AD%A6%E8%94%B5%E9%87%8E%E5%85%AC%E5%9C%92&amp;travelmode=driving","ナビ開始")</x:f>
      </x:c>
      <x:c r="F43" s="27" t="str">
        <x:v>20〜25km</x:v>
      </x:c>
      <x:c r="G43" s="27" t="str">
        <x:v>概ね20〜25km</x:v>
      </x:c>
      <x:c r="H43" s="27" t="str">
        <x:v>通常40〜70分</x:v>
      </x:c>
      <x:c r="I43" s="27" t="n">
        <x:v>4</x:v>
      </x:c>
      <x:c r="J43" s="27" t="n">
        <x:v>4</x:v>
      </x:c>
      <x:c r="K43" s="27" t="n">
        <x:v>1</x:v>
      </x:c>
      <x:c r="L43" s="27" t="n">
        <x:v>1</x:v>
      </x:c>
      <x:c r="M43" s="27" t="n">
        <x:v>4</x:v>
      </x:c>
      <x:c r="N43" s="27" t="n">
        <x:v>5</x:v>
      </x:c>
      <x:c r="O43" s="27" t="n">
        <x:v>72</x:v>
      </x:c>
      <x:c r="P43" s="27" t="n">
        <x:v>75</x:v>
      </x:c>
      <x:c r="Q43" s="27" t="n">
        <x:v>52</x:v>
      </x:c>
      <x:c r="R43" s="27" t="n">
        <x:v>49</x:v>
      </x:c>
      <x:c r="S43" s="27" t="n">
        <x:v>78</x:v>
      </x:c>
      <x:c r="T43" s="27" t="n">
        <x:v>47</x:v>
      </x:c>
      <x:c r="U43" s="27" t="n">
        <x:v>83</x:v>
      </x:c>
      <x:c r="V43" s="27" t="n">
        <x:v>57</x:v>
      </x:c>
      <x:c r="W43" s="27" t="n">
        <x:v>65</x:v>
      </x:c>
      <x:c r="X43" s="27" t="str">
        <x:v>静かな場所／海・港</x:v>
      </x:c>
      <x:c r="Y43" s="27" t="str">
        <x:v>出発前に閉場確認</x:v>
      </x:c>
      <x:c r="Z43" s="27" t="str">
        <x:v>用途限定で有効</x:v>
      </x:c>
      <x:c r="AA43" s="27" t="str">
        <x:v>野川沿いの広い草地と樹林があり、西東京方面の長い一般道ドライブを静かに終えられる。</x:v>
      </x:c>
      <x:c r="AB43" s="27" t="str">
        <x:v>夜間は照明のある主要園路に限定。大型車不可。</x:v>
      </x:c>
      <x:c r="AC43" s="27" t="str">
        <x:v>多摩川浅間神社</x:v>
      </x:c>
      <x:c r="AD43" s="27" t="str">
        <x:v>多摩川六郷橋緑地／多摩川ガス橋緑地</x:v>
      </x:c>
      <x:c r="AE43" t="n">
        <x:v>0</x:v>
      </x:c>
      <x:c r="AF43" t="str">
        <x:v>-</x:v>
      </x:c>
    </x:row>
    <x:row r="44" ht="42" customHeight="1">
      <x:c r="A44" s="27" t="str">
        <x:v>D255</x:v>
      </x:c>
      <x:c r="B44" s="27" t="str">
        <x:v>大井ふ頭中央海浜公園</x:v>
      </x:c>
      <x:c r="C44" s="27" t="str">
        <x:v>品川区・八潮／大田区・東海</x:v>
      </x:c>
      <x:c r="D44" s="27" t="str">
        <x:v>運河・干潟・スポーツ・産業景観</x:v>
      </x:c>
      <x:c r="E44" s="48" t="e">
        <x:f>HYPERLINK("https://www.google.com/maps/dir/?api=1&amp;destination=%E5%A4%A7%E4%BA%95%E3%81%B5%E9%A0%AD%E4%B8%AD%E5%A4%AE%E6%B5%B7%E6%B5%9C%E5%85%AC%E5%9C%92&amp;travelmode=driving","ナビ開始")</x:f>
      </x:c>
      <x:c r="F44" s="27" t="str">
        <x:v>0〜10km</x:v>
      </x:c>
      <x:c r="G44" s="27" t="str">
        <x:v>蒲田から約8〜12km</x:v>
      </x:c>
      <x:c r="H44" s="27" t="str">
        <x:v>通常20〜35分</x:v>
      </x:c>
      <x:c r="I44" s="27" t="n">
        <x:v>4</x:v>
      </x:c>
      <x:c r="J44" s="27" t="n">
        <x:v>3</x:v>
      </x:c>
      <x:c r="K44" s="27" t="n">
        <x:v>1</x:v>
      </x:c>
      <x:c r="L44" s="27" t="n">
        <x:v>2</x:v>
      </x:c>
      <x:c r="M44" s="27" t="n">
        <x:v>2</x:v>
      </x:c>
      <x:c r="N44" s="27" t="n">
        <x:v>5</x:v>
      </x:c>
      <x:c r="O44" s="27" t="n">
        <x:v>76</x:v>
      </x:c>
      <x:c r="P44" s="27" t="n">
        <x:v>74</x:v>
      </x:c>
      <x:c r="Q44" s="27" t="n">
        <x:v>50</x:v>
      </x:c>
      <x:c r="R44" s="27" t="n">
        <x:v>52</x:v>
      </x:c>
      <x:c r="S44" s="27" t="n">
        <x:v>79</x:v>
      </x:c>
      <x:c r="T44" s="27" t="n">
        <x:v>49</x:v>
      </x:c>
      <x:c r="U44" s="27" t="n">
        <x:v>53</x:v>
      </x:c>
      <x:c r="V44" s="27" t="n">
        <x:v>69</x:v>
      </x:c>
      <x:c r="W44" s="27" t="n">
        <x:v>65</x:v>
      </x:c>
      <x:c r="X44" s="27" t="str">
        <x:v>海・港／平日夜90分</x:v>
      </x:c>
      <x:c r="Y44" s="27" t="str">
        <x:v>出発前に閉場確認</x:v>
      </x:c>
      <x:c r="Z44" s="27" t="str">
        <x:v>用途限定で有効</x:v>
      </x:c>
      <x:c r="AA44" s="27" t="str">
        <x:v>スポーツの森となぎさの森を使い分けられ、京浜運河、人工なぎさ、物流地帯の景観を近距離で回収できる。</x:v>
      </x:c>
      <x:c r="AB44" s="27" t="str">
        <x:v>第1駐車場は2027年3月下旬予定まで閉鎖。自然観察路の立入制限や大会開催を当日確認。夜は明るい範囲のみ利用。</x:v>
      </x:c>
      <x:c r="AC44" s="27" t="str">
        <x:v>東京港野鳥公園</x:v>
      </x:c>
      <x:c r="AD44" s="27" t="str">
        <x:v>しながわ区民公園／平和島公園</x:v>
      </x:c>
      <x:c r="AE44" t="n">
        <x:v>0</x:v>
      </x:c>
      <x:c r="AF44" t="str">
        <x:v>-</x:v>
      </x:c>
    </x:row>
    <x:row r="45" ht="42" customHeight="1">
      <x:c r="A45" s="27" t="str">
        <x:v>D007</x:v>
      </x:c>
      <x:c r="B45" s="27" t="str">
        <x:v>葛西臨海公園</x:v>
      </x:c>
      <x:c r="C45" s="27" t="str">
        <x:v>江戸川区・臨海町</x:v>
      </x:c>
      <x:c r="D45" s="27" t="str">
        <x:v>海・観覧車・公園</x:v>
      </x:c>
      <x:c r="E45" s="48" t="e">
        <x:f>HYPERLINK("https://www.google.com/maps/dir/?api=1&amp;destination=%E8%91%9B%E8%A5%BF%E8%87%A8%E6%B5%B7%E5%85%AC%E5%9C%92&amp;travelmode=driving","ナビ開始")</x:f>
      </x:c>
      <x:c r="F45" s="27" t="str">
        <x:v>20〜25km</x:v>
      </x:c>
      <x:c r="G45" s="27" t="str">
        <x:v>概ね20〜25km</x:v>
      </x:c>
      <x:c r="H45" s="27" t="str">
        <x:v>通常40〜70分</x:v>
      </x:c>
      <x:c r="I45" s="27" t="n">
        <x:v>4</x:v>
      </x:c>
      <x:c r="J45" s="27" t="n">
        <x:v>2</x:v>
      </x:c>
      <x:c r="K45" s="27" t="n">
        <x:v>1</x:v>
      </x:c>
      <x:c r="L45" s="27" t="n">
        <x:v>3</x:v>
      </x:c>
      <x:c r="M45" s="27" t="n">
        <x:v>4</x:v>
      </x:c>
      <x:c r="N45" s="27" t="n">
        <x:v>5</x:v>
      </x:c>
      <x:c r="O45" s="27" t="n">
        <x:v>72</x:v>
      </x:c>
      <x:c r="P45" s="27" t="n">
        <x:v>77</x:v>
      </x:c>
      <x:c r="Q45" s="27" t="n">
        <x:v>52</x:v>
      </x:c>
      <x:c r="R45" s="27" t="n">
        <x:v>51</x:v>
      </x:c>
      <x:c r="S45" s="27" t="n">
        <x:v>80</x:v>
      </x:c>
      <x:c r="T45" s="27" t="n">
        <x:v>51</x:v>
      </x:c>
      <x:c r="U45" s="27" t="n">
        <x:v>75</x:v>
      </x:c>
      <x:c r="V45" s="27" t="n">
        <x:v>53</x:v>
      </x:c>
      <x:c r="W45" s="27" t="n">
        <x:v>64</x:v>
      </x:c>
      <x:c r="X45" s="27" t="str">
        <x:v>海・港／深夜2時間</x:v>
      </x:c>
      <x:c r="Y45" s="27" t="str">
        <x:v>出発前に閉場確認</x:v>
      </x:c>
      <x:c r="Z45" s="27" t="str">
        <x:v>用途限定で有効</x:v>
      </x:c>
      <x:c r="AA45" s="27" t="str">
        <x:v>湾岸道路の先に海辺と観覧車が現れ、東側の安定Endingになる。</x:v>
      </x:c>
      <x:c r="AB45" s="27" t="str">
        <x:v>休日は混雑。深夜は暗い園路や人通りの少ない区域を避ける。</x:v>
      </x:c>
      <x:c r="AC45" s="27" t="str">
        <x:v>城南島海浜公園</x:v>
      </x:c>
      <x:c r="AD45" s="27" t="str">
        <x:v>潮風公園／晴海ふ頭公園</x:v>
      </x:c>
      <x:c r="AE45" t="n">
        <x:v>0</x:v>
      </x:c>
      <x:c r="AF45" t="str">
        <x:v>-</x:v>
      </x:c>
    </x:row>
    <x:row r="46" ht="42" customHeight="1">
      <x:c r="A46" s="27" t="str">
        <x:v>D013</x:v>
      </x:c>
      <x:c r="B46" s="27" t="str">
        <x:v>横浜港大さん橋</x:v>
      </x:c>
      <x:c r="C46" s="27" t="str">
        <x:v>横浜市・中区</x:v>
      </x:c>
      <x:c r="D46" s="27" t="str">
        <x:v>港・都市夜景</x:v>
      </x:c>
      <x:c r="E46" s="48" t="e">
        <x:f>HYPERLINK("https://www.google.com/maps/dir/?api=1&amp;destination=%E6%A8%AA%E6%B5%9C%E6%B8%AF%E5%A4%A7%E3%81%95%E3%82%93%E6%A9%8B&amp;travelmode=driving","ナビ開始")</x:f>
      </x:c>
      <x:c r="F46" s="27" t="str">
        <x:v>20〜25km</x:v>
      </x:c>
      <x:c r="G46" s="27" t="str">
        <x:v>概ね20〜25km</x:v>
      </x:c>
      <x:c r="H46" s="27" t="str">
        <x:v>通常40〜70分</x:v>
      </x:c>
      <x:c r="I46" s="27" t="n">
        <x:v>5</x:v>
      </x:c>
      <x:c r="J46" s="27" t="n">
        <x:v>1</x:v>
      </x:c>
      <x:c r="K46" s="27" t="n">
        <x:v>2</x:v>
      </x:c>
      <x:c r="L46" s="27" t="n">
        <x:v>3</x:v>
      </x:c>
      <x:c r="M46" s="27" t="n">
        <x:v>4</x:v>
      </x:c>
      <x:c r="N46" s="27" t="n">
        <x:v>5</x:v>
      </x:c>
      <x:c r="O46" s="27" t="n">
        <x:v>75</x:v>
      </x:c>
      <x:c r="P46" s="27" t="n">
        <x:v>82</x:v>
      </x:c>
      <x:c r="Q46" s="27" t="n">
        <x:v>57</x:v>
      </x:c>
      <x:c r="R46" s="27" t="n">
        <x:v>53</x:v>
      </x:c>
      <x:c r="S46" s="27" t="n">
        <x:v>83</x:v>
      </x:c>
      <x:c r="T46" s="27" t="n">
        <x:v>55</x:v>
      </x:c>
      <x:c r="U46" s="27" t="n">
        <x:v>45</x:v>
      </x:c>
      <x:c r="V46" s="27" t="n">
        <x:v>54</x:v>
      </x:c>
      <x:c r="W46" s="27" t="n">
        <x:v>64</x:v>
      </x:c>
      <x:c r="X46" s="27" t="str">
        <x:v>海・港／深夜2時間</x:v>
      </x:c>
      <x:c r="Y46" s="27" t="str">
        <x:v>出発前に閉場確認</x:v>
      </x:c>
      <x:c r="Z46" s="27" t="str">
        <x:v>用途限定で有効</x:v>
      </x:c>
      <x:c r="AA46" s="27" t="str">
        <x:v>みなとみらいとベイブリッジを受け止める完成度の高い都市型Ending。</x:v>
      </x:c>
      <x:c r="AB46" s="27" t="str">
        <x:v>イベント日・客船入港日は混雑。穴場性より確実性重視。</x:v>
      </x:c>
      <x:c r="AC46" s="27" t="str">
        <x:v>城南島海浜公園</x:v>
      </x:c>
      <x:c r="AD46" s="27" t="str">
        <x:v>潮風公園／晴海ふ頭公園</x:v>
      </x:c>
      <x:c r="AE46" t="n">
        <x:v>0</x:v>
      </x:c>
      <x:c r="AF46" t="str">
        <x:v>-</x:v>
      </x:c>
    </x:row>
    <x:row r="47" ht="42" customHeight="1">
      <x:c r="A47" s="27" t="str">
        <x:v>D258</x:v>
      </x:c>
      <x:c r="B47" s="27" t="str">
        <x:v>横浜市高齢者保養研修施設 ふれーゆ</x:v>
      </x:c>
      <x:c r="C47" s="27" t="str">
        <x:v>横浜市鶴見区・末広町</x:v>
      </x:c>
      <x:c r="D47" s="27" t="str">
        <x:v>大浴場・プール・横浜港展望・雨天</x:v>
      </x:c>
      <x:c r="E47" s="48" t="e">
        <x:f>HYPERLINK("https://www.google.com/maps/dir/?api=1&amp;destination=%E6%A8%AA%E6%B5%9C%E5%B8%82%E9%AB%98%E9%BD%A2%E8%80%85%E4%BF%9D%E9%A4%8A%E7%A0%94%E4%BF%AE%E6%96%BD%E8%A8%AD%20%E3%81%B5%E3%82%8C%E3%83%BC%E3%82%86&amp;travelmode=driving","ナビ開始")</x:f>
      </x:c>
      <x:c r="F47" s="27" t="str">
        <x:v>10〜20km</x:v>
      </x:c>
      <x:c r="G47" s="27" t="str">
        <x:v>蒲田から約15〜20km</x:v>
      </x:c>
      <x:c r="H47" s="27" t="str">
        <x:v>通常35〜55分</x:v>
      </x:c>
      <x:c r="I47" s="27" t="n">
        <x:v>2</x:v>
      </x:c>
      <x:c r="J47" s="27" t="n">
        <x:v>4</x:v>
      </x:c>
      <x:c r="K47" s="27" t="n">
        <x:v>5</x:v>
      </x:c>
      <x:c r="L47" s="27" t="n">
        <x:v>3</x:v>
      </x:c>
      <x:c r="M47" s="27" t="n">
        <x:v>4</x:v>
      </x:c>
      <x:c r="N47" s="27" t="n">
        <x:v>3</x:v>
      </x:c>
      <x:c r="O47" s="27" t="n">
        <x:v>65</x:v>
      </x:c>
      <x:c r="P47" s="27" t="n">
        <x:v>62</x:v>
      </x:c>
      <x:c r="Q47" s="27" t="n">
        <x:v>83</x:v>
      </x:c>
      <x:c r="R47" s="27" t="n">
        <x:v>51</x:v>
      </x:c>
      <x:c r="S47" s="27" t="n">
        <x:v>77</x:v>
      </x:c>
      <x:c r="T47" s="27" t="n">
        <x:v>46</x:v>
      </x:c>
      <x:c r="U47" s="27" t="n">
        <x:v>55</x:v>
      </x:c>
      <x:c r="V47" s="27" t="n">
        <x:v>71</x:v>
      </x:c>
      <x:c r="W47" s="27" t="n">
        <x:v>64</x:v>
      </x:c>
      <x:c r="X47" s="27" t="str">
        <x:v>雨天／海・港</x:v>
      </x:c>
      <x:c r="Y47" s="27" t="str">
        <x:v>出発前に閉場確認</x:v>
      </x:c>
      <x:c r="Z47" s="27" t="str">
        <x:v>用途限定で有効</x:v>
      </x:c>
      <x:c r="AA47" s="27" t="str">
        <x:v>大浴場やプールで天候に左右されず滞在でき、大窓からベイブリッジ、鶴見つばさ橋、横浜港を望める。</x:v>
      </x:c>
      <x:c r="AB47" s="27" t="str">
        <x:v>毎月第2火曜休館（7・8月を除く）。駐車場の最終入庫は閉館1時間前。施設点検による長期休館を確認。</x:v>
      </x:c>
      <x:c r="AC47" s="27" t="str">
        <x:v>横浜港大さん橋</x:v>
      </x:c>
      <x:c r="AD47" s="27" t="str">
        <x:v>ちどり公園／横浜港シンボルタワー</x:v>
      </x:c>
      <x:c r="AE47" t="n">
        <x:v>0</x:v>
      </x:c>
      <x:c r="AF47" t="str">
        <x:v>-</x:v>
      </x:c>
    </x:row>
    <x:row r="48" ht="42" customHeight="1">
      <x:c r="A48" s="27" t="str">
        <x:v>D098</x:v>
      </x:c>
      <x:c r="B48" s="27" t="str">
        <x:v>木場公園</x:v>
      </x:c>
      <x:c r="C48" s="27" t="str">
        <x:v>江東区・木場</x:v>
      </x:c>
      <x:c r="D48" s="27" t="str">
        <x:v>都市公園・橋・夜間休憩</x:v>
      </x:c>
      <x:c r="E48" s="48" t="e">
        <x:f>HYPERLINK("https://www.google.com/maps/dir/?api=1&amp;destination=%E6%9C%A8%E5%A0%B4%E5%85%AC%E5%9C%92&amp;travelmode=driving","ナビ開始")</x:f>
      </x:c>
      <x:c r="F48" s="27" t="str">
        <x:v>10〜20km</x:v>
      </x:c>
      <x:c r="G48" s="27" t="str">
        <x:v>概ね10〜20km</x:v>
      </x:c>
      <x:c r="H48" s="27" t="str">
        <x:v>通常25〜50分</x:v>
      </x:c>
      <x:c r="I48" s="27" t="n">
        <x:v>4</x:v>
      </x:c>
      <x:c r="J48" s="27" t="n">
        <x:v>3</x:v>
      </x:c>
      <x:c r="K48" s="27" t="n">
        <x:v>1</x:v>
      </x:c>
      <x:c r="L48" s="27" t="n">
        <x:v>1</x:v>
      </x:c>
      <x:c r="M48" s="27" t="n">
        <x:v>4</x:v>
      </x:c>
      <x:c r="N48" s="27" t="n">
        <x:v>5</x:v>
      </x:c>
      <x:c r="O48" s="27" t="n">
        <x:v>75</x:v>
      </x:c>
      <x:c r="P48" s="27" t="n">
        <x:v>77</x:v>
      </x:c>
      <x:c r="Q48" s="27" t="n">
        <x:v>53</x:v>
      </x:c>
      <x:c r="R48" s="27" t="n">
        <x:v>52</x:v>
      </x:c>
      <x:c r="S48" s="27" t="n">
        <x:v>52</x:v>
      </x:c>
      <x:c r="T48" s="27" t="n">
        <x:v>50</x:v>
      </x:c>
      <x:c r="U48" s="27" t="n">
        <x:v>83</x:v>
      </x:c>
      <x:c r="V48" s="27" t="n">
        <x:v>57</x:v>
      </x:c>
      <x:c r="W48" s="27" t="n">
        <x:v>63</x:v>
      </x:c>
      <x:c r="X48" s="27" t="str">
        <x:v>静かな場所／深夜2時間</x:v>
      </x:c>
      <x:c r="Y48" s="27" t="str">
        <x:v>出発前に閉場確認</x:v>
      </x:c>
      <x:c r="Z48" s="27" t="str">
        <x:v>用途限定で有効</x:v>
      </x:c>
      <x:c r="AA48" s="27" t="str">
        <x:v>木場公園大橋と広い芝生があり、湾岸・都心走行を緑の空間で終えられる。</x:v>
      </x:c>
      <x:c r="AB48" s="27" t="str">
        <x:v>イベント時は混雑。公道での入庫待ち禁止。商用撮影は申請が必要。</x:v>
      </x:c>
      <x:c r="AC48" s="27" t="str">
        <x:v>平和の森公園</x:v>
      </x:c>
      <x:c r="AD48" s="27" t="str">
        <x:v>大森ふるさとの浜辺公園／森ケ崎公園</x:v>
      </x:c>
      <x:c r="AE48" t="n">
        <x:v>0</x:v>
      </x:c>
      <x:c r="AF48" t="str">
        <x:v>-</x:v>
      </x:c>
    </x:row>
    <x:row r="49" ht="42" customHeight="1">
      <x:c r="A49" s="27" t="str">
        <x:v>D108</x:v>
      </x:c>
      <x:c r="B49" s="27" t="str">
        <x:v>千葉公園</x:v>
      </x:c>
      <x:c r="C49" s="27" t="str">
        <x:v>千葉市・中央区</x:v>
      </x:c>
      <x:c r="D49" s="27" t="str">
        <x:v>池・都市公園・夜間散歩</x:v>
      </x:c>
      <x:c r="E49" s="48" t="e">
        <x:f>HYPERLINK("https://www.google.com/maps/dir/?api=1&amp;destination=%E5%8D%83%E8%91%89%E5%85%AC%E5%9C%92&amp;travelmode=driving","ナビ開始")</x:f>
      </x:c>
      <x:c r="F49" s="27" t="str">
        <x:v>10〜20km</x:v>
      </x:c>
      <x:c r="G49" s="27" t="str">
        <x:v>概ね10〜20km</x:v>
      </x:c>
      <x:c r="H49" s="27" t="str">
        <x:v>通常25〜50分</x:v>
      </x:c>
      <x:c r="I49" s="27" t="n">
        <x:v>4</x:v>
      </x:c>
      <x:c r="J49" s="27" t="n">
        <x:v>3</x:v>
      </x:c>
      <x:c r="K49" s="27" t="n">
        <x:v>1</x:v>
      </x:c>
      <x:c r="L49" s="27" t="n">
        <x:v>1</x:v>
      </x:c>
      <x:c r="M49" s="27" t="n">
        <x:v>4</x:v>
      </x:c>
      <x:c r="N49" s="27" t="n">
        <x:v>5</x:v>
      </x:c>
      <x:c r="O49" s="27" t="n">
        <x:v>75</x:v>
      </x:c>
      <x:c r="P49" s="27" t="n">
        <x:v>77</x:v>
      </x:c>
      <x:c r="Q49" s="27" t="n">
        <x:v>53</x:v>
      </x:c>
      <x:c r="R49" s="27" t="n">
        <x:v>52</x:v>
      </x:c>
      <x:c r="S49" s="27" t="n">
        <x:v>52</x:v>
      </x:c>
      <x:c r="T49" s="27" t="n">
        <x:v>50</x:v>
      </x:c>
      <x:c r="U49" s="27" t="n">
        <x:v>83</x:v>
      </x:c>
      <x:c r="V49" s="27" t="n">
        <x:v>57</x:v>
      </x:c>
      <x:c r="W49" s="27" t="n">
        <x:v>63</x:v>
      </x:c>
      <x:c r="X49" s="27" t="str">
        <x:v>静かな場所／深夜2時間</x:v>
      </x:c>
      <x:c r="Y49" s="27" t="str">
        <x:v>出発前に閉場確認</x:v>
      </x:c>
      <x:c r="Z49" s="27" t="str">
        <x:v>用途限定で有効</x:v>
      </x:c>
      <x:c r="AA49" s="27" t="str">
        <x:v>池とモノレール、市街地の灯りが重なり、千葉市中心部の落ち着いたEndingになる。</x:v>
      </x:c>
      <x:c r="AB49" s="27" t="str">
        <x:v>イベント・ボート営業日で混雑。夜は主要園路のみ。</x:v>
      </x:c>
      <x:c r="AC49" s="27" t="str">
        <x:v>多摩川浅間神社</x:v>
      </x:c>
      <x:c r="AD49" s="27" t="str">
        <x:v>多摩川六郷橋緑地／多摩川ガス橋緑地</x:v>
      </x:c>
      <x:c r="AE49" t="n">
        <x:v>0</x:v>
      </x:c>
      <x:c r="AF49" t="str">
        <x:v>-</x:v>
      </x:c>
    </x:row>
    <x:row r="50" ht="42" customHeight="1">
      <x:c r="A50" s="27" t="str">
        <x:v>D259</x:v>
      </x:c>
      <x:c r="B50" s="27" t="str">
        <x:v>大森 海苔のふるさと館</x:v>
      </x:c>
      <x:c r="C50" s="27" t="str">
        <x:v>大田区・平和の森公園</x:v>
      </x:c>
      <x:c r="D50" s="27" t="str">
        <x:v>産業遺産・海苔・博物館Story</x:v>
      </x:c>
      <x:c r="E50" s="48" t="e">
        <x:f>HYPERLINK("https://www.google.com/maps/dir/?api=1&amp;destination=%E5%A4%A7%E6%A3%AE%20%E6%B5%B7%E8%8B%94%E3%81%AE%E3%81%B5%E3%82%8B%E3%81%95%E3%81%A8%E9%A4%A8&amp;travelmode=driving","ナビ開始")</x:f>
      </x:c>
      <x:c r="F50" s="27" t="str">
        <x:v>0〜10km</x:v>
      </x:c>
      <x:c r="G50" s="27" t="str">
        <x:v>蒲田から約4〜7km</x:v>
      </x:c>
      <x:c r="H50" s="27" t="str">
        <x:v>通常15〜25分</x:v>
      </x:c>
      <x:c r="I50" s="27" t="n">
        <x:v>1</x:v>
      </x:c>
      <x:c r="J50" s="27" t="n">
        <x:v>4</x:v>
      </x:c>
      <x:c r="K50" s="27" t="n">
        <x:v>5</x:v>
      </x:c>
      <x:c r="L50" s="27" t="n">
        <x:v>1</x:v>
      </x:c>
      <x:c r="M50" s="27" t="n">
        <x:v>4</x:v>
      </x:c>
      <x:c r="N50" s="27" t="n">
        <x:v>2</x:v>
      </x:c>
      <x:c r="O50" s="27" t="n">
        <x:v>58</x:v>
      </x:c>
      <x:c r="P50" s="27" t="n">
        <x:v>51</x:v>
      </x:c>
      <x:c r="Q50" s="27" t="n">
        <x:v>80</x:v>
      </x:c>
      <x:c r="R50" s="27" t="n">
        <x:v>48</x:v>
      </x:c>
      <x:c r="S50" s="27" t="n">
        <x:v>72</x:v>
      </x:c>
      <x:c r="T50" s="27" t="n">
        <x:v>41</x:v>
      </x:c>
      <x:c r="U50" s="27" t="n">
        <x:v>57</x:v>
      </x:c>
      <x:c r="V50" s="27" t="n">
        <x:v>87</x:v>
      </x:c>
      <x:c r="W50" s="27" t="n">
        <x:v>63</x:v>
      </x:c>
      <x:c r="X50" s="27" t="str">
        <x:v>休日半日／雨天</x:v>
      </x:c>
      <x:c r="Y50" s="27" t="str">
        <x:v>出発前に閉場確認</x:v>
      </x:c>
      <x:c r="Z50" s="27" t="str">
        <x:v>用途限定で有効</x:v>
      </x:c>
      <x:c r="AA50" s="27" t="str">
        <x:v>大森の海苔養殖と加工の歴史を、実物資料と復元展示で短時間に理解できる。大森海岸ルートの物語密度を一気に上げる経由地。</x:v>
      </x:c>
      <x:c r="AB50" s="27" t="str">
        <x:v>第3月曜（祝日の場合は翌日）と年末年始は休館。駐車場混雑時は大森ふるさとの浜辺公園側へ切替。</x:v>
      </x:c>
      <x:c r="AC50" s="27" t="str">
        <x:v>大田区立郷土博物館</x:v>
      </x:c>
      <x:c r="AD50" s="27" t="str">
        <x:v>大森ふるさとの浜辺公園／平和の森公園</x:v>
      </x:c>
      <x:c r="AE50" t="n">
        <x:v>0</x:v>
      </x:c>
      <x:c r="AF50" t="str">
        <x:v>-</x:v>
      </x:c>
    </x:row>
    <x:row r="51" ht="42" customHeight="1">
      <x:c r="A51" s="27" t="str">
        <x:v>D010</x:v>
      </x:c>
      <x:c r="B51" s="27" t="str">
        <x:v>東扇島東公園</x:v>
      </x:c>
      <x:c r="C51" s="27" t="str">
        <x:v>川崎市・東扇島</x:v>
      </x:c>
      <x:c r="D51" s="27" t="str">
        <x:v>人工海浜・港</x:v>
      </x:c>
      <x:c r="E51" s="48" t="e">
        <x:f>HYPERLINK("https://www.google.com/maps/dir/?api=1&amp;destination=%E6%9D%B1%E6%89%87%E5%B3%B6%E6%9D%B1%E5%85%AC%E5%9C%92&amp;travelmode=driving","ナビ開始")</x:f>
      </x:c>
      <x:c r="F51" s="27" t="str">
        <x:v>10〜20km</x:v>
      </x:c>
      <x:c r="G51" s="27" t="str">
        <x:v>概ね10〜20km</x:v>
      </x:c>
      <x:c r="H51" s="27" t="str">
        <x:v>通常25〜50分</x:v>
      </x:c>
      <x:c r="I51" s="27" t="n">
        <x:v>3</x:v>
      </x:c>
      <x:c r="J51" s="27" t="n">
        <x:v>4</x:v>
      </x:c>
      <x:c r="K51" s="27" t="n">
        <x:v>1</x:v>
      </x:c>
      <x:c r="L51" s="27" t="n">
        <x:v>3</x:v>
      </x:c>
      <x:c r="M51" s="27" t="n">
        <x:v>4</x:v>
      </x:c>
      <x:c r="N51" s="27" t="n">
        <x:v>3</x:v>
      </x:c>
      <x:c r="O51" s="27" t="n">
        <x:v>70</x:v>
      </x:c>
      <x:c r="P51" s="27" t="n">
        <x:v>68</x:v>
      </x:c>
      <x:c r="Q51" s="27" t="n">
        <x:v>55</x:v>
      </x:c>
      <x:c r="R51" s="27" t="n">
        <x:v>54</x:v>
      </x:c>
      <x:c r="S51" s="27" t="n">
        <x:v>81</x:v>
      </x:c>
      <x:c r="T51" s="27" t="n">
        <x:v>50</x:v>
      </x:c>
      <x:c r="U51" s="27" t="n">
        <x:v>57</x:v>
      </x:c>
      <x:c r="V51" s="27" t="n">
        <x:v>57</x:v>
      </x:c>
      <x:c r="W51" s="27" t="n">
        <x:v>62</x:v>
      </x:c>
      <x:c r="X51" s="27" t="str">
        <x:v>海・港／平日夜90分</x:v>
      </x:c>
      <x:c r="Y51" s="27" t="str">
        <x:v>出発前に閉場確認</x:v>
      </x:c>
      <x:c r="Z51" s="27" t="str">
        <x:v>用途限定で有効</x:v>
      </x:c>
      <x:c r="AA51" s="27" t="str">
        <x:v>人工海浜、航空機、港湾設備を低い目線で眺める夕方Ending。</x:v>
      </x:c>
      <x:c r="AB51" s="27" t="str">
        <x:v>夜遅い出発には不向き。入庫制限時刻を厳守。</x:v>
      </x:c>
      <x:c r="AC51" s="27" t="str">
        <x:v>城南島海浜公園</x:v>
      </x:c>
      <x:c r="AD51" s="27" t="str">
        <x:v>潮風公園／晴海ふ頭公園</x:v>
      </x:c>
      <x:c r="AE51" t="n">
        <x:v>0</x:v>
      </x:c>
      <x:c r="AF51" t="str">
        <x:v>-</x:v>
      </x:c>
    </x:row>
    <x:row r="52" ht="42" customHeight="1">
      <x:c r="A52" s="27" t="str">
        <x:v>D144</x:v>
      </x:c>
      <x:c r="B52" s="27" t="str">
        <x:v>武蔵野の森公園</x:v>
      </x:c>
      <x:c r="C52" s="27" t="str">
        <x:v>府中市・調布市・三鷹市</x:v>
      </x:c>
      <x:c r="D52" s="27" t="str">
        <x:v>飛行機・広い空・24時間駐車</x:v>
      </x:c>
      <x:c r="E52" s="48" t="e">
        <x:f>HYPERLINK("https://www.google.com/maps/dir/?api=1&amp;destination=%E6%AD%A6%E8%94%B5%E9%87%8E%E3%81%AE%E6%A3%AE%E5%85%AC%E5%9C%92&amp;travelmode=driving","ナビ開始")</x:f>
      </x:c>
      <x:c r="F52" s="27" t="str">
        <x:v>20〜25km</x:v>
      </x:c>
      <x:c r="G52" s="27" t="str">
        <x:v>概ね20〜25km</x:v>
      </x:c>
      <x:c r="H52" s="27" t="str">
        <x:v>通常40〜70分</x:v>
      </x:c>
      <x:c r="I52" s="27" t="n">
        <x:v>5</x:v>
      </x:c>
      <x:c r="J52" s="27" t="n">
        <x:v>3</x:v>
      </x:c>
      <x:c r="K52" s="27" t="n">
        <x:v>2</x:v>
      </x:c>
      <x:c r="L52" s="27" t="n">
        <x:v>4</x:v>
      </x:c>
      <x:c r="M52" s="27" t="n">
        <x:v>2</x:v>
      </x:c>
      <x:c r="N52" s="27" t="n">
        <x:v>5</x:v>
      </x:c>
      <x:c r="O52" s="27" t="n">
        <x:v>75</x:v>
      </x:c>
      <x:c r="P52" s="27" t="n">
        <x:v>78</x:v>
      </x:c>
      <x:c r="Q52" s="27" t="n">
        <x:v>55</x:v>
      </x:c>
      <x:c r="R52" s="27" t="n">
        <x:v>79</x:v>
      </x:c>
      <x:c r="S52" s="27" t="n">
        <x:v>53</x:v>
      </x:c>
      <x:c r="T52" s="27" t="n">
        <x:v>51</x:v>
      </x:c>
      <x:c r="U52" s="27" t="n">
        <x:v>47</x:v>
      </x:c>
      <x:c r="V52" s="27" t="n">
        <x:v>52</x:v>
      </x:c>
      <x:c r="W52" s="27" t="n">
        <x:v>62</x:v>
      </x:c>
      <x:c r="X52" s="27" t="str">
        <x:v>飛行機／深夜2時間</x:v>
      </x:c>
      <x:c r="Y52" s="27" t="str">
        <x:v>出発前に閉場確認</x:v>
      </x:c>
      <x:c r="Z52" s="27" t="str">
        <x:v>用途限定で有効</x:v>
      </x:c>
      <x:c r="AA52" s="27" t="str">
        <x:v>調布飛行場に隣接し、小型機の離着陸と広い空を眺められる航空系の安定候補。</x:v>
      </x:c>
      <x:c r="AB52" s="27" t="str">
        <x:v>夜間は北地区・南地区を結ぶプロムナードが閉鎖。飛行場側の明るい範囲を利用。</x:v>
      </x:c>
      <x:c r="AC52" s="27" t="str">
        <x:v>城南島海浜公園</x:v>
      </x:c>
      <x:c r="AD52" s="27" t="str">
        <x:v>京浜島つばさ公園／羽田空港 第3ターミナル展望デッキ</x:v>
      </x:c>
      <x:c r="AE52" t="n">
        <x:v>0</x:v>
      </x:c>
      <x:c r="AF52" t="str">
        <x:v>-</x:v>
      </x:c>
    </x:row>
    <x:row r="53" ht="42" customHeight="1">
      <x:c r="A53" s="27" t="str">
        <x:v>D145</x:v>
      </x:c>
      <x:c r="B53" s="27" t="str">
        <x:v>駒沢オリンピック公園</x:v>
      </x:c>
      <x:c r="C53" s="27" t="str">
        <x:v>世田谷区・駒沢</x:v>
      </x:c>
      <x:c r="D53" s="27" t="str">
        <x:v>オリンピック・建築・24時間駐車</x:v>
      </x:c>
      <x:c r="E53" s="48" t="e">
        <x:f>HYPERLINK("https://www.google.com/maps/dir/?api=1&amp;destination=%E9%A7%92%E6%B2%A2%E3%82%AA%E3%83%AA%E3%83%B3%E3%83%94%E3%83%83%E3%82%AF%E5%85%AC%E5%9C%92&amp;travelmode=driving","ナビ開始")</x:f>
      </x:c>
      <x:c r="F53" s="27" t="str">
        <x:v>10〜20km</x:v>
      </x:c>
      <x:c r="G53" s="27" t="str">
        <x:v>概ね10〜20km</x:v>
      </x:c>
      <x:c r="H53" s="27" t="str">
        <x:v>通常25〜50分</x:v>
      </x:c>
      <x:c r="I53" s="27" t="n">
        <x:v>4</x:v>
      </x:c>
      <x:c r="J53" s="27" t="n">
        <x:v>2</x:v>
      </x:c>
      <x:c r="K53" s="27" t="n">
        <x:v>2</x:v>
      </x:c>
      <x:c r="L53" s="27" t="n">
        <x:v>1</x:v>
      </x:c>
      <x:c r="M53" s="27" t="n">
        <x:v>4</x:v>
      </x:c>
      <x:c r="N53" s="27" t="n">
        <x:v>5</x:v>
      </x:c>
      <x:c r="O53" s="27" t="n">
        <x:v>73</x:v>
      </x:c>
      <x:c r="P53" s="27" t="n">
        <x:v>76</x:v>
      </x:c>
      <x:c r="Q53" s="27" t="n">
        <x:v>58</x:v>
      </x:c>
      <x:c r="R53" s="27" t="n">
        <x:v>51</x:v>
      </x:c>
      <x:c r="S53" s="27" t="n">
        <x:v>51</x:v>
      </x:c>
      <x:c r="T53" s="27" t="n">
        <x:v>50</x:v>
      </x:c>
      <x:c r="U53" s="27" t="n">
        <x:v>51</x:v>
      </x:c>
      <x:c r="V53" s="27" t="n">
        <x:v>72</x:v>
      </x:c>
      <x:c r="W53" s="27" t="n">
        <x:v>62</x:v>
      </x:c>
      <x:c r="X53" s="27" t="str">
        <x:v>深夜2時間／平日夜90分</x:v>
      </x:c>
      <x:c r="Y53" s="27" t="str">
        <x:v>出発前に閉場確認</x:v>
      </x:c>
      <x:c r="Z53" s="27" t="str">
        <x:v>用途限定で有効</x:v>
      </x:c>
      <x:c r="AA53" s="27" t="str">
        <x:v>1964年東京大会の競技施設群を夜間でも眺められ、建築と都市史のStory Layerが強い。</x:v>
      </x:c>
      <x:c r="AB53" s="27" t="str">
        <x:v>大会・イベント日は混雑。第一駐車場は工事による一部閉鎖情報を確認。</x:v>
      </x:c>
      <x:c r="AC53" s="27" t="str">
        <x:v>羽田空港 第3ターミナル展望デッキ</x:v>
      </x:c>
      <x:c r="AD53" s="27" t="str">
        <x:v>城南島海浜公園／潮風公園</x:v>
      </x:c>
      <x:c r="AE53" t="n">
        <x:v>0</x:v>
      </x:c>
      <x:c r="AF53" t="str">
        <x:v>-</x:v>
      </x:c>
    </x:row>
    <x:row r="54" ht="42" customHeight="1">
      <x:c r="A54" s="27" t="str">
        <x:v>D254</x:v>
      </x:c>
      <x:c r="B54" s="27" t="str">
        <x:v>しながわ区民公園</x:v>
      </x:c>
      <x:c r="C54" s="27" t="str">
        <x:v>品川区・勝島</x:v>
      </x:c>
      <x:c r="D54" s="27" t="str">
        <x:v>人工湖・松並木・防災公園</x:v>
      </x:c>
      <x:c r="E54" s="48" t="e">
        <x:f>HYPERLINK("https://www.google.com/maps/dir/?api=1&amp;destination=%E3%81%97%E3%81%AA%E3%81%8C%E3%82%8F%E5%8C%BA%E6%B0%91%E5%85%AC%E5%9C%92&amp;travelmode=driving","ナビ開始")</x:f>
      </x:c>
      <x:c r="F54" s="27" t="str">
        <x:v>0〜10km</x:v>
      </x:c>
      <x:c r="G54" s="27" t="str">
        <x:v>蒲田から約6〜9km</x:v>
      </x:c>
      <x:c r="H54" s="27" t="str">
        <x:v>通常15〜30分</x:v>
      </x:c>
      <x:c r="I54" s="27" t="n">
        <x:v>3</x:v>
      </x:c>
      <x:c r="J54" s="27" t="n">
        <x:v>2</x:v>
      </x:c>
      <x:c r="K54" s="27" t="n">
        <x:v>1</x:v>
      </x:c>
      <x:c r="L54" s="27" t="n">
        <x:v>1</x:v>
      </x:c>
      <x:c r="M54" s="27" t="n">
        <x:v>4</x:v>
      </x:c>
      <x:c r="N54" s="27" t="n">
        <x:v>3</x:v>
      </x:c>
      <x:c r="O54" s="27" t="n">
        <x:v>67</x:v>
      </x:c>
      <x:c r="P54" s="27" t="n">
        <x:v>65</x:v>
      </x:c>
      <x:c r="Q54" s="27" t="n">
        <x:v>50</x:v>
      </x:c>
      <x:c r="R54" s="27" t="n">
        <x:v>52</x:v>
      </x:c>
      <x:c r="S54" s="27" t="n">
        <x:v>78</x:v>
      </x:c>
      <x:c r="T54" s="27" t="n">
        <x:v>49</x:v>
      </x:c>
      <x:c r="U54" s="27" t="n">
        <x:v>81</x:v>
      </x:c>
      <x:c r="V54" s="27" t="n">
        <x:v>55</x:v>
      </x:c>
      <x:c r="W54" s="27" t="n">
        <x:v>62</x:v>
      </x:c>
      <x:c r="X54" s="27" t="str">
        <x:v>静かな場所／海・港</x:v>
      </x:c>
      <x:c r="Y54" s="27" t="str">
        <x:v>出発前に閉場確認</x:v>
      </x:c>
      <x:c r="Z54" s="27" t="str">
        <x:v>用途限定で有効</x:v>
      </x:c>
      <x:c r="AA54" s="27" t="str">
        <x:v>人工湖『勝島の海』、松並木、広場がまとまり、大森海岸からすぐに水と緑へ切り替えられる近距離の昼～夕方候補。</x:v>
      </x:c>
      <x:c r="AB54" s="27" t="str">
        <x:v>犬の入園不可。休日・水族館営業日は混雑。20時30分閉園のため夜遅くは使わない。</x:v>
      </x:c>
      <x:c r="AC54" s="27" t="str">
        <x:v>平和島公園</x:v>
      </x:c>
      <x:c r="AD54" s="27" t="str">
        <x:v>大井ふ頭中央海浜公園／大森ふるさとの浜辺公園</x:v>
      </x:c>
      <x:c r="AE54" t="n">
        <x:v>0</x:v>
      </x:c>
      <x:c r="AF54" t="str">
        <x:v>-</x:v>
      </x:c>
    </x:row>
    <x:row r="55" ht="42" customHeight="1">
      <x:c r="A55" s="27" t="str">
        <x:v>D109</x:v>
      </x:c>
      <x:c r="B55" s="27" t="str">
        <x:v>亥鼻公園</x:v>
      </x:c>
      <x:c r="C55" s="27" t="str">
        <x:v>千葉市・中央区</x:v>
      </x:c>
      <x:c r="D55" s="27" t="str">
        <x:v>城址・高台・Story</x:v>
      </x:c>
      <x:c r="E55" s="48" t="e">
        <x:f>HYPERLINK("https://www.google.com/maps/dir/?api=1&amp;destination=%E4%BA%A5%E9%BC%BB%E5%85%AC%E5%9C%92&amp;travelmode=driving","ナビ開始")</x:f>
      </x:c>
      <x:c r="F55" s="27" t="str">
        <x:v>10〜20km</x:v>
      </x:c>
      <x:c r="G55" s="27" t="str">
        <x:v>概ね10〜20km</x:v>
      </x:c>
      <x:c r="H55" s="27" t="str">
        <x:v>通常25〜50分</x:v>
      </x:c>
      <x:c r="I55" s="27" t="n">
        <x:v>3</x:v>
      </x:c>
      <x:c r="J55" s="27" t="n">
        <x:v>4</x:v>
      </x:c>
      <x:c r="K55" s="27" t="n">
        <x:v>1</x:v>
      </x:c>
      <x:c r="L55" s="27" t="n">
        <x:v>1</x:v>
      </x:c>
      <x:c r="M55" s="27" t="n">
        <x:v>4</x:v>
      </x:c>
      <x:c r="N55" s="27" t="n">
        <x:v>5</x:v>
      </x:c>
      <x:c r="O55" s="27" t="n">
        <x:v>72</x:v>
      </x:c>
      <x:c r="P55" s="27" t="n">
        <x:v>72</x:v>
      </x:c>
      <x:c r="Q55" s="27" t="n">
        <x:v>55</x:v>
      </x:c>
      <x:c r="R55" s="27" t="n">
        <x:v>50</x:v>
      </x:c>
      <x:c r="S55" s="27" t="n">
        <x:v>49</x:v>
      </x:c>
      <x:c r="T55" s="27" t="n">
        <x:v>46</x:v>
      </x:c>
      <x:c r="U55" s="27" t="n">
        <x:v>57</x:v>
      </x:c>
      <x:c r="V55" s="27" t="n">
        <x:v>73</x:v>
      </x:c>
      <x:c r="W55" s="27" t="n">
        <x:v>61</x:v>
      </x:c>
      <x:c r="X55" s="27" t="str">
        <x:v>休日半日／平日夜90分</x:v>
      </x:c>
      <x:c r="Y55" s="27" t="str">
        <x:v>出発前に閉場確認</x:v>
      </x:c>
      <x:c r="Z55" s="27" t="str">
        <x:v>用途限定で有効</x:v>
      </x:c>
      <x:c r="AA55" s="27" t="str">
        <x:v>千葉城と歴史公園の高台景観があり、都市ドライブに物語性を加えられる。</x:v>
      </x:c>
      <x:c r="AB55" s="27" t="str">
        <x:v>桜祭り時は混雑。千葉城施設の営業時間と駐車位置を確認。</x:v>
      </x:c>
      <x:c r="AC55" s="27" t="str">
        <x:v>羽田空港 第3ターミナル展望デッキ</x:v>
      </x:c>
      <x:c r="AD55" s="27" t="str">
        <x:v>城南島海浜公園／潮風公園</x:v>
      </x:c>
      <x:c r="AE55" t="n">
        <x:v>0</x:v>
      </x:c>
      <x:c r="AF55" t="str">
        <x:v>-</x:v>
      </x:c>
    </x:row>
    <x:row r="56" ht="42" customHeight="1">
      <x:c r="A56" s="27" t="str">
        <x:v>D152</x:v>
      </x:c>
      <x:c r="B56" s="27" t="str">
        <x:v>府中の森公園</x:v>
      </x:c>
      <x:c r="C56" s="27" t="str">
        <x:v>府中市・浅間町</x:v>
      </x:c>
      <x:c r="D56" s="27" t="str">
        <x:v>並木・文化施設・24時間駐車</x:v>
      </x:c>
      <x:c r="E56" s="48" t="e">
        <x:f>HYPERLINK("https://www.google.com/maps/dir/?api=1&amp;destination=%E5%BA%9C%E4%B8%AD%E3%81%AE%E6%A3%AE%E5%85%AC%E5%9C%92&amp;travelmode=driving","ナビ開始")</x:f>
      </x:c>
      <x:c r="F56" s="27" t="str">
        <x:v>20〜25km</x:v>
      </x:c>
      <x:c r="G56" s="27" t="str">
        <x:v>概ね20〜25km</x:v>
      </x:c>
      <x:c r="H56" s="27" t="str">
        <x:v>通常40〜70分</x:v>
      </x:c>
      <x:c r="I56" s="27" t="n">
        <x:v>4</x:v>
      </x:c>
      <x:c r="J56" s="27" t="n">
        <x:v>3</x:v>
      </x:c>
      <x:c r="K56" s="27" t="n">
        <x:v>2</x:v>
      </x:c>
      <x:c r="L56" s="27" t="n">
        <x:v>1</x:v>
      </x:c>
      <x:c r="M56" s="27" t="n">
        <x:v>5</x:v>
      </x:c>
      <x:c r="N56" s="27" t="n">
        <x:v>5</x:v>
      </x:c>
      <x:c r="O56" s="27" t="n">
        <x:v>73</x:v>
      </x:c>
      <x:c r="P56" s="27" t="n">
        <x:v>78</x:v>
      </x:c>
      <x:c r="Q56" s="27" t="n">
        <x:v>61</x:v>
      </x:c>
      <x:c r="R56" s="27" t="n">
        <x:v>51</x:v>
      </x:c>
      <x:c r="S56" s="27" t="n">
        <x:v>52</x:v>
      </x:c>
      <x:c r="T56" s="27" t="n">
        <x:v>50</x:v>
      </x:c>
      <x:c r="U56" s="27" t="n">
        <x:v>54</x:v>
      </x:c>
      <x:c r="V56" s="27" t="n">
        <x:v>59</x:v>
      </x:c>
      <x:c r="W56" s="27" t="n">
        <x:v>61</x:v>
      </x:c>
      <x:c r="X56" s="27" t="str">
        <x:v>深夜2時間／平日夜90分</x:v>
      </x:c>
      <x:c r="Y56" s="27" t="str">
        <x:v>出発前に閉場確認</x:v>
      </x:c>
      <x:c r="Z56" s="27" t="str">
        <x:v>用途限定で有効</x:v>
      </x:c>
      <x:c r="AA56" s="27" t="str">
        <x:v>整った並木と文化施設があり、西東京の夜間休憩地点として安定する。</x:v>
      </x:c>
      <x:c r="AB56" s="27" t="str">
        <x:v>イベント時は駐車場混雑。住宅地に近いため夜間は静粛に利用。</x:v>
      </x:c>
      <x:c r="AC56" s="27" t="str">
        <x:v>羽田空港 第3ターミナル展望デッキ</x:v>
      </x:c>
      <x:c r="AD56" s="27" t="str">
        <x:v>城南島海浜公園／潮風公園</x:v>
      </x:c>
      <x:c r="AE56" t="n">
        <x:v>0</x:v>
      </x:c>
      <x:c r="AF56" t="str">
        <x:v>-</x:v>
      </x:c>
    </x:row>
    <x:row r="57" ht="42" customHeight="1">
      <x:c r="A57" s="27" t="str">
        <x:v>D221</x:v>
      </x:c>
      <x:c r="B57" s="27" t="str">
        <x:v>葛西海浜公園</x:v>
      </x:c>
      <x:c r="C57" s="27" t="str">
        <x:v>東京都江戸川区</x:v>
      </x:c>
      <x:c r="D57" s="27" t="str">
        <x:v>干潟・海浜・東京湾</x:v>
      </x:c>
      <x:c r="E57" s="48" t="e">
        <x:f>HYPERLINK("https://www.google.com/maps/dir/?api=1&amp;destination=%E8%91%9B%E8%A5%BF%E6%B5%B7%E6%B5%9C%E5%85%AC%E5%9C%92&amp;travelmode=driving","ナビ開始")</x:f>
      </x:c>
      <x:c r="F57" s="27" t="str">
        <x:v>20〜25km</x:v>
      </x:c>
      <x:c r="G57" s="27" t="str">
        <x:v>概ね20〜25km</x:v>
      </x:c>
      <x:c r="H57" s="27" t="str">
        <x:v>通常40〜70分</x:v>
      </x:c>
      <x:c r="I57" s="27" t="n">
        <x:v>4</x:v>
      </x:c>
      <x:c r="J57" s="27" t="n">
        <x:v>2</x:v>
      </x:c>
      <x:c r="K57" s="27" t="n">
        <x:v>1</x:v>
      </x:c>
      <x:c r="L57" s="27" t="n">
        <x:v>3</x:v>
      </x:c>
      <x:c r="M57" s="27" t="n">
        <x:v>4</x:v>
      </x:c>
      <x:c r="N57" s="27" t="n">
        <x:v>5</x:v>
      </x:c>
      <x:c r="O57" s="27" t="n">
        <x:v>72</x:v>
      </x:c>
      <x:c r="P57" s="27" t="n">
        <x:v>77</x:v>
      </x:c>
      <x:c r="Q57" s="27" t="n">
        <x:v>52</x:v>
      </x:c>
      <x:c r="R57" s="27" t="n">
        <x:v>51</x:v>
      </x:c>
      <x:c r="S57" s="27" t="n">
        <x:v>80</x:v>
      </x:c>
      <x:c r="T57" s="27" t="n">
        <x:v>51</x:v>
      </x:c>
      <x:c r="U57" s="27" t="n">
        <x:v>47</x:v>
      </x:c>
      <x:c r="V57" s="27" t="n">
        <x:v>53</x:v>
      </x:c>
      <x:c r="W57" s="27" t="n">
        <x:v>61</x:v>
      </x:c>
      <x:c r="X57" s="27" t="str">
        <x:v>海・港／深夜2時間</x:v>
      </x:c>
      <x:c r="Y57" s="27" t="str">
        <x:v>出発前に閉場確認</x:v>
      </x:c>
      <x:c r="Z57" s="27" t="str">
        <x:v>用途限定で有効</x:v>
      </x:c>
      <x:c r="AA57" s="27" t="str">
        <x:v>都心近くで干潟と東京湾の水平線を感じられ、臨海公園の人工景観から自然海浜へ抜けるEndingになる。</x:v>
      </x:c>
      <x:c r="AB57" s="27" t="str">
        <x:v>大型連休は早朝から満車。入庫規制中の路上待機禁止。荒天・高波・潮位上昇時は海浜へ入らない。</x:v>
      </x:c>
      <x:c r="AC57" s="27" t="str">
        <x:v>城南島海浜公園</x:v>
      </x:c>
      <x:c r="AD57" s="27" t="str">
        <x:v>潮風公園／晴海ふ頭公園</x:v>
      </x:c>
      <x:c r="AE57" t="n">
        <x:v>0</x:v>
      </x:c>
      <x:c r="AF57" t="str">
        <x:v>-</x:v>
      </x:c>
    </x:row>
    <x:row r="58" ht="42" customHeight="1">
      <x:c r="A58" s="27" t="str">
        <x:v>D242</x:v>
      </x:c>
      <x:c r="B58" s="27" t="str">
        <x:v>平和の森公園</x:v>
      </x:c>
      <x:c r="C58" s="27" t="str">
        <x:v>大田区・平和の森公園</x:v>
      </x:c>
      <x:c r="D58" s="27" t="str">
        <x:v>大規模公園・池・平和Story</x:v>
      </x:c>
      <x:c r="E58" s="48" t="e">
        <x:f>HYPERLINK("https://www.google.com/maps/dir/?api=1&amp;destination=%E5%B9%B3%E5%92%8C%E3%81%AE%E6%A3%AE%E5%85%AC%E5%9C%92&amp;travelmode=driving","ナビ開始")</x:f>
      </x:c>
      <x:c r="F58" s="27" t="str">
        <x:v>0〜10km</x:v>
      </x:c>
      <x:c r="G58" s="27" t="str">
        <x:v>蒲田から約4〜7km</x:v>
      </x:c>
      <x:c r="H58" s="27" t="str">
        <x:v>通常15〜25分</x:v>
      </x:c>
      <x:c r="I58" s="27" t="n">
        <x:v>4</x:v>
      </x:c>
      <x:c r="J58" s="27" t="n">
        <x:v>2</x:v>
      </x:c>
      <x:c r="K58" s="27" t="n">
        <x:v>1</x:v>
      </x:c>
      <x:c r="L58" s="27" t="n">
        <x:v>1</x:v>
      </x:c>
      <x:c r="M58" s="27" t="n">
        <x:v>2</x:v>
      </x:c>
      <x:c r="N58" s="27" t="n">
        <x:v>5</x:v>
      </x:c>
      <x:c r="O58" s="27" t="n">
        <x:v>72</x:v>
      </x:c>
      <x:c r="P58" s="27" t="n">
        <x:v>71</x:v>
      </x:c>
      <x:c r="Q58" s="27" t="n">
        <x:v>46</x:v>
      </x:c>
      <x:c r="R58" s="27" t="n">
        <x:v>49</x:v>
      </x:c>
      <x:c r="S58" s="27" t="n">
        <x:v>48</x:v>
      </x:c>
      <x:c r="T58" s="27" t="n">
        <x:v>47</x:v>
      </x:c>
      <x:c r="U58" s="27" t="n">
        <x:v>77</x:v>
      </x:c>
      <x:c r="V58" s="27" t="n">
        <x:v>67</x:v>
      </x:c>
      <x:c r="W58" s="27" t="n">
        <x:v>61</x:v>
      </x:c>
      <x:c r="X58" s="27" t="str">
        <x:v>静かな場所／平日夜90分</x:v>
      </x:c>
      <x:c r="Y58" s="27" t="str">
        <x:v>出発前に閉場確認</x:v>
      </x:c>
      <x:c r="Z58" s="27" t="str">
        <x:v>用途限定で有効</x:v>
      </x:c>
      <x:c r="AA58" s="27" t="str">
        <x:v>区内最大級の公園で、ひょうたん池、梅、広場、アスレチックを近距離で選べる。浜辺公園とのセット性能が高い。</x:v>
      </x:c>
      <x:c r="AB58" s="27" t="str">
        <x:v>施設利用時間は個別。休日は大森ふるさとの浜辺公園と共用で混雑する。</x:v>
      </x:c>
      <x:c r="AC58" s="27" t="str">
        <x:v>大森ふるさとの浜辺公園</x:v>
      </x:c>
      <x:c r="AD58" s="27" t="str">
        <x:v>大森ふるさとの浜辺公園／都堀公園</x:v>
      </x:c>
      <x:c r="AE58" t="n">
        <x:v>0</x:v>
      </x:c>
      <x:c r="AF58" t="str">
        <x:v>-</x:v>
      </x:c>
    </x:row>
    <x:row r="59" ht="42" customHeight="1">
      <x:c r="A59" s="27" t="str">
        <x:v>D249</x:v>
      </x:c>
      <x:c r="B59" s="27" t="str">
        <x:v>多摩川六郷橋緑地</x:v>
      </x:c>
      <x:c r="C59" s="27" t="str">
        <x:v>大田区・東六郷</x:v>
      </x:c>
      <x:c r="D59" s="27" t="str">
        <x:v>河川敷・橋・広い空</x:v>
      </x:c>
      <x:c r="E59" s="48" t="e">
        <x:f>HYPERLINK("https://www.google.com/maps/dir/?api=1&amp;destination=%E5%A4%9A%E6%91%A9%E5%B7%9D%E5%85%AD%E9%83%B7%E6%A9%8B%E7%B7%91%E5%9C%B0&amp;travelmode=driving","ナビ開始")</x:f>
      </x:c>
      <x:c r="F59" s="27" t="str">
        <x:v>0〜10km</x:v>
      </x:c>
      <x:c r="G59" s="27" t="str">
        <x:v>蒲田から約3〜6km</x:v>
      </x:c>
      <x:c r="H59" s="27" t="str">
        <x:v>通常10〜20分</x:v>
      </x:c>
      <x:c r="I59" s="27" t="n">
        <x:v>2</x:v>
      </x:c>
      <x:c r="J59" s="27" t="n">
        <x:v>4</x:v>
      </x:c>
      <x:c r="K59" s="27" t="n">
        <x:v>1</x:v>
      </x:c>
      <x:c r="L59" s="27" t="n">
        <x:v>3</x:v>
      </x:c>
      <x:c r="M59" s="27" t="n">
        <x:v>4</x:v>
      </x:c>
      <x:c r="N59" s="27" t="n">
        <x:v>2</x:v>
      </x:c>
      <x:c r="O59" s="27" t="n">
        <x:v>67</x:v>
      </x:c>
      <x:c r="P59" s="27" t="n">
        <x:v>61</x:v>
      </x:c>
      <x:c r="Q59" s="27" t="n">
        <x:v>56</x:v>
      </x:c>
      <x:c r="R59" s="27" t="n">
        <x:v>55</x:v>
      </x:c>
      <x:c r="S59" s="27" t="n">
        <x:v>80</x:v>
      </x:c>
      <x:c r="T59" s="27" t="n">
        <x:v>49</x:v>
      </x:c>
      <x:c r="U59" s="27" t="n">
        <x:v>59</x:v>
      </x:c>
      <x:c r="V59" s="27" t="n">
        <x:v>57</x:v>
      </x:c>
      <x:c r="W59" s="27" t="n">
        <x:v>61</x:v>
      </x:c>
      <x:c r="X59" s="27" t="str">
        <x:v>海・港／平日夜90分</x:v>
      </x:c>
      <x:c r="Y59" s="27" t="str">
        <x:v>出発前に閉場確認</x:v>
      </x:c>
      <x:c r="Z59" s="27" t="str">
        <x:v>用途限定で有効</x:v>
      </x:c>
      <x:c r="AA59" s="27" t="str">
        <x:v>蒲田から極めて近く、六郷橋と多摩川の広い空を車で気軽に取りに行ける週末型Ending。</x:v>
      </x:c>
      <x:c r="AB59" s="27" t="str">
        <x:v>平日は駐車場閉鎖。閉鎖時刻後は出庫不可。台風・増水・イベント時は閉鎖。</x:v>
      </x:c>
      <x:c r="AC59" s="27" t="str">
        <x:v>多摩川ガス橋緑地</x:v>
      </x:c>
      <x:c r="AD59" s="27" t="str">
        <x:v>多摩川浅間神社／御幸公園</x:v>
      </x:c>
      <x:c r="AE59" t="n">
        <x:v>0</x:v>
      </x:c>
      <x:c r="AF59" t="str">
        <x:v>-</x:v>
      </x:c>
    </x:row>
    <x:row r="60" ht="42" customHeight="1">
      <x:c r="A60" s="27" t="str">
        <x:v>D271</x:v>
      </x:c>
      <x:c r="B60" s="27" t="str">
        <x:v>品川シーズンテラス／芝浦中央公園</x:v>
      </x:c>
      <x:c r="C60" s="27" t="str">
        <x:v>港区・港南</x:v>
      </x:c>
      <x:c r="D60" s="27" t="str">
        <x:v>水再生センター・屋上緑地・高層建築</x:v>
      </x:c>
      <x:c r="E60" s="48" t="e">
        <x:f>HYPERLINK("https://www.google.com/maps/dir/?api=1&amp;destination=%E5%93%81%E5%B7%9D%E3%82%B7%E3%83%BC%E3%82%BA%E3%83%B3%E3%83%86%E3%83%A9%E3%82%B9%EF%BC%8F%E8%8A%9D%E6%B5%A6%E4%B8%AD%E5%A4%AE%E5%85%AC%E5%9C%92&amp;travelmode=driving","ナビ開始")</x:f>
      </x:c>
      <x:c r="F60" s="27" t="str">
        <x:v>10〜20km</x:v>
      </x:c>
      <x:c r="G60" s="27" t="str">
        <x:v>蒲田から約11〜15km</x:v>
      </x:c>
      <x:c r="H60" s="27" t="str">
        <x:v>通常25〜45分</x:v>
      </x:c>
      <x:c r="I60" s="27" t="n">
        <x:v>4</x:v>
      </x:c>
      <x:c r="J60" s="27" t="n">
        <x:v>4</x:v>
      </x:c>
      <x:c r="K60" s="27" t="n">
        <x:v>3</x:v>
      </x:c>
      <x:c r="L60" s="27" t="n">
        <x:v>2</x:v>
      </x:c>
      <x:c r="M60" s="27" t="n">
        <x:v>2</x:v>
      </x:c>
      <x:c r="N60" s="27" t="n">
        <x:v>5</x:v>
      </x:c>
      <x:c r="O60" s="27" t="n">
        <x:v>73</x:v>
      </x:c>
      <x:c r="P60" s="27" t="n">
        <x:v>72</x:v>
      </x:c>
      <x:c r="Q60" s="27" t="n">
        <x:v>63</x:v>
      </x:c>
      <x:c r="R60" s="27" t="n">
        <x:v>49</x:v>
      </x:c>
      <x:c r="S60" s="27" t="n">
        <x:v>49</x:v>
      </x:c>
      <x:c r="T60" s="27" t="n">
        <x:v>46</x:v>
      </x:c>
      <x:c r="U60" s="27" t="n">
        <x:v>53</x:v>
      </x:c>
      <x:c r="V60" s="27" t="n">
        <x:v>71</x:v>
      </x:c>
      <x:c r="W60" s="27" t="n">
        <x:v>61</x:v>
      </x:c>
      <x:c r="X60" s="27" t="str">
        <x:v>平日夜90分／深夜2時間</x:v>
      </x:c>
      <x:c r="Y60" s="27" t="str">
        <x:v>出発前に閉場確認</x:v>
      </x:c>
      <x:c r="Z60" s="27" t="str">
        <x:v>用途限定で有効</x:v>
      </x:c>
      <x:c r="AA60" s="27" t="str">
        <x:v>水再生センター上部の広大な緑地と高層オフィスを同時に体験でき、都市インフラStoryが強い。品川・港区ルートの接続点。</x:v>
      </x:c>
      <x:c r="AB60" s="27" t="str">
        <x:v>イベント時は芝生・水景施設が制限される場合あり。23時以降は入出庫不可。オフィス利用者への配慮。</x:v>
      </x:c>
      <x:c r="AC60" s="27" t="str">
        <x:v>森ケ崎公園</x:v>
      </x:c>
      <x:c r="AD60" s="27" t="str">
        <x:v>天王洲公園／東京タワー</x:v>
      </x:c>
      <x:c r="AE60" t="n">
        <x:v>3</x:v>
      </x:c>
      <x:c r="AF60" t="str">
        <x:v>B</x:v>
      </x:c>
    </x:row>
    <x:row r="61" ht="42" customHeight="1">
      <x:c r="A61" s="27" t="str">
        <x:v>D275</x:v>
      </x:c>
      <x:c r="B61" s="27" t="str">
        <x:v>新宿NSビル アトリウム・大時計</x:v>
      </x:c>
      <x:c r="C61" s="27" t="str">
        <x:v>新宿区・西新宿</x:v>
      </x:c>
      <x:c r="D61" s="27" t="str">
        <x:v>巨大吹抜け・大時計・超高層建築・雨天</x:v>
      </x:c>
      <x:c r="E61" s="48" t="e">
        <x:f>HYPERLINK("https://www.google.com/maps/dir/?api=1&amp;destination=%E6%96%B0%E5%AE%BFNS%E3%83%93%E3%83%AB%20%E3%82%A2%E3%83%88%E3%83%AA%E3%82%A6%E3%83%A0%E3%83%BB%E5%A4%A7%E6%99%82%E8%A8%88&amp;travelmode=driving","ナビ開始")</x:f>
      </x:c>
      <x:c r="F61" s="27" t="str">
        <x:v>10〜20km</x:v>
      </x:c>
      <x:c r="G61" s="27" t="str">
        <x:v>蒲田から約18〜23km</x:v>
      </x:c>
      <x:c r="H61" s="27" t="str">
        <x:v>通常40〜65分</x:v>
      </x:c>
      <x:c r="I61" s="27" t="n">
        <x:v>4</x:v>
      </x:c>
      <x:c r="J61" s="27" t="n">
        <x:v>3</x:v>
      </x:c>
      <x:c r="K61" s="27" t="n">
        <x:v>5</x:v>
      </x:c>
      <x:c r="L61" s="27" t="n">
        <x:v>2</x:v>
      </x:c>
      <x:c r="M61" s="27" t="n">
        <x:v>2</x:v>
      </x:c>
      <x:c r="N61" s="27" t="n">
        <x:v>5</x:v>
      </x:c>
      <x:c r="O61" s="27" t="n">
        <x:v>71</x:v>
      </x:c>
      <x:c r="P61" s="27" t="n">
        <x:v>71</x:v>
      </x:c>
      <x:c r="Q61" s="27" t="n">
        <x:v>75</x:v>
      </x:c>
      <x:c r="R61" s="27" t="n">
        <x:v>48</x:v>
      </x:c>
      <x:c r="S61" s="27" t="n">
        <x:v>48</x:v>
      </x:c>
      <x:c r="T61" s="27" t="n">
        <x:v>46</x:v>
      </x:c>
      <x:c r="U61" s="27" t="n">
        <x:v>49</x:v>
      </x:c>
      <x:c r="V61" s="27" t="n">
        <x:v>71</x:v>
      </x:c>
      <x:c r="W61" s="27" t="n">
        <x:v>61</x:v>
      </x:c>
      <x:c r="X61" s="27" t="str">
        <x:v>雨天／平日夜90分</x:v>
      </x:c>
      <x:c r="Y61" s="27" t="str">
        <x:v>出発前に閉場確認</x:v>
      </x:c>
      <x:c r="Z61" s="27" t="str">
        <x:v>用途限定で有効</x:v>
      </x:c>
      <x:c r="AA61" s="27" t="str">
        <x:v>巨大アトリウムと大時計を短時間で見られ、雨天でも西新宿の超高層建築体験を作れる。都庁前の実用的な経由地。</x:v>
      </x:c>
      <x:c r="AB61" s="27" t="str">
        <x:v>イベント・テナント営業時間を確認。深夜はアトリウム立入範囲が限定される場合あり。</x:v>
      </x:c>
      <x:c r="AC61" s="27" t="str">
        <x:v>東京都庁展望室</x:v>
      </x:c>
      <x:c r="AD61" s="27" t="str">
        <x:v>新宿御苑／聖徳記念絵画館</x:v>
      </x:c>
      <x:c r="AE61" t="n">
        <x:v>3</x:v>
      </x:c>
      <x:c r="AF61" t="str">
        <x:v>B</x:v>
      </x:c>
    </x:row>
    <x:row r="62" ht="42" customHeight="1">
      <x:c r="A62" s="27" t="str">
        <x:v>D080</x:v>
      </x:c>
      <x:c r="B62" s="27" t="str">
        <x:v>根岸森林公園</x:v>
      </x:c>
      <x:c r="C62" s="27" t="str">
        <x:v>横浜市・中区</x:v>
      </x:c>
      <x:c r="D62" s="27" t="str">
        <x:v>高台・芝生・都市近郊</x:v>
      </x:c>
      <x:c r="E62" s="48" t="e">
        <x:f>HYPERLINK("https://www.google.com/maps/dir/?api=1&amp;destination=%E6%A0%B9%E5%B2%B8%E6%A3%AE%E6%9E%97%E5%85%AC%E5%9C%92&amp;travelmode=driving","ナビ開始")</x:f>
      </x:c>
      <x:c r="F62" s="27" t="str">
        <x:v>20〜25km</x:v>
      </x:c>
      <x:c r="G62" s="27" t="str">
        <x:v>概ね20〜25km</x:v>
      </x:c>
      <x:c r="H62" s="27" t="str">
        <x:v>通常40〜70分</x:v>
      </x:c>
      <x:c r="I62" s="27" t="n">
        <x:v>4</x:v>
      </x:c>
      <x:c r="J62" s="27" t="n">
        <x:v>3</x:v>
      </x:c>
      <x:c r="K62" s="27" t="n">
        <x:v>1</x:v>
      </x:c>
      <x:c r="L62" s="27" t="n">
        <x:v>1</x:v>
      </x:c>
      <x:c r="M62" s="27" t="n">
        <x:v>4</x:v>
      </x:c>
      <x:c r="N62" s="27" t="n">
        <x:v>5</x:v>
      </x:c>
      <x:c r="O62" s="27" t="n">
        <x:v>70</x:v>
      </x:c>
      <x:c r="P62" s="27" t="n">
        <x:v>74</x:v>
      </x:c>
      <x:c r="Q62" s="27" t="n">
        <x:v>50</x:v>
      </x:c>
      <x:c r="R62" s="27" t="n">
        <x:v>48</x:v>
      </x:c>
      <x:c r="S62" s="27" t="n">
        <x:v>49</x:v>
      </x:c>
      <x:c r="T62" s="27" t="n">
        <x:v>47</x:v>
      </x:c>
      <x:c r="U62" s="27" t="n">
        <x:v>79</x:v>
      </x:c>
      <x:c r="V62" s="27" t="n">
        <x:v>55</x:v>
      </x:c>
      <x:c r="W62" s="27" t="n">
        <x:v>60</x:v>
      </x:c>
      <x:c r="X62" s="27" t="str">
        <x:v>静かな場所／深夜2時間</x:v>
      </x:c>
      <x:c r="Y62" s="27" t="str">
        <x:v>出発前に閉場確認</x:v>
      </x:c>
      <x:c r="Z62" s="27" t="str">
        <x:v>用途限定で有効</x:v>
      </x:c>
      <x:c r="AA62" s="27" t="str">
        <x:v>広い芝生と旧競馬場の高台景観があり、横浜中心部の後に静けさを作れる。</x:v>
      </x:c>
      <x:c r="AB62" s="27" t="str">
        <x:v>桜期・休日は満車と周辺渋滞。路上待機禁止。閉場時刻は当日表示を優先。</x:v>
      </x:c>
      <x:c r="AC62" s="27" t="str">
        <x:v>羽田空港 第3ターミナル展望デッキ</x:v>
      </x:c>
      <x:c r="AD62" s="27" t="str">
        <x:v>城南島海浜公園／潮風公園</x:v>
      </x:c>
      <x:c r="AE62" t="n">
        <x:v>0</x:v>
      </x:c>
      <x:c r="AF62" t="str">
        <x:v>-</x:v>
      </x:c>
    </x:row>
    <x:row r="63" ht="42" customHeight="1">
      <x:c r="A63" s="27" t="str">
        <x:v>D157</x:v>
      </x:c>
      <x:c r="B63" s="27" t="str">
        <x:v>川崎市役所 展望ロビー・スカイデッキ</x:v>
      </x:c>
      <x:c r="C63" s="27" t="str">
        <x:v>川崎市・川崎区</x:v>
      </x:c>
      <x:c r="D63" s="27" t="str">
        <x:v>市役所・展望・都市史</x:v>
      </x:c>
      <x:c r="E63" s="48" t="e">
        <x:f>HYPERLINK("https://www.google.com/maps/dir/?api=1&amp;destination=%E5%B7%9D%E5%B4%8E%E5%B8%82%E5%BD%B9%E6%89%80%20%E5%B1%95%E6%9C%9B%E3%83%AD%E3%83%93%E3%83%BC%E3%83%BB%E3%82%B9%E3%82%AB%E3%82%A4%E3%83%87%E3%83%83%E3%82%AD&amp;travelmode=driving","ナビ開始")</x:f>
      </x:c>
      <x:c r="F63" s="27" t="str">
        <x:v>0〜10km</x:v>
      </x:c>
      <x:c r="G63" s="27" t="str">
        <x:v>概ね0〜10km</x:v>
      </x:c>
      <x:c r="H63" s="27" t="str">
        <x:v>通常10〜30分</x:v>
      </x:c>
      <x:c r="I63" s="27" t="n">
        <x:v>4</x:v>
      </x:c>
      <x:c r="J63" s="27" t="n">
        <x:v>3</x:v>
      </x:c>
      <x:c r="K63" s="27" t="n">
        <x:v>2</x:v>
      </x:c>
      <x:c r="L63" s="27" t="n">
        <x:v>1</x:v>
      </x:c>
      <x:c r="M63" s="27" t="n">
        <x:v>4</x:v>
      </x:c>
      <x:c r="N63" s="27" t="n">
        <x:v>1</x:v>
      </x:c>
      <x:c r="O63" s="27" t="n">
        <x:v>68</x:v>
      </x:c>
      <x:c r="P63" s="27" t="n">
        <x:v>64</x:v>
      </x:c>
      <x:c r="Q63" s="27" t="n">
        <x:v>55</x:v>
      </x:c>
      <x:c r="R63" s="27" t="n">
        <x:v>56</x:v>
      </x:c>
      <x:c r="S63" s="27" t="n">
        <x:v>55</x:v>
      </x:c>
      <x:c r="T63" s="27" t="n">
        <x:v>53</x:v>
      </x:c>
      <x:c r="U63" s="27" t="n">
        <x:v>59</x:v>
      </x:c>
      <x:c r="V63" s="27" t="n">
        <x:v>60</x:v>
      </x:c>
      <x:c r="W63" s="27" t="n">
        <x:v>60</x:v>
      </x:c>
      <x:c r="X63" s="27" t="str">
        <x:v>平日夜90分／深夜2時間</x:v>
      </x:c>
      <x:c r="Y63" s="27" t="str">
        <x:v>出発前に閉場確認</x:v>
      </x:c>
      <x:c r="Z63" s="27" t="str">
        <x:v>用途限定で有効</x:v>
      </x:c>
      <x:c r="AA63" s="27" t="str">
        <x:v>無料の高層展望から川崎・東京・横浜方面を一望し、旧庁舎復元部の歴史展示も見られる。</x:v>
      </x:c>
      <x:c r="AB63" s="27" t="str">
        <x:v>駐車料金が発生。行政行事・荒天でスカイデッキ閉鎖あり。</x:v>
      </x:c>
      <x:c r="AC63" s="27" t="str">
        <x:v>羽田空港 第3ターミナル展望デッキ</x:v>
      </x:c>
      <x:c r="AD63" s="27" t="str">
        <x:v>城南島海浜公園／潮風公園</x:v>
      </x:c>
      <x:c r="AE63" t="n">
        <x:v>0</x:v>
      </x:c>
      <x:c r="AF63" t="str">
        <x:v>-</x:v>
      </x:c>
    </x:row>
    <x:row r="64" ht="42" customHeight="1">
      <x:c r="A64" s="27" t="str">
        <x:v>D256</x:v>
      </x:c>
      <x:c r="B64" s="27" t="str">
        <x:v>ちどり公園</x:v>
      </x:c>
      <x:c r="C64" s="27" t="str">
        <x:v>川崎市川崎区・千鳥町</x:v>
      </x:c>
      <x:c r="D64" s="27" t="str">
        <x:v>川崎港・運河・小展望台</x:v>
      </x:c>
      <x:c r="E64" s="48" t="e">
        <x:f>HYPERLINK("https://www.google.com/maps/dir/?api=1&amp;destination=%E3%81%A1%E3%81%A9%E3%82%8A%E5%85%AC%E5%9C%92&amp;travelmode=driving","ナビ開始")</x:f>
      </x:c>
      <x:c r="F64" s="27" t="str">
        <x:v>10〜20km</x:v>
      </x:c>
      <x:c r="G64" s="27" t="str">
        <x:v>蒲田から約12〜17km</x:v>
      </x:c>
      <x:c r="H64" s="27" t="str">
        <x:v>通常30〜50分</x:v>
      </x:c>
      <x:c r="I64" s="27" t="n">
        <x:v>2</x:v>
      </x:c>
      <x:c r="J64" s="27" t="n">
        <x:v>4</x:v>
      </x:c>
      <x:c r="K64" s="27" t="n">
        <x:v>1</x:v>
      </x:c>
      <x:c r="L64" s="27" t="n">
        <x:v>2</x:v>
      </x:c>
      <x:c r="M64" s="27" t="n">
        <x:v>4</x:v>
      </x:c>
      <x:c r="N64" s="27" t="n">
        <x:v>5</x:v>
      </x:c>
      <x:c r="O64" s="27" t="n">
        <x:v>69</x:v>
      </x:c>
      <x:c r="P64" s="27" t="n">
        <x:v>68</x:v>
      </x:c>
      <x:c r="Q64" s="27" t="n">
        <x:v>57</x:v>
      </x:c>
      <x:c r="R64" s="27" t="n">
        <x:v>49</x:v>
      </x:c>
      <x:c r="S64" s="27" t="n">
        <x:v>75</x:v>
      </x:c>
      <x:c r="T64" s="27" t="n">
        <x:v>44</x:v>
      </x:c>
      <x:c r="U64" s="27" t="n">
        <x:v>55</x:v>
      </x:c>
      <x:c r="V64" s="27" t="n">
        <x:v>55</x:v>
      </x:c>
      <x:c r="W64" s="27" t="n">
        <x:v>60</x:v>
      </x:c>
      <x:c r="X64" s="27" t="str">
        <x:v>海・港／平日夜90分</x:v>
      </x:c>
      <x:c r="Y64" s="27" t="str">
        <x:v>出発前に閉場確認</x:v>
      </x:c>
      <x:c r="Z64" s="27" t="str">
        <x:v>用途限定で有効</x:v>
      </x:c>
      <x:c r="AA64" s="27" t="str">
        <x:v>高さ約7mの展望台から京浜運河、船、東扇島を眺められ、工場夜景へ入る前の昼間導入地点として機能する。</x:v>
      </x:c>
      <x:c r="AB64" s="27" t="str">
        <x:v>車利用は18時まで。30台程度で満車時は待たない。釣り禁止。工場敷地・岸壁へ入らない。</x:v>
      </x:c>
      <x:c r="AC64" s="27" t="str">
        <x:v>川崎マリエン</x:v>
      </x:c>
      <x:c r="AD64" s="27" t="str">
        <x:v>東扇島中公園／富士見公園</x:v>
      </x:c>
      <x:c r="AE64" t="n">
        <x:v>0</x:v>
      </x:c>
      <x:c r="AF64" t="str">
        <x:v>-</x:v>
      </x:c>
    </x:row>
    <x:row r="65" ht="42" customHeight="1">
      <x:c r="A65" s="27" t="str">
        <x:v>D044</x:v>
      </x:c>
      <x:c r="B65" s="27" t="str">
        <x:v>桜ヶ丘公園 ゆうひの丘</x:v>
      </x:c>
      <x:c r="C65" s="27" t="str">
        <x:v>多摩市・連光寺</x:v>
      </x:c>
      <x:c r="D65" s="27" t="str">
        <x:v>高台・夕景・夜景</x:v>
      </x:c>
      <x:c r="E65" s="48" t="e">
        <x:f>HYPERLINK("https://www.google.com/maps/dir/?api=1&amp;destination=%E6%A1%9C%E3%83%B6%E4%B8%98%E5%85%AC%E5%9C%92%20%E3%82%86%E3%81%86%E3%81%B2%E3%81%AE%E4%B8%98&amp;travelmode=driving","ナビ開始")</x:f>
      </x:c>
      <x:c r="F65" s="27" t="str">
        <x:v>20〜25km</x:v>
      </x:c>
      <x:c r="G65" s="27" t="str">
        <x:v>概ね20〜25km</x:v>
      </x:c>
      <x:c r="H65" s="27" t="str">
        <x:v>通常40〜70分</x:v>
      </x:c>
      <x:c r="I65" s="27" t="n">
        <x:v>4</x:v>
      </x:c>
      <x:c r="J65" s="27" t="n">
        <x:v>4</x:v>
      </x:c>
      <x:c r="K65" s="27" t="n">
        <x:v>1</x:v>
      </x:c>
      <x:c r="L65" s="27" t="n">
        <x:v>3</x:v>
      </x:c>
      <x:c r="M65" s="27" t="n">
        <x:v>4</x:v>
      </x:c>
      <x:c r="N65" s="27" t="n">
        <x:v>3</x:v>
      </x:c>
      <x:c r="O65" s="27" t="n">
        <x:v>70</x:v>
      </x:c>
      <x:c r="P65" s="27" t="n">
        <x:v>71</x:v>
      </x:c>
      <x:c r="Q65" s="27" t="n">
        <x:v>52</x:v>
      </x:c>
      <x:c r="R65" s="27" t="n">
        <x:v>53</x:v>
      </x:c>
      <x:c r="S65" s="27" t="n">
        <x:v>54</x:v>
      </x:c>
      <x:c r="T65" s="27" t="n">
        <x:v>51</x:v>
      </x:c>
      <x:c r="U65" s="27" t="n">
        <x:v>55</x:v>
      </x:c>
      <x:c r="V65" s="27" t="n">
        <x:v>57</x:v>
      </x:c>
      <x:c r="W65" s="27" t="n">
        <x:v>59</x:v>
      </x:c>
      <x:c r="X65" s="27" t="str">
        <x:v>深夜2時間／平日夜90分</x:v>
      </x:c>
      <x:c r="Y65" s="27" t="str">
        <x:v>出発前に閉場確認</x:v>
      </x:c>
      <x:c r="Z65" s="27" t="str">
        <x:v>用途限定で有効</x:v>
      </x:c>
      <x:c r="AA65" s="27" t="str">
        <x:v>多摩丘陵から市街地を見下ろす夕景が強く、都心湾岸とは別系統の高台Endingになる。</x:v>
      </x:c>
      <x:c r="AB65" s="27" t="str">
        <x:v>20時に夜間閉鎖。台数が少なく、公道での入庫待ちは不可。</x:v>
      </x:c>
      <x:c r="AC65" s="27" t="str">
        <x:v>羽田空港 第3ターミナル展望デッキ</x:v>
      </x:c>
      <x:c r="AD65" s="27" t="str">
        <x:v>城南島海浜公園／潮風公園</x:v>
      </x:c>
      <x:c r="AE65" t="n">
        <x:v>0</x:v>
      </x:c>
      <x:c r="AF65" t="str">
        <x:v>-</x:v>
      </x:c>
    </x:row>
    <x:row r="66" ht="42" customHeight="1">
      <x:c r="A66" s="27" t="str">
        <x:v>D117</x:v>
      </x:c>
      <x:c r="B66" s="27" t="str">
        <x:v>富士見公園</x:v>
      </x:c>
      <x:c r="C66" s="27" t="str">
        <x:v>川崎市・川崎区</x:v>
      </x:c>
      <x:c r="D66" s="27" t="str">
        <x:v>都市公園・スポーツ・夜間休憩</x:v>
      </x:c>
      <x:c r="E66" s="48" t="e">
        <x:f>HYPERLINK("https://www.google.com/maps/dir/?api=1&amp;destination=%E5%AF%8C%E5%A3%AB%E8%A6%8B%E5%85%AC%E5%9C%92&amp;travelmode=driving","ナビ開始")</x:f>
      </x:c>
      <x:c r="F66" s="27" t="str">
        <x:v>0〜10km</x:v>
      </x:c>
      <x:c r="G66" s="27" t="str">
        <x:v>概ね0〜10km</x:v>
      </x:c>
      <x:c r="H66" s="27" t="str">
        <x:v>通常10〜30分</x:v>
      </x:c>
      <x:c r="I66" s="27" t="n">
        <x:v>3</x:v>
      </x:c>
      <x:c r="J66" s="27" t="n">
        <x:v>3</x:v>
      </x:c>
      <x:c r="K66" s="27" t="n">
        <x:v>1</x:v>
      </x:c>
      <x:c r="L66" s="27" t="n">
        <x:v>1</x:v>
      </x:c>
      <x:c r="M66" s="27" t="n">
        <x:v>4</x:v>
      </x:c>
      <x:c r="N66" s="27" t="n">
        <x:v>1</x:v>
      </x:c>
      <x:c r="O66" s="27" t="n">
        <x:v>63</x:v>
      </x:c>
      <x:c r="P66" s="27" t="n">
        <x:v>58</x:v>
      </x:c>
      <x:c r="Q66" s="27" t="n">
        <x:v>48</x:v>
      </x:c>
      <x:c r="R66" s="27" t="n">
        <x:v>53</x:v>
      </x:c>
      <x:c r="S66" s="27" t="n">
        <x:v>51</x:v>
      </x:c>
      <x:c r="T66" s="27" t="n">
        <x:v>49</x:v>
      </x:c>
      <x:c r="U66" s="27" t="n">
        <x:v>85</x:v>
      </x:c>
      <x:c r="V66" s="27" t="n">
        <x:v>57</x:v>
      </x:c>
      <x:c r="W66" s="27" t="n">
        <x:v>58</x:v>
      </x:c>
      <x:c r="X66" s="27" t="str">
        <x:v>静かな場所／平日夜90分</x:v>
      </x:c>
      <x:c r="Y66" s="27" t="str">
        <x:v>出発前に閉場確認</x:v>
      </x:c>
      <x:c r="Z66" s="27" t="str">
        <x:v>用途限定で有効</x:v>
      </x:c>
      <x:c r="AA66" s="27" t="str">
        <x:v>川崎中心部で広い公園に切り替えられ、工場夜景前後の休憩地点になる。</x:v>
      </x:c>
      <x:c r="AB66" s="27" t="str">
        <x:v>イベント・競技開催日は混雑。工事範囲確認。</x:v>
      </x:c>
      <x:c r="AC66" s="27" t="str">
        <x:v>平和の森公園</x:v>
      </x:c>
      <x:c r="AD66" s="27" t="str">
        <x:v>大森ふるさとの浜辺公園／森ケ崎公園</x:v>
      </x:c>
      <x:c r="AE66" t="n">
        <x:v>0</x:v>
      </x:c>
      <x:c r="AF66" t="str">
        <x:v>-</x:v>
      </x:c>
    </x:row>
    <x:row r="67" ht="42" customHeight="1">
      <x:c r="A67" s="27" t="str">
        <x:v>D147</x:v>
      </x:c>
      <x:c r="B67" s="27" t="str">
        <x:v>北八朔公園</x:v>
      </x:c>
      <x:c r="C67" s="27" t="str">
        <x:v>横浜市・緑区</x:v>
      </x:c>
      <x:c r="D67" s="27" t="str">
        <x:v>谷戸・里山・風致公園</x:v>
      </x:c>
      <x:c r="E67" s="48" t="e">
        <x:f>HYPERLINK("https://www.google.com/maps/dir/?api=1&amp;destination=%E5%8C%97%E5%85%AB%E6%9C%94%E5%85%AC%E5%9C%92&amp;travelmode=driving","ナビ開始")</x:f>
      </x:c>
      <x:c r="F67" s="27" t="str">
        <x:v>20〜25km</x:v>
      </x:c>
      <x:c r="G67" s="27" t="str">
        <x:v>概ね20〜25km</x:v>
      </x:c>
      <x:c r="H67" s="27" t="str">
        <x:v>通常40〜70分</x:v>
      </x:c>
      <x:c r="I67" s="27" t="n">
        <x:v>3</x:v>
      </x:c>
      <x:c r="J67" s="27" t="n">
        <x:v>4</x:v>
      </x:c>
      <x:c r="K67" s="27" t="n">
        <x:v>1</x:v>
      </x:c>
      <x:c r="L67" s="27" t="n">
        <x:v>1</x:v>
      </x:c>
      <x:c r="M67" s="27" t="n">
        <x:v>4</x:v>
      </x:c>
      <x:c r="N67" s="27" t="n">
        <x:v>5</x:v>
      </x:c>
      <x:c r="O67" s="27" t="n">
        <x:v>67</x:v>
      </x:c>
      <x:c r="P67" s="27" t="n">
        <x:v>69</x:v>
      </x:c>
      <x:c r="Q67" s="27" t="n">
        <x:v>52</x:v>
      </x:c>
      <x:c r="R67" s="27" t="n">
        <x:v>46</x:v>
      </x:c>
      <x:c r="S67" s="27" t="n">
        <x:v>46</x:v>
      </x:c>
      <x:c r="T67" s="27" t="n">
        <x:v>43</x:v>
      </x:c>
      <x:c r="U67" s="27" t="n">
        <x:v>81</x:v>
      </x:c>
      <x:c r="V67" s="27" t="n">
        <x:v>55</x:v>
      </x:c>
      <x:c r="W67" s="27" t="n">
        <x:v>58</x:v>
      </x:c>
      <x:c r="X67" s="27" t="str">
        <x:v>静かな場所／深夜2時間</x:v>
      </x:c>
      <x:c r="Y67" s="27" t="str">
        <x:v>出発前に閉場確認</x:v>
      </x:c>
      <x:c r="Z67" s="27" t="str">
        <x:v>用途限定で有効</x:v>
      </x:c>
      <x:c r="AA67" s="27" t="str">
        <x:v>谷戸地形と樹林が残る横浜北部の静かな公園で、都市部から自然へ切り替える経由地になる。</x:v>
      </x:c>
      <x:c r="AB67" s="27" t="str">
        <x:v>夜間は暗い。主要園路のみ利用し、自然保護区域へ入らない。</x:v>
      </x:c>
      <x:c r="AC67" s="27" t="str">
        <x:v>平和の森公園</x:v>
      </x:c>
      <x:c r="AD67" s="27" t="str">
        <x:v>大森ふるさとの浜辺公園／森ケ崎公園</x:v>
      </x:c>
      <x:c r="AE67" t="n">
        <x:v>0</x:v>
      </x:c>
      <x:c r="AF67" t="str">
        <x:v>-</x:v>
      </x:c>
    </x:row>
    <x:row r="68" ht="42" customHeight="1">
      <x:c r="A68" s="27" t="str">
        <x:v>D252</x:v>
      </x:c>
      <x:c r="B68" s="27" t="str">
        <x:v>豊洲市場 屋上緑化広場</x:v>
      </x:c>
      <x:c r="C68" s="27" t="str">
        <x:v>江東区・豊洲</x:v>
      </x:c>
      <x:c r="D68" s="27" t="str">
        <x:v>屋上芝生・市場・湾岸展望</x:v>
      </x:c>
      <x:c r="E68" s="48" t="e">
        <x:f>HYPERLINK("https://www.google.com/maps/dir/?api=1&amp;destination=%E8%B1%8A%E6%B4%B2%E5%B8%82%E5%A0%B4%20%E5%B1%8B%E4%B8%8A%E7%B7%91%E5%8C%96%E5%BA%83%E5%A0%B4&amp;travelmode=driving","ナビ開始")</x:f>
      </x:c>
      <x:c r="F68" s="27" t="str">
        <x:v>10〜20km</x:v>
      </x:c>
      <x:c r="G68" s="27" t="str">
        <x:v>蒲田から約16〜22km</x:v>
      </x:c>
      <x:c r="H68" s="27" t="str">
        <x:v>通常30〜55分</x:v>
      </x:c>
      <x:c r="I68" s="27" t="n">
        <x:v>5</x:v>
      </x:c>
      <x:c r="J68" s="27" t="n">
        <x:v>3</x:v>
      </x:c>
      <x:c r="K68" s="27" t="n">
        <x:v>2</x:v>
      </x:c>
      <x:c r="L68" s="27" t="n">
        <x:v>1</x:v>
      </x:c>
      <x:c r="M68" s="27" t="n">
        <x:v>1</x:v>
      </x:c>
      <x:c r="N68" s="27" t="n">
        <x:v>5</x:v>
      </x:c>
      <x:c r="O68" s="27" t="n">
        <x:v>71</x:v>
      </x:c>
      <x:c r="P68" s="27" t="n">
        <x:v>71</x:v>
      </x:c>
      <x:c r="Q68" s="27" t="n">
        <x:v>48</x:v>
      </x:c>
      <x:c r="R68" s="27" t="n">
        <x:v>46</x:v>
      </x:c>
      <x:c r="S68" s="27" t="n">
        <x:v>47</x:v>
      </x:c>
      <x:c r="T68" s="27" t="n">
        <x:v>45</x:v>
      </x:c>
      <x:c r="U68" s="27" t="n">
        <x:v>76</x:v>
      </x:c>
      <x:c r="V68" s="27" t="n">
        <x:v>51</x:v>
      </x:c>
      <x:c r="W68" s="27" t="n">
        <x:v>58</x:v>
      </x:c>
      <x:c r="X68" s="27" t="str">
        <x:v>静かな場所／平日夜90分</x:v>
      </x:c>
      <x:c r="Y68" s="27" t="str">
        <x:v>出発前に閉場確認</x:v>
      </x:c>
      <x:c r="Z68" s="27" t="str">
        <x:v>用途限定で有効</x:v>
      </x:c>
      <x:c r="AA68" s="27" t="str">
        <x:v>市場建築の屋上に広い芝生と東京湾の眺望があり、食・産業・夜景を一地点でつなげられる。</x:v>
      </x:c>
      <x:c r="AB68" s="27" t="str">
        <x:v>市場内駐車場は関係者専用。周辺道路は駐停車禁止。雨天時は芝生が滑りやすい。</x:v>
      </x:c>
      <x:c r="AC68" s="27" t="str">
        <x:v>豊洲ぐるり公園</x:v>
      </x:c>
      <x:c r="AD68" s="27" t="str">
        <x:v>晴海ふ頭公園／お台場海浜公園</x:v>
      </x:c>
      <x:c r="AE68" t="n">
        <x:v>0</x:v>
      </x:c>
      <x:c r="AF68" t="str">
        <x:v>-</x:v>
      </x:c>
    </x:row>
    <x:row r="69" ht="42" customHeight="1">
      <x:c r="A69" s="27" t="str">
        <x:v>D118</x:v>
      </x:c>
      <x:c r="B69" s="27" t="str">
        <x:v>御幸公園</x:v>
      </x:c>
      <x:c r="C69" s="27" t="str">
        <x:v>川崎市・幸区</x:v>
      </x:c>
      <x:c r="D69" s="27" t="str">
        <x:v>多摩川・梅林・河川景観</x:v>
      </x:c>
      <x:c r="E69" s="48" t="e">
        <x:f>HYPERLINK("https://www.google.com/maps/dir/?api=1&amp;destination=%E5%BE%A1%E5%B9%B8%E5%85%AC%E5%9C%92&amp;travelmode=driving","ナビ開始")</x:f>
      </x:c>
      <x:c r="F69" s="27" t="str">
        <x:v>0〜10km</x:v>
      </x:c>
      <x:c r="G69" s="27" t="str">
        <x:v>概ね0〜10km</x:v>
      </x:c>
      <x:c r="H69" s="27" t="str">
        <x:v>通常10〜30分</x:v>
      </x:c>
      <x:c r="I69" s="27" t="n">
        <x:v>2</x:v>
      </x:c>
      <x:c r="J69" s="27" t="n">
        <x:v>4</x:v>
      </x:c>
      <x:c r="K69" s="27" t="n">
        <x:v>1</x:v>
      </x:c>
      <x:c r="L69" s="27" t="n">
        <x:v>1</x:v>
      </x:c>
      <x:c r="M69" s="27" t="n">
        <x:v>4</x:v>
      </x:c>
      <x:c r="N69" s="27" t="n">
        <x:v>1</x:v>
      </x:c>
      <x:c r="O69" s="27" t="n">
        <x:v>60</x:v>
      </x:c>
      <x:c r="P69" s="27" t="n">
        <x:v>53</x:v>
      </x:c>
      <x:c r="Q69" s="27" t="n">
        <x:v>50</x:v>
      </x:c>
      <x:c r="R69" s="27" t="n">
        <x:v>51</x:v>
      </x:c>
      <x:c r="S69" s="27" t="n">
        <x:v>76</x:v>
      </x:c>
      <x:c r="T69" s="27" t="n">
        <x:v>45</x:v>
      </x:c>
      <x:c r="U69" s="27" t="n">
        <x:v>59</x:v>
      </x:c>
      <x:c r="V69" s="27" t="n">
        <x:v>57</x:v>
      </x:c>
      <x:c r="W69" s="27" t="n">
        <x:v>57</x:v>
      </x:c>
      <x:c r="X69" s="27" t="str">
        <x:v>海・港／平日夜90分</x:v>
      </x:c>
      <x:c r="Y69" s="27" t="str">
        <x:v>出発前に閉場確認</x:v>
      </x:c>
      <x:c r="Z69" s="27" t="str">
        <x:v>用途限定で有効</x:v>
      </x:c>
      <x:c r="AA69" s="27" t="str">
        <x:v>多摩川沿いの開放感と梅林があり、川崎北側の穏やかな昼Endingになる。</x:v>
      </x:c>
      <x:c r="AB69" s="27" t="str">
        <x:v>専用駐車条件を当日確認。河川増水時は避ける。</x:v>
      </x:c>
      <x:c r="AC69" s="27" t="str">
        <x:v>多摩川浅間神社</x:v>
      </x:c>
      <x:c r="AD69" s="27" t="str">
        <x:v>多摩川六郷橋緑地／多摩川ガス橋緑地</x:v>
      </x:c>
      <x:c r="AE69" t="n">
        <x:v>0</x:v>
      </x:c>
      <x:c r="AF69" t="str">
        <x:v>-</x:v>
      </x:c>
    </x:row>
    <x:row r="70" ht="42" customHeight="1">
      <x:c r="A70" s="27" t="str">
        <x:v>D143</x:v>
      </x:c>
      <x:c r="B70" s="27" t="str">
        <x:v>桜ヶ丘公園 ゆうひの丘</x:v>
      </x:c>
      <x:c r="C70" s="27" t="str">
        <x:v>多摩市・連光寺</x:v>
      </x:c>
      <x:c r="D70" s="27" t="str">
        <x:v>高台・夕景・夜景</x:v>
      </x:c>
      <x:c r="E70" s="48" t="e">
        <x:f>HYPERLINK("https://www.google.com/maps/dir/?api=1&amp;destination=%E6%A1%9C%E3%83%B6%E4%B8%98%E5%85%AC%E5%9C%92%20%E3%82%86%E3%81%86%E3%81%B2%E3%81%AE%E4%B8%98&amp;travelmode=driving","ナビ開始")</x:f>
      </x:c>
      <x:c r="F70" s="27" t="str">
        <x:v>20〜25km</x:v>
      </x:c>
      <x:c r="G70" s="27" t="str">
        <x:v>概ね20〜25km</x:v>
      </x:c>
      <x:c r="H70" s="27" t="str">
        <x:v>通常40〜70分</x:v>
      </x:c>
      <x:c r="I70" s="27" t="n">
        <x:v>4</x:v>
      </x:c>
      <x:c r="J70" s="27" t="n">
        <x:v>3</x:v>
      </x:c>
      <x:c r="K70" s="27" t="n">
        <x:v>1</x:v>
      </x:c>
      <x:c r="L70" s="27" t="n">
        <x:v>3</x:v>
      </x:c>
      <x:c r="M70" s="27" t="n">
        <x:v>4</x:v>
      </x:c>
      <x:c r="N70" s="27" t="n">
        <x:v>3</x:v>
      </x:c>
      <x:c r="O70" s="27" t="n">
        <x:v>68</x:v>
      </x:c>
      <x:c r="P70" s="27" t="n">
        <x:v>70</x:v>
      </x:c>
      <x:c r="Q70" s="27" t="n">
        <x:v>50</x:v>
      </x:c>
      <x:c r="R70" s="27" t="n">
        <x:v>52</x:v>
      </x:c>
      <x:c r="S70" s="27" t="n">
        <x:v>53</x:v>
      </x:c>
      <x:c r="T70" s="27" t="n">
        <x:v>51</x:v>
      </x:c>
      <x:c r="U70" s="27" t="n">
        <x:v>51</x:v>
      </x:c>
      <x:c r="V70" s="27" t="n">
        <x:v>55</x:v>
      </x:c>
      <x:c r="W70" s="27" t="n">
        <x:v>57</x:v>
      </x:c>
      <x:c r="X70" s="27" t="str">
        <x:v>深夜2時間／平日夜90分</x:v>
      </x:c>
      <x:c r="Y70" s="27" t="str">
        <x:v>出発前に閉場確認</x:v>
      </x:c>
      <x:c r="Z70" s="27" t="str">
        <x:v>用途限定で有効</x:v>
      </x:c>
      <x:c r="AA70" s="27" t="str">
        <x:v>多摩丘陵の高台から市街地の夕景を眺められ、短い徒歩で到達感が得られる。</x:v>
      </x:c>
      <x:c r="AB70" s="27" t="str">
        <x:v>20時閉鎖。週末は満車時の公道待機禁止。住宅地のため静粛必須。</x:v>
      </x:c>
      <x:c r="AC70" s="27" t="str">
        <x:v>羽田空港 第3ターミナル展望デッキ</x:v>
      </x:c>
      <x:c r="AD70" s="27" t="str">
        <x:v>城南島海浜公園／潮風公園</x:v>
      </x:c>
      <x:c r="AE70" t="n">
        <x:v>0</x:v>
      </x:c>
      <x:c r="AF70" t="str">
        <x:v>-</x:v>
      </x:c>
    </x:row>
    <x:row r="71" ht="42" customHeight="1">
      <x:c r="A71" s="27" t="str">
        <x:v>D154</x:v>
      </x:c>
      <x:c r="B71" s="27" t="str">
        <x:v>神代植物公園・深大寺</x:v>
      </x:c>
      <x:c r="C71" s="27" t="str">
        <x:v>調布市・深大寺</x:v>
      </x:c>
      <x:c r="D71" s="27" t="str">
        <x:v>植物園・寺社・Story</x:v>
      </x:c>
      <x:c r="E71" s="48" t="e">
        <x:f>HYPERLINK("https://www.google.com/maps/dir/?api=1&amp;destination=%E7%A5%9E%E4%BB%A3%E6%A4%8D%E7%89%A9%E5%85%AC%E5%9C%92%E3%83%BB%E6%B7%B1%E5%A4%A7%E5%AF%BA&amp;travelmode=driving","ナビ開始")</x:f>
      </x:c>
      <x:c r="F71" s="27" t="str">
        <x:v>20〜25km</x:v>
      </x:c>
      <x:c r="G71" s="27" t="str">
        <x:v>概ね20〜25km</x:v>
      </x:c>
      <x:c r="H71" s="27" t="str">
        <x:v>通常40〜70分</x:v>
      </x:c>
      <x:c r="I71" s="27" t="n">
        <x:v>3</x:v>
      </x:c>
      <x:c r="J71" s="27" t="n">
        <x:v>2</x:v>
      </x:c>
      <x:c r="K71" s="27" t="n">
        <x:v>2</x:v>
      </x:c>
      <x:c r="L71" s="27" t="n">
        <x:v>1</x:v>
      </x:c>
      <x:c r="M71" s="27" t="n">
        <x:v>4</x:v>
      </x:c>
      <x:c r="N71" s="27" t="n">
        <x:v>5</x:v>
      </x:c>
      <x:c r="O71" s="27" t="n">
        <x:v>63</x:v>
      </x:c>
      <x:c r="P71" s="27" t="n">
        <x:v>67</x:v>
      </x:c>
      <x:c r="Q71" s="27" t="n">
        <x:v>55</x:v>
      </x:c>
      <x:c r="R71" s="27" t="n">
        <x:v>44</x:v>
      </x:c>
      <x:c r="S71" s="27" t="n">
        <x:v>44</x:v>
      </x:c>
      <x:c r="T71" s="27" t="n">
        <x:v>43</x:v>
      </x:c>
      <x:c r="U71" s="27" t="n">
        <x:v>45</x:v>
      </x:c>
      <x:c r="V71" s="27" t="n">
        <x:v>80</x:v>
      </x:c>
      <x:c r="W71" s="27" t="n">
        <x:v>57</x:v>
      </x:c>
      <x:c r="X71" s="27" t="str">
        <x:v>休日半日／深夜2時間</x:v>
      </x:c>
      <x:c r="Y71" s="27" t="str">
        <x:v>出発前に閉場確認</x:v>
      </x:c>
      <x:c r="Z71" s="27" t="str">
        <x:v>用途限定で有効</x:v>
      </x:c>
      <x:c r="AA71" s="27" t="str">
        <x:v>植物園と深大寺の門前町を組み合わせられ、季節景観と歴史を一度に楽しめる。</x:v>
      </x:c>
      <x:c r="AB71" s="27" t="str">
        <x:v>植物園閉園後は深大寺周辺散策のみ。行楽期は満車。</x:v>
      </x:c>
      <x:c r="AC71" s="27" t="str">
        <x:v>羽田空港 第3ターミナル展望デッキ</x:v>
      </x:c>
      <x:c r="AD71" s="27" t="str">
        <x:v>城南島海浜公園／潮風公園</x:v>
      </x:c>
      <x:c r="AE71" t="n">
        <x:v>0</x:v>
      </x:c>
      <x:c r="AF71" t="str">
        <x:v>-</x:v>
      </x:c>
    </x:row>
    <x:row r="72">
      <x:c r="A72" s="22" t="str">
        <x:v>D250</x:v>
      </x:c>
      <x:c r="B72" s="22" t="str">
        <x:v>多摩川ガス橋緑地</x:v>
      </x:c>
      <x:c r="C72" s="22" t="str">
        <x:v>大田区・下丸子</x:v>
      </x:c>
      <x:c r="D72" s="22" t="str">
        <x:v>河川敷・橋・芝生</x:v>
      </x:c>
      <x:c r="E72" s="22" t="e">
        <x:f>HYPERLINK("https://www.google.com/maps/dir/?api=1&amp;destination=%E5%A4%9A%E6%91%A9%E5%B7%9D%E3%82%AC%E3%82%B9%E6%A9%8B%E7%B7%91%E5%9C%B0&amp;travelmode=driving","ナビ開始")</x:f>
      </x:c>
      <x:c r="F72" s="22" t="str">
        <x:v>0〜10km</x:v>
      </x:c>
      <x:c r="G72" s="22" t="str">
        <x:v>蒲田から約4〜7km</x:v>
      </x:c>
      <x:c r="H72" s="22" t="str">
        <x:v>通常15〜25分</x:v>
      </x:c>
      <x:c r="I72" s="22" t="n">
        <x:v>2</x:v>
      </x:c>
      <x:c r="J72" s="22" t="n">
        <x:v>4</x:v>
      </x:c>
      <x:c r="K72" s="22" t="n">
        <x:v>1</x:v>
      </x:c>
      <x:c r="L72" s="22" t="n">
        <x:v>3</x:v>
      </x:c>
      <x:c r="M72" s="22" t="n">
        <x:v>2</x:v>
      </x:c>
      <x:c r="N72" s="22" t="n">
        <x:v>2</x:v>
      </x:c>
      <x:c r="O72" s="22" t="n">
        <x:v>61</x:v>
      </x:c>
      <x:c r="P72" s="22" t="n">
        <x:v>53</x:v>
      </x:c>
      <x:c r="Q72" s="22" t="n">
        <x:v>48</x:v>
      </x:c>
      <x:c r="R72" s="22" t="n">
        <x:v>49</x:v>
      </x:c>
      <x:c r="S72" s="22" t="n">
        <x:v>74</x:v>
      </x:c>
      <x:c r="T72" s="22" t="n">
        <x:v>43</x:v>
      </x:c>
      <x:c r="U72" s="22" t="n">
        <x:v>81</x:v>
      </x:c>
      <x:c r="V72" s="22" t="n">
        <x:v>51</x:v>
      </x:c>
      <x:c r="W72" s="22" t="n">
        <x:v>57</x:v>
      </x:c>
      <x:c r="X72" s="22" t="str">
        <x:v>静かな場所／海・港</x:v>
      </x:c>
      <x:c r="Y72" s="22" t="str">
        <x:v>出発前に閉場確認</x:v>
      </x:c>
      <x:c r="Z72" s="22" t="str">
        <x:v>用途限定で有効</x:v>
      </x:c>
      <x:c r="AA72" s="22" t="str">
        <x:v>ガス橋の構造、武蔵小杉方面の空、広い河川敷を近距離で楽しめる。休日の短時間リセットに向く。</x:v>
      </x:c>
      <x:c r="AB72" s="22" t="str">
        <x:v>平日は駐車場閉鎖。閉鎖時刻後は出庫不可。増水・台風・イベント時は閉鎖。</x:v>
      </x:c>
      <x:c r="AC72" s="22" t="str">
        <x:v>多摩川六郷橋緑地</x:v>
      </x:c>
      <x:c r="AD72" s="22" t="str">
        <x:v>多摩川浅間神社／御幸公園</x:v>
      </x:c>
      <x:c r="AE72" t="n">
        <x:v>0</x:v>
      </x:c>
      <x:c r="AF72" t="str">
        <x:v>-</x:v>
      </x:c>
    </x:row>
    <x:row r="73">
      <x:c r="A73" s="22" t="str">
        <x:v>D273</x:v>
      </x:c>
      <x:c r="B73" s="22" t="str">
        <x:v>新宿御苑</x:v>
      </x:c>
      <x:c r="C73" s="22" t="str">
        <x:v>新宿区・内藤町</x:v>
      </x:c>
      <x:c r="D73" s="22" t="str">
        <x:v>庭園・温室・都市の静けさ・Story</x:v>
      </x:c>
      <x:c r="E73" s="22" t="e">
        <x:f>HYPERLINK("https://www.google.com/maps/dir/?api=1&amp;destination=%E6%96%B0%E5%AE%BF%E5%BE%A1%E8%8B%91&amp;travelmode=driving","ナビ開始")</x:f>
      </x:c>
      <x:c r="F73" s="22" t="str">
        <x:v>10〜20km</x:v>
      </x:c>
      <x:c r="G73" s="22" t="str">
        <x:v>蒲田から約17〜22km</x:v>
      </x:c>
      <x:c r="H73" s="22" t="str">
        <x:v>通常40〜65分</x:v>
      </x:c>
      <x:c r="I73" s="22" t="n">
        <x:v>1</x:v>
      </x:c>
      <x:c r="J73" s="22" t="n">
        <x:v>1</x:v>
      </x:c>
      <x:c r="K73" s="22" t="n">
        <x:v>4</x:v>
      </x:c>
      <x:c r="L73" s="22" t="n">
        <x:v>1</x:v>
      </x:c>
      <x:c r="M73" s="22" t="n">
        <x:v>4</x:v>
      </x:c>
      <x:c r="N73" s="22" t="n">
        <x:v>5</x:v>
      </x:c>
      <x:c r="O73" s="22" t="n">
        <x:v>56</x:v>
      </x:c>
      <x:c r="P73" s="22" t="n">
        <x:v>57</x:v>
      </x:c>
      <x:c r="Q73" s="22" t="n">
        <x:v>70</x:v>
      </x:c>
      <x:c r="R73" s="22" t="n">
        <x:v>41</x:v>
      </x:c>
      <x:c r="S73" s="22" t="n">
        <x:v>38</x:v>
      </x:c>
      <x:c r="T73" s="22" t="n">
        <x:v>38</x:v>
      </x:c>
      <x:c r="U73" s="22" t="n">
        <x:v>69</x:v>
      </x:c>
      <x:c r="V73" s="22" t="n">
        <x:v>78</x:v>
      </x:c>
      <x:c r="W73" s="22" t="n">
        <x:v>57</x:v>
      </x:c>
      <x:c r="X73" s="22" t="str">
        <x:v>休日半日／雨天</x:v>
      </x:c>
      <x:c r="Y73" s="22" t="str">
        <x:v>出発前に閉場確認</x:v>
      </x:c>
      <x:c r="Z73" s="22" t="str">
        <x:v>用途限定で有効</x:v>
      </x:c>
      <x:c r="AA73" s="22" t="str">
        <x:v>日本庭園、風景式庭園、温室を大都市中心部で体験でき、休日半日の最終目的地として密度が高い。</x:v>
      </x:c>
      <x:c r="AB73" s="22" t="str">
        <x:v>開園時間は季節変動。酒類持込・遊具等の規制あり。花見期は駐車混雑と入場制限を想定。</x:v>
      </x:c>
      <x:c r="AC73" s="22" t="str">
        <x:v>明治神宮外苑 聖徳記念絵画館</x:v>
      </x:c>
      <x:c r="AD73" s="22" t="str">
        <x:v>東京都庁展望室／新宿NSビル</x:v>
      </x:c>
      <x:c r="AE73" t="n">
        <x:v>5</x:v>
      </x:c>
      <x:c r="AF73" t="str">
        <x:v>A</x:v>
      </x:c>
    </x:row>
    <x:row r="74">
      <x:c r="A74" s="22" t="str">
        <x:v>D008</x:v>
      </x:c>
      <x:c r="B74" s="22" t="str">
        <x:v>夢の島公園</x:v>
      </x:c>
      <x:c r="C74" s="22" t="str">
        <x:v>江東区・夢の島</x:v>
      </x:c>
      <x:c r="D74" s="22" t="str">
        <x:v>静かな休憩・公園</x:v>
      </x:c>
      <x:c r="E74" s="22" t="e">
        <x:f>HYPERLINK("https://www.google.com/maps/dir/?api=1&amp;destination=%E5%A4%A2%E3%81%AE%E5%B3%B6%E5%85%AC%E5%9C%92&amp;travelmode=driving","ナビ開始")</x:f>
      </x:c>
      <x:c r="F74" s="22" t="str">
        <x:v>10〜20km</x:v>
      </x:c>
      <x:c r="G74" s="22" t="str">
        <x:v>概ね10〜20km</x:v>
      </x:c>
      <x:c r="H74" s="22" t="str">
        <x:v>通常25〜50分</x:v>
      </x:c>
      <x:c r="I74" s="22" t="n">
        <x:v>3</x:v>
      </x:c>
      <x:c r="J74" s="22" t="n">
        <x:v>4</x:v>
      </x:c>
      <x:c r="K74" s="22" t="n">
        <x:v>1</x:v>
      </x:c>
      <x:c r="L74" s="22" t="n">
        <x:v>1</x:v>
      </x:c>
      <x:c r="M74" s="22" t="n">
        <x:v>4</x:v>
      </x:c>
      <x:c r="N74" s="22" t="n">
        <x:v>1</x:v>
      </x:c>
      <x:c r="O74" s="22" t="n">
        <x:v>60</x:v>
      </x:c>
      <x:c r="P74" s="22" t="n">
        <x:v>56</x:v>
      </x:c>
      <x:c r="Q74" s="22" t="n">
        <x:v>47</x:v>
      </x:c>
      <x:c r="R74" s="22" t="n">
        <x:v>50</x:v>
      </x:c>
      <x:c r="S74" s="22" t="n">
        <x:v>49</x:v>
      </x:c>
      <x:c r="T74" s="22" t="n">
        <x:v>46</x:v>
      </x:c>
      <x:c r="U74" s="22" t="n">
        <x:v>85</x:v>
      </x:c>
      <x:c r="V74" s="22" t="n">
        <x:v>57</x:v>
      </x:c>
      <x:c r="W74" s="22" t="n">
        <x:v>56</x:v>
      </x:c>
      <x:c r="X74" s="22" t="str">
        <x:v>静かな場所／平日夜90分</x:v>
      </x:c>
      <x:c r="Y74" s="22" t="str">
        <x:v>出発前に閉場確認</x:v>
      </x:c>
      <x:c r="Z74" s="22" t="str">
        <x:v>用途限定で有効</x:v>
      </x:c>
      <x:c r="AA74" s="22" t="str">
        <x:v>派手さはないが、湾岸走行後に静かに休むEndingとして使いやすい。</x:v>
      </x:c>
      <x:c r="AB74" s="22" t="str">
        <x:v>一部閉鎖やイベントを確認。夜は奥まった区域を避ける。</x:v>
      </x:c>
      <x:c r="AC74" s="22" t="str">
        <x:v>平和の森公園</x:v>
      </x:c>
      <x:c r="AD74" s="22" t="str">
        <x:v>大森ふるさとの浜辺公園／森ケ崎公園</x:v>
      </x:c>
      <x:c r="AE74" t="n">
        <x:v>0</x:v>
      </x:c>
      <x:c r="AF74" t="str">
        <x:v>-</x:v>
      </x:c>
    </x:row>
    <x:row r="75">
      <x:c r="A75" s="22" t="str">
        <x:v>D102</x:v>
      </x:c>
      <x:c r="B75" s="22" t="str">
        <x:v>砧公園</x:v>
      </x:c>
      <x:c r="C75" s="22" t="str">
        <x:v>世田谷区・砧公園</x:v>
      </x:c>
      <x:c r="D75" s="22" t="str">
        <x:v>芝生・樹林・近距離</x:v>
      </x:c>
      <x:c r="E75" s="22" t="e">
        <x:f>HYPERLINK("https://www.google.com/maps/dir/?api=1&amp;destination=%E7%A0%A7%E5%85%AC%E5%9C%92&amp;travelmode=driving","ナビ開始")</x:f>
      </x:c>
      <x:c r="F75" s="22" t="str">
        <x:v>10〜20km</x:v>
      </x:c>
      <x:c r="G75" s="22" t="str">
        <x:v>概ね10〜20km</x:v>
      </x:c>
      <x:c r="H75" s="22" t="str">
        <x:v>通常25〜50分</x:v>
      </x:c>
      <x:c r="I75" s="22" t="n">
        <x:v>3</x:v>
      </x:c>
      <x:c r="J75" s="22" t="n">
        <x:v>3</x:v>
      </x:c>
      <x:c r="K75" s="22" t="n">
        <x:v>2</x:v>
      </x:c>
      <x:c r="L75" s="22" t="n">
        <x:v>1</x:v>
      </x:c>
      <x:c r="M75" s="22" t="n">
        <x:v>4</x:v>
      </x:c>
      <x:c r="N75" s="22" t="n">
        <x:v>1</x:v>
      </x:c>
      <x:c r="O75" s="22" t="n">
        <x:v>58</x:v>
      </x:c>
      <x:c r="P75" s="22" t="n">
        <x:v>55</x:v>
      </x:c>
      <x:c r="Q75" s="22" t="n">
        <x:v>52</x:v>
      </x:c>
      <x:c r="R75" s="22" t="n">
        <x:v>49</x:v>
      </x:c>
      <x:c r="S75" s="22" t="n">
        <x:v>48</x:v>
      </x:c>
      <x:c r="T75" s="22" t="n">
        <x:v>46</x:v>
      </x:c>
      <x:c r="U75" s="22" t="n">
        <x:v>81</x:v>
      </x:c>
      <x:c r="V75" s="22" t="n">
        <x:v>56</x:v>
      </x:c>
      <x:c r="W75" s="22" t="n">
        <x:v>56</x:v>
      </x:c>
      <x:c r="X75" s="22" t="str">
        <x:v>静かな場所／平日夜90分</x:v>
      </x:c>
      <x:c r="Y75" s="22" t="str">
        <x:v>出発前に閉場確認</x:v>
      </x:c>
      <x:c r="Z75" s="22" t="str">
        <x:v>用途限定で有効</x:v>
      </x:c>
      <x:c r="AA75" s="22" t="str">
        <x:v>大田区から短距離で到達でき、広い芝生と樹林で都市走行の緊張を落とせる。</x:v>
      </x:c>
      <x:c r="AB75" s="22" t="str">
        <x:v>2026年は一部立入制限情報あり。当日公式確認。</x:v>
      </x:c>
      <x:c r="AC75" s="22" t="str">
        <x:v>羽田空港 第3ターミナル展望デッキ</x:v>
      </x:c>
      <x:c r="AD75" s="22" t="str">
        <x:v>城南島海浜公園／潮風公園</x:v>
      </x:c>
      <x:c r="AE75" t="n">
        <x:v>0</x:v>
      </x:c>
      <x:c r="AF75" t="str">
        <x:v>-</x:v>
      </x:c>
    </x:row>
    <x:row r="76">
      <x:c r="A76" s="22" t="str">
        <x:v>D164</x:v>
      </x:c>
      <x:c r="B76" s="22" t="str">
        <x:v>本牧山頂公園</x:v>
      </x:c>
      <x:c r="C76" s="22" t="str">
        <x:v>横浜市・中区</x:v>
      </x:c>
      <x:c r="D76" s="22" t="str">
        <x:v>高台・港・草地・都市展望</x:v>
      </x:c>
      <x:c r="E76" s="22" t="e">
        <x:f>HYPERLINK("https://www.google.com/maps/dir/?api=1&amp;destination=%E6%9C%AC%E7%89%A7%E5%B1%B1%E9%A0%82%E5%85%AC%E5%9C%92&amp;travelmode=driving","ナビ開始")</x:f>
      </x:c>
      <x:c r="F76" s="22" t="str">
        <x:v>20〜25km</x:v>
      </x:c>
      <x:c r="G76" s="22" t="str">
        <x:v>概ね20〜25km</x:v>
      </x:c>
      <x:c r="H76" s="22" t="str">
        <x:v>通常40〜70分</x:v>
      </x:c>
      <x:c r="I76" s="22" t="n">
        <x:v>3</x:v>
      </x:c>
      <x:c r="J76" s="22" t="n">
        <x:v>4</x:v>
      </x:c>
      <x:c r="K76" s="22" t="n">
        <x:v>1</x:v>
      </x:c>
      <x:c r="L76" s="22" t="n">
        <x:v>3</x:v>
      </x:c>
      <x:c r="M76" s="22" t="n">
        <x:v>4</x:v>
      </x:c>
      <x:c r="N76" s="22" t="n">
        <x:v>1</x:v>
      </x:c>
      <x:c r="O76" s="22" t="n">
        <x:v>59</x:v>
      </x:c>
      <x:c r="P76" s="22" t="n">
        <x:v>57</x:v>
      </x:c>
      <x:c r="Q76" s="22" t="n">
        <x:v>48</x:v>
      </x:c>
      <x:c r="R76" s="22" t="n">
        <x:v>50</x:v>
      </x:c>
      <x:c r="S76" s="22" t="n">
        <x:v>78</x:v>
      </x:c>
      <x:c r="T76" s="22" t="n">
        <x:v>47</x:v>
      </x:c>
      <x:c r="U76" s="22" t="n">
        <x:v>53</x:v>
      </x:c>
      <x:c r="V76" s="22" t="n">
        <x:v>55</x:v>
      </x:c>
      <x:c r="W76" s="22" t="n">
        <x:v>56</x:v>
      </x:c>
      <x:c r="X76" s="22" t="str">
        <x:v>海・港／平日夜90分</x:v>
      </x:c>
      <x:c r="Y76" s="22" t="str">
        <x:v>出発前に閉場確認</x:v>
      </x:c>
      <x:c r="Z76" s="22" t="str">
        <x:v>用途限定で有効</x:v>
      </x:c>
      <x:c r="AA76" s="22" t="str">
        <x:v>本牧の尾根上を歩きながら横浜港と住宅地を見下ろせ、港湾ドライブの最後に地形の高さを加えられる。</x:v>
      </x:c>
      <x:c r="AB76" s="22" t="str">
        <x:v>住宅地に接するため夜間の騒音厳禁。駐車場の入出庫時間を出発前に確認。</x:v>
      </x:c>
      <x:c r="AC76" s="22" t="str">
        <x:v>城南島海浜公園</x:v>
      </x:c>
      <x:c r="AD76" s="22" t="str">
        <x:v>潮風公園／晴海ふ頭公園</x:v>
      </x:c>
      <x:c r="AE76" t="n">
        <x:v>0</x:v>
      </x:c>
      <x:c r="AF76" t="str">
        <x:v>-</x:v>
      </x:c>
    </x:row>
    <x:row r="77">
      <x:c r="A77" s="22" t="str">
        <x:v>D025</x:v>
      </x:c>
      <x:c r="B77" s="22" t="str">
        <x:v>海の森公園</x:v>
      </x:c>
      <x:c r="C77" s="22" t="str">
        <x:v>江東区・海の森</x:v>
      </x:c>
      <x:c r="D77" s="22" t="str">
        <x:v>高台・東京港・新景観</x:v>
      </x:c>
      <x:c r="E77" s="22" t="e">
        <x:f>HYPERLINK("https://www.google.com/maps/dir/?api=1&amp;destination=%E6%B5%B7%E3%81%AE%E6%A3%AE%E5%85%AC%E5%9C%92&amp;travelmode=driving","ナビ開始")</x:f>
      </x:c>
      <x:c r="F77" s="22" t="str">
        <x:v>10〜20km</x:v>
      </x:c>
      <x:c r="G77" s="22" t="str">
        <x:v>概ね10〜20km</x:v>
      </x:c>
      <x:c r="H77" s="22" t="str">
        <x:v>通常25〜50分</x:v>
      </x:c>
      <x:c r="I77" s="22" t="n">
        <x:v>1</x:v>
      </x:c>
      <x:c r="J77" s="22" t="n">
        <x:v>5</x:v>
      </x:c>
      <x:c r="K77" s="22" t="n">
        <x:v>1</x:v>
      </x:c>
      <x:c r="L77" s="22" t="n">
        <x:v>3</x:v>
      </x:c>
      <x:c r="M77" s="22" t="n">
        <x:v>4</x:v>
      </x:c>
      <x:c r="N77" s="22" t="n">
        <x:v>1</x:v>
      </x:c>
      <x:c r="O77" s="22" t="n">
        <x:v>56</x:v>
      </x:c>
      <x:c r="P77" s="22" t="n">
        <x:v>49</x:v>
      </x:c>
      <x:c r="Q77" s="22" t="n">
        <x:v>53</x:v>
      </x:c>
      <x:c r="R77" s="22" t="n">
        <x:v>49</x:v>
      </x:c>
      <x:c r="S77" s="22" t="n">
        <x:v>74</x:v>
      </x:c>
      <x:c r="T77" s="22" t="n">
        <x:v>42</x:v>
      </x:c>
      <x:c r="U77" s="22" t="n">
        <x:v>57</x:v>
      </x:c>
      <x:c r="V77" s="22" t="n">
        <x:v>55</x:v>
      </x:c>
      <x:c r="W77" s="22" t="n">
        <x:v>55</x:v>
      </x:c>
      <x:c r="X77" s="22" t="str">
        <x:v>海・港／静かな場所</x:v>
      </x:c>
      <x:c r="Y77" s="22" t="str">
        <x:v>出発前に閉場確認</x:v>
      </x:c>
      <x:c r="Z77" s="22" t="str">
        <x:v>用途限定で有効</x:v>
      </x:c>
      <x:c r="AA77" s="22" t="str">
        <x:v>東京港の埋立地を高い視点から眺め、空の広さを体験できる。</x:v>
      </x:c>
      <x:c r="AB77" s="22" t="str">
        <x:v>時間外は出庫不可。イベント・団体利用・公式ページの当日案内を確認。</x:v>
      </x:c>
      <x:c r="AC77" s="22" t="str">
        <x:v>城南島海浜公園</x:v>
      </x:c>
      <x:c r="AD77" s="22" t="str">
        <x:v>潮風公園／晴海ふ頭公園</x:v>
      </x:c>
      <x:c r="AE77" t="n">
        <x:v>0</x:v>
      </x:c>
      <x:c r="AF77" t="str">
        <x:v>-</x:v>
      </x:c>
    </x:row>
    <x:row r="78">
      <x:c r="A78" s="22" t="str">
        <x:v>D159</x:v>
      </x:c>
      <x:c r="B78" s="22" t="str">
        <x:v>青葉の森公園</x:v>
      </x:c>
      <x:c r="C78" s="22" t="str">
        <x:v>千葉市・中央区</x:v>
      </x:c>
      <x:c r="D78" s="22" t="str">
        <x:v>大規模公園・文化施設・夜間</x:v>
      </x:c>
      <x:c r="E78" s="22" t="e">
        <x:f>HYPERLINK("https://www.google.com/maps/dir/?api=1&amp;destination=%E9%9D%92%E8%91%89%E3%81%AE%E6%A3%AE%E5%85%AC%E5%9C%92&amp;travelmode=driving","ナビ開始")</x:f>
      </x:c>
      <x:c r="F78" s="22" t="str">
        <x:v>10〜20km</x:v>
      </x:c>
      <x:c r="G78" s="22" t="str">
        <x:v>概ね10〜20km</x:v>
      </x:c>
      <x:c r="H78" s="22" t="str">
        <x:v>通常25〜50分</x:v>
      </x:c>
      <x:c r="I78" s="22" t="n">
        <x:v>4</x:v>
      </x:c>
      <x:c r="J78" s="22" t="n">
        <x:v>2</x:v>
      </x:c>
      <x:c r="K78" s="22" t="n">
        <x:v>1</x:v>
      </x:c>
      <x:c r="L78" s="22" t="n">
        <x:v>1</x:v>
      </x:c>
      <x:c r="M78" s="22" t="n">
        <x:v>2</x:v>
      </x:c>
      <x:c r="N78" s="22" t="n">
        <x:v>5</x:v>
      </x:c>
      <x:c r="O78" s="22" t="n">
        <x:v>67</x:v>
      </x:c>
      <x:c r="P78" s="22" t="n">
        <x:v>68</x:v>
      </x:c>
      <x:c r="Q78" s="22" t="n">
        <x:v>43</x:v>
      </x:c>
      <x:c r="R78" s="22" t="n">
        <x:v>45</x:v>
      </x:c>
      <x:c r="S78" s="22" t="n">
        <x:v>45</x:v>
      </x:c>
      <x:c r="T78" s="22" t="n">
        <x:v>44</x:v>
      </x:c>
      <x:c r="U78" s="22" t="n">
        <x:v>73</x:v>
      </x:c>
      <x:c r="V78" s="22" t="n">
        <x:v>49</x:v>
      </x:c>
      <x:c r="W78" s="22" t="n">
        <x:v>55</x:v>
      </x:c>
      <x:c r="X78" s="22" t="str">
        <x:v>静かな場所／深夜2時間</x:v>
      </x:c>
      <x:c r="Y78" s="22" t="str">
        <x:v>出発前に閉場確認</x:v>
      </x:c>
      <x:c r="Z78" s="22" t="str">
        <x:v>用途限定で有効</x:v>
      </x:c>
      <x:c r="AA78" s="22" t="str">
        <x:v>広い芝生、博物館、芸術文化ホールが集まり、千葉市内の文化系Endingとして安定する。</x:v>
      </x:c>
      <x:c r="AB78" s="22" t="str">
        <x:v>22時閉鎖。イベント日は満車、周辺路上駐車禁止。</x:v>
      </x:c>
      <x:c r="AC78" s="22" t="str">
        <x:v>平和の森公園</x:v>
      </x:c>
      <x:c r="AD78" s="22" t="str">
        <x:v>大森ふるさとの浜辺公園／森ケ崎公園</x:v>
      </x:c>
      <x:c r="AE78" t="n">
        <x:v>0</x:v>
      </x:c>
      <x:c r="AF78" t="str">
        <x:v>-</x:v>
      </x:c>
    </x:row>
    <x:row r="79">
      <x:c r="A79" s="22" t="str">
        <x:v>D231</x:v>
      </x:c>
      <x:c r="B79" s="22" t="str">
        <x:v>野川公園</x:v>
      </x:c>
      <x:c r="C79" s="22" t="str">
        <x:v>東京都調布市・小金井市・三鷹市</x:v>
      </x:c>
      <x:c r="D79" s="22" t="str">
        <x:v>湧水・河川・草地</x:v>
      </x:c>
      <x:c r="E79" s="22" t="e">
        <x:f>HYPERLINK("https://www.google.com/maps/dir/?api=1&amp;destination=%E9%87%8E%E5%B7%9D%E5%85%AC%E5%9C%92&amp;travelmode=driving","ナビ開始")</x:f>
      </x:c>
      <x:c r="F79" s="22" t="str">
        <x:v>20〜25km</x:v>
      </x:c>
      <x:c r="G79" s="22" t="str">
        <x:v>概ね20〜25km</x:v>
      </x:c>
      <x:c r="H79" s="22" t="str">
        <x:v>通常40〜70分</x:v>
      </x:c>
      <x:c r="I79" s="22" t="n">
        <x:v>3</x:v>
      </x:c>
      <x:c r="J79" s="22" t="n">
        <x:v>2</x:v>
      </x:c>
      <x:c r="K79" s="22" t="n">
        <x:v>1</x:v>
      </x:c>
      <x:c r="L79" s="22" t="n">
        <x:v>1</x:v>
      </x:c>
      <x:c r="M79" s="22" t="n">
        <x:v>4</x:v>
      </x:c>
      <x:c r="N79" s="22" t="n">
        <x:v>5</x:v>
      </x:c>
      <x:c r="O79" s="22" t="n">
        <x:v>63</x:v>
      </x:c>
      <x:c r="P79" s="22" t="n">
        <x:v>67</x:v>
      </x:c>
      <x:c r="Q79" s="22" t="n">
        <x:v>48</x:v>
      </x:c>
      <x:c r="R79" s="22" t="n">
        <x:v>44</x:v>
      </x:c>
      <x:c r="S79" s="22" t="n">
        <x:v>72</x:v>
      </x:c>
      <x:c r="T79" s="22" t="n">
        <x:v>43</x:v>
      </x:c>
      <x:c r="U79" s="22" t="n">
        <x:v>45</x:v>
      </x:c>
      <x:c r="V79" s="22" t="n">
        <x:v>51</x:v>
      </x:c>
      <x:c r="W79" s="22" t="n">
        <x:v>55</x:v>
      </x:c>
      <x:c r="X79" s="22" t="str">
        <x:v>海・港／深夜2時間</x:v>
      </x:c>
      <x:c r="Y79" s="22" t="str">
        <x:v>出発前に閉場確認</x:v>
      </x:c>
      <x:c r="Z79" s="22" t="str">
        <x:v>用途限定で有効</x:v>
      </x:c>
      <x:c r="AA79" s="22" t="str">
        <x:v>国分寺崖線の湧水と野川、広い草地がつながり、都市西部で水と地形を感じる静かなEnding。</x:v>
      </x:c>
      <x:c r="AB79" s="22" t="str">
        <x:v>20時以降入庫不可。自然観察園等の施設時間は別。休日は満車になりやすい。</x:v>
      </x:c>
      <x:c r="AC79" s="22" t="str">
        <x:v>多摩川浅間神社</x:v>
      </x:c>
      <x:c r="AD79" s="22" t="str">
        <x:v>多摩川六郷橋緑地／多摩川ガス橋緑地</x:v>
      </x:c>
      <x:c r="AE79" t="n">
        <x:v>0</x:v>
      </x:c>
      <x:c r="AF79" t="str">
        <x:v>-</x:v>
      </x:c>
    </x:row>
    <x:row r="80">
      <x:c r="A80" s="22" t="str">
        <x:v>D004</x:v>
      </x:c>
      <x:c r="B80" s="22" t="str">
        <x:v>多摩川浅間神社</x:v>
      </x:c>
      <x:c r="C80" s="22" t="str">
        <x:v>大田区・田園調布</x:v>
      </x:c>
      <x:c r="D80" s="22" t="str">
        <x:v>高台・Story</x:v>
      </x:c>
      <x:c r="E80" s="22" t="e">
        <x:f>HYPERLINK("https://www.google.com/maps/dir/?api=1&amp;destination=%E5%A4%9A%E6%91%A9%E5%B7%9D%E6%B5%85%E9%96%93%E7%A5%9E%E7%A4%BE&amp;travelmode=driving","ナビ開始")</x:f>
      </x:c>
      <x:c r="F80" s="22" t="str">
        <x:v>0〜10km</x:v>
      </x:c>
      <x:c r="G80" s="22" t="str">
        <x:v>概ね0〜10km</x:v>
      </x:c>
      <x:c r="H80" s="22" t="str">
        <x:v>通常10〜30分</x:v>
      </x:c>
      <x:c r="I80" s="22" t="n">
        <x:v>2</x:v>
      </x:c>
      <x:c r="J80" s="22" t="n">
        <x:v>3</x:v>
      </x:c>
      <x:c r="K80" s="22" t="n">
        <x:v>1</x:v>
      </x:c>
      <x:c r="L80" s="22" t="n">
        <x:v>1</x:v>
      </x:c>
      <x:c r="M80" s="22" t="n">
        <x:v>4</x:v>
      </x:c>
      <x:c r="N80" s="22" t="n">
        <x:v>1</x:v>
      </x:c>
      <x:c r="O80" s="22" t="n">
        <x:v>58</x:v>
      </x:c>
      <x:c r="P80" s="22" t="n">
        <x:v>52</x:v>
      </x:c>
      <x:c r="Q80" s="22" t="n">
        <x:v>48</x:v>
      </x:c>
      <x:c r="R80" s="22" t="n">
        <x:v>50</x:v>
      </x:c>
      <x:c r="S80" s="22" t="n">
        <x:v>47</x:v>
      </x:c>
      <x:c r="T80" s="22" t="n">
        <x:v>45</x:v>
      </x:c>
      <x:c r="U80" s="22" t="n">
        <x:v>55</x:v>
      </x:c>
      <x:c r="V80" s="22" t="n">
        <x:v>71</x:v>
      </x:c>
      <x:c r="W80" s="22" t="n">
        <x:v>54</x:v>
      </x:c>
      <x:c r="X80" s="22" t="str">
        <x:v>休日半日／平日夜90分</x:v>
      </x:c>
      <x:c r="Y80" s="22" t="str">
        <x:v>出発前に閉場確認</x:v>
      </x:c>
      <x:c r="Z80" s="22" t="str">
        <x:v>用途限定で有効</x:v>
      </x:c>
      <x:c r="AA80" s="22" t="str">
        <x:v>多摩川と武蔵小杉方面を見下ろし、『シン・ゴジラ』の物語性も重ねられる。</x:v>
      </x:c>
      <x:c r="AB80" s="22" t="str">
        <x:v>住宅地と神社のため静粛必須。夜遅くより夕暮れ向け。</x:v>
      </x:c>
      <x:c r="AC80" s="22" t="str">
        <x:v>羽田空港 第3ターミナル展望デッキ</x:v>
      </x:c>
      <x:c r="AD80" s="22" t="str">
        <x:v>城南島海浜公園／潮風公園</x:v>
      </x:c>
      <x:c r="AE80" t="n">
        <x:v>0</x:v>
      </x:c>
      <x:c r="AF80" t="str">
        <x:v>-</x:v>
      </x:c>
    </x:row>
    <x:row r="81">
      <x:c r="A81" s="22" t="str">
        <x:v>D024</x:v>
      </x:c>
      <x:c r="B81" s="22" t="str">
        <x:v>東京港野鳥公園</x:v>
      </x:c>
      <x:c r="C81" s="22" t="str">
        <x:v>大田区・東海</x:v>
      </x:c>
      <x:c r="D81" s="22" t="str">
        <x:v>自然・水辺</x:v>
      </x:c>
      <x:c r="E81" s="22" t="e">
        <x:f>HYPERLINK("https://www.google.com/maps/dir/?api=1&amp;destination=%E6%9D%B1%E4%BA%AC%E6%B8%AF%E9%87%8E%E9%B3%A5%E5%85%AC%E5%9C%92&amp;travelmode=driving","ナビ開始")</x:f>
      </x:c>
      <x:c r="F81" s="22" t="str">
        <x:v>0〜10km</x:v>
      </x:c>
      <x:c r="G81" s="22" t="str">
        <x:v>概ね0〜10km</x:v>
      </x:c>
      <x:c r="H81" s="22" t="str">
        <x:v>通常10〜30分</x:v>
      </x:c>
      <x:c r="I81" s="22" t="n">
        <x:v>1</x:v>
      </x:c>
      <x:c r="J81" s="22" t="n">
        <x:v>4</x:v>
      </x:c>
      <x:c r="K81" s="22" t="n">
        <x:v>2</x:v>
      </x:c>
      <x:c r="L81" s="22" t="n">
        <x:v>1</x:v>
      </x:c>
      <x:c r="M81" s="22" t="n">
        <x:v>4</x:v>
      </x:c>
      <x:c r="N81" s="22" t="n">
        <x:v>1</x:v>
      </x:c>
      <x:c r="O81" s="22" t="n">
        <x:v>55</x:v>
      </x:c>
      <x:c r="P81" s="22" t="n">
        <x:v>47</x:v>
      </x:c>
      <x:c r="Q81" s="22" t="n">
        <x:v>57</x:v>
      </x:c>
      <x:c r="R81" s="22" t="n">
        <x:v>48</x:v>
      </x:c>
      <x:c r="S81" s="22" t="n">
        <x:v>72</x:v>
      </x:c>
      <x:c r="T81" s="22" t="n">
        <x:v>41</x:v>
      </x:c>
      <x:c r="U81" s="22" t="n">
        <x:v>57</x:v>
      </x:c>
      <x:c r="V81" s="22" t="n">
        <x:v>56</x:v>
      </x:c>
      <x:c r="W81" s="22" t="n">
        <x:v>54</x:v>
      </x:c>
      <x:c r="X81" s="22" t="str">
        <x:v>海・港／雨天</x:v>
      </x:c>
      <x:c r="Y81" s="22" t="str">
        <x:v>出発前に閉場確認</x:v>
      </x:c>
      <x:c r="Z81" s="22" t="str">
        <x:v>用途限定で有効</x:v>
      </x:c>
      <x:c r="AA81" s="22" t="str">
        <x:v>物流・空港エリアの中に湿地が残り、昼の静かな終点になる。</x:v>
      </x:c>
      <x:c r="AB81" s="22" t="str">
        <x:v>休園日を確認。夕方以降は使用不可。</x:v>
      </x:c>
      <x:c r="AC81" s="22" t="str">
        <x:v>羽田空港 第3ターミナル展望デッキ</x:v>
      </x:c>
      <x:c r="AD81" s="22" t="str">
        <x:v>城南島海浜公園／潮風公園</x:v>
      </x:c>
      <x:c r="AE81" t="n">
        <x:v>0</x:v>
      </x:c>
      <x:c r="AF81" t="str">
        <x:v>-</x:v>
      </x:c>
    </x:row>
    <x:row r="82">
      <x:c r="A82" s="22" t="str">
        <x:v>D119</x:v>
      </x:c>
      <x:c r="B82" s="22" t="str">
        <x:v>殿町第2公園</x:v>
      </x:c>
      <x:c r="C82" s="22" t="str">
        <x:v>川崎市・川崎区</x:v>
      </x:c>
      <x:c r="D82" s="22" t="str">
        <x:v>飛行機・多摩川・小展望</x:v>
      </x:c>
      <x:c r="E82" s="22" t="e">
        <x:f>HYPERLINK("https://www.google.com/maps/dir/?api=1&amp;destination=%E6%AE%BF%E7%94%BA%E7%AC%AC2%E5%85%AC%E5%9C%92&amp;travelmode=driving","ナビ開始")</x:f>
      </x:c>
      <x:c r="F82" s="22" t="str">
        <x:v>0〜10km</x:v>
      </x:c>
      <x:c r="G82" s="22" t="str">
        <x:v>概ね0〜10km</x:v>
      </x:c>
      <x:c r="H82" s="22" t="str">
        <x:v>通常10〜30分</x:v>
      </x:c>
      <x:c r="I82" s="22" t="n">
        <x:v>2</x:v>
      </x:c>
      <x:c r="J82" s="22" t="n">
        <x:v>5</x:v>
      </x:c>
      <x:c r="K82" s="22" t="n">
        <x:v>2</x:v>
      </x:c>
      <x:c r="L82" s="22" t="n">
        <x:v>4</x:v>
      </x:c>
      <x:c r="M82" s="22" t="n">
        <x:v>1</x:v>
      </x:c>
      <x:c r="N82" s="22" t="n">
        <x:v>1</x:v>
      </x:c>
      <x:c r="O82" s="22" t="n">
        <x:v>59</x:v>
      </x:c>
      <x:c r="P82" s="22" t="n">
        <x:v>48</x:v>
      </x:c>
      <x:c r="Q82" s="22" t="n">
        <x:v>53</x:v>
      </x:c>
      <x:c r="R82" s="22" t="n">
        <x:v>77</x:v>
      </x:c>
      <x:c r="S82" s="22" t="n">
        <x:v>46</x:v>
      </x:c>
      <x:c r="T82" s="22" t="n">
        <x:v>42</x:v>
      </x:c>
      <x:c r="U82" s="22" t="n">
        <x:v>54</x:v>
      </x:c>
      <x:c r="V82" s="22" t="n">
        <x:v>51</x:v>
      </x:c>
      <x:c r="W82" s="22" t="n">
        <x:v>54</x:v>
      </x:c>
      <x:c r="X82" s="22" t="str">
        <x:v>飛行機／平日夜90分</x:v>
      </x:c>
      <x:c r="Y82" s="22" t="str">
        <x:v>出発前に閉場確認</x:v>
      </x:c>
      <x:c r="Z82" s="22" t="str">
        <x:v>用途限定で有効</x:v>
      </x:c>
      <x:c r="AA82" s="22" t="str">
        <x:v>羽田空港、多摩川、橋を望む小規模公園で、近距離の航空機経由地として面白い。</x:v>
      </x:c>
      <x:c r="AB82" s="22" t="str">
        <x:v>路上駐車前提では使用しない。経由地専用候補。</x:v>
      </x:c>
      <x:c r="AC82" s="22" t="str">
        <x:v>城南島海浜公園</x:v>
      </x:c>
      <x:c r="AD82" s="22" t="str">
        <x:v>京浜島つばさ公園／羽田空港 第3ターミナル展望デッキ</x:v>
      </x:c>
      <x:c r="AE82" t="n">
        <x:v>0</x:v>
      </x:c>
      <x:c r="AF82" t="str">
        <x:v>-</x:v>
      </x:c>
    </x:row>
    <x:row r="83">
      <x:c r="A83" s="22" t="str">
        <x:v>D207</x:v>
      </x:c>
      <x:c r="B83" s="22" t="str">
        <x:v>生田緑地・枡形山展望台</x:v>
      </x:c>
      <x:c r="C83" s="22" t="str">
        <x:v>川崎市・多摩区</x:v>
      </x:c>
      <x:c r="D83" s="22" t="str">
        <x:v>高台・展望・文化施設</x:v>
      </x:c>
      <x:c r="E83" s="22" t="e">
        <x:f>HYPERLINK("https://www.google.com/maps/dir/?api=1&amp;destination=%E7%94%9F%E7%94%B0%E7%B7%91%E5%9C%B0%E3%83%BB%E6%9E%A1%E5%BD%A2%E5%B1%B1%E5%B1%95%E6%9C%9B%E5%8F%B0&amp;travelmode=driving","ナビ開始")</x:f>
      </x:c>
      <x:c r="F83" s="22" t="str">
        <x:v>20〜25km</x:v>
      </x:c>
      <x:c r="G83" s="22" t="str">
        <x:v>概ね20〜25km</x:v>
      </x:c>
      <x:c r="H83" s="22" t="str">
        <x:v>通常40〜70分</x:v>
      </x:c>
      <x:c r="I83" s="22" t="n">
        <x:v>4</x:v>
      </x:c>
      <x:c r="J83" s="22" t="n">
        <x:v>2</x:v>
      </x:c>
      <x:c r="K83" s="22" t="n">
        <x:v>1</x:v>
      </x:c>
      <x:c r="L83" s="22" t="n">
        <x:v>1</x:v>
      </x:c>
      <x:c r="M83" s="22" t="n">
        <x:v>4</x:v>
      </x:c>
      <x:c r="N83" s="22" t="n">
        <x:v>4</x:v>
      </x:c>
      <x:c r="O83" s="22" t="n">
        <x:v>65</x:v>
      </x:c>
      <x:c r="P83" s="22" t="n">
        <x:v>69</x:v>
      </x:c>
      <x:c r="Q83" s="22" t="n">
        <x:v>46</x:v>
      </x:c>
      <x:c r="R83" s="22" t="n">
        <x:v>47</x:v>
      </x:c>
      <x:c r="S83" s="22" t="n">
        <x:v>48</x:v>
      </x:c>
      <x:c r="T83" s="22" t="n">
        <x:v>47</x:v>
      </x:c>
      <x:c r="U83" s="22" t="n">
        <x:v>47</x:v>
      </x:c>
      <x:c r="V83" s="22" t="n">
        <x:v>53</x:v>
      </x:c>
      <x:c r="W83" s="22" t="n">
        <x:v>54</x:v>
      </x:c>
      <x:c r="X83" s="22" t="str">
        <x:v>深夜2時間／平日夜90分</x:v>
      </x:c>
      <x:c r="Y83" s="22" t="str">
        <x:v>出発前に閉場確認</x:v>
      </x:c>
      <x:c r="Z83" s="22" t="str">
        <x:v>用途限定で有効</x:v>
      </x:c>
      <x:c r="AA83" s="22" t="str">
        <x:v>枡形山の展望、民家園、岡本太郎美術館、プラネタリウムを組み合わせ、自然と文化の両方で目的地化できる。</x:v>
      </x:c>
      <x:c r="AB83" s="22" t="str">
        <x:v>展望台や園路は夜に暗い。施設営業時間は別。休日は東口駐車場が混雑。</x:v>
      </x:c>
      <x:c r="AC83" s="22" t="str">
        <x:v>羽田空港 第3ターミナル展望デッキ</x:v>
      </x:c>
      <x:c r="AD83" s="22" t="str">
        <x:v>城南島海浜公園／潮風公園</x:v>
      </x:c>
      <x:c r="AE83" t="n">
        <x:v>0</x:v>
      </x:c>
      <x:c r="AF83" t="str">
        <x:v>-</x:v>
      </x:c>
    </x:row>
    <x:row r="84">
      <x:c r="A84" s="22" t="str">
        <x:v>D208</x:v>
      </x:c>
      <x:c r="B84" s="22" t="str">
        <x:v>県立東高根森林公園</x:v>
      </x:c>
      <x:c r="C84" s="22" t="str">
        <x:v>川崎市・宮前区</x:v>
      </x:c>
      <x:c r="D84" s="22" t="str">
        <x:v>森林・遺跡・シラカシ林</x:v>
      </x:c>
      <x:c r="E84" s="22" t="e">
        <x:f>HYPERLINK("https://www.google.com/maps/dir/?api=1&amp;destination=%E7%9C%8C%E7%AB%8B%E6%9D%B1%E9%AB%98%E6%A0%B9%E6%A3%AE%E6%9E%97%E5%85%AC%E5%9C%92&amp;travelmode=driving","ナビ開始")</x:f>
      </x:c>
      <x:c r="F84" s="22" t="str">
        <x:v>10〜20km</x:v>
      </x:c>
      <x:c r="G84" s="22" t="str">
        <x:v>概ね10〜20km</x:v>
      </x:c>
      <x:c r="H84" s="22" t="str">
        <x:v>通常25〜50分</x:v>
      </x:c>
      <x:c r="I84" s="22" t="n">
        <x:v>2</x:v>
      </x:c>
      <x:c r="J84" s="22" t="n">
        <x:v>4</x:v>
      </x:c>
      <x:c r="K84" s="22" t="n">
        <x:v>1</x:v>
      </x:c>
      <x:c r="L84" s="22" t="n">
        <x:v>1</x:v>
      </x:c>
      <x:c r="M84" s="22" t="n">
        <x:v>4</x:v>
      </x:c>
      <x:c r="N84" s="22" t="n">
        <x:v>2</x:v>
      </x:c>
      <x:c r="O84" s="22" t="n">
        <x:v>58</x:v>
      </x:c>
      <x:c r="P84" s="22" t="n">
        <x:v>54</x:v>
      </x:c>
      <x:c r="Q84" s="22" t="n">
        <x:v>49</x:v>
      </x:c>
      <x:c r="R84" s="22" t="n">
        <x:v>47</x:v>
      </x:c>
      <x:c r="S84" s="22" t="n">
        <x:v>45</x:v>
      </x:c>
      <x:c r="T84" s="22" t="n">
        <x:v>42</x:v>
      </x:c>
      <x:c r="U84" s="22" t="n">
        <x:v>83</x:v>
      </x:c>
      <x:c r="V84" s="22" t="n">
        <x:v>55</x:v>
      </x:c>
      <x:c r="W84" s="22" t="n">
        <x:v>54</x:v>
      </x:c>
      <x:c r="X84" s="22" t="str">
        <x:v>静かな場所／平日夜90分</x:v>
      </x:c>
      <x:c r="Y84" s="22" t="str">
        <x:v>出発前に閉場確認</x:v>
      </x:c>
      <x:c r="Z84" s="22" t="str">
        <x:v>用途限定で有効</x:v>
      </x:c>
      <x:c r="AA84" s="22" t="str">
        <x:v>古代遺跡の上に広がるシラカシ林と湿生植物園を歩き、住宅地の中で急に深い森へ入れる。</x:v>
      </x:c>
      <x:c r="AB84" s="22" t="str">
        <x:v>19時を過ぎると翌朝まで出庫不可。土日祝の有料期間は季節で変わるため当日確認。</x:v>
      </x:c>
      <x:c r="AC84" s="22" t="str">
        <x:v>平和の森公園</x:v>
      </x:c>
      <x:c r="AD84" s="22" t="str">
        <x:v>大森ふるさとの浜辺公園／森ケ崎公園</x:v>
      </x:c>
      <x:c r="AE84" t="n">
        <x:v>0</x:v>
      </x:c>
      <x:c r="AF84" t="str">
        <x:v>-</x:v>
      </x:c>
    </x:row>
    <x:row r="85">
      <x:c r="A85" s="22" t="str">
        <x:v>D112</x:v>
      </x:c>
      <x:c r="B85" s="22" t="str">
        <x:v>県立三ツ池公園</x:v>
      </x:c>
      <x:c r="C85" s="22" t="str">
        <x:v>横浜市・鶴見区</x:v>
      </x:c>
      <x:c r="D85" s="22" t="str">
        <x:v>池・丘陵・大規模公園</x:v>
      </x:c>
      <x:c r="E85" s="22" t="e">
        <x:f>HYPERLINK("https://www.google.com/maps/dir/?api=1&amp;destination=%E7%9C%8C%E7%AB%8B%E4%B8%89%E3%83%84%E6%B1%A0%E5%85%AC%E5%9C%92&amp;travelmode=driving","ナビ開始")</x:f>
      </x:c>
      <x:c r="F85" s="22" t="str">
        <x:v>10〜20km</x:v>
      </x:c>
      <x:c r="G85" s="22" t="str">
        <x:v>概ね10〜20km</x:v>
      </x:c>
      <x:c r="H85" s="22" t="str">
        <x:v>通常25〜50分</x:v>
      </x:c>
      <x:c r="I85" s="22" t="n">
        <x:v>3</x:v>
      </x:c>
      <x:c r="J85" s="22" t="n">
        <x:v>3</x:v>
      </x:c>
      <x:c r="K85" s="22" t="n">
        <x:v>1</x:v>
      </x:c>
      <x:c r="L85" s="22" t="n">
        <x:v>1</x:v>
      </x:c>
      <x:c r="M85" s="22" t="n">
        <x:v>2</x:v>
      </x:c>
      <x:c r="N85" s="22" t="n">
        <x:v>5</x:v>
      </x:c>
      <x:c r="O85" s="22" t="n">
        <x:v>64</x:v>
      </x:c>
      <x:c r="P85" s="22" t="n">
        <x:v>63</x:v>
      </x:c>
      <x:c r="Q85" s="22" t="n">
        <x:v>45</x:v>
      </x:c>
      <x:c r="R85" s="22" t="n">
        <x:v>43</x:v>
      </x:c>
      <x:c r="S85" s="22" t="n">
        <x:v>42</x:v>
      </x:c>
      <x:c r="T85" s="22" t="n">
        <x:v>40</x:v>
      </x:c>
      <x:c r="U85" s="22" t="n">
        <x:v>75</x:v>
      </x:c>
      <x:c r="V85" s="22" t="n">
        <x:v>49</x:v>
      </x:c>
      <x:c r="W85" s="22" t="n">
        <x:v>53</x:v>
      </x:c>
      <x:c r="X85" s="22" t="str">
        <x:v>静かな場所／平日夜90分</x:v>
      </x:c>
      <x:c r="Y85" s="22" t="str">
        <x:v>出発前に閉場確認</x:v>
      </x:c>
      <x:c r="Z85" s="22" t="str">
        <x:v>用途限定で有効</x:v>
      </x:c>
      <x:c r="AA85" s="22" t="str">
        <x:v>三つの池と丘陵があり、大田区から近いのに都市感を切れる。</x:v>
      </x:c>
      <x:c r="AB85" s="22" t="str">
        <x:v>駐車場閉鎖時刻を当日確認。桜期は大混雑。</x:v>
      </x:c>
      <x:c r="AC85" s="22" t="str">
        <x:v>多摩川浅間神社</x:v>
      </x:c>
      <x:c r="AD85" s="22" t="str">
        <x:v>多摩川六郷橋緑地／多摩川ガス橋緑地</x:v>
      </x:c>
      <x:c r="AE85" t="n">
        <x:v>0</x:v>
      </x:c>
      <x:c r="AF85" t="str">
        <x:v>-</x:v>
      </x:c>
    </x:row>
    <x:row r="86">
      <x:c r="A86" s="22" t="str">
        <x:v>D261</x:v>
      </x:c>
      <x:c r="B86" s="22" t="str">
        <x:v>大田区立郷土博物館</x:v>
      </x:c>
      <x:c r="C86" s="22" t="str">
        <x:v>大田区・南馬込</x:v>
      </x:c>
      <x:c r="D86" s="22" t="str">
        <x:v>郷土史・考古・民俗・雨天</x:v>
      </x:c>
      <x:c r="E86" s="22" t="e">
        <x:f>HYPERLINK("https://www.google.com/maps/dir/?api=1&amp;destination=%E5%A4%A7%E7%94%B0%E5%8C%BA%E7%AB%8B%E9%83%B7%E5%9C%9F%E5%8D%9A%E7%89%A9%E9%A4%A8&amp;travelmode=driving","ナビ開始")</x:f>
      </x:c>
      <x:c r="F86" s="22" t="str">
        <x:v>0〜10km</x:v>
      </x:c>
      <x:c r="G86" s="22" t="str">
        <x:v>蒲田から約5〜8km</x:v>
      </x:c>
      <x:c r="H86" s="22" t="str">
        <x:v>通常15〜30分</x:v>
      </x:c>
      <x:c r="I86" s="22" t="n">
        <x:v>1</x:v>
      </x:c>
      <x:c r="J86" s="22" t="n">
        <x:v>4</x:v>
      </x:c>
      <x:c r="K86" s="22" t="n">
        <x:v>5</x:v>
      </x:c>
      <x:c r="L86" s="22" t="n">
        <x:v>1</x:v>
      </x:c>
      <x:c r="M86" s="22" t="n">
        <x:v>2</x:v>
      </x:c>
      <x:c r="N86" s="22" t="n">
        <x:v>1</x:v>
      </x:c>
      <x:c r="O86" s="22" t="n">
        <x:v>49</x:v>
      </x:c>
      <x:c r="P86" s="22" t="n">
        <x:v>39</x:v>
      </x:c>
      <x:c r="Q86" s="22" t="n">
        <x:v>70</x:v>
      </x:c>
      <x:c r="R86" s="22" t="n">
        <x:v>42</x:v>
      </x:c>
      <x:c r="S86" s="22" t="n">
        <x:v>38</x:v>
      </x:c>
      <x:c r="T86" s="22" t="n">
        <x:v>35</x:v>
      </x:c>
      <x:c r="U86" s="22" t="n">
        <x:v>51</x:v>
      </x:c>
      <x:c r="V86" s="22" t="n">
        <x:v>81</x:v>
      </x:c>
      <x:c r="W86" s="22" t="n">
        <x:v>52</x:v>
      </x:c>
      <x:c r="X86" s="22" t="str">
        <x:v>休日半日／雨天</x:v>
      </x:c>
      <x:c r="Y86" s="22" t="str">
        <x:v>出発前に閉場確認</x:v>
      </x:c>
      <x:c r="Z86" s="22" t="str">
        <x:v>用途限定で有効</x:v>
      </x:c>
      <x:c r="AA86" s="22" t="str">
        <x:v>大田区の地形、古墳、馬込文士村、海苔産業まで横断できる。Project CruiseのStory Layerを補強する雨天向け拠点。</x:v>
      </x:c>
      <x:c r="AB86" s="22" t="str">
        <x:v>月曜・年末年始等休館。2026年11月30日～2027年3月31日は改修休館予定。駐車台数が少ないため満車時は周辺民間駐車場へ。</x:v>
      </x:c>
      <x:c r="AC86" s="22" t="str">
        <x:v>品川歴史館</x:v>
      </x:c>
      <x:c r="AD86" s="22" t="str">
        <x:v>池上梅園／大森 海苔のふるさと館</x:v>
      </x:c>
      <x:c r="AE86" t="n">
        <x:v>0</x:v>
      </x:c>
      <x:c r="AF86" t="str">
        <x:v>-</x:v>
      </x:c>
    </x:row>
    <x:row r="87">
      <x:c r="A87" s="22" t="str">
        <x:v>D264</x:v>
      </x:c>
      <x:c r="B87" s="22" t="str">
        <x:v>品川区立 品川歴史館</x:v>
      </x:c>
      <x:c r="C87" s="22" t="str">
        <x:v>品川区・大井</x:v>
      </x:c>
      <x:c r="D87" s="22" t="str">
        <x:v>東海道・大森貝塚・地域史・雨天</x:v>
      </x:c>
      <x:c r="E87" s="22" t="e">
        <x:f>HYPERLINK("https://www.google.com/maps/dir/?api=1&amp;destination=%E5%93%81%E5%B7%9D%E5%8C%BA%E7%AB%8B%20%E5%93%81%E5%B7%9D%E6%AD%B4%E5%8F%B2%E9%A4%A8&amp;travelmode=driving","ナビ開始")</x:f>
      </x:c>
      <x:c r="F87" s="22" t="str">
        <x:v>0〜10km</x:v>
      </x:c>
      <x:c r="G87" s="22" t="str">
        <x:v>蒲田から約6〜9km</x:v>
      </x:c>
      <x:c r="H87" s="22" t="str">
        <x:v>通常15〜30分</x:v>
      </x:c>
      <x:c r="I87" s="22" t="n">
        <x:v>1</x:v>
      </x:c>
      <x:c r="J87" s="22" t="n">
        <x:v>4</x:v>
      </x:c>
      <x:c r="K87" s="22" t="n">
        <x:v>5</x:v>
      </x:c>
      <x:c r="L87" s="22" t="n">
        <x:v>1</x:v>
      </x:c>
      <x:c r="M87" s="22" t="n">
        <x:v>2</x:v>
      </x:c>
      <x:c r="N87" s="22" t="n">
        <x:v>1</x:v>
      </x:c>
      <x:c r="O87" s="22" t="n">
        <x:v>49</x:v>
      </x:c>
      <x:c r="P87" s="22" t="n">
        <x:v>39</x:v>
      </x:c>
      <x:c r="Q87" s="22" t="n">
        <x:v>70</x:v>
      </x:c>
      <x:c r="R87" s="22" t="n">
        <x:v>42</x:v>
      </x:c>
      <x:c r="S87" s="22" t="n">
        <x:v>66</x:v>
      </x:c>
      <x:c r="T87" s="22" t="n">
        <x:v>35</x:v>
      </x:c>
      <x:c r="U87" s="22" t="n">
        <x:v>51</x:v>
      </x:c>
      <x:c r="V87" s="22" t="n">
        <x:v>65</x:v>
      </x:c>
      <x:c r="W87" s="22" t="n">
        <x:v>52</x:v>
      </x:c>
      <x:c r="X87" s="22" t="str">
        <x:v>雨天／海・港</x:v>
      </x:c>
      <x:c r="Y87" s="22" t="str">
        <x:v>出発前に閉場確認</x:v>
      </x:c>
      <x:c r="Z87" s="22" t="str">
        <x:v>用途限定で有効</x:v>
      </x:c>
      <x:c r="AA87" s="22" t="str">
        <x:v>東海道品川宿、大森貝塚、品川の地形と産業を一館で理解できる。大田区から近い雨天Story経由地として優秀。</x:v>
      </x:c>
      <x:c r="AB87" s="22" t="str">
        <x:v>月曜・年末年始休館。駐車は3台のみで館利用者限定。満車時は大井町・大森周辺の時間貸し駐車場へ切替。</x:v>
      </x:c>
      <x:c r="AC87" s="22" t="str">
        <x:v>大田区立郷土博物館</x:v>
      </x:c>
      <x:c r="AD87" s="22" t="str">
        <x:v>しながわ区民公園／大井競馬場</x:v>
      </x:c>
      <x:c r="AE87" t="n">
        <x:v>0</x:v>
      </x:c>
      <x:c r="AF87" t="str">
        <x:v>-</x:v>
      </x:c>
    </x:row>
    <x:row r="88">
      <x:c r="A88" s="22" t="str">
        <x:v>D156</x:v>
      </x:c>
      <x:c r="B88" s="22" t="str">
        <x:v>稲田公園</x:v>
      </x:c>
      <x:c r="C88" s="22" t="str">
        <x:v>川崎市・多摩区</x:v>
      </x:c>
      <x:c r="D88" s="22" t="str">
        <x:v>多摩川・くじら遊具・近距離</x:v>
      </x:c>
      <x:c r="E88" s="22" t="e">
        <x:f>HYPERLINK("https://www.google.com/maps/dir/?api=1&amp;destination=%E7%A8%B2%E7%94%B0%E5%85%AC%E5%9C%92&amp;travelmode=driving","ナビ開始")</x:f>
      </x:c>
      <x:c r="F88" s="22" t="str">
        <x:v>20〜25km</x:v>
      </x:c>
      <x:c r="G88" s="22" t="str">
        <x:v>概ね20〜25km</x:v>
      </x:c>
      <x:c r="H88" s="22" t="str">
        <x:v>通常40〜70分</x:v>
      </x:c>
      <x:c r="I88" s="22" t="n">
        <x:v>3</x:v>
      </x:c>
      <x:c r="J88" s="22" t="n">
        <x:v>4</x:v>
      </x:c>
      <x:c r="K88" s="22" t="n">
        <x:v>2</x:v>
      </x:c>
      <x:c r="L88" s="22" t="n">
        <x:v>1</x:v>
      </x:c>
      <x:c r="M88" s="22" t="n">
        <x:v>4</x:v>
      </x:c>
      <x:c r="N88" s="22" t="n">
        <x:v>1</x:v>
      </x:c>
      <x:c r="O88" s="22" t="n">
        <x:v>55</x:v>
      </x:c>
      <x:c r="P88" s="22" t="n">
        <x:v>53</x:v>
      </x:c>
      <x:c r="Q88" s="22" t="n">
        <x:v>51</x:v>
      </x:c>
      <x:c r="R88" s="22" t="n">
        <x:v>46</x:v>
      </x:c>
      <x:c r="S88" s="22" t="n">
        <x:v>46</x:v>
      </x:c>
      <x:c r="T88" s="22" t="n">
        <x:v>43</x:v>
      </x:c>
      <x:c r="U88" s="22" t="n">
        <x:v>53</x:v>
      </x:c>
      <x:c r="V88" s="22" t="n">
        <x:v>56</x:v>
      </x:c>
      <x:c r="W88" s="22" t="n">
        <x:v>51</x:v>
      </x:c>
      <x:c r="X88" s="22" t="str">
        <x:v>休日半日／平日夜90分</x:v>
      </x:c>
      <x:c r="Y88" s="22" t="str">
        <x:v>出発前に閉場確認</x:v>
      </x:c>
      <x:c r="Z88" s="22" t="str">
        <x:v>用途限定で有効</x:v>
      </x:c>
      <x:c r="AA88" s="22" t="str">
        <x:v>多摩川沿いの開放感と象徴的なくじらモニュメントがあり、近距離のStory系公園になる。</x:v>
      </x:c>
      <x:c r="AB88" s="22" t="str">
        <x:v>河川増水時は避ける。夏季プール営業日は混雑。</x:v>
      </x:c>
      <x:c r="AC88" s="22" t="str">
        <x:v>羽田空港 第3ターミナル展望デッキ</x:v>
      </x:c>
      <x:c r="AD88" s="22" t="str">
        <x:v>城南島海浜公園／潮風公園</x:v>
      </x:c>
      <x:c r="AE88" t="n">
        <x:v>0</x:v>
      </x:c>
      <x:c r="AF88" t="str">
        <x:v>-</x:v>
      </x:c>
    </x:row>
    <x:row r="89">
      <x:c r="A89" s="22" t="str">
        <x:v>D075</x:v>
      </x:c>
      <x:c r="B89" s="22" t="str">
        <x:v>県立四季の森公園</x:v>
      </x:c>
      <x:c r="C89" s="22" t="str">
        <x:v>横浜市・緑区</x:v>
      </x:c>
      <x:c r="D89" s="22" t="str">
        <x:v>谷戸・池・森林</x:v>
      </x:c>
      <x:c r="E89" s="22" t="e">
        <x:f>HYPERLINK("https://www.google.com/maps/dir/?api=1&amp;destination=%E7%9C%8C%E7%AB%8B%E5%9B%9B%E5%AD%A3%E3%81%AE%E6%A3%AE%E5%85%AC%E5%9C%92&amp;travelmode=driving","ナビ開始")</x:f>
      </x:c>
      <x:c r="F89" s="22" t="str">
        <x:v>20〜25km</x:v>
      </x:c>
      <x:c r="G89" s="22" t="str">
        <x:v>概ね20〜25km</x:v>
      </x:c>
      <x:c r="H89" s="22" t="str">
        <x:v>通常40〜70分</x:v>
      </x:c>
      <x:c r="I89" s="22" t="n">
        <x:v>2</x:v>
      </x:c>
      <x:c r="J89" s="22" t="n">
        <x:v>4</x:v>
      </x:c>
      <x:c r="K89" s="22" t="n">
        <x:v>1</x:v>
      </x:c>
      <x:c r="L89" s="22" t="n">
        <x:v>1</x:v>
      </x:c>
      <x:c r="M89" s="22" t="n">
        <x:v>4</x:v>
      </x:c>
      <x:c r="N89" s="22" t="n">
        <x:v>1</x:v>
      </x:c>
      <x:c r="O89" s="22" t="n">
        <x:v>50</x:v>
      </x:c>
      <x:c r="P89" s="22" t="n">
        <x:v>47</x:v>
      </x:c>
      <x:c r="Q89" s="22" t="n">
        <x:v>44</x:v>
      </x:c>
      <x:c r="R89" s="22" t="n">
        <x:v>43</x:v>
      </x:c>
      <x:c r="S89" s="22" t="n">
        <x:v>42</x:v>
      </x:c>
      <x:c r="T89" s="22" t="n">
        <x:v>39</x:v>
      </x:c>
      <x:c r="U89" s="22" t="n">
        <x:v>79</x:v>
      </x:c>
      <x:c r="V89" s="22" t="n">
        <x:v>53</x:v>
      </x:c>
      <x:c r="W89" s="22" t="n">
        <x:v>50</x:v>
      </x:c>
      <x:c r="X89" s="22" t="str">
        <x:v>静かな場所／休日半日</x:v>
      </x:c>
      <x:c r="Y89" s="22" t="str">
        <x:v>出発前に閉場確認</x:v>
      </x:c>
      <x:c r="Z89" s="22" t="str">
        <x:v>用途限定で有効</x:v>
      </x:c>
      <x:c r="AA89" s="22" t="str">
        <x:v>横浜市内ながら谷戸と水田、森が残り、昼の回復系Endingに向く。</x:v>
      </x:c>
      <x:c r="AB89" s="22" t="str">
        <x:v>イベント・工事情報と閉場時刻を確認。夜は暗い。</x:v>
      </x:c>
      <x:c r="AC89" s="22" t="str">
        <x:v>多摩川浅間神社</x:v>
      </x:c>
      <x:c r="AD89" s="22" t="str">
        <x:v>多摩川六郷橋緑地／多摩川ガス橋緑地</x:v>
      </x:c>
      <x:c r="AE89" t="n">
        <x:v>0</x:v>
      </x:c>
      <x:c r="AF89" t="str">
        <x:v>-</x:v>
      </x:c>
    </x:row>
    <x:row r="90">
      <x:c r="A90" s="22" t="str">
        <x:v>D106</x:v>
      </x:c>
      <x:c r="B90" s="22" t="str">
        <x:v>菅生緑地</x:v>
      </x:c>
      <x:c r="C90" s="22" t="str">
        <x:v>川崎市・宮前区</x:v>
      </x:c>
      <x:c r="D90" s="22" t="str">
        <x:v>高台・展望・里山</x:v>
      </x:c>
      <x:c r="E90" s="22" t="e">
        <x:f>HYPERLINK("https://www.google.com/maps/dir/?api=1&amp;destination=%E8%8F%85%E7%94%9F%E7%B7%91%E5%9C%B0&amp;travelmode=driving","ナビ開始")</x:f>
      </x:c>
      <x:c r="F90" s="22" t="str">
        <x:v>10〜20km</x:v>
      </x:c>
      <x:c r="G90" s="22" t="str">
        <x:v>概ね10〜20km</x:v>
      </x:c>
      <x:c r="H90" s="22" t="str">
        <x:v>通常25〜50分</x:v>
      </x:c>
      <x:c r="I90" s="22" t="n">
        <x:v>2</x:v>
      </x:c>
      <x:c r="J90" s="22" t="n">
        <x:v>4</x:v>
      </x:c>
      <x:c r="K90" s="22" t="n">
        <x:v>1</x:v>
      </x:c>
      <x:c r="L90" s="22" t="n">
        <x:v>1</x:v>
      </x:c>
      <x:c r="M90" s="22" t="n">
        <x:v>4</x:v>
      </x:c>
      <x:c r="N90" s="22" t="n">
        <x:v>1</x:v>
      </x:c>
      <x:c r="O90" s="22" t="n">
        <x:v>55</x:v>
      </x:c>
      <x:c r="P90" s="22" t="n">
        <x:v>50</x:v>
      </x:c>
      <x:c r="Q90" s="22" t="n">
        <x:v>47</x:v>
      </x:c>
      <x:c r="R90" s="22" t="n">
        <x:v>47</x:v>
      </x:c>
      <x:c r="S90" s="22" t="n">
        <x:v>45</x:v>
      </x:c>
      <x:c r="T90" s="22" t="n">
        <x:v>42</x:v>
      </x:c>
      <x:c r="U90" s="22" t="n">
        <x:v>55</x:v>
      </x:c>
      <x:c r="V90" s="22" t="n">
        <x:v>55</x:v>
      </x:c>
      <x:c r="W90" s="22" t="n">
        <x:v>50</x:v>
      </x:c>
      <x:c r="X90" s="22" t="str">
        <x:v>平日夜90分／静かな場所</x:v>
      </x:c>
      <x:c r="Y90" s="22" t="str">
        <x:v>出発前に閉場確認</x:v>
      </x:c>
      <x:c r="Z90" s="22" t="str">
        <x:v>用途限定で有効</x:v>
      </x:c>
      <x:c r="AA90" s="22" t="str">
        <x:v>高台の展望デッキと里山的な緑があり、川崎北部で静かな昼Endingになる。</x:v>
      </x:c>
      <x:c r="AB90" s="22" t="str">
        <x:v>夜間不向き。駐車場所と閉鎖時刻を当日確認。</x:v>
      </x:c>
      <x:c r="AC90" s="22" t="str">
        <x:v>羽田空港 第3ターミナル展望デッキ</x:v>
      </x:c>
      <x:c r="AD90" s="22" t="str">
        <x:v>城南島海浜公園／潮風公園</x:v>
      </x:c>
      <x:c r="AE90" t="n">
        <x:v>0</x:v>
      </x:c>
      <x:c r="AF90" t="str">
        <x:v>-</x:v>
      </x:c>
    </x:row>
    <x:row r="91">
      <x:c r="A91" s="22" t="str">
        <x:v>D248</x:v>
      </x:c>
      <x:c r="B91" s="22" t="str">
        <x:v>池上梅園</x:v>
      </x:c>
      <x:c r="C91" s="22" t="str">
        <x:v>大田区・池上</x:v>
      </x:c>
      <x:c r="D91" s="22" t="str">
        <x:v>日本庭園・梅・茶室Story</x:v>
      </x:c>
      <x:c r="E91" s="22" t="e">
        <x:f>HYPERLINK("https://www.google.com/maps/dir/?api=1&amp;destination=%E6%B1%A0%E4%B8%8A%E6%A2%85%E5%9C%92&amp;travelmode=driving","ナビ開始")</x:f>
      </x:c>
      <x:c r="F91" s="22" t="str">
        <x:v>0〜10km</x:v>
      </x:c>
      <x:c r="G91" s="22" t="str">
        <x:v>蒲田から約4〜7km</x:v>
      </x:c>
      <x:c r="H91" s="22" t="str">
        <x:v>通常15〜25分</x:v>
      </x:c>
      <x:c r="I91" s="22" t="n">
        <x:v>1</x:v>
      </x:c>
      <x:c r="J91" s="22" t="n">
        <x:v>4</x:v>
      </x:c>
      <x:c r="K91" s="22" t="n">
        <x:v>2</x:v>
      </x:c>
      <x:c r="L91" s="22" t="n">
        <x:v>1</x:v>
      </x:c>
      <x:c r="M91" s="22" t="n">
        <x:v>2</x:v>
      </x:c>
      <x:c r="N91" s="22" t="n">
        <x:v>1</x:v>
      </x:c>
      <x:c r="O91" s="22" t="n">
        <x:v>49</x:v>
      </x:c>
      <x:c r="P91" s="22" t="n">
        <x:v>39</x:v>
      </x:c>
      <x:c r="Q91" s="22" t="n">
        <x:v>49</x:v>
      </x:c>
      <x:c r="R91" s="22" t="n">
        <x:v>42</x:v>
      </x:c>
      <x:c r="S91" s="22" t="n">
        <x:v>38</x:v>
      </x:c>
      <x:c r="T91" s="22" t="n">
        <x:v>35</x:v>
      </x:c>
      <x:c r="U91" s="22" t="n">
        <x:v>79</x:v>
      </x:c>
      <x:c r="V91" s="22" t="n">
        <x:v>66</x:v>
      </x:c>
      <x:c r="W91" s="22" t="n">
        <x:v>50</x:v>
      </x:c>
      <x:c r="X91" s="22" t="str">
        <x:v>静かな場所／休日半日</x:v>
      </x:c>
      <x:c r="Y91" s="22" t="str">
        <x:v>出発前に閉場確認</x:v>
      </x:c>
      <x:c r="Z91" s="22" t="str">
        <x:v>用途限定で有効</x:v>
      </x:c>
      <x:c r="AA91" s="22" t="str">
        <x:v>丘陵斜面を使った小さな庭園で、短時間でも季節と静けさを得られる。近距離の昼Endingとして密度が高い。</x:v>
      </x:c>
      <x:c r="AB91" s="22" t="str">
        <x:v>梅見頃の2月・3月上旬の土日祝は駐車場利用不可。月曜休園期あり。</x:v>
      </x:c>
      <x:c r="AC91" s="22" t="str">
        <x:v>平和の森公園</x:v>
      </x:c>
      <x:c r="AD91" s="22" t="str">
        <x:v>池上本門寺周辺／大森ふるさとの浜辺公園</x:v>
      </x:c>
      <x:c r="AE91" t="n">
        <x:v>0</x:v>
      </x:c>
      <x:c r="AF91" t="str">
        <x:v>-</x:v>
      </x:c>
    </x:row>
    <x:row r="92">
      <x:c r="A92" s="22" t="str">
        <x:v>D274</x:v>
      </x:c>
      <x:c r="B92" s="22" t="str">
        <x:v>明治神宮外苑 聖徳記念絵画館</x:v>
      </x:c>
      <x:c r="C92" s="22" t="str">
        <x:v>新宿区・霞ヶ丘町</x:v>
      </x:c>
      <x:c r="D92" s="22" t="str">
        <x:v>近代建築・絵画・明治史Story</x:v>
      </x:c>
      <x:c r="E92" s="22" t="e">
        <x:f>HYPERLINK("https://www.google.com/maps/dir/?api=1&amp;destination=%E6%98%8E%E6%B2%BB%E7%A5%9E%E5%AE%AE%E5%A4%96%E8%8B%91%20%E8%81%96%E5%BE%B3%E8%A8%98%E5%BF%B5%E7%B5%B5%E7%94%BB%E9%A4%A8&amp;travelmode=driving","ナビ開始")</x:f>
      </x:c>
      <x:c r="F92" s="22" t="str">
        <x:v>10〜20km</x:v>
      </x:c>
      <x:c r="G92" s="22" t="str">
        <x:v>蒲田から約16〜21km</x:v>
      </x:c>
      <x:c r="H92" s="22" t="str">
        <x:v>通常35〜60分</x:v>
      </x:c>
      <x:c r="I92" s="22" t="n">
        <x:v>2</x:v>
      </x:c>
      <x:c r="J92" s="22" t="n">
        <x:v>3</x:v>
      </x:c>
      <x:c r="K92" s="22" t="n">
        <x:v>4</x:v>
      </x:c>
      <x:c r="L92" s="22" t="n">
        <x:v>1</x:v>
      </x:c>
      <x:c r="M92" s="22" t="n">
        <x:v>2</x:v>
      </x:c>
      <x:c r="N92" s="22" t="n">
        <x:v>1</x:v>
      </x:c>
      <x:c r="O92" s="22" t="n">
        <x:v>47</x:v>
      </x:c>
      <x:c r="P92" s="22" t="n">
        <x:v>41</x:v>
      </x:c>
      <x:c r="Q92" s="22" t="n">
        <x:v>58</x:v>
      </x:c>
      <x:c r="R92" s="22" t="n">
        <x:v>40</x:v>
      </x:c>
      <x:c r="S92" s="22" t="n">
        <x:v>38</x:v>
      </x:c>
      <x:c r="T92" s="22" t="n">
        <x:v>36</x:v>
      </x:c>
      <x:c r="U92" s="22" t="n">
        <x:v>45</x:v>
      </x:c>
      <x:c r="V92" s="22" t="n">
        <x:v>78</x:v>
      </x:c>
      <x:c r="W92" s="22" t="n">
        <x:v>49</x:v>
      </x:c>
      <x:c r="X92" s="22" t="str">
        <x:v>休日半日／雨天</x:v>
      </x:c>
      <x:c r="Y92" s="22" t="str">
        <x:v>出発前に閉場確認</x:v>
      </x:c>
      <x:c r="Z92" s="22" t="str">
        <x:v>用途限定で有効</x:v>
      </x:c>
      <x:c r="AA92" s="22" t="str">
        <x:v>重厚な石造建築と明治史を描く大壁画群があり、庭園・建築・歴史を一度に回収できる昼の経由地。</x:v>
      </x:c>
      <x:c r="AB92" s="22" t="str">
        <x:v>日曜・祝日の交通規制、イベント・スポーツ開催による駐車制限を確認。保存修理工事中は通常396台から約100台減少。</x:v>
      </x:c>
      <x:c r="AC92" s="22" t="str">
        <x:v>新宿御苑</x:v>
      </x:c>
      <x:c r="AD92" s="22" t="str">
        <x:v>東京都庁展望室／東京ミッドタウン</x:v>
      </x:c>
      <x:c r="AE92" t="n">
        <x:v>0</x:v>
      </x:c>
      <x:c r="AF92" t="str">
        <x:v>-</x:v>
      </x:c>
    </x:row>
    <x:row r="93">
      <x:c r="A93" s="22" t="str">
        <x:v>D205</x:v>
      </x:c>
      <x:c r="B93" s="22" t="str">
        <x:v>三溪園</x:v>
      </x:c>
      <x:c r="C93" s="22" t="str">
        <x:v>横浜市・中区本牧</x:v>
      </x:c>
      <x:c r="D93" s="22" t="str">
        <x:v>日本庭園・古建築・Story</x:v>
      </x:c>
      <x:c r="E93" s="22" t="e">
        <x:f>HYPERLINK("https://www.google.com/maps/dir/?api=1&amp;destination=%E4%B8%89%E6%BA%AA%E5%9C%92&amp;travelmode=driving","ナビ開始")</x:f>
      </x:c>
      <x:c r="F93" s="22" t="str">
        <x:v>20〜25km</x:v>
      </x:c>
      <x:c r="G93" s="22" t="str">
        <x:v>概ね20〜25km</x:v>
      </x:c>
      <x:c r="H93" s="22" t="str">
        <x:v>通常40〜70分</x:v>
      </x:c>
      <x:c r="I93" s="22" t="n">
        <x:v>1</x:v>
      </x:c>
      <x:c r="J93" s="22" t="n">
        <x:v>2</x:v>
      </x:c>
      <x:c r="K93" s="22" t="n">
        <x:v>1</x:v>
      </x:c>
      <x:c r="L93" s="22" t="n">
        <x:v>1</x:v>
      </x:c>
      <x:c r="M93" s="22" t="n">
        <x:v>4</x:v>
      </x:c>
      <x:c r="N93" s="22" t="n">
        <x:v>1</x:v>
      </x:c>
      <x:c r="O93" s="22" t="n">
        <x:v>41</x:v>
      </x:c>
      <x:c r="P93" s="22" t="n">
        <x:v>39</x:v>
      </x:c>
      <x:c r="Q93" s="22" t="n">
        <x:v>40</x:v>
      </x:c>
      <x:c r="R93" s="22" t="n">
        <x:v>38</x:v>
      </x:c>
      <x:c r="S93" s="22" t="n">
        <x:v>36</x:v>
      </x:c>
      <x:c r="T93" s="22" t="n">
        <x:v>35</x:v>
      </x:c>
      <x:c r="U93" s="22" t="n">
        <x:v>69</x:v>
      </x:c>
      <x:c r="V93" s="22" t="n">
        <x:v>63</x:v>
      </x:c>
      <x:c r="W93" s="22" t="n">
        <x:v>45</x:v>
      </x:c>
      <x:c r="X93" s="22" t="str">
        <x:v>静かな場所／休日半日</x:v>
      </x:c>
      <x:c r="Y93" s="22" t="str">
        <x:v>出発前に閉場確認</x:v>
      </x:c>
      <x:c r="Z93" s="22" t="str">
        <x:v>用途限定で有効</x:v>
      </x:c>
      <x:c r="AA93" s="22" t="str">
        <x:v>池、谷戸、三重塔、移築古建築を巡り、横浜港の近代都市景観とは別の時間軸へ入れる文化系Ending。</x:v>
      </x:c>
      <x:c r="AB93" s="22" t="str">
        <x:v>12月26～31日休園。桜・紅葉・夜間開園は満車。2026年は一部古建築の公開休止・修繕情報あり。</x:v>
      </x:c>
      <x:c r="AC93" s="22" t="str">
        <x:v>羽田空港 第3ターミナル展望デッキ</x:v>
      </x:c>
      <x:c r="AD93" s="22" t="str">
        <x:v>城南島海浜公園／潮風公園</x:v>
      </x:c>
      <x:c r="AE93" t="n">
        <x:v>0</x:v>
      </x:c>
      <x:c r="AF93" t="str">
        <x:v>-</x:v>
      </x:c>
    </x:row>
    <x:row r="94">
      <x:c r="A94" s="22" t="str">
        <x:v>D105</x:v>
      </x:c>
      <x:c r="B94" s="22" t="str">
        <x:v>鷺沼北公園</x:v>
      </x:c>
      <x:c r="C94" s="22" t="str">
        <x:v>川崎市・宮前区</x:v>
      </x:c>
      <x:c r="D94" s="22" t="str">
        <x:v>高台・都市展望</x:v>
      </x:c>
      <x:c r="E94" s="22" t="e">
        <x:f>HYPERLINK("https://www.google.com/maps/dir/?api=1&amp;destination=%E9%B7%BA%E6%B2%BC%E5%8C%97%E5%85%AC%E5%9C%92&amp;travelmode=driving","ナビ開始")</x:f>
      </x:c>
      <x:c r="F94" s="22" t="str">
        <x:v>10〜20km</x:v>
      </x:c>
      <x:c r="G94" s="22" t="str">
        <x:v>概ね10〜20km</x:v>
      </x:c>
      <x:c r="H94" s="22" t="str">
        <x:v>通常25〜50分</x:v>
      </x:c>
      <x:c r="I94" s="22" t="n">
        <x:v>2</x:v>
      </x:c>
      <x:c r="J94" s="22" t="n">
        <x:v>5</x:v>
      </x:c>
      <x:c r="K94" s="22" t="n">
        <x:v>1</x:v>
      </x:c>
      <x:c r="L94" s="22" t="n">
        <x:v>1</x:v>
      </x:c>
      <x:c r="M94" s="22" t="n">
        <x:v>1</x:v>
      </x:c>
      <x:c r="N94" s="22" t="n">
        <x:v>1</x:v>
      </x:c>
      <x:c r="O94" s="22" t="n">
        <x:v>48</x:v>
      </x:c>
      <x:c r="P94" s="22" t="n">
        <x:v>39</x:v>
      </x:c>
      <x:c r="Q94" s="22" t="n">
        <x:v>37</x:v>
      </x:c>
      <x:c r="R94" s="22" t="n">
        <x:v>39</x:v>
      </x:c>
      <x:c r="S94" s="22" t="n">
        <x:v>37</x:v>
      </x:c>
      <x:c r="T94" s="22" t="n">
        <x:v>33</x:v>
      </x:c>
      <x:c r="U94" s="22" t="n">
        <x:v>50</x:v>
      </x:c>
      <x:c r="V94" s="22" t="n">
        <x:v>48</x:v>
      </x:c>
      <x:c r="W94" s="22" t="n">
        <x:v>42</x:v>
      </x:c>
      <x:c r="X94" s="22" t="str">
        <x:v>静かな場所／平日夜90分</x:v>
      </x:c>
      <x:c r="Y94" s="22" t="str">
        <x:v>出発前に閉場確認</x:v>
      </x:c>
      <x:c r="Z94" s="22" t="str">
        <x:v>用途限定で有効</x:v>
      </x:c>
      <x:c r="AA94" s="22" t="str">
        <x:v>東京タワーやスカイツリー方面を望める小規模な展望公園で、近隣型穴場Endingになる。</x:v>
      </x:c>
      <x:c r="AB94" s="22" t="str">
        <x:v>路上駐車禁止。徒歩移動を伴うため最終目的地より経由地向き。</x:v>
      </x:c>
      <x:c r="AC94" s="22" t="str">
        <x:v>羽田空港 第3ターミナル展望デッキ</x:v>
      </x:c>
      <x:c r="AD94" s="22" t="str">
        <x:v>城南島海浜公園／潮風公園</x:v>
      </x:c>
      <x:c r="AE94" t="n">
        <x:v>0</x:v>
      </x:c>
      <x:c r="AF94" t="str">
        <x:v>-</x:v>
      </x:c>
    </x:row>
  </x:sheetData>
  <x:conditionalFormatting sqref="O2:W71">
    <x:cfRule type="colorScale" priority="1">
      <x:colorScale>
        <x:cfvo type="min"/>
        <x:cfvo type="percentile" val="50"/>
        <x:cfvo type="max"/>
        <x:color rgb="FFFEE2E2"/>
        <x:color rgb="FFFEF3C7"/>
        <x:color rgb="FFDCFCE7"/>
      </x:colorScale>
    </x:cfRule>
  </x:conditionalFormatting>
  <x:conditionalFormatting sqref="O2:W77">
    <x:cfRule type="colorScale" priority="2">
      <x:colorScale>
        <x:cfvo type="min"/>
        <x:cfvo type="percentile" val="50"/>
        <x:cfvo type="max"/>
        <x:color rgb="FFFEE2E2"/>
        <x:color rgb="FFFEF3C7"/>
        <x:color rgb="FFDCFCE7"/>
      </x:colorScale>
    </x:cfRule>
  </x:conditionalFormatting>
  <x:conditionalFormatting sqref="O2:W94">
    <x:cfRule type="colorScale" priority="3">
      <x:colorScale>
        <x:cfvo type="min"/>
        <x:cfvo type="percentile" val="50"/>
        <x:cfvo type="max"/>
        <x:color rgb="FFFEE2E2"/>
        <x:color rgb="FFFEF3C7"/>
        <x:color rgb="FFDCFCE7"/>
      </x:colorScale>
    </x:cfRule>
  </x:conditionalFormatting>
  <x:conditionalFormatting sqref="AE2:AE94">
    <x:cfRule type="dataBar" priority="4">
      <x:dataBar>
        <x:cfvo type="min"/>
        <x:cfvo type="max"/>
        <x:color rgb="FFA02B93"/>
      </x:dataBar>
      <x:extLst>
        <x:ext xmlns:x14="http://schemas.microsoft.com/office/spreadsheetml/2009/9/main" uri="{B025F937-C7B1-47D3-B67F-A62EFF666E3E}">
          <x14:id>{01661A8A-B62A-2900-8900-55331080D516}</x14:id>
        </x:ext>
      </x:extLst>
    </x:cfRule>
  </x:conditionalFormatting>
  <x:pageMargins left="0.7" right="0.7" top="0.75" bottom="0.75" header="0.3" footer="0.3"/>
  <x:tableParts count="1">
    <x:tablePart xmlns:r="http://schemas.openxmlformats.org/officeDocument/2006/relationships" r:id="Recdb21e852254e72"/>
  </x:tableParts>
  <x:extLst>
    <x:ext xmlns:x14="http://schemas.microsoft.com/office/spreadsheetml/2009/9/main" xmlns:xm="http://schemas.microsoft.com/office/excel/2006/main" uri="{78C0D931-6437-407d-A8EE-F0AAD7539E65}">
      <x14:conditionalFormattings>
        <x14:conditionalFormatting>
          <x14:cfRule type="dataBar" priority="4" id="{01661A8A-B62A-2900-8900-55331080D516}">
            <x14:dataBar gradient="1">
              <x14:cfvo type="min"/>
              <x14:cfvo type="max"/>
              <x14:fillColor rgb="FFA02B93"/>
            </x14:dataBar>
          </x14:cfRule>
          <xm:sqref>AE2:AE94</xm:sqref>
        </x14:conditionalFormatting>
      </x14:conditionalFormattings>
    </x:ext>
  </x:extLst>
</x:worksheet>
</file>

<file path=xl/worksheets/sheet17.xml><?xml version="1.0" encoding="utf-8"?>
<x:worksheet xmlns:x="http://schemas.openxmlformats.org/spreadsheetml/2006/main">
  <x:sheetFormatPr defaultRowHeight="15"/>
  <x:cols>
    <x:col min="1" max="1" width="10" hidden="0" customWidth="1"/>
    <x:col min="2" max="2" width="28" hidden="0" customWidth="1"/>
    <x:col min="3" max="3" width="24" hidden="0" customWidth="1"/>
    <x:col min="4" max="4" width="24" hidden="0" customWidth="1"/>
    <x:col min="5" max="5" width="24" hidden="0" customWidth="1"/>
    <x:col min="6" max="6" width="24" hidden="0" customWidth="1"/>
    <x:col min="7" max="7" width="28" hidden="0" customWidth="1"/>
    <x:col min="8" max="8" width="16" hidden="0" customWidth="1"/>
    <x:col min="9" max="9" width="10" hidden="0" customWidth="1"/>
    <x:col min="10" max="10" width="12" hidden="0" customWidth="1"/>
    <x:col min="11" max="11" width="12"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2" hidden="0" customWidth="1"/>
    <x:col min="19" max="19" width="11" hidden="0" customWidth="1"/>
    <x:col min="20" max="20" width="12" hidden="0" customWidth="1"/>
    <x:col min="21" max="21" width="45" hidden="0" customWidth="1"/>
    <x:col min="22" max="22" width="12" hidden="0" customWidth="1"/>
  </x:cols>
  <x:sheetData>
    <x:row r="1">
      <x:c r="A1" s="406" t="str">
        <x:v>ルートID</x:v>
      </x:c>
      <x:c r="B1" s="406" t="str">
        <x:v>タイトル</x:v>
      </x:c>
      <x:c r="C1" s="406" t="str">
        <x:v>テーマ</x:v>
      </x:c>
      <x:c r="D1" s="406" t="str">
        <x:v>経由地1</x:v>
      </x:c>
      <x:c r="E1" s="406" t="str">
        <x:v>経由地2</x:v>
      </x:c>
      <x:c r="F1" s="406" t="str">
        <x:v>経由地3</x:v>
      </x:c>
      <x:c r="G1" s="406" t="str">
        <x:v>最終目的地</x:v>
      </x:c>
      <x:c r="H1" s="406" t="str">
        <x:v>想定総時間</x:v>
      </x:c>
      <x:c r="I1" s="406" t="str">
        <x:v>夜間適性</x:v>
      </x:c>
      <x:c r="J1" s="406" t="str">
        <x:v>実現確実性</x:v>
      </x:c>
      <x:c r="K1" s="406" t="str">
        <x:v>所要上限分</x:v>
      </x:c>
      <x:c r="L1" s="406" t="str">
        <x:v>平日夜90分</x:v>
      </x:c>
      <x:c r="M1" s="406" t="str">
        <x:v>深夜2時間</x:v>
      </x:c>
      <x:c r="N1" s="406" t="str">
        <x:v>雨天</x:v>
      </x:c>
      <x:c r="O1" s="406" t="str">
        <x:v>飛行機</x:v>
      </x:c>
      <x:c r="P1" s="406" t="str">
        <x:v>海・港</x:v>
      </x:c>
      <x:c r="Q1" s="406" t="str">
        <x:v>工場夜景</x:v>
      </x:c>
      <x:c r="R1" s="406" t="str">
        <x:v>静かな場所</x:v>
      </x:c>
      <x:c r="S1" s="406" t="str">
        <x:v>休日半日</x:v>
      </x:c>
      <x:c r="T1" s="406" t="str">
        <x:v>ルート総合</x:v>
      </x:c>
      <x:c r="U1" s="406" t="str">
        <x:v>注意事項</x:v>
      </x:c>
      <x:c r="V1" s="406" t="str">
        <x:v>Googleマップ</x:v>
      </x:c>
      <x:c r="W1" s="407" t="str">
        <x:v>経由地品質</x:v>
      </x:c>
      <x:c r="X1" s="407" t="str">
        <x:v>経由地多様性</x:v>
      </x:c>
      <x:c r="Y1" s="407" t="str">
        <x:v>使用過多ペナルティ</x:v>
      </x:c>
      <x:c r="Z1" s="407" t="str">
        <x:v>ルート系統</x:v>
      </x:c>
      <x:c r="AA1" s="407" t="str">
        <x:v>ルート区分</x:v>
      </x:c>
      <x:c r="AB1" s="407" t="str">
        <x:v>改善状態</x:v>
      </x:c>
    </x:row>
    <x:row r="2" ht="44" customHeight="1">
      <x:c r="A2" s="22" t="str">
        <x:v>R144</x:v>
      </x:c>
      <x:c r="B2" s="22" t="str">
        <x:v>平日夕方90分・大森から羽田へ</x:v>
      </x:c>
      <x:c r="C2" s="22" t="str">
        <x:v>海苔Story／屋上公園／空港夜景</x:v>
      </x:c>
      <x:c r="D2" s="22" t="str">
        <x:v>大森ふるさとの浜辺公園</x:v>
      </x:c>
      <x:c r="E2" s="22" t="str">
        <x:v>森ケ崎公園</x:v>
      </x:c>
      <x:c r="F2" s="22"/>
      <x:c r="G2" s="22" t="str">
        <x:v>羽田空港 第3ターミナル展望デッキ</x:v>
      </x:c>
      <x:c r="H2" s="22" t="str">
        <x:v>80～120分</x:v>
      </x:c>
      <x:c r="I2" s="22" t="n">
        <x:v>4</x:v>
      </x:c>
      <x:c r="J2" s="22" t="n">
        <x:v>4</x:v>
      </x:c>
      <x:c r="K2" s="22" t="n">
        <x:v>120</x:v>
      </x:c>
      <x:c r="L2" s="22" t="n">
        <x:v>84</x:v>
      </x:c>
      <x:c r="M2" s="22" t="n">
        <x:v>84</x:v>
      </x:c>
      <x:c r="N2" s="22" t="n">
        <x:v>89</x:v>
      </x:c>
      <x:c r="O2" s="22" t="n">
        <x:v>89</x:v>
      </x:c>
      <x:c r="P2" s="22" t="n">
        <x:v>89</x:v>
      </x:c>
      <x:c r="Q2" s="22" t="n">
        <x:v>63</x:v>
      </x:c>
      <x:c r="R2" s="22" t="n">
        <x:v>92</x:v>
      </x:c>
      <x:c r="S2" s="22" t="n">
        <x:v>93</x:v>
      </x:c>
      <x:c r="T2" s="22" t="n">
        <x:v>85</x:v>
      </x:c>
      <x:c r="U2" s="22" t="str">
        <x:v>19時前後の出発を推奨。森ケ崎は季節により20:30または21:30、浜辺は21時閉門。遅れたら大森を省略。</x:v>
      </x:c>
      <x:c r="V2" s="95" t="e">
        <x:f>HYPERLINK("https://www.google.com/maps/dir/?api=1&amp;destination=%E7%BE%BD%E7%94%B0%E7%A9%BA%E6%B8%AF%20%E7%AC%AC3%E3%82%BF%E3%83%BC%E3%83%9F%E3%83%8A%E3%83%AB%E5%B1%95%E6%9C%9B%E3%83%87%E3%83%83%E3%82%AD&amp;travelmode=driving&amp;waypoints=%E5%A4%A7%E6%A3%AE%E3%81%B5%E3%82%8B%E3%81%95%E3%81%A8%E3%81%AE%E6%B5%9C%E8%BE%BA%E5%85%AC%E5%9C%92%7C%E6%A3%AE%E3%82%B1%E5%B4%8E%E5%85%AC%E5%9C%92","ルート開始")</x:f>
      </x:c>
      <x:c r="W2" s="22" t="n">
        <x:v>89</x:v>
      </x:c>
      <x:c r="X2" s="22" t="n">
        <x:v>91</x:v>
      </x:c>
      <x:c r="Y2" s="22" t="n">
        <x:v>6</x:v>
      </x:c>
      <x:c r="Z2" s="22" t="str">
        <x:v>羽田・航空</x:v>
      </x:c>
      <x:c r="AA2" s="22" t="str">
        <x:v>夕方専用</x:v>
      </x:c>
      <x:c r="AB2" s="22" t="str">
        <x:v>差替え済</x:v>
      </x:c>
    </x:row>
    <x:row r="3" ht="44" customHeight="1">
      <x:c r="A3" s="22" t="str">
        <x:v>R142</x:v>
      </x:c>
      <x:c r="B3" s="22" t="str">
        <x:v>深夜2時間・空港から港の端へ</x:v>
      </x:c>
      <x:c r="C3" s="22" t="str">
        <x:v>24時間空港／工業島／海の行き止まり</x:v>
      </x:c>
      <x:c r="D3" s="22" t="str">
        <x:v>羽田空港 第3ターミナル展望デッキ</x:v>
      </x:c>
      <x:c r="E3" s="22"/>
      <x:c r="F3" s="22"/>
      <x:c r="G3" s="22" t="str">
        <x:v>東扇島西公園</x:v>
      </x:c>
      <x:c r="H3" s="22" t="str">
        <x:v>90～135分</x:v>
      </x:c>
      <x:c r="I3" s="22" t="n">
        <x:v>5</x:v>
      </x:c>
      <x:c r="J3" s="22" t="n">
        <x:v>4</x:v>
      </x:c>
      <x:c r="K3" s="22" t="n">
        <x:v>135</x:v>
      </x:c>
      <x:c r="L3" s="22" t="n">
        <x:v>88</x:v>
      </x:c>
      <x:c r="M3" s="22" t="n">
        <x:v>90</x:v>
      </x:c>
      <x:c r="N3" s="22" t="n">
        <x:v>91</x:v>
      </x:c>
      <x:c r="O3" s="22" t="n">
        <x:v>92</x:v>
      </x:c>
      <x:c r="P3" s="22" t="n">
        <x:v>92</x:v>
      </x:c>
      <x:c r="Q3" s="22" t="n">
        <x:v>94</x:v>
      </x:c>
      <x:c r="R3" s="22" t="n">
        <x:v>59</x:v>
      </x:c>
      <x:c r="S3" s="22" t="n">
        <x:v>66</x:v>
      </x:c>
      <x:c r="T3" s="22" t="n">
        <x:v>84</x:v>
      </x:c>
      <x:c r="U3" s="22" t="str">
        <x:v>T3展望デッキと東扇島西公園は24時間利用可能。東扇島西公園は釣り利用で混雑するため、満車時は川崎マリエン外周へ変更。</x:v>
      </x:c>
      <x:c r="V3" s="95" t="e">
        <x:f>HYPERLINK("https://www.google.com/maps/dir/?api=1&amp;destination=%E6%9D%B1%E6%89%87%E5%B3%B6%E8%A5%BF%E5%85%AC%E5%9C%92&amp;travelmode=driving&amp;waypoints=%E7%BE%BD%E7%94%B0%E7%A9%BA%E6%B8%AF%20%E7%AC%AC3%E3%82%BF%E3%83%BC%E3%83%9F%E3%83%8A%E3%83%AB%E5%B1%95%E6%9C%9B%E3%83%87%E3%83%83%E3%82%AD","ルート開始")</x:f>
      </x:c>
      <x:c r="W3" s="22" t="n">
        <x:v>92</x:v>
      </x:c>
      <x:c r="X3" s="22" t="n">
        <x:v>88</x:v>
      </x:c>
      <x:c r="Y3" s="22" t="n">
        <x:v>3</x:v>
      </x:c>
      <x:c r="Z3" s="22" t="str">
        <x:v>川崎・工場夜景</x:v>
      </x:c>
      <x:c r="AA3" s="22" t="str">
        <x:v>深夜専用</x:v>
      </x:c>
      <x:c r="AB3" s="22" t="str">
        <x:v>差替え済</x:v>
      </x:c>
    </x:row>
    <x:row r="4" ht="44" customHeight="1">
      <x:c r="A4" s="22" t="str">
        <x:v>R150</x:v>
      </x:c>
      <x:c r="B4" s="22" t="str">
        <x:v>六本木・庭園から空中都市へ</x:v>
      </x:c>
      <x:c r="C4" s="22" t="str">
        <x:v>庭園／現代建築／高層展望</x:v>
      </x:c>
      <x:c r="D4" s="22" t="str">
        <x:v>東京ミッドタウン／ミッドタウン・ガーデン</x:v>
      </x:c>
      <x:c r="E4" s="22"/>
      <x:c r="F4" s="22"/>
      <x:c r="G4" s="22" t="str">
        <x:v>六本木ヒルズ 東京シティビュー</x:v>
      </x:c>
      <x:c r="H4" s="22" t="str">
        <x:v>100～160分</x:v>
      </x:c>
      <x:c r="I4" s="22" t="n">
        <x:v>5</x:v>
      </x:c>
      <x:c r="J4" s="22" t="n">
        <x:v>4</x:v>
      </x:c>
      <x:c r="K4" s="22" t="n">
        <x:v>160</x:v>
      </x:c>
      <x:c r="L4" s="22" t="n">
        <x:v>84</x:v>
      </x:c>
      <x:c r="M4" s="22" t="n">
        <x:v>88</x:v>
      </x:c>
      <x:c r="N4" s="22" t="n">
        <x:v>67</x:v>
      </x:c>
      <x:c r="O4" s="22" t="n">
        <x:v>65</x:v>
      </x:c>
      <x:c r="P4" s="22" t="n">
        <x:v>66</x:v>
      </x:c>
      <x:c r="Q4" s="22" t="n">
        <x:v>67</x:v>
      </x:c>
      <x:c r="R4" s="22" t="n">
        <x:v>90</x:v>
      </x:c>
      <x:c r="S4" s="22" t="n">
        <x:v>77</x:v>
      </x:c>
      <x:c r="T4" s="22" t="n">
        <x:v>76</x:v>
      </x:c>
      <x:c r="U4" s="22" t="str">
        <x:v>東京シティビューは2026年7月31日まで休館。8月1日以降に使用。企画展・貸切を確認。</x:v>
      </x:c>
      <x:c r="V4" s="95" t="e">
        <x:f>HYPERLINK("https://www.google.com/maps/dir/?api=1&amp;destination=%E5%85%AD%E6%9C%AC%E6%9C%A8%E3%83%92%E3%83%AB%E3%82%BA%20%E6%9D%B1%E4%BA%AC%E3%82%B7%E3%83%86%E3%82%A3%E3%83%93%E3%83%A5%E3%83%BC&amp;travelmode=driving&amp;waypoints=%E6%9D%B1%E4%BA%AC%E3%83%9F%E3%83%83%E3%83%89%E3%82%BF%E3%82%A6%E3%83%B3%EF%BC%8F%E3%83%9F%E3%83%83%E3%83%89%E3%82%BF%E3%82%A6%E3%83%B3%E3%83%BB%E3%82%AC%E3%83%BC%E3%83%87%E3%83%B3","ルート開始")</x:f>
      </x:c>
      <x:c r="W4" s="22" t="n">
        <x:v>92</x:v>
      </x:c>
      <x:c r="X4" s="22" t="n">
        <x:v>90</x:v>
      </x:c>
      <x:c r="Y4" s="22" t="n">
        <x:v>0</x:v>
      </x:c>
      <x:c r="Z4" s="22" t="str">
        <x:v>都市夜景・建築</x:v>
      </x:c>
      <x:c r="AA4" s="22" t="str">
        <x:v>8月1日以降・夜</x:v>
      </x:c>
      <x:c r="AB4" s="22" t="str">
        <x:v>新規</x:v>
      </x:c>
    </x:row>
    <x:row r="5" ht="44" customHeight="1">
      <x:c r="A5" s="22" t="str">
        <x:v>R134</x:v>
      </x:c>
      <x:c r="B5" s="22" t="str">
        <x:v>羽田3ターミナル比較</x:v>
      </x:c>
      <x:c r="C5" s="22" t="str">
        <x:v>飛行機／空港建築／雨天</x:v>
      </x:c>
      <x:c r="D5" s="22" t="str">
        <x:v>羽田空港 第1ターミナル展望デッキ</x:v>
      </x:c>
      <x:c r="E5" s="22" t="str">
        <x:v>羽田空港 第2ターミナル展望デッキ／FLIGHT DECK TOKYO</x:v>
      </x:c>
      <x:c r="F5" s="22"/>
      <x:c r="G5" s="22" t="str">
        <x:v>羽田空港 第3ターミナル展望デッキ</x:v>
      </x:c>
      <x:c r="H5" s="22" t="str">
        <x:v>100～150分</x:v>
      </x:c>
      <x:c r="I5" s="22" t="n">
        <x:v>5</x:v>
      </x:c>
      <x:c r="J5" s="22" t="n">
        <x:v>4</x:v>
      </x:c>
      <x:c r="K5" s="22" t="n">
        <x:v>150</x:v>
      </x:c>
      <x:c r="L5" s="22" t="n">
        <x:v>76</x:v>
      </x:c>
      <x:c r="M5" s="22" t="n">
        <x:v>80</x:v>
      </x:c>
      <x:c r="N5" s="22" t="n">
        <x:v>83</x:v>
      </x:c>
      <x:c r="O5" s="22" t="n">
        <x:v>84</x:v>
      </x:c>
      <x:c r="P5" s="22" t="n">
        <x:v>84</x:v>
      </x:c>
      <x:c r="Q5" s="22" t="n">
        <x:v>59</x:v>
      </x:c>
      <x:c r="R5" s="22" t="n">
        <x:v>58</x:v>
      </x:c>
      <x:c r="S5" s="22" t="n">
        <x:v>77</x:v>
      </x:c>
      <x:c r="T5" s="22" t="n">
        <x:v>75</x:v>
      </x:c>
      <x:c r="U5" s="22" t="str">
        <x:v>P3/P4等に1回駐車し、ターミナル間は無料連絡バスを基本とする。駐車場を3回入り直さない。</x:v>
      </x:c>
      <x:c r="V5" s="95" t="e">
        <x:f>HYPERLINK("https://www.google.com/maps/dir/?api=1&amp;destination=%E7%BE%BD%E7%94%B0%E7%A9%BA%E6%B8%AF%20%E7%AC%AC3%E3%82%BF%E3%83%BC%E3%83%9F%E3%83%8A%E3%83%AB%E5%B1%95%E6%9C%9B%E3%83%87%E3%83%83%E3%82%AD&amp;travelmode=driving&amp;waypoints=%E7%BE%BD%E7%94%B0%E7%A9%BA%E6%B8%AF%20%E7%AC%AC1%E3%82%BF%E3%83%BC%E3%83%9F%E3%83%8A%E3%83%AB%E5%B1%95%E6%9C%9B%E3%83%87%E3%83%83%E3%82%AD%7C%E7%BE%BD%E7%94%B0%E7%A9%BA%E6%B8%AF%20%E7%AC%AC2%E3%82%BF%E3%83%BC%E3%83%9F%E3%83%8A%E3%83%AB%E5%B1%95%E6%9C%9B%E3%83%87%E3%83%83%E3%82%AD%EF%BC%8FFLIGHT%20DECK%20TOKYO","ルート開始")</x:f>
      </x:c>
      <x:c r="W5" s="22" t="n">
        <x:v>80</x:v>
      </x:c>
      <x:c r="X5" s="22" t="n">
        <x:v>59</x:v>
      </x:c>
      <x:c r="Y5" s="22" t="n">
        <x:v>12</x:v>
      </x:c>
      <x:c r="Z5" s="22" t="str">
        <x:v>羽田・航空</x:v>
      </x:c>
      <x:c r="AA5" s="22" t="str">
        <x:v>空港内移動</x:v>
      </x:c>
      <x:c r="AB5" s="22" t="str">
        <x:v>役割明記</x:v>
      </x:c>
    </x:row>
    <x:row r="6" ht="44" customHeight="1">
      <x:c r="A6" s="22" t="str">
        <x:v>R139</x:v>
      </x:c>
      <x:c r="B6" s="22" t="str">
        <x:v>勝島・大井ふ頭ウォーターフロント</x:v>
      </x:c>
      <x:c r="C6" s="22" t="str">
        <x:v>人工湖／京浜運河／24時間公園</x:v>
      </x:c>
      <x:c r="D6" s="22" t="str">
        <x:v>しながわ区民公園</x:v>
      </x:c>
      <x:c r="E6" s="22" t="str">
        <x:v>大井ふ頭中央海浜公園</x:v>
      </x:c>
      <x:c r="F6" s="22"/>
      <x:c r="G6" s="22" t="str">
        <x:v>平和島公園</x:v>
      </x:c>
      <x:c r="H6" s="22" t="str">
        <x:v>85～135分</x:v>
      </x:c>
      <x:c r="I6" s="22" t="n">
        <x:v>3</x:v>
      </x:c>
      <x:c r="J6" s="22" t="n">
        <x:v>4</x:v>
      </x:c>
      <x:c r="K6" s="22" t="n">
        <x:v>135</x:v>
      </x:c>
      <x:c r="L6" s="22" t="n">
        <x:v>81</x:v>
      </x:c>
      <x:c r="M6" s="22" t="n">
        <x:v>79</x:v>
      </x:c>
      <x:c r="N6" s="22" t="n">
        <x:v>66</x:v>
      </x:c>
      <x:c r="O6" s="22" t="n">
        <x:v>62</x:v>
      </x:c>
      <x:c r="P6" s="22" t="n">
        <x:v>88</x:v>
      </x:c>
      <x:c r="Q6" s="22" t="n">
        <x:v>60</x:v>
      </x:c>
      <x:c r="R6" s="22" t="n">
        <x:v>86</x:v>
      </x:c>
      <x:c r="S6" s="22" t="n">
        <x:v>69</x:v>
      </x:c>
      <x:c r="T6" s="22" t="n">
        <x:v>74</x:v>
      </x:c>
      <x:c r="U6" s="22" t="str">
        <x:v>しながわ区民公園20:30閉園。大井ふ頭第1駐車場は工事閉鎖中で、第2駐車場を利用。遅い時間は大井ふ頭→平和島へ短縮。</x:v>
      </x:c>
      <x:c r="V6" s="95" t="e">
        <x:f>HYPERLINK("https://www.google.com/maps/dir/?api=1&amp;destination=%E5%B9%B3%E5%92%8C%E5%B3%B6%E5%85%AC%E5%9C%92&amp;travelmode=driving&amp;waypoints=%E3%81%97%E3%81%AA%E3%81%8C%E3%82%8F%E5%8C%BA%E6%B0%91%E5%85%AC%E5%9C%92%7C%E5%A4%A7%E4%BA%95%E3%81%B5%E9%A0%AD%E4%B8%AD%E5%A4%AE%E6%B5%B7%E6%B5%9C%E5%85%AC%E5%9C%92","ルート開始")</x:f>
      </x:c>
      <x:c r="W6" s="22" t="n">
        <x:v>95</x:v>
      </x:c>
      <x:c r="X6" s="22" t="n">
        <x:v>96</x:v>
      </x:c>
      <x:c r="Y6" s="22" t="n">
        <x:v>3</x:v>
      </x:c>
      <x:c r="Z6" s="22" t="str">
        <x:v>東京港・水辺</x:v>
      </x:c>
      <x:c r="AA6" s="22" t="str">
        <x:v>夕方専用</x:v>
      </x:c>
      <x:c r="AB6" s="22" t="str">
        <x:v>差替え済</x:v>
      </x:c>
    </x:row>
    <x:row r="7" ht="44" customHeight="1">
      <x:c r="A7" s="22" t="str">
        <x:v>R138</x:v>
      </x:c>
      <x:c r="B7" s="22" t="str">
        <x:v>池上から大森・海の記憶へ</x:v>
      </x:c>
      <x:c r="C7" s="22" t="str">
        <x:v>庭園Story／24時間公園／人工海浜</x:v>
      </x:c>
      <x:c r="D7" s="22" t="str">
        <x:v>池上梅園</x:v>
      </x:c>
      <x:c r="E7" s="22" t="str">
        <x:v>平和島公園</x:v>
      </x:c>
      <x:c r="F7" s="22"/>
      <x:c r="G7" s="22" t="str">
        <x:v>大森ふるさとの浜辺公園</x:v>
      </x:c>
      <x:c r="H7" s="22" t="str">
        <x:v>80～130分</x:v>
      </x:c>
      <x:c r="I7" s="22" t="n">
        <x:v>2</x:v>
      </x:c>
      <x:c r="J7" s="22" t="n">
        <x:v>4</x:v>
      </x:c>
      <x:c r="K7" s="22" t="n">
        <x:v>130</x:v>
      </x:c>
      <x:c r="L7" s="22" t="n">
        <x:v>75</x:v>
      </x:c>
      <x:c r="M7" s="22" t="n">
        <x:v>71</x:v>
      </x:c>
      <x:c r="N7" s="22" t="n">
        <x:v>62</x:v>
      </x:c>
      <x:c r="O7" s="22" t="n">
        <x:v>58</x:v>
      </x:c>
      <x:c r="P7" s="22" t="n">
        <x:v>83</x:v>
      </x:c>
      <x:c r="Q7" s="22" t="n">
        <x:v>55</x:v>
      </x:c>
      <x:c r="R7" s="22" t="n">
        <x:v>92</x:v>
      </x:c>
      <x:c r="S7" s="22" t="n">
        <x:v>87</x:v>
      </x:c>
      <x:c r="T7" s="22" t="n">
        <x:v>73</x:v>
      </x:c>
      <x:c r="U7" s="22" t="str">
        <x:v>池上梅園16:30閉園の昼専用。池上終了後は24時間駐車の平和島公園を挟み、浜辺21時まで。</x:v>
      </x:c>
      <x:c r="V7" s="95" t="e">
        <x:f>HYPERLINK("https://www.google.com/maps/dir/?api=1&amp;destination=%E5%A4%A7%E6%A3%AE%E3%81%B5%E3%82%8B%E3%81%95%E3%81%A8%E3%81%AE%E6%B5%9C%E8%BE%BA%E5%85%AC%E5%9C%92&amp;travelmode=driving&amp;waypoints=%E6%B1%A0%E4%B8%8A%E6%A2%85%E5%9C%92%7C%E5%B9%B3%E5%92%8C%E5%B3%B6%E5%85%AC%E5%9C%92","ルート開始")</x:f>
      </x:c>
      <x:c r="W7" s="22" t="n">
        <x:v>91</x:v>
      </x:c>
      <x:c r="X7" s="22" t="n">
        <x:v>91</x:v>
      </x:c>
      <x:c r="Y7" s="22" t="n">
        <x:v>3</x:v>
      </x:c>
      <x:c r="Z7" s="22" t="str">
        <x:v>Story・文化</x:v>
      </x:c>
      <x:c r="AA7" s="22" t="str">
        <x:v>昼～夕方専用</x:v>
      </x:c>
      <x:c r="AB7" s="22" t="str">
        <x:v>差替え済</x:v>
      </x:c>
    </x:row>
    <x:row r="8" ht="44" customHeight="1">
      <x:c r="A8" s="22" t="str">
        <x:v>R001</x:v>
      </x:c>
      <x:c r="B8" s="22" t="str">
        <x:v>羽田・航空機ショート</x:v>
      </x:c>
      <x:c r="C8" s="22" t="str">
        <x:v>足湯／空港展望／飛行機</x:v>
      </x:c>
      <x:c r="D8" s="22" t="str">
        <x:v>HANEDA INNOVATION CITY 足湯スカイデッキ</x:v>
      </x:c>
      <x:c r="E8" s="22" t="str">
        <x:v>羽田空港 第3ターミナル展望デッキ</x:v>
      </x:c>
      <x:c r="F8" s="22"/>
      <x:c r="G8" s="22" t="str">
        <x:v>京浜島つばさ公園</x:v>
      </x:c>
      <x:c r="H8" s="22" t="str">
        <x:v>85～120分</x:v>
      </x:c>
      <x:c r="I8" s="22" t="n">
        <x:v>5</x:v>
      </x:c>
      <x:c r="J8" s="22" t="n">
        <x:v>4</x:v>
      </x:c>
      <x:c r="K8" s="22" t="n">
        <x:v>120</x:v>
      </x:c>
      <x:c r="L8" s="22" t="n">
        <x:v>79</x:v>
      </x:c>
      <x:c r="M8" s="22" t="n">
        <x:v>81</x:v>
      </x:c>
      <x:c r="N8" s="22" t="n">
        <x:v>83</x:v>
      </x:c>
      <x:c r="O8" s="22" t="n">
        <x:v>85</x:v>
      </x:c>
      <x:c r="P8" s="22" t="n">
        <x:v>85</x:v>
      </x:c>
      <x:c r="Q8" s="22" t="n">
        <x:v>57</x:v>
      </x:c>
      <x:c r="R8" s="22" t="n">
        <x:v>50</x:v>
      </x:c>
      <x:c r="S8" s="22" t="n">
        <x:v>60</x:v>
      </x:c>
      <x:c r="T8" s="22" t="n">
        <x:v>72</x:v>
      </x:c>
      <x:c r="U8" s="22" t="str">
        <x:v>HIC P1で足湯を短時間利用し、T3を経て京浜島へ。京浜島満車時はT3で終了。</x:v>
      </x:c>
      <x:c r="V8" s="95" t="e">
        <x:f>HYPERLINK("https://www.google.com/maps/dir/?api=1&amp;destination=%E4%BA%AC%E6%B5%9C%E5%B3%B6%E3%81%A4%E3%81%B0%E3%81%95%E5%85%AC%E5%9C%92&amp;travelmode=driving&amp;waypoints=HANEDA%20INNOVATION%20CITY%20%E8%B6%B3%E6%B9%AF%E3%82%B9%E3%82%AB%E3%82%A4%E3%83%87%E3%83%83%E3%82%AD%7C%E7%BE%BD%E7%94%B0%E7%A9%BA%E6%B8%AF%20%E7%AC%AC3%E3%82%BF%E3%83%BC%E3%83%9F%E3%83%8A%E3%83%AB%E5%B1%95%E6%9C%9B%E3%83%87%E3%83%83%E3%82%AD","ルート開始")</x:f>
      </x:c>
      <x:c r="W8" s="22" t="n">
        <x:v>80</x:v>
      </x:c>
      <x:c r="X8" s="22" t="n">
        <x:v>49</x:v>
      </x:c>
      <x:c r="Y8" s="22" t="n">
        <x:v>30</x:v>
      </x:c>
      <x:c r="Z8" s="22" t="str">
        <x:v>羽田・航空</x:v>
      </x:c>
      <x:c r="AA8" s="22" t="str">
        <x:v>通常</x:v>
      </x:c>
      <x:c r="AB8" s="22" t="str">
        <x:v>差替え済</x:v>
      </x:c>
    </x:row>
    <x:row r="9" ht="44" customHeight="1">
      <x:c r="A9" s="22" t="str">
        <x:v>R002</x:v>
      </x:c>
      <x:c r="B9" s="22" t="str">
        <x:v>大森海岸から飛行機へ</x:v>
      </x:c>
      <x:c r="C9" s="22" t="str">
        <x:v>海苔Story／飛行機／海</x:v>
      </x:c>
      <x:c r="D9" s="22" t="str">
        <x:v>大森ふるさとの浜辺公園</x:v>
      </x:c>
      <x:c r="E9" s="22" t="str">
        <x:v>京浜島つばさ公園</x:v>
      </x:c>
      <x:c r="F9" s="22"/>
      <x:c r="G9" s="22" t="str">
        <x:v>城南島海浜公園</x:v>
      </x:c>
      <x:c r="H9" s="22" t="str">
        <x:v>90～130分</x:v>
      </x:c>
      <x:c r="I9" s="22" t="n">
        <x:v>4</x:v>
      </x:c>
      <x:c r="J9" s="22" t="n">
        <x:v>4</x:v>
      </x:c>
      <x:c r="K9" s="22" t="n">
        <x:v>130</x:v>
      </x:c>
      <x:c r="L9" s="22" t="n">
        <x:v>77</x:v>
      </x:c>
      <x:c r="M9" s="22" t="n">
        <x:v>77</x:v>
      </x:c>
      <x:c r="N9" s="22" t="n">
        <x:v>61</x:v>
      </x:c>
      <x:c r="O9" s="22" t="n">
        <x:v>84</x:v>
      </x:c>
      <x:c r="P9" s="22" t="n">
        <x:v>84</x:v>
      </x:c>
      <x:c r="Q9" s="22" t="n">
        <x:v>56</x:v>
      </x:c>
      <x:c r="R9" s="22" t="n">
        <x:v>61</x:v>
      </x:c>
      <x:c r="S9" s="22" t="n">
        <x:v>80</x:v>
      </x:c>
      <x:c r="T9" s="22" t="n">
        <x:v>72</x:v>
      </x:c>
      <x:c r="U9" s="22" t="str">
        <x:v>浜辺エリアと城南島駐車場は21時まで。20時以降は大森を省略し、京浜島→城南島へ短縮。</x:v>
      </x:c>
      <x:c r="V9" s="95" t="e">
        <x:f>HYPERLINK("https://www.google.com/maps/dir/?api=1&amp;destination=%E5%9F%8E%E5%8D%97%E5%B3%B6%E6%B5%B7%E6%B5%9C%E5%85%AC%E5%9C%92&amp;travelmode=driving&amp;waypoints=%E5%A4%A7%E6%A3%AE%E3%81%B5%E3%82%8B%E3%81%95%E3%81%A8%E3%81%AE%E6%B5%9C%E8%BE%BA%E5%85%AC%E5%9C%92%7C%E4%BA%AC%E6%B5%9C%E5%B3%B6%E3%81%A4%E3%81%B0%E3%81%95%E5%85%AC%E5%9C%92","ルート開始")</x:f>
      </x:c>
      <x:c r="W9" s="22" t="n">
        <x:v>79</x:v>
      </x:c>
      <x:c r="X9" s="22" t="n">
        <x:v>67</x:v>
      </x:c>
      <x:c r="Y9" s="22" t="n">
        <x:v>18</x:v>
      </x:c>
      <x:c r="Z9" s="22" t="str">
        <x:v>羽田・航空</x:v>
      </x:c>
      <x:c r="AA9" s="22" t="str">
        <x:v>通常</x:v>
      </x:c>
      <x:c r="AB9" s="22" t="str">
        <x:v>差替え済</x:v>
      </x:c>
    </x:row>
    <x:row r="10" ht="44" customHeight="1">
      <x:c r="A10" s="22" t="str">
        <x:v>R135</x:v>
      </x:c>
      <x:c r="B10" s="22" t="str">
        <x:v>大森・海苔の海辺線</x:v>
      </x:c>
      <x:c r="C10" s="22" t="str">
        <x:v>平和Story／人工海浜／飛行機</x:v>
      </x:c>
      <x:c r="D10" s="22" t="str">
        <x:v>平和の森公園</x:v>
      </x:c>
      <x:c r="E10" s="22" t="str">
        <x:v>大森ふるさとの浜辺公園</x:v>
      </x:c>
      <x:c r="F10" s="22"/>
      <x:c r="G10" s="22" t="str">
        <x:v>城南島海浜公園</x:v>
      </x:c>
      <x:c r="H10" s="22" t="str">
        <x:v>80～130分</x:v>
      </x:c>
      <x:c r="I10" s="22" t="n">
        <x:v>4</x:v>
      </x:c>
      <x:c r="J10" s="22" t="n">
        <x:v>4</x:v>
      </x:c>
      <x:c r="K10" s="22" t="n">
        <x:v>130</x:v>
      </x:c>
      <x:c r="L10" s="22" t="n">
        <x:v>77</x:v>
      </x:c>
      <x:c r="M10" s="22" t="n">
        <x:v>77</x:v>
      </x:c>
      <x:c r="N10" s="22" t="n">
        <x:v>61</x:v>
      </x:c>
      <x:c r="O10" s="22" t="n">
        <x:v>84</x:v>
      </x:c>
      <x:c r="P10" s="22" t="n">
        <x:v>84</x:v>
      </x:c>
      <x:c r="Q10" s="22" t="n">
        <x:v>56</x:v>
      </x:c>
      <x:c r="R10" s="22" t="n">
        <x:v>61</x:v>
      </x:c>
      <x:c r="S10" s="22" t="n">
        <x:v>80</x:v>
      </x:c>
      <x:c r="T10" s="22" t="n">
        <x:v>72</x:v>
      </x:c>
      <x:c r="U10" s="22" t="str">
        <x:v>浜辺21時閉門。公園共用駐車場の混雑時は城南島へ直行。</x:v>
      </x:c>
      <x:c r="V10" s="95" t="e">
        <x:f>HYPERLINK("https://www.google.com/maps/dir/?api=1&amp;destination=%E5%9F%8E%E5%8D%97%E5%B3%B6%E6%B5%B7%E6%B5%9C%E5%85%AC%E5%9C%92&amp;travelmode=driving&amp;waypoints=%E5%B9%B3%E5%92%8C%E3%81%AE%E6%A3%AE%E5%85%AC%E5%9C%92%7C%E5%A4%A7%E6%A3%AE%E3%81%B5%E3%82%8B%E3%81%95%E3%81%A8%E3%81%AE%E6%B5%9C%E8%BE%BA%E5%85%AC%E5%9C%92","ルート開始")</x:f>
      </x:c>
      <x:c r="W10" s="22" t="n">
        <x:v>79</x:v>
      </x:c>
      <x:c r="X10" s="22" t="n">
        <x:v>67</x:v>
      </x:c>
      <x:c r="Y10" s="22" t="n">
        <x:v>12</x:v>
      </x:c>
      <x:c r="Z10" s="22" t="str">
        <x:v>羽田・航空</x:v>
      </x:c>
      <x:c r="AA10" s="22" t="str">
        <x:v>通常</x:v>
      </x:c>
      <x:c r="AB10" s="22" t="str">
        <x:v>維持</x:v>
      </x:c>
    </x:row>
    <x:row r="11" ht="44" customHeight="1">
      <x:c r="A11" s="22" t="str">
        <x:v>R136</x:v>
      </x:c>
      <x:c r="B11" s="22" t="str">
        <x:v>森ケ崎・屋上から足湯へ</x:v>
      </x:c>
      <x:c r="C11" s="22" t="str">
        <x:v>屋上公園／飛行機／足湯</x:v>
      </x:c>
      <x:c r="D11" s="22" t="str">
        <x:v>森ケ崎公園</x:v>
      </x:c>
      <x:c r="E11" s="22" t="str">
        <x:v>ソラムナード羽田緑地</x:v>
      </x:c>
      <x:c r="F11" s="22"/>
      <x:c r="G11" s="22" t="str">
        <x:v>HANEDA INNOVATION CITY 足湯スカイデッキ</x:v>
      </x:c>
      <x:c r="H11" s="22" t="str">
        <x:v>70～120分</x:v>
      </x:c>
      <x:c r="I11" s="22" t="n">
        <x:v>5</x:v>
      </x:c>
      <x:c r="J11" s="22" t="n">
        <x:v>4</x:v>
      </x:c>
      <x:c r="K11" s="22" t="n">
        <x:v>120</x:v>
      </x:c>
      <x:c r="L11" s="22" t="n">
        <x:v>82</x:v>
      </x:c>
      <x:c r="M11" s="22" t="n">
        <x:v>83</x:v>
      </x:c>
      <x:c r="N11" s="22" t="n">
        <x:v>63</x:v>
      </x:c>
      <x:c r="O11" s="22" t="n">
        <x:v>87</x:v>
      </x:c>
      <x:c r="P11" s="22" t="n">
        <x:v>62</x:v>
      </x:c>
      <x:c r="Q11" s="22" t="n">
        <x:v>60</x:v>
      </x:c>
      <x:c r="R11" s="22" t="n">
        <x:v>77</x:v>
      </x:c>
      <x:c r="S11" s="22" t="n">
        <x:v>62</x:v>
      </x:c>
      <x:c r="T11" s="22" t="n">
        <x:v>72</x:v>
      </x:c>
      <x:c r="U11" s="22" t="str">
        <x:v>森ケ崎の閉園時刻がHard Gate。最後は23:30まで。</x:v>
      </x:c>
      <x:c r="V11" s="95" t="e">
        <x:f>HYPERLINK("https://www.google.com/maps/dir/?api=1&amp;destination=HANEDA%20INNOVATION%20CITY%20%E8%B6%B3%E6%B9%AF%E3%82%B9%E3%82%AB%E3%82%A4%E3%83%87%E3%83%83%E3%82%AD&amp;travelmode=driving&amp;waypoints=%E6%A3%AE%E3%82%B1%E5%B4%8E%E5%85%AC%E5%9C%92%7C%E3%82%BD%E3%83%A9%E3%83%A0%E3%83%8A%E3%83%BC%E3%83%89%E7%BE%BD%E7%94%B0%E7%B7%91%E5%9C%B0","ルート開始")</x:f>
      </x:c>
      <x:c r="W11" s="22" t="n">
        <x:v>84</x:v>
      </x:c>
      <x:c r="X11" s="22" t="n">
        <x:v>61</x:v>
      </x:c>
      <x:c r="Y11" s="22" t="n">
        <x:v>21</x:v>
      </x:c>
      <x:c r="Z11" s="22" t="str">
        <x:v>羽田・航空</x:v>
      </x:c>
      <x:c r="AA11" s="22" t="str">
        <x:v>共有駐車・徒歩連結</x:v>
      </x:c>
      <x:c r="AB11" s="22" t="str">
        <x:v>役割明記</x:v>
      </x:c>
    </x:row>
    <x:row r="12" ht="44" customHeight="1">
      <x:c r="A12" s="22" t="str">
        <x:v>R141</x:v>
      </x:c>
      <x:c r="B12" s="22" t="str">
        <x:v>雨天・羽田インドア線</x:v>
      </x:c>
      <x:c r="C12" s="22" t="str">
        <x:v>足湯／屋内展望／空港</x:v>
      </x:c>
      <x:c r="D12" s="22" t="str">
        <x:v>HANEDA INNOVATION CITY 足湯スカイデッキ</x:v>
      </x:c>
      <x:c r="E12" s="22" t="str">
        <x:v>羽田空港 第2ターミナル展望デッキ／FLIGHT DECK TOKYO</x:v>
      </x:c>
      <x:c r="F12" s="22"/>
      <x:c r="G12" s="22" t="str">
        <x:v>羽田空港 第3ターミナル展望デッキ</x:v>
      </x:c>
      <x:c r="H12" s="22" t="str">
        <x:v>80～130分</x:v>
      </x:c>
      <x:c r="I12" s="22" t="n">
        <x:v>5</x:v>
      </x:c>
      <x:c r="J12" s="22" t="n">
        <x:v>4</x:v>
      </x:c>
      <x:c r="K12" s="22" t="n">
        <x:v>130</x:v>
      </x:c>
      <x:c r="L12" s="22" t="n">
        <x:v>78</x:v>
      </x:c>
      <x:c r="M12" s="22" t="n">
        <x:v>80</x:v>
      </x:c>
      <x:c r="N12" s="22" t="n">
        <x:v>83</x:v>
      </x:c>
      <x:c r="O12" s="22" t="n">
        <x:v>84</x:v>
      </x:c>
      <x:c r="P12" s="22" t="n">
        <x:v>84</x:v>
      </x:c>
      <x:c r="Q12" s="22" t="n">
        <x:v>56</x:v>
      </x:c>
      <x:c r="R12" s="22" t="n">
        <x:v>49</x:v>
      </x:c>
      <x:c r="S12" s="22" t="n">
        <x:v>59</x:v>
      </x:c>
      <x:c r="T12" s="22" t="n">
        <x:v>72</x:v>
      </x:c>
      <x:c r="U12" s="22" t="str">
        <x:v>雨天はT2屋内FLIGHT DECKを主役にする。HIC足湯は強雨時に省略し、空港内移動を優先。</x:v>
      </x:c>
      <x:c r="V12" s="95" t="e">
        <x:f>HYPERLINK("https://www.google.com/maps/dir/?api=1&amp;destination=%E7%BE%BD%E7%94%B0%E7%A9%BA%E6%B8%AF%20%E7%AC%AC3%E3%82%BF%E3%83%BC%E3%83%9F%E3%83%8A%E3%83%AB%E5%B1%95%E6%9C%9B%E3%83%87%E3%83%83%E3%82%AD&amp;travelmode=driving&amp;waypoints=HANEDA%20INNOVATION%20CITY%20%E8%B6%B3%E6%B9%AF%E3%82%B9%E3%82%AB%E3%82%A4%E3%83%87%E3%83%83%E3%82%AD%7C%E7%BE%BD%E7%94%B0%E7%A9%BA%E6%B8%AF%20%E7%AC%AC2%E3%82%BF%E3%83%BC%E3%83%9F%E3%83%8A%E3%83%AB%E5%B1%95%E6%9C%9B%E3%83%87%E3%83%83%E3%82%AD%EF%BC%8FFLIGHT%20DECK%20TOKYO","ルート開始")</x:f>
      </x:c>
      <x:c r="W12" s="22" t="n">
        <x:v>83</x:v>
      </x:c>
      <x:c r="X12" s="22" t="n">
        <x:v>41</x:v>
      </x:c>
      <x:c r="Y12" s="22" t="n">
        <x:v>30</x:v>
      </x:c>
      <x:c r="Z12" s="22" t="str">
        <x:v>羽田・航空</x:v>
      </x:c>
      <x:c r="AA12" s="22" t="str">
        <x:v>雨天・空港内移動</x:v>
      </x:c>
      <x:c r="AB12" s="22" t="str">
        <x:v>役割明記</x:v>
      </x:c>
    </x:row>
    <x:row r="13" ht="44" customHeight="1">
      <x:c r="A13" s="22" t="str">
        <x:v>R152</x:v>
      </x:c>
      <x:c r="B13" s="22" t="str">
        <x:v>西新宿・巨大空間から都庁夜景へ</x:v>
      </x:c>
      <x:c r="C13" s="22" t="str">
        <x:v>巨大アトリウム／超高層街／無料展望</x:v>
      </x:c>
      <x:c r="D13" s="22" t="str">
        <x:v>新宿NSビル アトリウム・大時計</x:v>
      </x:c>
      <x:c r="E13" s="22"/>
      <x:c r="F13" s="22"/>
      <x:c r="G13" s="22" t="str">
        <x:v>東京都庁展望室</x:v>
      </x:c>
      <x:c r="H13" s="22" t="str">
        <x:v>90～140分</x:v>
      </x:c>
      <x:c r="I13" s="22" t="n">
        <x:v>5</x:v>
      </x:c>
      <x:c r="J13" s="22" t="n">
        <x:v>4</x:v>
      </x:c>
      <x:c r="K13" s="22" t="n">
        <x:v>140</x:v>
      </x:c>
      <x:c r="L13" s="22" t="n">
        <x:v>91</x:v>
      </x:c>
      <x:c r="M13" s="22" t="n">
        <x:v>93</x:v>
      </x:c>
      <x:c r="N13" s="22" t="n">
        <x:v>71</x:v>
      </x:c>
      <x:c r="O13" s="22" t="n">
        <x:v>69</x:v>
      </x:c>
      <x:c r="P13" s="22" t="n">
        <x:v>70</x:v>
      </x:c>
      <x:c r="Q13" s="22" t="n">
        <x:v>69</x:v>
      </x:c>
      <x:c r="R13" s="22" t="n">
        <x:v>61</x:v>
      </x:c>
      <x:c r="S13" s="22" t="n">
        <x:v>54</x:v>
      </x:c>
      <x:c r="T13" s="22" t="n">
        <x:v>72</x:v>
      </x:c>
      <x:c r="U13" s="22" t="str">
        <x:v>都庁駐車場は22時までに出庫。展望室休室日を確認。NSビルはイベント時に動線変更あり。</x:v>
      </x:c>
      <x:c r="V13" s="95" t="e">
        <x:f>HYPERLINK("https://www.google.com/maps/dir/?api=1&amp;destination=%E6%9D%B1%E4%BA%AC%E9%83%BD%E5%BA%81%E5%B1%95%E6%9C%9B%E5%AE%A4&amp;travelmode=driving&amp;waypoints=%E6%96%B0%E5%AE%BFNS%E3%83%93%E3%83%AB%20%E3%82%A2%E3%83%88%E3%83%AA%E3%82%A6%E3%83%A0%E3%83%BB%E5%A4%A7%E6%99%82%E8%A8%88","ルート開始")</x:f>
      </x:c>
      <x:c r="W13" s="22" t="n">
        <x:v>96</x:v>
      </x:c>
      <x:c r="X13" s="22" t="n">
        <x:v>98</x:v>
      </x:c>
      <x:c r="Y13" s="22" t="n">
        <x:v>0</x:v>
      </x:c>
      <x:c r="Z13" s="22" t="str">
        <x:v>都市夜景・建築</x:v>
      </x:c>
      <x:c r="AA13" s="22" t="str">
        <x:v>平日夜・雨天</x:v>
      </x:c>
      <x:c r="AB13" s="22" t="str">
        <x:v>新規</x:v>
      </x:c>
    </x:row>
    <x:row r="14" ht="44" customHeight="1">
      <x:c r="A14" s="22" t="str">
        <x:v>R059</x:v>
      </x:c>
      <x:c r="B14" s="22" t="str">
        <x:v>川崎港・運河から高所へ</x:v>
      </x:c>
      <x:c r="C14" s="22" t="str">
        <x:v>運河／芝生休憩／高所港湾展望</x:v>
      </x:c>
      <x:c r="D14" s="22" t="str">
        <x:v>ちどり公園</x:v>
      </x:c>
      <x:c r="E14" s="22" t="str">
        <x:v>東扇島中公園</x:v>
      </x:c>
      <x:c r="F14" s="22"/>
      <x:c r="G14" s="22" t="str">
        <x:v>川崎マリエン</x:v>
      </x:c>
      <x:c r="H14" s="22" t="str">
        <x:v>110～160分</x:v>
      </x:c>
      <x:c r="I14" s="22" t="n">
        <x:v>3</x:v>
      </x:c>
      <x:c r="J14" s="22" t="n">
        <x:v>4</x:v>
      </x:c>
      <x:c r="K14" s="22" t="n">
        <x:v>160</x:v>
      </x:c>
      <x:c r="L14" s="22" t="n">
        <x:v>76</x:v>
      </x:c>
      <x:c r="M14" s="22" t="n">
        <x:v>76</x:v>
      </x:c>
      <x:c r="N14" s="22" t="n">
        <x:v>63</x:v>
      </x:c>
      <x:c r="O14" s="22" t="n">
        <x:v>60</x:v>
      </x:c>
      <x:c r="P14" s="22" t="n">
        <x:v>85</x:v>
      </x:c>
      <x:c r="Q14" s="22" t="n">
        <x:v>88</x:v>
      </x:c>
      <x:c r="R14" s="22" t="n">
        <x:v>58</x:v>
      </x:c>
      <x:c r="S14" s="22" t="n">
        <x:v>59</x:v>
      </x:c>
      <x:c r="T14" s="22" t="n">
        <x:v>71</x:v>
      </x:c>
      <x:c r="U14" s="22" t="str">
        <x:v>ちどり公園の駐車場は18時まで。東扇島中公園と川崎マリエンは1回駐車で徒歩連結。</x:v>
      </x:c>
      <x:c r="V14" s="95" t="e">
        <x:f>HYPERLINK("https://www.google.com/maps/dir/?api=1&amp;destination=%E5%B7%9D%E5%B4%8E%E3%83%9E%E3%83%AA%E3%82%A8%E3%83%B3&amp;travelmode=driving&amp;waypoints=%E3%81%A1%E3%81%A9%E3%82%8A%E5%85%AC%E5%9C%92%7C%E6%9D%B1%E6%89%87%E5%B3%B6%E4%B8%AD%E5%85%AC%E5%9C%92","ルート開始")</x:f>
      </x:c>
      <x:c r="W14" s="22" t="n">
        <x:v>94</x:v>
      </x:c>
      <x:c r="X14" s="22" t="n">
        <x:v>93</x:v>
      </x:c>
      <x:c r="Y14" s="22" t="n">
        <x:v>0</x:v>
      </x:c>
      <x:c r="Z14" s="22" t="str">
        <x:v>川崎・工場夜景</x:v>
      </x:c>
      <x:c r="AA14" s="22" t="str">
        <x:v>昼～夕方専用</x:v>
      </x:c>
      <x:c r="AB14" s="22" t="str">
        <x:v>差替え済</x:v>
      </x:c>
    </x:row>
    <x:row r="15" ht="44" customHeight="1">
      <x:c r="A15" s="22" t="str">
        <x:v>R145</x:v>
      </x:c>
      <x:c r="B15" s="22" t="str">
        <x:v>羽田手前・交通と防災の短時間線</x:v>
      </x:c>
      <x:c r="C15" s="22" t="str">
        <x:v>交通Story／防災／足湯</x:v>
      </x:c>
      <x:c r="D15" s="22" t="str">
        <x:v>萩中公園</x:v>
      </x:c>
      <x:c r="E15" s="22" t="str">
        <x:v>東糀谷防災公園</x:v>
      </x:c>
      <x:c r="F15" s="22"/>
      <x:c r="G15" s="22" t="str">
        <x:v>HANEDA INNOVATION CITY 足湯スカイデッキ</x:v>
      </x:c>
      <x:c r="H15" s="22" t="str">
        <x:v>80～125分</x:v>
      </x:c>
      <x:c r="I15" s="22" t="n">
        <x:v>4</x:v>
      </x:c>
      <x:c r="J15" s="22" t="n">
        <x:v>4</x:v>
      </x:c>
      <x:c r="K15" s="22" t="n">
        <x:v>125</x:v>
      </x:c>
      <x:c r="L15" s="22" t="n">
        <x:v>84</x:v>
      </x:c>
      <x:c r="M15" s="22" t="n">
        <x:v>84</x:v>
      </x:c>
      <x:c r="N15" s="22" t="n">
        <x:v>67</x:v>
      </x:c>
      <x:c r="O15" s="22" t="n">
        <x:v>64</x:v>
      </x:c>
      <x:c r="P15" s="22" t="n">
        <x:v>65</x:v>
      </x:c>
      <x:c r="Q15" s="22" t="n">
        <x:v>63</x:v>
      </x:c>
      <x:c r="R15" s="22" t="n">
        <x:v>68</x:v>
      </x:c>
      <x:c r="S15" s="22" t="n">
        <x:v>71</x:v>
      </x:c>
      <x:c r="T15" s="22" t="n">
        <x:v>71</x:v>
      </x:c>
      <x:c r="U15" s="22" t="str">
        <x:v>萩中・東糀谷は短時間に限定。東糀谷10台が満車なら省略。HIC足湯は23:30まで。</x:v>
      </x:c>
      <x:c r="V15" s="95" t="e">
        <x:f>HYPERLINK("https://www.google.com/maps/dir/?api=1&amp;destination=HANEDA%20INNOVATION%20CITY%20%E8%B6%B3%E6%B9%AF%E3%82%B9%E3%82%AB%E3%82%A4%E3%83%87%E3%83%83%E3%82%AD&amp;travelmode=driving&amp;waypoints=%E8%90%A9%E4%B8%AD%E5%85%AC%E5%9C%92%7C%E6%9D%B1%E7%B3%80%E8%B0%B7%E9%98%B2%E7%81%BD%E5%85%AC%E5%9C%92","ルート開始")</x:f>
      </x:c>
      <x:c r="W15" s="22" t="n">
        <x:v>91</x:v>
      </x:c>
      <x:c r="X15" s="22" t="n">
        <x:v>93</x:v>
      </x:c>
      <x:c r="Y15" s="22" t="n">
        <x:v>0</x:v>
      </x:c>
      <x:c r="Z15" s="22" t="str">
        <x:v>羽田・航空</x:v>
      </x:c>
      <x:c r="AA15" s="22" t="str">
        <x:v>平日夜・家族</x:v>
      </x:c>
      <x:c r="AB15" s="22" t="str">
        <x:v>新規</x:v>
      </x:c>
    </x:row>
    <x:row r="16" ht="44" customHeight="1">
      <x:c r="A16" s="22" t="str">
        <x:v>R147</x:v>
      </x:c>
      <x:c r="B16" s="22" t="str">
        <x:v>品川・東海道からナイターへ</x:v>
      </x:c>
      <x:c r="C16" s="22" t="str">
        <x:v>東海道Story／競馬場／都市照明</x:v>
      </x:c>
      <x:c r="D16" s="22" t="str">
        <x:v>品川区立 品川歴史館</x:v>
      </x:c>
      <x:c r="E16" s="22"/>
      <x:c r="F16" s="22"/>
      <x:c r="G16" s="22" t="str">
        <x:v>東京シティ競馬 大井競馬場</x:v>
      </x:c>
      <x:c r="H16" s="22" t="str">
        <x:v>150～240分</x:v>
      </x:c>
      <x:c r="I16" s="22" t="n">
        <x:v>4</x:v>
      </x:c>
      <x:c r="J16" s="22" t="n">
        <x:v>4</x:v>
      </x:c>
      <x:c r="K16" s="22" t="n">
        <x:v>240</x:v>
      </x:c>
      <x:c r="L16" s="22" t="n">
        <x:v>76</x:v>
      </x:c>
      <x:c r="M16" s="22" t="n">
        <x:v>79</x:v>
      </x:c>
      <x:c r="N16" s="22" t="n">
        <x:v>63</x:v>
      </x:c>
      <x:c r="O16" s="22" t="n">
        <x:v>61</x:v>
      </x:c>
      <x:c r="P16" s="22" t="n">
        <x:v>86</x:v>
      </x:c>
      <x:c r="Q16" s="22" t="n">
        <x:v>63</x:v>
      </x:c>
      <x:c r="R16" s="22" t="n">
        <x:v>64</x:v>
      </x:c>
      <x:c r="S16" s="22" t="n">
        <x:v>75</x:v>
      </x:c>
      <x:c r="T16" s="22" t="n">
        <x:v>71</x:v>
      </x:c>
      <x:c r="U16" s="22" t="str">
        <x:v>競馬開催日専用。歴史館は16:30最終入館。競馬場駐車料金・予約制・開門時刻を当日確認。</x:v>
      </x:c>
      <x:c r="V16" s="95" t="e">
        <x:f>HYPERLINK("https://www.google.com/maps/dir/?api=1&amp;destination=%E6%9D%B1%E4%BA%AC%E3%82%B7%E3%83%86%E3%82%A3%E7%AB%B6%E9%A6%AC%20%E5%A4%A7%E4%BA%95%E7%AB%B6%E9%A6%AC%E5%A0%B4&amp;travelmode=driving&amp;waypoints=%E5%93%81%E5%B7%9D%E5%8C%BA%E7%AB%8B%20%E5%93%81%E5%B7%9D%E6%AD%B4%E5%8F%B2%E9%A4%A8","ルート開始")</x:f>
      </x:c>
      <x:c r="W16" s="22" t="n">
        <x:v>90</x:v>
      </x:c>
      <x:c r="X16" s="22" t="n">
        <x:v>95</x:v>
      </x:c>
      <x:c r="Y16" s="22" t="n">
        <x:v>0</x:v>
      </x:c>
      <x:c r="Z16" s="22" t="str">
        <x:v>Story・文化</x:v>
      </x:c>
      <x:c r="AA16" s="22" t="str">
        <x:v>開催日専用</x:v>
      </x:c>
      <x:c r="AB16" s="22" t="str">
        <x:v>新規</x:v>
      </x:c>
    </x:row>
    <x:row r="17" ht="44" customHeight="1">
      <x:c r="A17" s="22" t="str">
        <x:v>R006</x:v>
      </x:c>
      <x:c r="B17" s="22" t="str">
        <x:v>京浜島から東扇島西端へ</x:v>
      </x:c>
      <x:c r="C17" s="22" t="str">
        <x:v>飛行機／高所展望／港の行き止まり</x:v>
      </x:c>
      <x:c r="D17" s="22" t="str">
        <x:v>京浜島つばさ公園</x:v>
      </x:c>
      <x:c r="E17" s="22" t="str">
        <x:v>川崎マリエン</x:v>
      </x:c>
      <x:c r="F17" s="22"/>
      <x:c r="G17" s="22" t="str">
        <x:v>東扇島西公園</x:v>
      </x:c>
      <x:c r="H17" s="22" t="str">
        <x:v>120～170分</x:v>
      </x:c>
      <x:c r="I17" s="22" t="n">
        <x:v>5</x:v>
      </x:c>
      <x:c r="J17" s="22" t="n">
        <x:v>4</x:v>
      </x:c>
      <x:c r="K17" s="22" t="n">
        <x:v>170</x:v>
      </x:c>
      <x:c r="L17" s="22" t="n">
        <x:v>77</x:v>
      </x:c>
      <x:c r="M17" s="22" t="n">
        <x:v>81</x:v>
      </x:c>
      <x:c r="N17" s="22" t="n">
        <x:v>61</x:v>
      </x:c>
      <x:c r="O17" s="22" t="n">
        <x:v>85</x:v>
      </x:c>
      <x:c r="P17" s="22" t="n">
        <x:v>85</x:v>
      </x:c>
      <x:c r="Q17" s="22" t="n">
        <x:v>60</x:v>
      </x:c>
      <x:c r="R17" s="22" t="n">
        <x:v>51</x:v>
      </x:c>
      <x:c r="S17" s="22" t="n">
        <x:v>60</x:v>
      </x:c>
      <x:c r="T17" s="22" t="n">
        <x:v>70</x:v>
      </x:c>
      <x:c r="U17" s="22" t="str">
        <x:v>川崎マリエン展望室は21時まで。遅れた場合はマリエンを省略し、24時間利用可能な東扇島西公園へ直行。</x:v>
      </x:c>
      <x:c r="V17" s="95" t="e">
        <x:f>HYPERLINK("https://www.google.com/maps/dir/?api=1&amp;destination=%E6%9D%B1%E6%89%87%E5%B3%B6%E8%A5%BF%E5%85%AC%E5%9C%92&amp;travelmode=driving&amp;waypoints=%E4%BA%AC%E6%B5%9C%E5%B3%B6%E3%81%A4%E3%81%B0%E3%81%95%E5%85%AC%E5%9C%92%7C%E5%B7%9D%E5%B4%8E%E3%83%9E%E3%83%AA%E3%82%A8%E3%83%B3","ルート開始")</x:f>
      </x:c>
      <x:c r="W17" s="22" t="n">
        <x:v>75</x:v>
      </x:c>
      <x:c r="X17" s="22" t="n">
        <x:v>70</x:v>
      </x:c>
      <x:c r="Y17" s="22" t="n">
        <x:v>9</x:v>
      </x:c>
      <x:c r="Z17" s="22" t="str">
        <x:v>羽田・航空</x:v>
      </x:c>
      <x:c r="AA17" s="22" t="str">
        <x:v>通常</x:v>
      </x:c>
      <x:c r="AB17" s="22" t="str">
        <x:v>差替え済</x:v>
      </x:c>
    </x:row>
    <x:row r="18" ht="44" customHeight="1">
      <x:c r="A18" s="22" t="str">
        <x:v>R140</x:v>
      </x:c>
      <x:c r="B18" s="22" t="str">
        <x:v>お台場から豊洲の水際夜景</x:v>
      </x:c>
      <x:c r="C18" s="22" t="str">
        <x:v>海浜／運河／都市夜景</x:v>
      </x:c>
      <x:c r="D18" s="22" t="str">
        <x:v>お台場海浜公園</x:v>
      </x:c>
      <x:c r="E18" s="22" t="str">
        <x:v>豊洲ぐるり公園</x:v>
      </x:c>
      <x:c r="F18" s="22"/>
      <x:c r="G18" s="22" t="str">
        <x:v>晴海ふ頭公園</x:v>
      </x:c>
      <x:c r="H18" s="22" t="str">
        <x:v>90～140分</x:v>
      </x:c>
      <x:c r="I18" s="22" t="n">
        <x:v>5</x:v>
      </x:c>
      <x:c r="J18" s="22" t="n">
        <x:v>4</x:v>
      </x:c>
      <x:c r="K18" s="22" t="n">
        <x:v>140</x:v>
      </x:c>
      <x:c r="L18" s="22" t="n">
        <x:v>83</x:v>
      </x:c>
      <x:c r="M18" s="22" t="n">
        <x:v>85</x:v>
      </x:c>
      <x:c r="N18" s="22" t="n">
        <x:v>65</x:v>
      </x:c>
      <x:c r="O18" s="22" t="n">
        <x:v>63</x:v>
      </x:c>
      <x:c r="P18" s="22" t="n">
        <x:v>88</x:v>
      </x:c>
      <x:c r="Q18" s="22" t="n">
        <x:v>62</x:v>
      </x:c>
      <x:c r="R18" s="22" t="n">
        <x:v>54</x:v>
      </x:c>
      <x:c r="S18" s="22" t="n">
        <x:v>57</x:v>
      </x:c>
      <x:c r="T18" s="22" t="n">
        <x:v>70</x:v>
      </x:c>
      <x:c r="U18" s="22" t="str">
        <x:v>24時間駐車地点中心。イベント開催時はお台場を潮風公園へ、豊洲を晴海へ即時差替え。</x:v>
      </x:c>
      <x:c r="V18" s="95" t="e">
        <x:f>HYPERLINK("https://www.google.com/maps/dir/?api=1&amp;destination=%E6%99%B4%E6%B5%B7%E3%81%B5%E9%A0%AD%E5%85%AC%E5%9C%92&amp;travelmode=driving&amp;waypoints=%E3%81%8A%E5%8F%B0%E5%A0%B4%E6%B5%B7%E6%B5%9C%E5%85%AC%E5%9C%92%7C%E8%B1%8A%E6%B4%B2%E3%81%90%E3%82%8B%E3%82%8A%E5%85%AC%E5%9C%92","ルート開始")</x:f>
      </x:c>
      <x:c r="W18" s="22" t="n">
        <x:v>83</x:v>
      </x:c>
      <x:c r="X18" s="22" t="n">
        <x:v>71</x:v>
      </x:c>
      <x:c r="Y18" s="22" t="n">
        <x:v>0</x:v>
      </x:c>
      <x:c r="Z18" s="22" t="str">
        <x:v>東京港・水辺</x:v>
      </x:c>
      <x:c r="AA18" s="22" t="str">
        <x:v>通常</x:v>
      </x:c>
      <x:c r="AB18" s="22" t="str">
        <x:v>差替え済</x:v>
      </x:c>
    </x:row>
    <x:row r="19" ht="44" customHeight="1">
      <x:c r="A19" s="22" t="str">
        <x:v>R148</x:v>
      </x:c>
      <x:c r="B19" s="22" t="str">
        <x:v>品川湾岸・運河と高架の三景</x:v>
      </x:c>
      <x:c r="C19" s="22" t="str">
        <x:v>運河／高架インフラ／水再生センター</x:v>
      </x:c>
      <x:c r="D19" s="22" t="str">
        <x:v>天王洲公園</x:v>
      </x:c>
      <x:c r="E19" s="22" t="str">
        <x:v>八潮北公園</x:v>
      </x:c>
      <x:c r="F19" s="22"/>
      <x:c r="G19" s="22" t="str">
        <x:v>品川シーズンテラス／芝浦中央公園</x:v>
      </x:c>
      <x:c r="H19" s="22" t="str">
        <x:v>100～155分</x:v>
      </x:c>
      <x:c r="I19" s="22" t="n">
        <x:v>4</x:v>
      </x:c>
      <x:c r="J19" s="22" t="n">
        <x:v>4</x:v>
      </x:c>
      <x:c r="K19" s="22" t="n">
        <x:v>155</x:v>
      </x:c>
      <x:c r="L19" s="22" t="n">
        <x:v>81</x:v>
      </x:c>
      <x:c r="M19" s="22" t="n">
        <x:v>83</x:v>
      </x:c>
      <x:c r="N19" s="22" t="n">
        <x:v>66</x:v>
      </x:c>
      <x:c r="O19" s="22" t="n">
        <x:v>63</x:v>
      </x:c>
      <x:c r="P19" s="22" t="n">
        <x:v>89</x:v>
      </x:c>
      <x:c r="Q19" s="22" t="n">
        <x:v>64</x:v>
      </x:c>
      <x:c r="R19" s="22" t="n">
        <x:v>59</x:v>
      </x:c>
      <x:c r="S19" s="22" t="n">
        <x:v>59</x:v>
      </x:c>
      <x:c r="T19" s="22" t="n">
        <x:v>70</x:v>
      </x:c>
      <x:c r="U19" s="22" t="str">
        <x:v>天王洲・八潮の大会日を確認。品川シーズンテラスは23時まで。強風時は八潮を省略。</x:v>
      </x:c>
      <x:c r="V19" s="95" t="e">
        <x:f>HYPERLINK("https://www.google.com/maps/dir/?api=1&amp;destination=%E5%93%81%E5%B7%9D%E3%82%B7%E3%83%BC%E3%82%BA%E3%83%B3%E3%83%86%E3%83%A9%E3%82%B9%EF%BC%8F%E8%8A%9D%E6%B5%A6%E4%B8%AD%E5%A4%AE%E5%85%AC%E5%9C%92&amp;travelmode=driving&amp;waypoints=%E5%A4%A9%E7%8E%8B%E6%B4%B2%E5%85%AC%E5%9C%92%7C%E5%85%AB%E6%BD%AE%E5%8C%97%E5%85%AC%E5%9C%92","ルート開始")</x:f>
      </x:c>
      <x:c r="W19" s="22" t="n">
        <x:v>93</x:v>
      </x:c>
      <x:c r="X19" s="22" t="n">
        <x:v>97</x:v>
      </x:c>
      <x:c r="Y19" s="22" t="n">
        <x:v>0</x:v>
      </x:c>
      <x:c r="Z19" s="22" t="str">
        <x:v>東京港・水辺</x:v>
      </x:c>
      <x:c r="AA19" s="22" t="str">
        <x:v>夕方～夜</x:v>
      </x:c>
      <x:c r="AB19" s="22" t="str">
        <x:v>新規</x:v>
      </x:c>
    </x:row>
    <x:row r="20" ht="44" customHeight="1">
      <x:c r="A20" s="22" t="str">
        <x:v>R003</x:v>
      </x:c>
      <x:c r="B20" s="22" t="str">
        <x:v>東京港最奥ナイト</x:v>
      </x:c>
      <x:c r="C20" s="22" t="str">
        <x:v>港／行き止まり／都市夜景</x:v>
      </x:c>
      <x:c r="D20" s="22" t="str">
        <x:v>晴海ふ頭公園</x:v>
      </x:c>
      <x:c r="E20" s="22" t="str">
        <x:v>豊洲ぐるり公園</x:v>
      </x:c>
      <x:c r="F20" s="22"/>
      <x:c r="G20" s="22" t="str">
        <x:v>暁ふ頭公園</x:v>
      </x:c>
      <x:c r="H20" s="22" t="str">
        <x:v>120～160分</x:v>
      </x:c>
      <x:c r="I20" s="22" t="n">
        <x:v>5</x:v>
      </x:c>
      <x:c r="J20" s="22" t="n">
        <x:v>4</x:v>
      </x:c>
      <x:c r="K20" s="22" t="n">
        <x:v>160</x:v>
      </x:c>
      <x:c r="L20" s="22" t="n">
        <x:v>81</x:v>
      </x:c>
      <x:c r="M20" s="22" t="n">
        <x:v>84</x:v>
      </x:c>
      <x:c r="N20" s="22" t="n">
        <x:v>64</x:v>
      </x:c>
      <x:c r="O20" s="22" t="n">
        <x:v>62</x:v>
      </x:c>
      <x:c r="P20" s="22" t="n">
        <x:v>88</x:v>
      </x:c>
      <x:c r="Q20" s="22" t="n">
        <x:v>63</x:v>
      </x:c>
      <x:c r="R20" s="22" t="n">
        <x:v>54</x:v>
      </x:c>
      <x:c r="S20" s="22" t="n">
        <x:v>56</x:v>
      </x:c>
      <x:c r="T20" s="22" t="n">
        <x:v>69</x:v>
      </x:c>
      <x:c r="U20" s="22" t="str">
        <x:v>強風時は暁ふ頭を潮風公園へ変更。</x:v>
      </x:c>
      <x:c r="V20" s="95" t="e">
        <x:f>HYPERLINK("https://www.google.com/maps/dir/?api=1&amp;destination=%E6%9A%81%E3%81%B5%E9%A0%AD%E5%85%AC%E5%9C%92&amp;travelmode=driving&amp;waypoints=%E6%99%B4%E6%B5%B7%E3%81%B5%E9%A0%AD%E5%85%AC%E5%9C%92%7C%E8%B1%8A%E6%B4%B2%E3%81%90%E3%82%8B%E3%82%8A%E5%85%AC%E5%9C%92","ルート開始")</x:f>
      </x:c>
      <x:c r="W20" s="22" t="n">
        <x:v>77</x:v>
      </x:c>
      <x:c r="X20" s="22" t="n">
        <x:v>85</x:v>
      </x:c>
      <x:c r="Y20" s="22" t="n">
        <x:v>0</x:v>
      </x:c>
      <x:c r="Z20" s="22" t="str">
        <x:v>東京港・水辺</x:v>
      </x:c>
      <x:c r="AA20" s="22" t="str">
        <x:v>通常</x:v>
      </x:c>
      <x:c r="AB20" s="22" t="str">
        <x:v>維持</x:v>
      </x:c>
    </x:row>
    <x:row r="21" ht="44" customHeight="1">
      <x:c r="A21" s="22" t="str">
        <x:v>R133</x:v>
      </x:c>
      <x:c r="B21" s="22" t="str">
        <x:v>羽田・足湯から河口へ</x:v>
      </x:c>
      <x:c r="C21" s="22" t="str">
        <x:v>飛行機／足湯／河口</x:v>
      </x:c>
      <x:c r="D21" s="22" t="str">
        <x:v>HANEDA INNOVATION CITY 足湯スカイデッキ</x:v>
      </x:c>
      <x:c r="E21" s="22" t="str">
        <x:v>ソラムナード羽田緑地</x:v>
      </x:c>
      <x:c r="F21" s="22"/>
      <x:c r="G21" s="22" t="str">
        <x:v>羽田空港 第3ターミナル展望デッキ</x:v>
      </x:c>
      <x:c r="H21" s="22" t="str">
        <x:v>70～110分</x:v>
      </x:c>
      <x:c r="I21" s="22" t="n">
        <x:v>5</x:v>
      </x:c>
      <x:c r="J21" s="22" t="n">
        <x:v>4</x:v>
      </x:c>
      <x:c r="K21" s="22" t="n">
        <x:v>110</x:v>
      </x:c>
      <x:c r="L21" s="22" t="n">
        <x:v>84</x:v>
      </x:c>
      <x:c r="M21" s="22" t="n">
        <x:v>84</x:v>
      </x:c>
      <x:c r="N21" s="22" t="n">
        <x:v>64</x:v>
      </x:c>
      <x:c r="O21" s="22" t="n">
        <x:v>88</x:v>
      </x:c>
      <x:c r="P21" s="22" t="n">
        <x:v>63</x:v>
      </x:c>
      <x:c r="Q21" s="22" t="n">
        <x:v>59</x:v>
      </x:c>
      <x:c r="R21" s="22" t="n">
        <x:v>53</x:v>
      </x:c>
      <x:c r="S21" s="22" t="n">
        <x:v>55</x:v>
      </x:c>
      <x:c r="T21" s="22" t="n">
        <x:v>69</x:v>
      </x:c>
      <x:c r="U21" s="22" t="str">
        <x:v>平日夜の主力。HIC P1を利用し、ソラムナードは徒歩を含む。</x:v>
      </x:c>
      <x:c r="V21" s="95" t="e">
        <x:f>HYPERLINK("https://www.google.com/maps/dir/?api=1&amp;destination=%E7%BE%BD%E7%94%B0%E7%A9%BA%E6%B8%AF%20%E7%AC%AC3%E3%82%BF%E3%83%BC%E3%83%9F%E3%83%8A%E3%83%AB%E5%B1%95%E6%9C%9B%E3%83%87%E3%83%83%E3%82%AD&amp;travelmode=driving&amp;waypoints=HANEDA%20INNOVATION%20CITY%20%E8%B6%B3%E6%B9%AF%E3%82%B9%E3%82%AB%E3%82%A4%E3%83%87%E3%83%83%E3%82%AD%7C%E3%82%BD%E3%83%A9%E3%83%A0%E3%83%8A%E3%83%BC%E3%83%89%E7%BE%BD%E7%94%B0%E7%B7%91%E5%9C%B0","ルート開始")</x:f>
      </x:c>
      <x:c r="W21" s="22" t="n">
        <x:v>84</x:v>
      </x:c>
      <x:c r="X21" s="22" t="n">
        <x:v>52</x:v>
      </x:c>
      <x:c r="Y21" s="22" t="n">
        <x:v>30</x:v>
      </x:c>
      <x:c r="Z21" s="22" t="str">
        <x:v>羽田・航空</x:v>
      </x:c>
      <x:c r="AA21" s="22" t="str">
        <x:v>共有駐車・徒歩連結</x:v>
      </x:c>
      <x:c r="AB21" s="22" t="str">
        <x:v>役割明記</x:v>
      </x:c>
    </x:row>
    <x:row r="22" ht="44" customHeight="1">
      <x:c r="A22" s="22" t="str">
        <x:v>R143</x:v>
      </x:c>
      <x:c r="B22" s="22" t="str">
        <x:v>羽田から川崎工場夜景へ</x:v>
      </x:c>
      <x:c r="C22" s="22" t="str">
        <x:v>足湯／高所工場夜景／港の行き止まり</x:v>
      </x:c>
      <x:c r="D22" s="22" t="str">
        <x:v>HANEDA INNOVATION CITY 足湯スカイデッキ</x:v>
      </x:c>
      <x:c r="E22" s="22" t="str">
        <x:v>川崎マリエン</x:v>
      </x:c>
      <x:c r="F22" s="22"/>
      <x:c r="G22" s="22" t="str">
        <x:v>東扇島西公園</x:v>
      </x:c>
      <x:c r="H22" s="22" t="str">
        <x:v>100～150分</x:v>
      </x:c>
      <x:c r="I22" s="22" t="n">
        <x:v>5</x:v>
      </x:c>
      <x:c r="J22" s="22" t="n">
        <x:v>4</x:v>
      </x:c>
      <x:c r="K22" s="22" t="n">
        <x:v>150</x:v>
      </x:c>
      <x:c r="L22" s="22" t="n">
        <x:v>77</x:v>
      </x:c>
      <x:c r="M22" s="22" t="n">
        <x:v>81</x:v>
      </x:c>
      <x:c r="N22" s="22" t="n">
        <x:v>61</x:v>
      </x:c>
      <x:c r="O22" s="22" t="n">
        <x:v>59</x:v>
      </x:c>
      <x:c r="P22" s="22" t="n">
        <x:v>85</x:v>
      </x:c>
      <x:c r="Q22" s="22" t="n">
        <x:v>88</x:v>
      </x:c>
      <x:c r="R22" s="22" t="n">
        <x:v>50</x:v>
      </x:c>
      <x:c r="S22" s="22" t="n">
        <x:v>53</x:v>
      </x:c>
      <x:c r="T22" s="22" t="n">
        <x:v>69</x:v>
      </x:c>
      <x:c r="U22" s="22" t="str">
        <x:v>川崎マリエン展望室は21時まで。遅れた場合はマリエンを省略し、24時間利用可能な東扇島西公園へ。</x:v>
      </x:c>
      <x:c r="V22" s="95" t="e">
        <x:f>HYPERLINK("https://www.google.com/maps/dir/?api=1&amp;destination=%E6%9D%B1%E6%89%87%E5%B3%B6%E8%A5%BF%E5%85%AC%E5%9C%92&amp;travelmode=driving&amp;waypoints=HANEDA%20INNOVATION%20CITY%20%E8%B6%B3%E6%B9%AF%E3%82%B9%E3%82%AB%E3%82%A4%E3%83%87%E3%83%83%E3%82%AD%7C%E5%B7%9D%E5%B4%8E%E3%83%9E%E3%83%AA%E3%82%A8%E3%83%B3","ルート開始")</x:f>
      </x:c>
      <x:c r="W22" s="22" t="n">
        <x:v>82</x:v>
      </x:c>
      <x:c r="X22" s="22" t="n">
        <x:v>61</x:v>
      </x:c>
      <x:c r="Y22" s="22" t="n">
        <x:v>21</x:v>
      </x:c>
      <x:c r="Z22" s="22" t="str">
        <x:v>川崎・工場夜景</x:v>
      </x:c>
      <x:c r="AA22" s="22" t="str">
        <x:v>通常</x:v>
      </x:c>
      <x:c r="AB22" s="22" t="str">
        <x:v>差替え済</x:v>
      </x:c>
    </x:row>
    <x:row r="23" ht="44" customHeight="1">
      <x:c r="A23" s="22" t="str">
        <x:v>R146</x:v>
      </x:c>
      <x:c r="B23" s="22" t="str">
        <x:v>大田・郷土史から工業島へ</x:v>
      </x:c>
      <x:c r="C23" s="22" t="str">
        <x:v>地域史／海苔産業／工業島</x:v>
      </x:c>
      <x:c r="D23" s="22" t="str">
        <x:v>大田区立郷土博物館</x:v>
      </x:c>
      <x:c r="E23" s="22" t="str">
        <x:v>大森 海苔のふるさと館</x:v>
      </x:c>
      <x:c r="F23" s="22"/>
      <x:c r="G23" s="22" t="str">
        <x:v>昭和島二丁目公園</x:v>
      </x:c>
      <x:c r="H23" s="22" t="str">
        <x:v>140～200分</x:v>
      </x:c>
      <x:c r="I23" s="22" t="n">
        <x:v>2</x:v>
      </x:c>
      <x:c r="J23" s="22" t="n">
        <x:v>4</x:v>
      </x:c>
      <x:c r="K23" s="22" t="n">
        <x:v>200</x:v>
      </x:c>
      <x:c r="L23" s="22" t="n">
        <x:v>68</x:v>
      </x:c>
      <x:c r="M23" s="22" t="n">
        <x:v>67</x:v>
      </x:c>
      <x:c r="N23" s="22" t="n">
        <x:v>59</x:v>
      </x:c>
      <x:c r="O23" s="22" t="n">
        <x:v>55</x:v>
      </x:c>
      <x:c r="P23" s="22" t="n">
        <x:v>80</x:v>
      </x:c>
      <x:c r="Q23" s="22" t="n">
        <x:v>84</x:v>
      </x:c>
      <x:c r="R23" s="22" t="n">
        <x:v>65</x:v>
      </x:c>
      <x:c r="S23" s="22" t="n">
        <x:v>76</x:v>
      </x:c>
      <x:c r="T23" s="22" t="n">
        <x:v>69</x:v>
      </x:c>
      <x:c r="U23" s="22" t="str">
        <x:v>昼専用。博物館は17時、海苔館も通常17時。昭和島は季節により21時または22時閉場。</x:v>
      </x:c>
      <x:c r="V23" s="95" t="e">
        <x:f>HYPERLINK("https://www.google.com/maps/dir/?api=1&amp;destination=%E6%98%AD%E5%92%8C%E5%B3%B6%E4%BA%8C%E4%B8%81%E7%9B%AE%E5%85%AC%E5%9C%92&amp;travelmode=driving&amp;waypoints=%E5%A4%A7%E7%94%B0%E5%8C%BA%E7%AB%8B%E9%83%B7%E5%9C%9F%E5%8D%9A%E7%89%A9%E9%A4%A8%7C%E5%A4%A7%E6%A3%AE%20%E6%B5%B7%E8%8B%94%E3%81%AE%E3%81%B5%E3%82%8B%E3%81%95%E3%81%A8%E9%A4%A8","ルート開始")</x:f>
      </x:c>
      <x:c r="W23" s="22" t="n">
        <x:v>94</x:v>
      </x:c>
      <x:c r="X23" s="22" t="n">
        <x:v>96</x:v>
      </x:c>
      <x:c r="Y23" s="22" t="n">
        <x:v>0</x:v>
      </x:c>
      <x:c r="Z23" s="22" t="str">
        <x:v>Story・文化</x:v>
      </x:c>
      <x:c r="AA23" s="22" t="str">
        <x:v>昼専用</x:v>
      </x:c>
      <x:c r="AB23" s="22" t="str">
        <x:v>新規</x:v>
      </x:c>
    </x:row>
    <x:row r="24" ht="44" customHeight="1">
      <x:c r="A24" s="22" t="str">
        <x:v>R149</x:v>
      </x:c>
      <x:c r="B24" s="22" t="str">
        <x:v>品川から東京タワーへ都市インフラ線</x:v>
      </x:c>
      <x:c r="C24" s="22" t="str">
        <x:v>水再生センター／高層街／放送塔</x:v>
      </x:c>
      <x:c r="D24" s="22" t="str">
        <x:v>品川シーズンテラス／芝浦中央公園</x:v>
      </x:c>
      <x:c r="E24" s="22"/>
      <x:c r="F24" s="22"/>
      <x:c r="G24" s="22" t="str">
        <x:v>東京タワー</x:v>
      </x:c>
      <x:c r="H24" s="22" t="str">
        <x:v>95～145分</x:v>
      </x:c>
      <x:c r="I24" s="22" t="n">
        <x:v>5</x:v>
      </x:c>
      <x:c r="J24" s="22" t="n">
        <x:v>4</x:v>
      </x:c>
      <x:c r="K24" s="22" t="n">
        <x:v>145</x:v>
      </x:c>
      <x:c r="L24" s="22" t="n">
        <x:v>86</x:v>
      </x:c>
      <x:c r="M24" s="22" t="n">
        <x:v>89</x:v>
      </x:c>
      <x:c r="N24" s="22" t="n">
        <x:v>68</x:v>
      </x:c>
      <x:c r="O24" s="22" t="n">
        <x:v>66</x:v>
      </x:c>
      <x:c r="P24" s="22" t="n">
        <x:v>67</x:v>
      </x:c>
      <x:c r="Q24" s="22" t="n">
        <x:v>68</x:v>
      </x:c>
      <x:c r="R24" s="22" t="n">
        <x:v>58</x:v>
      </x:c>
      <x:c r="S24" s="22" t="n">
        <x:v>51</x:v>
      </x:c>
      <x:c r="T24" s="22" t="n">
        <x:v>69</x:v>
      </x:c>
      <x:c r="U24" s="22" t="str">
        <x:v>品川シーズンテラスは23時、東京タワー最終入場22:30。地下駐車場は休止中。</x:v>
      </x:c>
      <x:c r="V24" s="95" t="e">
        <x:f>HYPERLINK("https://www.google.com/maps/dir/?api=1&amp;destination=%E6%9D%B1%E4%BA%AC%E3%82%BF%E3%83%AF%E3%83%BC&amp;travelmode=driving&amp;waypoints=%E5%93%81%E5%B7%9D%E3%82%B7%E3%83%BC%E3%82%BA%E3%83%B3%E3%83%86%E3%83%A9%E3%82%B9%EF%BC%8F%E8%8A%9D%E6%B5%A6%E4%B8%AD%E5%A4%AE%E5%85%AC%E5%9C%92","ルート開始")</x:f>
      </x:c>
      <x:c r="W24" s="22" t="n">
        <x:v>95</x:v>
      </x:c>
      <x:c r="X24" s="22" t="n">
        <x:v>94</x:v>
      </x:c>
      <x:c r="Y24" s="22" t="n">
        <x:v>0</x:v>
      </x:c>
      <x:c r="Z24" s="22" t="str">
        <x:v>都市夜景・建築</x:v>
      </x:c>
      <x:c r="AA24" s="22" t="str">
        <x:v>平日夜</x:v>
      </x:c>
      <x:c r="AB24" s="22" t="str">
        <x:v>新規</x:v>
      </x:c>
    </x:row>
    <x:row r="25" ht="44" customHeight="1">
      <x:c r="A25" s="22" t="str">
        <x:v>R037</x:v>
      </x:c>
      <x:c r="B25" s="22" t="str">
        <x:v>東東京・水辺ナイト</x:v>
      </x:c>
      <x:c r="C25" s="22" t="str">
        <x:v>都市公園／河川／夜間</x:v>
      </x:c>
      <x:c r="D25" s="22" t="str">
        <x:v>木場公園</x:v>
      </x:c>
      <x:c r="E25" s="22" t="str">
        <x:v>大島小松川公園</x:v>
      </x:c>
      <x:c r="F25" s="22"/>
      <x:c r="G25" s="22" t="str">
        <x:v>篠崎公園</x:v>
      </x:c>
      <x:c r="H25" s="22" t="str">
        <x:v>150～210分</x:v>
      </x:c>
      <x:c r="I25" s="22" t="n">
        <x:v>4</x:v>
      </x:c>
      <x:c r="J25" s="22" t="n">
        <x:v>4</x:v>
      </x:c>
      <x:c r="K25" s="22" t="n">
        <x:v>210</x:v>
      </x:c>
      <x:c r="L25" s="22" t="n">
        <x:v>72</x:v>
      </x:c>
      <x:c r="M25" s="22" t="n">
        <x:v>76</x:v>
      </x:c>
      <x:c r="N25" s="22" t="n">
        <x:v>60</x:v>
      </x:c>
      <x:c r="O25" s="22" t="n">
        <x:v>58</x:v>
      </x:c>
      <x:c r="P25" s="22" t="n">
        <x:v>83</x:v>
      </x:c>
      <x:c r="Q25" s="22" t="n">
        <x:v>60</x:v>
      </x:c>
      <x:c r="R25" s="22" t="n">
        <x:v>77</x:v>
      </x:c>
      <x:c r="S25" s="22" t="n">
        <x:v>62</x:v>
      </x:c>
      <x:c r="T25" s="22" t="n">
        <x:v>68</x:v>
      </x:c>
      <x:c r="U25" s="22" t="str">
        <x:v>24時間駐車場をつなぐ夜間用。木場公園の重複採用は湾岸から東東京へ切り替える休憩点として有効。</x:v>
      </x:c>
      <x:c r="V25" s="95" t="e">
        <x:f>HYPERLINK("https://www.google.com/maps/dir/?api=1&amp;destination=%E7%AF%A0%E5%B4%8E%E5%85%AC%E5%9C%92&amp;travelmode=driving&amp;waypoints=%E6%9C%A8%E5%A0%B4%E5%85%AC%E5%9C%92%7C%E5%A4%A7%E5%B3%B6%E5%B0%8F%E6%9D%BE%E5%B7%9D%E5%85%AC%E5%9C%92","ルート開始")</x:f>
      </x:c>
      <x:c r="W25" s="22" t="n">
        <x:v>87</x:v>
      </x:c>
      <x:c r="X25" s="22" t="n">
        <x:v>79</x:v>
      </x:c>
      <x:c r="Y25" s="22" t="n">
        <x:v>0</x:v>
      </x:c>
      <x:c r="Z25" s="22" t="str">
        <x:v>河川・多摩川</x:v>
      </x:c>
      <x:c r="AA25" s="22" t="str">
        <x:v>通常</x:v>
      </x:c>
      <x:c r="AB25" s="22" t="str">
        <x:v>維持</x:v>
      </x:c>
    </x:row>
    <x:row r="26" ht="44" customHeight="1">
      <x:c r="A26" s="22" t="str">
        <x:v>R056</x:v>
      </x:c>
      <x:c r="B26" s="22" t="str">
        <x:v>鶴見から本牧・港の三景</x:v>
      </x:c>
      <x:c r="C26" s="22" t="str">
        <x:v>雨天港湾展望／都市港／行き止まり</x:v>
      </x:c>
      <x:c r="D26" s="22" t="str">
        <x:v>横浜市高齢者保養研修施設 ふれーゆ</x:v>
      </x:c>
      <x:c r="E26" s="22" t="str">
        <x:v>横浜港大さん橋</x:v>
      </x:c>
      <x:c r="F26" s="22"/>
      <x:c r="G26" s="22" t="str">
        <x:v>横浜港シンボルタワー</x:v>
      </x:c>
      <x:c r="H26" s="22" t="str">
        <x:v>170～240分</x:v>
      </x:c>
      <x:c r="I26" s="22" t="n">
        <x:v>2</x:v>
      </x:c>
      <x:c r="J26" s="22" t="n">
        <x:v>4</x:v>
      </x:c>
      <x:c r="K26" s="22" t="n">
        <x:v>240</x:v>
      </x:c>
      <x:c r="L26" s="22" t="n">
        <x:v>67</x:v>
      </x:c>
      <x:c r="M26" s="22" t="n">
        <x:v>67</x:v>
      </x:c>
      <x:c r="N26" s="22" t="n">
        <x:v>81</x:v>
      </x:c>
      <x:c r="O26" s="22" t="n">
        <x:v>55</x:v>
      </x:c>
      <x:c r="P26" s="22" t="n">
        <x:v>80</x:v>
      </x:c>
      <x:c r="Q26" s="22" t="n">
        <x:v>83</x:v>
      </x:c>
      <x:c r="R26" s="22" t="n">
        <x:v>56</x:v>
      </x:c>
      <x:c r="S26" s="22" t="n">
        <x:v>57</x:v>
      </x:c>
      <x:c r="T26" s="22" t="n">
        <x:v>68</x:v>
      </x:c>
      <x:c r="U26" s="22" t="str">
        <x:v>昼～夕方専用。ふれーゆの最終入庫とシンボルタワーの季節閉場を優先。雨天時はふれーゆ滞在を長くする。</x:v>
      </x:c>
      <x:c r="V26" s="95" t="e">
        <x:f>HYPERLINK("https://www.google.com/maps/dir/?api=1&amp;destination=%E6%A8%AA%E6%B5%9C%E6%B8%AF%E3%82%B7%E3%83%B3%E3%83%9C%E3%83%AB%E3%82%BF%E3%83%AF%E3%83%BC&amp;travelmode=driving&amp;waypoints=%E6%A8%AA%E6%B5%9C%E5%B8%82%E9%AB%98%E9%BD%A2%E8%80%85%E4%BF%9D%E9%A4%8A%E7%A0%94%E4%BF%AE%E6%96%BD%E8%A8%AD%20%E3%81%B5%E3%82%8C%E3%83%BC%E3%82%86%7C%E6%A8%AA%E6%B5%9C%E6%B8%AF%E5%A4%A7%E3%81%95%E3%82%93%E6%A9%8B","ルート開始")</x:f>
      </x:c>
      <x:c r="W26" s="22" t="n">
        <x:v>91</x:v>
      </x:c>
      <x:c r="X26" s="22" t="n">
        <x:v>94</x:v>
      </x:c>
      <x:c r="Y26" s="22" t="n">
        <x:v>0</x:v>
      </x:c>
      <x:c r="Z26" s="22" t="str">
        <x:v>横浜港・丘陵</x:v>
      </x:c>
      <x:c r="AA26" s="22" t="str">
        <x:v>昼～夕方専用</x:v>
      </x:c>
      <x:c r="AB26" s="22" t="str">
        <x:v>差替え済</x:v>
      </x:c>
    </x:row>
    <x:row r="27" ht="44" customHeight="1">
      <x:c r="A27" s="22" t="str">
        <x:v>R004</x:v>
      </x:c>
      <x:c r="B27" s="22" t="str">
        <x:v>ゲートブリッジ夜景ショート</x:v>
      </x:c>
      <x:c r="C27" s="22" t="str">
        <x:v>都市夜景／橋の走行演出／海</x:v>
      </x:c>
      <x:c r="D27" s="22" t="str">
        <x:v>潮風公園</x:v>
      </x:c>
      <x:c r="E27" s="22" t="str">
        <x:v>東京ゲートブリッジ</x:v>
      </x:c>
      <x:c r="F27" s="22"/>
      <x:c r="G27" s="22" t="str">
        <x:v>若洲海浜公園</x:v>
      </x:c>
      <x:c r="H27" s="22" t="str">
        <x:v>105～145分</x:v>
      </x:c>
      <x:c r="I27" s="22" t="n">
        <x:v>5</x:v>
      </x:c>
      <x:c r="J27" s="22" t="n">
        <x:v>4</x:v>
      </x:c>
      <x:c r="K27" s="22" t="n">
        <x:v>145</x:v>
      </x:c>
      <x:c r="L27" s="22" t="n">
        <x:v>78</x:v>
      </x:c>
      <x:c r="M27" s="22" t="n">
        <x:v>82</x:v>
      </x:c>
      <x:c r="N27" s="22" t="n">
        <x:v>62</x:v>
      </x:c>
      <x:c r="O27" s="22" t="n">
        <x:v>60</x:v>
      </x:c>
      <x:c r="P27" s="22" t="n">
        <x:v>86</x:v>
      </x:c>
      <x:c r="Q27" s="22" t="n">
        <x:v>61</x:v>
      </x:c>
      <x:c r="R27" s="22" t="n">
        <x:v>51</x:v>
      </x:c>
      <x:c r="S27" s="22" t="n">
        <x:v>54</x:v>
      </x:c>
      <x:c r="T27" s="22" t="n">
        <x:v>67</x:v>
      </x:c>
      <x:c r="U27" s="22" t="str">
        <x:v>東京ゲートブリッジは停車せず走行演出として通過。若洲駐車場は6:00～22:00で、一部工事情報を当日確認。</x:v>
      </x:c>
      <x:c r="V27" s="95" t="e">
        <x:f>HYPERLINK("https://www.google.com/maps/dir/?api=1&amp;destination=%E8%8B%A5%E6%B4%B2%E6%B5%B7%E6%B5%9C%E5%85%AC%E5%9C%92&amp;travelmode=driving&amp;waypoints=%E6%BD%AE%E9%A2%A8%E5%85%AC%E5%9C%92%7C%E6%9D%B1%E4%BA%AC%E3%82%B2%E3%83%BC%E3%83%88%E3%83%96%E3%83%AA%E3%83%83%E3%82%B8","ルート開始")</x:f>
      </x:c>
      <x:c r="W27" s="22" t="n">
        <x:v>80</x:v>
      </x:c>
      <x:c r="X27" s="22" t="n">
        <x:v>68</x:v>
      </x:c>
      <x:c r="Y27" s="22" t="n">
        <x:v>0</x:v>
      </x:c>
      <x:c r="Z27" s="22" t="str">
        <x:v>東京港・水辺</x:v>
      </x:c>
      <x:c r="AA27" s="22" t="str">
        <x:v>走行演出あり</x:v>
      </x:c>
      <x:c r="AB27" s="22" t="str">
        <x:v>差替え済</x:v>
      </x:c>
    </x:row>
    <x:row r="28" ht="44" customHeight="1">
      <x:c r="A28" s="22" t="str">
        <x:v>R025</x:v>
      </x:c>
      <x:c r="B28" s="22" t="str">
        <x:v>首都高ミニマム・ナイト</x:v>
      </x:c>
      <x:c r="C28" s="22" t="str">
        <x:v>PA／近距離／高架</x:v>
      </x:c>
      <x:c r="D28" s="22" t="str">
        <x:v>平和島PA（上り）</x:v>
      </x:c>
      <x:c r="E28" s="22" t="str">
        <x:v>芝浦PA</x:v>
      </x:c>
      <x:c r="F28" s="22"/>
      <x:c r="G28" s="22" t="str">
        <x:v>辰巳第一PA</x:v>
      </x:c>
      <x:c r="H28" s="22" t="str">
        <x:v>75～110分</x:v>
      </x:c>
      <x:c r="I28" s="22" t="n">
        <x:v>5</x:v>
      </x:c>
      <x:c r="J28" s="22" t="n">
        <x:v>4</x:v>
      </x:c>
      <x:c r="K28" s="22" t="n">
        <x:v>110</x:v>
      </x:c>
      <x:c r="L28" s="22" t="n">
        <x:v>87</x:v>
      </x:c>
      <x:c r="M28" s="22" t="n">
        <x:v>87</x:v>
      </x:c>
      <x:c r="N28" s="22" t="n">
        <x:v>66</x:v>
      </x:c>
      <x:c r="O28" s="22" t="n">
        <x:v>65</x:v>
      </x:c>
      <x:c r="P28" s="22" t="n">
        <x:v>65</x:v>
      </x:c>
      <x:c r="Q28" s="22" t="n">
        <x:v>62</x:v>
      </x:c>
      <x:c r="R28" s="22" t="n">
        <x:v>56</x:v>
      </x:c>
      <x:c r="S28" s="22" t="n">
        <x:v>50</x:v>
      </x:c>
      <x:c r="T28" s="22" t="n">
        <x:v>67</x:v>
      </x:c>
      <x:c r="U28" s="22" t="str">
        <x:v>各PAの臨時閉鎖確認。短時間休憩だけに限定。</x:v>
      </x:c>
      <x:c r="V28" s="95" t="e">
        <x:f>HYPERLINK("https://www.google.com/maps/dir/?api=1&amp;destination=%E8%BE%B0%E5%B7%B3%E7%AC%AC%E4%B8%80PA&amp;travelmode=driving&amp;waypoints=%E5%B9%B3%E5%92%8C%E5%B3%B6PA%EF%BC%88%E4%B8%8A%E3%82%8A%EF%BC%89%7C%E8%8A%9D%E6%B5%A6PA","ルート開始")</x:f>
      </x:c>
      <x:c r="W28" s="22" t="n">
        <x:v>81</x:v>
      </x:c>
      <x:c r="X28" s="22" t="n">
        <x:v>71</x:v>
      </x:c>
      <x:c r="Y28" s="22" t="n">
        <x:v>0</x:v>
      </x:c>
      <x:c r="Z28" s="22" t="str">
        <x:v>PA・高速</x:v>
      </x:c>
      <x:c r="AA28" s="22" t="str">
        <x:v>高速方向制約</x:v>
      </x:c>
      <x:c r="AB28" s="22" t="str">
        <x:v>維持</x:v>
      </x:c>
    </x:row>
    <x:row r="29" ht="44" customHeight="1">
      <x:c r="A29" s="22" t="str">
        <x:v>R049</x:v>
      </x:c>
      <x:c r="B29" s="22" t="str">
        <x:v>羽田河口から川崎港へ</x:v>
      </x:c>
      <x:c r="C29" s="22" t="str">
        <x:v>足湯／河口／工場夜景</x:v>
      </x:c>
      <x:c r="D29" s="22" t="str">
        <x:v>HANEDA INNOVATION CITY 足湯スカイデッキ</x:v>
      </x:c>
      <x:c r="E29" s="22" t="str">
        <x:v>ソラムナード羽田緑地</x:v>
      </x:c>
      <x:c r="F29" s="22"/>
      <x:c r="G29" s="22" t="str">
        <x:v>川崎マリエン</x:v>
      </x:c>
      <x:c r="H29" s="22" t="str">
        <x:v>90～135分</x:v>
      </x:c>
      <x:c r="I29" s="22" t="n">
        <x:v>5</x:v>
      </x:c>
      <x:c r="J29" s="22" t="n">
        <x:v>4</x:v>
      </x:c>
      <x:c r="K29" s="22" t="n">
        <x:v>135</x:v>
      </x:c>
      <x:c r="L29" s="22" t="n">
        <x:v>81</x:v>
      </x:c>
      <x:c r="M29" s="22" t="n">
        <x:v>83</x:v>
      </x:c>
      <x:c r="N29" s="22" t="n">
        <x:v>63</x:v>
      </x:c>
      <x:c r="O29" s="22" t="n">
        <x:v>61</x:v>
      </x:c>
      <x:c r="P29" s="22" t="n">
        <x:v>62</x:v>
      </x:c>
      <x:c r="Q29" s="22" t="n">
        <x:v>88</x:v>
      </x:c>
      <x:c r="R29" s="22" t="n">
        <x:v>52</x:v>
      </x:c>
      <x:c r="S29" s="22" t="n">
        <x:v>47</x:v>
      </x:c>
      <x:c r="T29" s="22" t="n">
        <x:v>67</x:v>
      </x:c>
      <x:c r="U29" s="22" t="str">
        <x:v>HIC P1に駐車し、足湯とソラムナードは徒歩連結。川崎マリエン展望室は21時まで。</x:v>
      </x:c>
      <x:c r="V29" s="95" t="e">
        <x:f>HYPERLINK("https://www.google.com/maps/dir/?api=1&amp;destination=%E5%B7%9D%E5%B4%8E%E3%83%9E%E3%83%AA%E3%82%A8%E3%83%B3&amp;travelmode=driving&amp;waypoints=HANEDA%20INNOVATION%20CITY%20%E8%B6%B3%E6%B9%AF%E3%82%B9%E3%82%AB%E3%82%A4%E3%83%87%E3%83%83%E3%82%AD%7C%E3%82%BD%E3%83%A9%E3%83%A0%E3%83%8A%E3%83%BC%E3%83%89%E7%BE%BD%E7%94%B0%E7%B7%91%E5%9C%B0","ルート開始")</x:f>
      </x:c>
      <x:c r="W29" s="22" t="n">
        <x:v>83</x:v>
      </x:c>
      <x:c r="X29" s="22" t="n">
        <x:v>58</x:v>
      </x:c>
      <x:c r="Y29" s="22" t="n">
        <x:v>24</x:v>
      </x:c>
      <x:c r="Z29" s="22" t="str">
        <x:v>川崎・工場夜景</x:v>
      </x:c>
      <x:c r="AA29" s="22" t="str">
        <x:v>通常</x:v>
      </x:c>
      <x:c r="AB29" s="22" t="str">
        <x:v>差替え済</x:v>
      </x:c>
    </x:row>
    <x:row r="30" ht="44" customHeight="1">
      <x:c r="A30" s="22" t="str">
        <x:v>R097</x:v>
      </x:c>
      <x:c r="B30" s="22" t="str">
        <x:v>浦安ベイ・24時間海辺線</x:v>
      </x:c>
      <x:c r="C30" s="22" t="str">
        <x:v>海／芝生／都市夜景</x:v>
      </x:c>
      <x:c r="D30" s="22" t="str">
        <x:v>高洲海浜公園</x:v>
      </x:c>
      <x:c r="E30" s="22" t="str">
        <x:v>浦安市総合公園</x:v>
      </x:c>
      <x:c r="F30" s="22" t="str">
        <x:v>葛西臨海公園</x:v>
      </x:c>
      <x:c r="G30" s="22" t="str">
        <x:v>潮風公園</x:v>
      </x:c>
      <x:c r="H30" s="22" t="str">
        <x:v>150～220分</x:v>
      </x:c>
      <x:c r="I30" s="22" t="n">
        <x:v>5</x:v>
      </x:c>
      <x:c r="J30" s="22" t="n">
        <x:v>4</x:v>
      </x:c>
      <x:c r="K30" s="22" t="n">
        <x:v>220</x:v>
      </x:c>
      <x:c r="L30" s="22" t="n">
        <x:v>77</x:v>
      </x:c>
      <x:c r="M30" s="22" t="n">
        <x:v>82</x:v>
      </x:c>
      <x:c r="N30" s="22" t="n">
        <x:v>63</x:v>
      </x:c>
      <x:c r="O30" s="22" t="n">
        <x:v>61</x:v>
      </x:c>
      <x:c r="P30" s="22" t="n">
        <x:v>86</x:v>
      </x:c>
      <x:c r="Q30" s="22" t="n">
        <x:v>64</x:v>
      </x:c>
      <x:c r="R30" s="22" t="n">
        <x:v>52</x:v>
      </x:c>
      <x:c r="S30" s="22" t="n">
        <x:v>54</x:v>
      </x:c>
      <x:c r="T30" s="22" t="n">
        <x:v>67</x:v>
      </x:c>
      <x:c r="U30" s="22" t="str">
        <x:v>高洲と浦安総合は終日駐車可能。海風が強い日は各地点の滞在を短縮。</x:v>
      </x:c>
      <x:c r="V30" s="95" t="e">
        <x:f>HYPERLINK("https://www.google.com/maps/dir/?api=1&amp;destination=%E6%BD%AE%E9%A2%A8%E5%85%AC%E5%9C%92&amp;travelmode=driving&amp;waypoints=%E9%AB%98%E6%B4%B2%E6%B5%B7%E6%B5%9C%E5%85%AC%E5%9C%92%7C%E6%B5%A6%E5%AE%89%E5%B8%82%E7%B7%8F%E5%90%88%E5%85%AC%E5%9C%92%7C%E8%91%9B%E8%A5%BF%E8%87%A8%E6%B5%B7%E5%85%AC%E5%9C%92","ルート開始")</x:f>
      </x:c>
      <x:c r="W30" s="22" t="n">
        <x:v>88</x:v>
      </x:c>
      <x:c r="X30" s="22" t="n">
        <x:v>77</x:v>
      </x:c>
      <x:c r="Y30" s="22" t="n">
        <x:v>0</x:v>
      </x:c>
      <x:c r="Z30" s="22" t="str">
        <x:v>東京港・水辺</x:v>
      </x:c>
      <x:c r="AA30" s="22" t="str">
        <x:v>通常</x:v>
      </x:c>
      <x:c r="AB30" s="22" t="str">
        <x:v>維持</x:v>
      </x:c>
    </x:row>
    <x:row r="31" ht="44" customHeight="1">
      <x:c r="A31" s="22" t="str">
        <x:v>R131</x:v>
      </x:c>
      <x:c r="B31" s="22" t="str">
        <x:v>東京近距離・運河と市場</x:v>
      </x:c>
      <x:c r="C31" s="22" t="str">
        <x:v>運河／道の駅／海</x:v>
      </x:c>
      <x:c r="D31" s="22" t="str">
        <x:v>東品川海上公園</x:v>
      </x:c>
      <x:c r="E31" s="22" t="str">
        <x:v>道の駅 いちかわ</x:v>
      </x:c>
      <x:c r="F31" s="22" t="str">
        <x:v>高洲海浜公園</x:v>
      </x:c>
      <x:c r="G31" s="22" t="str">
        <x:v>葛西海浜公園</x:v>
      </x:c>
      <x:c r="H31" s="22" t="str">
        <x:v>170～240分</x:v>
      </x:c>
      <x:c r="I31" s="22" t="n">
        <x:v>4</x:v>
      </x:c>
      <x:c r="J31" s="22" t="n">
        <x:v>4</x:v>
      </x:c>
      <x:c r="K31" s="22" t="n">
        <x:v>240</x:v>
      </x:c>
      <x:c r="L31" s="22" t="n">
        <x:v>75</x:v>
      </x:c>
      <x:c r="M31" s="22" t="n">
        <x:v>79</x:v>
      </x:c>
      <x:c r="N31" s="22" t="n">
        <x:v>63</x:v>
      </x:c>
      <x:c r="O31" s="22" t="n">
        <x:v>60</x:v>
      </x:c>
      <x:c r="P31" s="22" t="n">
        <x:v>86</x:v>
      </x:c>
      <x:c r="Q31" s="22" t="n">
        <x:v>63</x:v>
      </x:c>
      <x:c r="R31" s="22" t="n">
        <x:v>55</x:v>
      </x:c>
      <x:c r="S31" s="22" t="n">
        <x:v>56</x:v>
      </x:c>
      <x:c r="T31" s="22" t="n">
        <x:v>67</x:v>
      </x:c>
      <x:c r="U31" s="22" t="str">
        <x:v>東品川は専用駐車場なし。葛西の海浜立入時間・潮位を確認。</x:v>
      </x:c>
      <x:c r="V31" s="95" t="e">
        <x:f>HYPERLINK("https://www.google.com/maps/dir/?api=1&amp;destination=%E8%91%9B%E8%A5%BF%E6%B5%B7%E6%B5%9C%E5%85%AC%E5%9C%92&amp;travelmode=driving&amp;waypoints=%E6%9D%B1%E5%93%81%E5%B7%9D%E6%B5%B7%E4%B8%8A%E5%85%AC%E5%9C%92%7C%E9%81%93%E3%81%AE%E9%A7%85%20%E3%81%84%E3%81%A1%E3%81%8B%E3%82%8F%7C%E9%AB%98%E6%B4%B2%E6%B5%B7%E6%B5%9C%E5%85%AC%E5%9C%92","ルート開始")</x:f>
      </x:c>
      <x:c r="W31" s="22" t="n">
        <x:v>82</x:v>
      </x:c>
      <x:c r="X31" s="22" t="n">
        <x:v>100</x:v>
      </x:c>
      <x:c r="Y31" s="22" t="n">
        <x:v>0</x:v>
      </x:c>
      <x:c r="Z31" s="22" t="str">
        <x:v>東京港・水辺</x:v>
      </x:c>
      <x:c r="AA31" s="22" t="str">
        <x:v>通常</x:v>
      </x:c>
      <x:c r="AB31" s="22" t="str">
        <x:v>維持</x:v>
      </x:c>
    </x:row>
    <x:row r="32" ht="44" customHeight="1">
      <x:c r="A32" s="22" t="str">
        <x:v>R009</x:v>
      </x:c>
      <x:c r="B32" s="22" t="str">
        <x:v>金沢シーサイド</x:v>
      </x:c>
      <x:c r="C32" s="22" t="str">
        <x:v>人工海浜／島／静けさ</x:v>
      </x:c>
      <x:c r="D32" s="22" t="str">
        <x:v>本牧山頂公園</x:v>
      </x:c>
      <x:c r="E32" s="22" t="str">
        <x:v>海の公園</x:v>
      </x:c>
      <x:c r="F32" s="22"/>
      <x:c r="G32" s="22" t="str">
        <x:v>野島公園</x:v>
      </x:c>
      <x:c r="H32" s="22" t="str">
        <x:v>170～220分</x:v>
      </x:c>
      <x:c r="I32" s="22" t="n">
        <x:v>4</x:v>
      </x:c>
      <x:c r="J32" s="22" t="n">
        <x:v>4</x:v>
      </x:c>
      <x:c r="K32" s="22" t="n">
        <x:v>220</x:v>
      </x:c>
      <x:c r="L32" s="22" t="n">
        <x:v>70</x:v>
      </x:c>
      <x:c r="M32" s="22" t="n">
        <x:v>74</x:v>
      </x:c>
      <x:c r="N32" s="22" t="n">
        <x:v>58</x:v>
      </x:c>
      <x:c r="O32" s="22" t="n">
        <x:v>56</x:v>
      </x:c>
      <x:c r="P32" s="22" t="n">
        <x:v>81</x:v>
      </x:c>
      <x:c r="Q32" s="22" t="n">
        <x:v>58</x:v>
      </x:c>
      <x:c r="R32" s="22" t="n">
        <x:v>75</x:v>
      </x:c>
      <x:c r="S32" s="22" t="n">
        <x:v>60</x:v>
      </x:c>
      <x:c r="T32" s="22" t="n">
        <x:v>66</x:v>
      </x:c>
      <x:c r="U32" s="22" t="str">
        <x:v>野島公園23時閉鎖。潮干狩り期は避ける。</x:v>
      </x:c>
      <x:c r="V32" s="95" t="e">
        <x:f>HYPERLINK("https://www.google.com/maps/dir/?api=1&amp;destination=%E9%87%8E%E5%B3%B6%E5%85%AC%E5%9C%92&amp;travelmode=driving&amp;waypoints=%E6%9C%AC%E7%89%A7%E5%B1%B1%E9%A0%82%E5%85%AC%E5%9C%92%7C%E6%B5%B7%E3%81%AE%E5%85%AC%E5%9C%92","ルート開始")</x:f>
      </x:c>
      <x:c r="W32" s="22" t="n">
        <x:v>77</x:v>
      </x:c>
      <x:c r="X32" s="22" t="n">
        <x:v>76</x:v>
      </x:c>
      <x:c r="Y32" s="22" t="n">
        <x:v>3</x:v>
      </x:c>
      <x:c r="Z32" s="22" t="str">
        <x:v>東京港・水辺</x:v>
      </x:c>
      <x:c r="AA32" s="22" t="str">
        <x:v>通常</x:v>
      </x:c>
      <x:c r="AB32" s="22" t="str">
        <x:v>維持</x:v>
      </x:c>
    </x:row>
    <x:row r="33" ht="44" customHeight="1">
      <x:c r="A33" s="22" t="str">
        <x:v>R048</x:v>
      </x:c>
      <x:c r="B33" s="22" t="str">
        <x:v>東側・確実な休憩ルート</x:v>
      </x:c>
      <x:c r="C33" s="22" t="str">
        <x:v>公園／道の駅／夜間</x:v>
      </x:c>
      <x:c r="D33" s="22" t="str">
        <x:v>木場公園</x:v>
      </x:c>
      <x:c r="E33" s="22" t="str">
        <x:v>大島小松川公園</x:v>
      </x:c>
      <x:c r="F33" s="22"/>
      <x:c r="G33" s="22" t="str">
        <x:v>道の駅 いちかわ</x:v>
      </x:c>
      <x:c r="H33" s="22" t="str">
        <x:v>140～200分</x:v>
      </x:c>
      <x:c r="I33" s="22" t="n">
        <x:v>4</x:v>
      </x:c>
      <x:c r="J33" s="22" t="n">
        <x:v>4</x:v>
      </x:c>
      <x:c r="K33" s="22" t="n">
        <x:v>200</x:v>
      </x:c>
      <x:c r="L33" s="22" t="n">
        <x:v>74</x:v>
      </x:c>
      <x:c r="M33" s="22" t="n">
        <x:v>77</x:v>
      </x:c>
      <x:c r="N33" s="22" t="n">
        <x:v>61</x:v>
      </x:c>
      <x:c r="O33" s="22" t="n">
        <x:v>59</x:v>
      </x:c>
      <x:c r="P33" s="22" t="n">
        <x:v>59</x:v>
      </x:c>
      <x:c r="Q33" s="22" t="n">
        <x:v>61</x:v>
      </x:c>
      <x:c r="R33" s="22" t="n">
        <x:v>78</x:v>
      </x:c>
      <x:c r="S33" s="22" t="n">
        <x:v>55</x:v>
      </x:c>
      <x:c r="T33" s="22" t="n">
        <x:v>66</x:v>
      </x:c>
      <x:c r="U33" s="22" t="str">
        <x:v>木場・大島小松川の重複は、都心から外環方面へ段階的に休息を入れるため。</x:v>
      </x:c>
      <x:c r="V33" s="95" t="e">
        <x:f>HYPERLINK("https://www.google.com/maps/dir/?api=1&amp;destination=%E9%81%93%E3%81%AE%E9%A7%85%20%E3%81%84%E3%81%A1%E3%81%8B%E3%82%8F&amp;travelmode=driving&amp;waypoints=%E6%9C%A8%E5%A0%B4%E5%85%AC%E5%9C%92%7C%E5%A4%A7%E5%B3%B6%E5%B0%8F%E6%9D%BE%E5%B7%9D%E5%85%AC%E5%9C%92","ルート開始")</x:f>
      </x:c>
      <x:c r="W33" s="22" t="n">
        <x:v>85</x:v>
      </x:c>
      <x:c r="X33" s="22" t="n">
        <x:v>88</x:v>
      </x:c>
      <x:c r="Y33" s="22" t="n">
        <x:v>0</x:v>
      </x:c>
      <x:c r="Z33" s="22" t="str">
        <x:v>都市公園・休憩</x:v>
      </x:c>
      <x:c r="AA33" s="22" t="str">
        <x:v>通常</x:v>
      </x:c>
      <x:c r="AB33" s="22" t="str">
        <x:v>維持</x:v>
      </x:c>
    </x:row>
    <x:row r="34" ht="44" customHeight="1">
      <x:c r="A34" s="22" t="str">
        <x:v>R055</x:v>
      </x:c>
      <x:c r="B34" s="22" t="str">
        <x:v>鶴見・川崎近距離回復</x:v>
      </x:c>
      <x:c r="C34" s="22" t="str">
        <x:v>池／都市公園／河川</x:v>
      </x:c>
      <x:c r="D34" s="22" t="str">
        <x:v>県立三ツ池公園</x:v>
      </x:c>
      <x:c r="E34" s="22" t="str">
        <x:v>富士見公園</x:v>
      </x:c>
      <x:c r="F34" s="22"/>
      <x:c r="G34" s="22" t="str">
        <x:v>御幸公園</x:v>
      </x:c>
      <x:c r="H34" s="22" t="str">
        <x:v>120～170分</x:v>
      </x:c>
      <x:c r="I34" s="22" t="n">
        <x:v>3</x:v>
      </x:c>
      <x:c r="J34" s="22" t="n">
        <x:v>4</x:v>
      </x:c>
      <x:c r="K34" s="22" t="n">
        <x:v>170</x:v>
      </x:c>
      <x:c r="L34" s="22" t="n">
        <x:v>70</x:v>
      </x:c>
      <x:c r="M34" s="22" t="n">
        <x:v>70</x:v>
      </x:c>
      <x:c r="N34" s="22" t="n">
        <x:v>57</x:v>
      </x:c>
      <x:c r="O34" s="22" t="n">
        <x:v>55</x:v>
      </x:c>
      <x:c r="P34" s="22" t="n">
        <x:v>80</x:v>
      </x:c>
      <x:c r="Q34" s="22" t="n">
        <x:v>54</x:v>
      </x:c>
      <x:c r="R34" s="22" t="n">
        <x:v>77</x:v>
      </x:c>
      <x:c r="S34" s="22" t="n">
        <x:v>62</x:v>
      </x:c>
      <x:c r="T34" s="22" t="n">
        <x:v>66</x:v>
      </x:c>
      <x:c r="U34" s="22" t="str">
        <x:v>三ツ池公園駐車場閉鎖時刻を確認。</x:v>
      </x:c>
      <x:c r="V34" s="95" t="e">
        <x:f>HYPERLINK("https://www.google.com/maps/dir/?api=1&amp;destination=%E5%BE%A1%E5%B9%B8%E5%85%AC%E5%9C%92&amp;travelmode=driving&amp;waypoints=%E7%9C%8C%E7%AB%8B%E4%B8%89%E3%83%84%E6%B1%A0%E5%85%AC%E5%9C%92%7C%E5%AF%8C%E5%A3%AB%E8%A6%8B%E5%85%AC%E5%9C%92","ルート開始")</x:f>
      </x:c>
      <x:c r="W34" s="22" t="n">
        <x:v>73</x:v>
      </x:c>
      <x:c r="X34" s="22" t="n">
        <x:v>79</x:v>
      </x:c>
      <x:c r="Y34" s="22" t="n">
        <x:v>0</x:v>
      </x:c>
      <x:c r="Z34" s="22" t="str">
        <x:v>河川・多摩川</x:v>
      </x:c>
      <x:c r="AA34" s="22" t="str">
        <x:v>通常</x:v>
      </x:c>
      <x:c r="AB34" s="22" t="str">
        <x:v>維持</x:v>
      </x:c>
    </x:row>
    <x:row r="35" ht="44" customHeight="1">
      <x:c r="A35" s="22" t="str">
        <x:v>R073</x:v>
      </x:c>
      <x:c r="B35" s="22" t="str">
        <x:v>調布航空ナイト</x:v>
      </x:c>
      <x:c r="C35" s="22" t="str">
        <x:v>飛行機／航空史／24時間駐車</x:v>
      </x:c>
      <x:c r="D35" s="22" t="str">
        <x:v>武蔵野の森公園</x:v>
      </x:c>
      <x:c r="E35" s="22" t="str">
        <x:v>府中の森公園</x:v>
      </x:c>
      <x:c r="F35" s="22"/>
      <x:c r="G35" s="22" t="str">
        <x:v>桜ヶ丘公園 ゆうひの丘</x:v>
      </x:c>
      <x:c r="H35" s="22" t="str">
        <x:v>160～220分</x:v>
      </x:c>
      <x:c r="I35" s="22" t="n">
        <x:v>4</x:v>
      </x:c>
      <x:c r="J35" s="22" t="n">
        <x:v>4</x:v>
      </x:c>
      <x:c r="K35" s="22" t="n">
        <x:v>220</x:v>
      </x:c>
      <x:c r="L35" s="22" t="n">
        <x:v>74</x:v>
      </x:c>
      <x:c r="M35" s="22" t="n">
        <x:v>77</x:v>
      </x:c>
      <x:c r="N35" s="22" t="n">
        <x:v>61</x:v>
      </x:c>
      <x:c r="O35" s="22" t="n">
        <x:v>84</x:v>
      </x:c>
      <x:c r="P35" s="22" t="n">
        <x:v>59</x:v>
      </x:c>
      <x:c r="Q35" s="22" t="n">
        <x:v>61</x:v>
      </x:c>
      <x:c r="R35" s="22" t="n">
        <x:v>54</x:v>
      </x:c>
      <x:c r="S35" s="22" t="n">
        <x:v>53</x:v>
      </x:c>
      <x:c r="T35" s="22" t="n">
        <x:v>65</x:v>
      </x:c>
      <x:c r="U35" s="22" t="str">
        <x:v>武蔵野の森・府中の森は駐車場24時間。北南プロムナードは16:30閉鎖、ゆうひの丘は20時閉鎖。</x:v>
      </x:c>
      <x:c r="V35" s="95" t="e">
        <x:f>HYPERLINK("https://www.google.com/maps/dir/?api=1&amp;destination=%E6%A1%9C%E3%83%B6%E4%B8%98%E5%85%AC%E5%9C%92%20%E3%82%86%E3%81%86%E3%81%B2%E3%81%AE%E4%B8%98&amp;travelmode=driving&amp;waypoints=%E6%AD%A6%E8%94%B5%E9%87%8E%E3%81%AE%E6%A3%AE%E5%85%AC%E5%9C%92%7C%E5%BA%9C%E4%B8%AD%E3%81%AE%E6%A3%AE%E5%85%AC%E5%9C%92","ルート開始")</x:f>
      </x:c>
      <x:c r="W35" s="22" t="n">
        <x:v>82</x:v>
      </x:c>
      <x:c r="X35" s="22" t="n">
        <x:v>91</x:v>
      </x:c>
      <x:c r="Y35" s="22" t="n">
        <x:v>0</x:v>
      </x:c>
      <x:c r="Z35" s="22" t="str">
        <x:v>羽田・航空</x:v>
      </x:c>
      <x:c r="AA35" s="22" t="str">
        <x:v>通常</x:v>
      </x:c>
      <x:c r="AB35" s="22" t="str">
        <x:v>維持</x:v>
      </x:c>
    </x:row>
    <x:row r="36" ht="44" customHeight="1">
      <x:c r="A36" s="22" t="str">
        <x:v>R151</x:v>
      </x:c>
      <x:c r="B36" s="22" t="str">
        <x:v>新宿・庭園と明治建築</x:v>
      </x:c>
      <x:c r="C36" s="22" t="str">
        <x:v>大庭園／近代建築／明治史</x:v>
      </x:c>
      <x:c r="D36" s="22" t="str">
        <x:v>新宿御苑</x:v>
      </x:c>
      <x:c r="E36" s="22"/>
      <x:c r="F36" s="22"/>
      <x:c r="G36" s="22" t="str">
        <x:v>明治神宮外苑 聖徳記念絵画館</x:v>
      </x:c>
      <x:c r="H36" s="22" t="str">
        <x:v>160～230分</x:v>
      </x:c>
      <x:c r="I36" s="22" t="n">
        <x:v>1</x:v>
      </x:c>
      <x:c r="J36" s="22" t="n">
        <x:v>4</x:v>
      </x:c>
      <x:c r="K36" s="22" t="n">
        <x:v>230</x:v>
      </x:c>
      <x:c r="L36" s="22" t="n">
        <x:v>63</x:v>
      </x:c>
      <x:c r="M36" s="22" t="n">
        <x:v>61</x:v>
      </x:c>
      <x:c r="N36" s="22" t="n">
        <x:v>57</x:v>
      </x:c>
      <x:c r="O36" s="22" t="n">
        <x:v>52</x:v>
      </x:c>
      <x:c r="P36" s="22" t="n">
        <x:v>52</x:v>
      </x:c>
      <x:c r="Q36" s="22" t="n">
        <x:v>52</x:v>
      </x:c>
      <x:c r="R36" s="22" t="n">
        <x:v>89</x:v>
      </x:c>
      <x:c r="S36" s="22" t="n">
        <x:v>76</x:v>
      </x:c>
      <x:c r="T36" s="22" t="n">
        <x:v>63</x:v>
      </x:c>
      <x:c r="U36" s="22" t="str">
        <x:v>昼専用。新宿御苑の季節閉園時刻と、絵画館最終入館16:00を優先。水曜は絵画館休館。</x:v>
      </x:c>
      <x:c r="V36" s="95" t="e">
        <x:f>HYPERLINK("https://www.google.com/maps/dir/?api=1&amp;destination=%E6%98%8E%E6%B2%BB%E7%A5%9E%E5%AE%AE%E5%A4%96%E8%8B%91%20%E8%81%96%E5%BE%B3%E8%A8%98%E5%BF%B5%E7%B5%B5%E7%94%BB%E9%A4%A8&amp;travelmode=driving&amp;waypoints=%E6%96%B0%E5%AE%BF%E5%BE%A1%E8%8B%91","ルート開始")</x:f>
      </x:c>
      <x:c r="W36" s="22" t="n">
        <x:v>94</x:v>
      </x:c>
      <x:c r="X36" s="22" t="n">
        <x:v>96</x:v>
      </x:c>
      <x:c r="Y36" s="22" t="n">
        <x:v>0</x:v>
      </x:c>
      <x:c r="Z36" s="22" t="str">
        <x:v>Story・文化</x:v>
      </x:c>
      <x:c r="AA36" s="22" t="str">
        <x:v>休日半日・昼</x:v>
      </x:c>
      <x:c r="AB36" s="22" t="str">
        <x:v>新規</x:v>
      </x:c>
    </x:row>
    <x:row r="37">
      <x:c r="A37" s="22" t="str">
        <x:v>R089</x:v>
      </x:c>
      <x:c r="B37" s="22" t="str">
        <x:v>根岸湾工業景観</x:v>
      </x:c>
      <x:c r="C37" s="22" t="str">
        <x:v>工業湾岸／高台／港</x:v>
      </x:c>
      <x:c r="D37" s="22" t="str">
        <x:v>磯子海づり施設</x:v>
      </x:c>
      <x:c r="E37" s="22" t="str">
        <x:v>本牧山頂公園</x:v>
      </x:c>
      <x:c r="F37" s="22"/>
      <x:c r="G37" s="22" t="str">
        <x:v>横浜港シンボルタワー</x:v>
      </x:c>
      <x:c r="H37" s="22" t="str">
        <x:v>160～220分</x:v>
      </x:c>
      <x:c r="I37" s="22" t="n">
        <x:v>3</x:v>
      </x:c>
      <x:c r="J37" s="22" t="n">
        <x:v>4</x:v>
      </x:c>
      <x:c r="K37" s="22" t="n">
        <x:v>220</x:v>
      </x:c>
      <x:c r="L37" s="22" t="n">
        <x:v>64</x:v>
      </x:c>
      <x:c r="M37" s="22" t="n">
        <x:v>66</x:v>
      </x:c>
      <x:c r="N37" s="22" t="n">
        <x:v>55</x:v>
      </x:c>
      <x:c r="O37" s="22" t="n">
        <x:v>52</x:v>
      </x:c>
      <x:c r="P37" s="22" t="n">
        <x:v>77</x:v>
      </x:c>
      <x:c r="Q37" s="22" t="n">
        <x:v>81</x:v>
      </x:c>
      <x:c r="R37" s="22" t="n">
        <x:v>49</x:v>
      </x:c>
      <x:c r="S37" s="22" t="n">
        <x:v>52</x:v>
      </x:c>
      <x:c r="T37" s="22" t="n">
        <x:v>62</x:v>
      </x:c>
      <x:c r="U37" s="22" t="str">
        <x:v>各施設の閉場時刻を確認。工場岸壁・私道へ入らない。</x:v>
      </x:c>
      <x:c r="V37" s="22" t="e">
        <x:f>HYPERLINK("https://www.google.com/maps/dir/?api=1&amp;destination=%E6%A8%AA%E6%B5%9C%E6%B8%AF%E3%82%B7%E3%83%B3%E3%83%9C%E3%83%AB%E3%82%BF%E3%83%AF%E3%83%BC&amp;travelmode=driving&amp;waypoints=%E7%A3%AF%E5%AD%90%E6%B5%B7%E3%81%A5%E3%82%8A%E6%96%BD%E8%A8%AD%7C%E6%9C%AC%E7%89%A7%E5%B1%B1%E9%A0%82%E5%85%AC%E5%9C%92","ルート開始")</x:f>
      </x:c>
      <x:c r="W37" s="22" t="n">
        <x:v>81</x:v>
      </x:c>
      <x:c r="X37" s="22" t="n">
        <x:v>68</x:v>
      </x:c>
      <x:c r="Y37" s="22" t="n">
        <x:v>3</x:v>
      </x:c>
      <x:c r="Z37" s="22" t="str">
        <x:v>川崎・工場夜景</x:v>
      </x:c>
      <x:c r="AA37" s="22" t="str">
        <x:v>通常</x:v>
      </x:c>
      <x:c r="AB37" s="22" t="str">
        <x:v>維持</x:v>
      </x:c>
    </x:row>
    <x:row r="38">
      <x:c r="A38" s="22" t="str">
        <x:v>R121</x:v>
      </x:c>
      <x:c r="B38" s="22" t="str">
        <x:v>湾岸・干潟から運河へ</x:v>
      </x:c>
      <x:c r="C38" s="22" t="str">
        <x:v>干潟／海／運河</x:v>
      </x:c>
      <x:c r="D38" s="22" t="str">
        <x:v>葛西海浜公園</x:v>
      </x:c>
      <x:c r="E38" s="22" t="str">
        <x:v>葛西臨海公園</x:v>
      </x:c>
      <x:c r="F38" s="22" t="str">
        <x:v>東品川海上公園</x:v>
      </x:c>
      <x:c r="G38" s="22" t="str">
        <x:v>城南島海浜公園</x:v>
      </x:c>
      <x:c r="H38" s="22" t="str">
        <x:v>150～220分</x:v>
      </x:c>
      <x:c r="I38" s="22" t="n">
        <x:v>4</x:v>
      </x:c>
      <x:c r="J38" s="22" t="n">
        <x:v>4</x:v>
      </x:c>
      <x:c r="K38" s="22" t="n">
        <x:v>220</x:v>
      </x:c>
      <x:c r="L38" s="22" t="n">
        <x:v>70</x:v>
      </x:c>
      <x:c r="M38" s="22" t="n">
        <x:v>74</x:v>
      </x:c>
      <x:c r="N38" s="22" t="n">
        <x:v>58</x:v>
      </x:c>
      <x:c r="O38" s="22" t="n">
        <x:v>56</x:v>
      </x:c>
      <x:c r="P38" s="22" t="n">
        <x:v>81</x:v>
      </x:c>
      <x:c r="Q38" s="22" t="n">
        <x:v>58</x:v>
      </x:c>
      <x:c r="R38" s="22" t="n">
        <x:v>50</x:v>
      </x:c>
      <x:c r="S38" s="22" t="n">
        <x:v>53</x:v>
      </x:c>
      <x:c r="T38" s="22" t="n">
        <x:v>62</x:v>
      </x:c>
      <x:c r="U38" s="22" t="str">
        <x:v>葛西駐車場混雑時は高洲海浜公園へ差替え。東品川は時間貸し駐車場利用。</x:v>
      </x:c>
      <x:c r="V38" s="22" t="e">
        <x:f>HYPERLINK("https://www.google.com/maps/dir/?api=1&amp;destination=%E5%9F%8E%E5%8D%97%E5%B3%B6%E6%B5%B7%E6%B5%9C%E5%85%AC%E5%9C%92&amp;travelmode=driving&amp;waypoints=%E8%91%9B%E8%A5%BF%E6%B5%B7%E6%B5%9C%E5%85%AC%E5%9C%92%7C%E8%91%9B%E8%A5%BF%E8%87%A8%E6%B5%B7%E5%85%AC%E5%9C%92%7C%E6%9D%B1%E5%93%81%E5%B7%9D%E6%B5%B7%E4%B8%8A%E5%85%AC%E5%9C%92","ルート開始")</x:f>
      </x:c>
      <x:c r="W38" s="22" t="n">
        <x:v>78</x:v>
      </x:c>
      <x:c r="X38" s="22" t="n">
        <x:v>76</x:v>
      </x:c>
      <x:c r="Y38" s="22" t="n">
        <x:v>9</x:v>
      </x:c>
      <x:c r="Z38" s="22" t="str">
        <x:v>東京港・水辺</x:v>
      </x:c>
      <x:c r="AA38" s="22" t="str">
        <x:v>通常</x:v>
      </x:c>
      <x:c r="AB38" s="22" t="str">
        <x:v>維持</x:v>
      </x:c>
    </x:row>
    <x:row r="39">
      <x:c r="A39" s="22" t="str">
        <x:v>R137</x:v>
      </x:c>
      <x:c r="B39" s="22" t="str">
        <x:v>多摩川・休日ショート</x:v>
      </x:c>
      <x:c r="C39" s="22" t="str">
        <x:v>河川敷／橋／高台</x:v>
      </x:c>
      <x:c r="D39" s="22" t="str">
        <x:v>多摩川六郷橋緑地</x:v>
      </x:c>
      <x:c r="E39" s="22" t="str">
        <x:v>多摩川ガス橋緑地</x:v>
      </x:c>
      <x:c r="F39" s="22"/>
      <x:c r="G39" s="22" t="str">
        <x:v>多摩川浅間神社</x:v>
      </x:c>
      <x:c r="H39" s="22" t="str">
        <x:v>70～120分</x:v>
      </x:c>
      <x:c r="I39" s="22" t="n">
        <x:v>2</x:v>
      </x:c>
      <x:c r="J39" s="22" t="n">
        <x:v>4</x:v>
      </x:c>
      <x:c r="K39" s="22" t="n">
        <x:v>120</x:v>
      </x:c>
      <x:c r="L39" s="22" t="n">
        <x:v>72</x:v>
      </x:c>
      <x:c r="M39" s="22" t="n">
        <x:v>68</x:v>
      </x:c>
      <x:c r="N39" s="22" t="n">
        <x:v>59</x:v>
      </x:c>
      <x:c r="O39" s="22" t="n">
        <x:v>55</x:v>
      </x:c>
      <x:c r="P39" s="22" t="n">
        <x:v>80</x:v>
      </x:c>
      <x:c r="Q39" s="22" t="n">
        <x:v>52</x:v>
      </x:c>
      <x:c r="R39" s="22" t="n">
        <x:v>56</x:v>
      </x:c>
      <x:c r="S39" s="22" t="n">
        <x:v>58</x:v>
      </x:c>
      <x:c r="T39" s="22" t="n">
        <x:v>62</x:v>
      </x:c>
      <x:c r="U39" s="22" t="str">
        <x:v>河川敷駐車場は土日祝のみ。閉鎖時刻と増水情報を確認。</x:v>
      </x:c>
      <x:c r="V39" s="22" t="e">
        <x:f>HYPERLINK("https://www.google.com/maps/dir/?api=1&amp;destination=%E5%A4%9A%E6%91%A9%E5%B7%9D%E6%B5%85%E9%96%93%E7%A5%9E%E7%A4%BE&amp;travelmode=driving&amp;waypoints=%E5%A4%9A%E6%91%A9%E5%B7%9D%E5%85%AD%E9%83%B7%E6%A9%8B%E7%B7%91%E5%9C%B0%7C%E5%A4%9A%E6%91%A9%E5%B7%9D%E3%82%AC%E3%82%B9%E6%A9%8B%E7%B7%91%E5%9C%B0","ルート開始")</x:f>
      </x:c>
      <x:c r="W39" s="22" t="n">
        <x:v>79</x:v>
      </x:c>
      <x:c r="X39" s="22" t="n">
        <x:v>85</x:v>
      </x:c>
      <x:c r="Y39" s="22" t="n">
        <x:v>0</x:v>
      </x:c>
      <x:c r="Z39" s="22" t="str">
        <x:v>東京港・水辺</x:v>
      </x:c>
      <x:c r="AA39" s="22" t="str">
        <x:v>休日専用</x:v>
      </x:c>
      <x:c r="AB39" s="22" t="str">
        <x:v>役割明記</x:v>
      </x:c>
    </x:row>
    <x:row r="40">
      <x:c r="A40" s="22" t="str">
        <x:v>R080</x:v>
      </x:c>
      <x:c r="B40" s="22" t="str">
        <x:v>深大寺から調布飛行場へ</x:v>
      </x:c>
      <x:c r="C40" s="22" t="str">
        <x:v>寺社Story／植物／飛行場</x:v>
      </x:c>
      <x:c r="D40" s="22" t="str">
        <x:v>神代植物公園・深大寺</x:v>
      </x:c>
      <x:c r="E40" s="22" t="str">
        <x:v>武蔵野の森公園</x:v>
      </x:c>
      <x:c r="F40" s="22"/>
      <x:c r="G40" s="22" t="str">
        <x:v>府中の森公園</x:v>
      </x:c>
      <x:c r="H40" s="22" t="str">
        <x:v>145～200分</x:v>
      </x:c>
      <x:c r="I40" s="22" t="n">
        <x:v>2</x:v>
      </x:c>
      <x:c r="J40" s="22" t="n">
        <x:v>4</x:v>
      </x:c>
      <x:c r="K40" s="22" t="n">
        <x:v>200</x:v>
      </x:c>
      <x:c r="L40" s="22" t="n">
        <x:v>66</x:v>
      </x:c>
      <x:c r="M40" s="22" t="n">
        <x:v>65</x:v>
      </x:c>
      <x:c r="N40" s="22" t="n">
        <x:v>57</x:v>
      </x:c>
      <x:c r="O40" s="22" t="n">
        <x:v>54</x:v>
      </x:c>
      <x:c r="P40" s="22" t="n">
        <x:v>54</x:v>
      </x:c>
      <x:c r="Q40" s="22" t="n">
        <x:v>54</x:v>
      </x:c>
      <x:c r="R40" s="22" t="n">
        <x:v>63</x:v>
      </x:c>
      <x:c r="S40" s="22" t="n">
        <x:v>66</x:v>
      </x:c>
      <x:c r="T40" s="22" t="n">
        <x:v>60</x:v>
      </x:c>
      <x:c r="U40" s="22" t="str">
        <x:v>昼～夕方専用。植物園閉園後は深大寺門前のみとし、武蔵野の森公園ではプロムナード16:30閉鎖に注意。</x:v>
      </x:c>
      <x:c r="V40" s="22" t="e">
        <x:f>HYPERLINK("https://www.google.com/maps/dir/?api=1&amp;destination=%E5%BA%9C%E4%B8%AD%E3%81%AE%E6%A3%AE%E5%85%AC%E5%9C%92&amp;travelmode=driving&amp;waypoints=%E7%A5%9E%E4%BB%A3%E6%A4%8D%E7%89%A9%E5%85%AC%E5%9C%92%E3%83%BB%E6%B7%B1%E5%A4%A7%E5%AF%BA%7C%E6%AD%A6%E8%94%B5%E9%87%8E%E3%81%AE%E6%A3%AE%E5%85%AC%E5%9C%92","ルート開始")</x:f>
      </x:c>
      <x:c r="W40" s="22" t="n">
        <x:v>88</x:v>
      </x:c>
      <x:c r="X40" s="22" t="n">
        <x:v>91</x:v>
      </x:c>
      <x:c r="Y40" s="22" t="n">
        <x:v>0</x:v>
      </x:c>
      <x:c r="Z40" s="22" t="str">
        <x:v>羽田・航空</x:v>
      </x:c>
      <x:c r="AA40" s="22" t="str">
        <x:v>昼専用</x:v>
      </x:c>
      <x:c r="AB40" s="22" t="str">
        <x:v>差替え済</x:v>
      </x:c>
    </x:row>
    <x:row r="41">
      <x:c r="A41" s="22" t="str">
        <x:v>R093</x:v>
      </x:c>
      <x:c r="B41" s="22" t="str">
        <x:v>東京北東24時間公園線</x:v>
      </x:c>
      <x:c r="C41" s="22" t="str">
        <x:v>遺跡／池／夜間</x:v>
      </x:c>
      <x:c r="D41" s="22" t="str">
        <x:v>城北中央公園</x:v>
      </x:c>
      <x:c r="E41" s="22" t="str">
        <x:v>舎人公園</x:v>
      </x:c>
      <x:c r="F41" s="22"/>
      <x:c r="G41" s="22" t="str">
        <x:v>東綾瀬公園</x:v>
      </x:c>
      <x:c r="H41" s="22" t="str">
        <x:v>150～210分</x:v>
      </x:c>
      <x:c r="I41" s="22" t="n">
        <x:v>4</x:v>
      </x:c>
      <x:c r="J41" s="22" t="n">
        <x:v>4</x:v>
      </x:c>
      <x:c r="K41" s="22" t="n">
        <x:v>210</x:v>
      </x:c>
      <x:c r="L41" s="22" t="n">
        <x:v>71</x:v>
      </x:c>
      <x:c r="M41" s="22" t="n">
        <x:v>74</x:v>
      </x:c>
      <x:c r="N41" s="22" t="n">
        <x:v>59</x:v>
      </x:c>
      <x:c r="O41" s="22" t="n">
        <x:v>56</x:v>
      </x:c>
      <x:c r="P41" s="22" t="n">
        <x:v>57</x:v>
      </x:c>
      <x:c r="Q41" s="22" t="n">
        <x:v>58</x:v>
      </x:c>
      <x:c r="R41" s="22" t="n">
        <x:v>51</x:v>
      </x:c>
      <x:c r="S41" s="22" t="n">
        <x:v>45</x:v>
      </x:c>
      <x:c r="T41" s="22" t="n">
        <x:v>59</x:v>
      </x:c>
      <x:c r="U41" s="22" t="str">
        <x:v>住宅地への騒音配慮。イベント時の満車は次地点へ進む。</x:v>
      </x:c>
      <x:c r="V41" s="22" t="e">
        <x:f>HYPERLINK("https://www.google.com/maps/dir/?api=1&amp;destination=%E6%9D%B1%E7%B6%BE%E7%80%AC%E5%85%AC%E5%9C%92&amp;travelmode=driving&amp;waypoints=%E5%9F%8E%E5%8C%97%E4%B8%AD%E5%A4%AE%E5%85%AC%E5%9C%92%7C%E8%88%8E%E4%BA%BA%E5%85%AC%E5%9C%92","ルート開始")</x:f>
      </x:c>
      <x:c r="W41" s="22" t="n">
        <x:v>78</x:v>
      </x:c>
      <x:c r="X41" s="22" t="n">
        <x:v>79</x:v>
      </x:c>
      <x:c r="Y41" s="22" t="n">
        <x:v>0</x:v>
      </x:c>
      <x:c r="Z41" s="22" t="str">
        <x:v>Story・文化</x:v>
      </x:c>
      <x:c r="AA41" s="22" t="str">
        <x:v>通常</x:v>
      </x:c>
      <x:c r="AB41" s="22" t="str">
        <x:v>維持</x:v>
      </x:c>
    </x:row>
    <x:row r="42">
      <x:c r="A42" s="22" t="str">
        <x:v>R008</x:v>
      </x:c>
      <x:c r="B42" s="22" t="str">
        <x:v>本牧ふ頭の行き止まり</x:v>
      </x:c>
      <x:c r="C42" s="22" t="str">
        <x:v>横浜港／ふ頭／船</x:v>
      </x:c>
      <x:c r="D42" s="22" t="str">
        <x:v>横浜港大さん橋</x:v>
      </x:c>
      <x:c r="E42" s="22" t="str">
        <x:v>本牧山頂公園</x:v>
      </x:c>
      <x:c r="F42" s="22"/>
      <x:c r="G42" s="22" t="str">
        <x:v>横浜港シンボルタワー</x:v>
      </x:c>
      <x:c r="H42" s="22" t="str">
        <x:v>150～200分</x:v>
      </x:c>
      <x:c r="I42" s="22" t="n">
        <x:v>3</x:v>
      </x:c>
      <x:c r="J42" s="22" t="n">
        <x:v>4</x:v>
      </x:c>
      <x:c r="K42" s="22" t="n">
        <x:v>200</x:v>
      </x:c>
      <x:c r="L42" s="22" t="n">
        <x:v>64</x:v>
      </x:c>
      <x:c r="M42" s="22" t="n">
        <x:v>66</x:v>
      </x:c>
      <x:c r="N42" s="22" t="n">
        <x:v>55</x:v>
      </x:c>
      <x:c r="O42" s="22" t="n">
        <x:v>52</x:v>
      </x:c>
      <x:c r="P42" s="22" t="n">
        <x:v>77</x:v>
      </x:c>
      <x:c r="Q42" s="22" t="n">
        <x:v>52</x:v>
      </x:c>
      <x:c r="R42" s="22" t="n">
        <x:v>49</x:v>
      </x:c>
      <x:c r="S42" s="22" t="n">
        <x:v>52</x:v>
      </x:c>
      <x:c r="T42" s="22" t="n">
        <x:v>58</x:v>
      </x:c>
      <x:c r="U42" s="22" t="str">
        <x:v>季節別閉場時間に合わせる夕方専用。</x:v>
      </x:c>
      <x:c r="V42" s="22" t="e">
        <x:f>HYPERLINK("https://www.google.com/maps/dir/?api=1&amp;destination=%E6%A8%AA%E6%B5%9C%E6%B8%AF%E3%82%B7%E3%83%B3%E3%83%9C%E3%83%AB%E3%82%BF%E3%83%AF%E3%83%BC&amp;travelmode=driving&amp;waypoints=%E6%A8%AA%E6%B5%9C%E6%B8%AF%E5%A4%A7%E3%81%95%E3%82%93%E6%A9%8B%7C%E6%9C%AC%E7%89%A7%E5%B1%B1%E9%A0%82%E5%85%AC%E5%9C%92","ルート開始")</x:f>
      </x:c>
      <x:c r="W42" s="22" t="n">
        <x:v>78</x:v>
      </x:c>
      <x:c r="X42" s="22" t="n">
        <x:v>68</x:v>
      </x:c>
      <x:c r="Y42" s="22" t="n">
        <x:v>3</x:v>
      </x:c>
      <x:c r="Z42" s="22" t="str">
        <x:v>東京港・水辺</x:v>
      </x:c>
      <x:c r="AA42" s="22" t="str">
        <x:v>通常</x:v>
      </x:c>
      <x:c r="AB42" s="22" t="str">
        <x:v>維持</x:v>
      </x:c>
    </x:row>
    <x:row r="43">
      <x:c r="A43" s="22" t="str">
        <x:v>R113</x:v>
      </x:c>
      <x:c r="B43" s="22" t="str">
        <x:v>川崎丘陵・古代と現代</x:v>
      </x:c>
      <x:c r="C43" s="22" t="str">
        <x:v>遺跡／森林／展望</x:v>
      </x:c>
      <x:c r="D43" s="22" t="str">
        <x:v>県立東高根森林公園</x:v>
      </x:c>
      <x:c r="E43" s="22" t="str">
        <x:v>生田緑地・枡形山展望台</x:v>
      </x:c>
      <x:c r="F43" s="22"/>
      <x:c r="G43" s="22" t="str">
        <x:v>夢見ヶ崎動物公園</x:v>
      </x:c>
      <x:c r="H43" s="22" t="str">
        <x:v>150～220分</x:v>
      </x:c>
      <x:c r="I43" s="22" t="n">
        <x:v>3</x:v>
      </x:c>
      <x:c r="J43" s="22" t="n">
        <x:v>4</x:v>
      </x:c>
      <x:c r="K43" s="22" t="n">
        <x:v>220</x:v>
      </x:c>
      <x:c r="L43" s="22" t="n">
        <x:v>64</x:v>
      </x:c>
      <x:c r="M43" s="22" t="n">
        <x:v>66</x:v>
      </x:c>
      <x:c r="N43" s="22" t="n">
        <x:v>54</x:v>
      </x:c>
      <x:c r="O43" s="22" t="n">
        <x:v>52</x:v>
      </x:c>
      <x:c r="P43" s="22" t="n">
        <x:v>52</x:v>
      </x:c>
      <x:c r="Q43" s="22" t="n">
        <x:v>52</x:v>
      </x:c>
      <x:c r="R43" s="22" t="n">
        <x:v>74</x:v>
      </x:c>
      <x:c r="S43" s="22" t="n">
        <x:v>51</x:v>
      </x:c>
      <x:c r="T43" s="22" t="n">
        <x:v>58</x:v>
      </x:c>
      <x:c r="U43" s="22" t="str">
        <x:v>東高根19時閉場。日没前に枡形山へ上がり、最後は近距離夜景。</x:v>
      </x:c>
      <x:c r="V43" s="22" t="e">
        <x:f>HYPERLINK("https://www.google.com/maps/dir/?api=1&amp;destination=%E5%A4%A2%E8%A6%8B%E3%83%B6%E5%B4%8E%E5%8B%95%E7%89%A9%E5%85%AC%E5%9C%92&amp;travelmode=driving&amp;waypoints=%E7%9C%8C%E7%AB%8B%E6%9D%B1%E9%AB%98%E6%A0%B9%E6%A3%AE%E6%9E%97%E5%85%AC%E5%9C%92%7C%E7%94%9F%E7%94%B0%E7%B7%91%E5%9C%B0%E3%83%BB%E6%9E%A1%E5%BD%A2%E5%B1%B1%E5%B1%95%E6%9C%9B%E5%8F%B0","ルート開始")</x:f>
      </x:c>
      <x:c r="W43" s="22" t="n">
        <x:v>74</x:v>
      </x:c>
      <x:c r="X43" s="22" t="n">
        <x:v>71</x:v>
      </x:c>
      <x:c r="Y43" s="22" t="n">
        <x:v>0</x:v>
      </x:c>
      <x:c r="Z43" s="22" t="str">
        <x:v>森林・高台</x:v>
      </x:c>
      <x:c r="AA43" s="22" t="str">
        <x:v>通常</x:v>
      </x:c>
      <x:c r="AB43" s="22" t="str">
        <x:v>維持</x:v>
      </x:c>
    </x:row>
    <x:row r="44">
      <x:c r="A44" s="22" t="str">
        <x:v>R119</x:v>
      </x:c>
      <x:c r="B44" s="22" t="str">
        <x:v>横浜・庭園と丘陵三層</x:v>
      </x:c>
      <x:c r="C44" s="22" t="str">
        <x:v>日本庭園／競馬場跡／丘陵</x:v>
      </x:c>
      <x:c r="D44" s="22" t="str">
        <x:v>三溪園</x:v>
      </x:c>
      <x:c r="E44" s="22" t="str">
        <x:v>根岸森林公園</x:v>
      </x:c>
      <x:c r="F44" s="22"/>
      <x:c r="G44" s="22" t="str">
        <x:v>金沢自然公園</x:v>
      </x:c>
      <x:c r="H44" s="22" t="str">
        <x:v>180～250分</x:v>
      </x:c>
      <x:c r="I44" s="22" t="n">
        <x:v>1</x:v>
      </x:c>
      <x:c r="J44" s="22" t="n">
        <x:v>4</x:v>
      </x:c>
      <x:c r="K44" s="22" t="n">
        <x:v>250</x:v>
      </x:c>
      <x:c r="L44" s="22" t="n">
        <x:v>60</x:v>
      </x:c>
      <x:c r="M44" s="22" t="n">
        <x:v>58</x:v>
      </x:c>
      <x:c r="N44" s="22" t="n">
        <x:v>54</x:v>
      </x:c>
      <x:c r="O44" s="22" t="n">
        <x:v>50</x:v>
      </x:c>
      <x:c r="P44" s="22" t="n">
        <x:v>50</x:v>
      </x:c>
      <x:c r="Q44" s="22" t="n">
        <x:v>49</x:v>
      </x:c>
      <x:c r="R44" s="22" t="n">
        <x:v>78</x:v>
      </x:c>
      <x:c r="S44" s="22" t="n">
        <x:v>55</x:v>
      </x:c>
      <x:c r="T44" s="22" t="n">
        <x:v>57</x:v>
      </x:c>
      <x:c r="U44" s="22" t="str">
        <x:v>午前開始の昼専用。三溪園の最終入園16:30と金沢自然公園の入庫締切を優先。</x:v>
      </x:c>
      <x:c r="V44" s="22" t="e">
        <x:f>HYPERLINK("https://www.google.com/maps/dir/?api=1&amp;destination=%E9%87%91%E6%B2%A2%E8%87%AA%E7%84%B6%E5%85%AC%E5%9C%92&amp;travelmode=driving&amp;waypoints=%E4%B8%89%E6%BA%AA%E5%9C%92%7C%E6%A0%B9%E5%B2%B8%E6%A3%AE%E6%9E%97%E5%85%AC%E5%9C%92","ルート開始")</x:f>
      </x:c>
      <x:c r="W44" s="22" t="n">
        <x:v>85</x:v>
      </x:c>
      <x:c r="X44" s="22" t="n">
        <x:v>88</x:v>
      </x:c>
      <x:c r="Y44" s="22" t="n">
        <x:v>0</x:v>
      </x:c>
      <x:c r="Z44" s="22" t="str">
        <x:v>森林・高台</x:v>
      </x:c>
      <x:c r="AA44" s="22" t="str">
        <x:v>昼専用</x:v>
      </x:c>
      <x:c r="AB44" s="22" t="str">
        <x:v>差替え済</x:v>
      </x:c>
    </x:row>
    <x:row r="45">
      <x:c r="A45" s="22" t="str">
        <x:v>R050</x:v>
      </x:c>
      <x:c r="B45" s="22" t="str">
        <x:v>鶴見から生田へ丘陵公園線</x:v>
      </x:c>
      <x:c r="C45" s="22" t="str">
        <x:v>池／森林／高台展望</x:v>
      </x:c>
      <x:c r="D45" s="22" t="str">
        <x:v>県立三ツ池公園</x:v>
      </x:c>
      <x:c r="E45" s="22" t="str">
        <x:v>県立東高根森林公園</x:v>
      </x:c>
      <x:c r="F45" s="22"/>
      <x:c r="G45" s="22" t="str">
        <x:v>生田緑地・枡形山展望台</x:v>
      </x:c>
      <x:c r="H45" s="22" t="str">
        <x:v>150～210分</x:v>
      </x:c>
      <x:c r="I45" s="22" t="n">
        <x:v>2</x:v>
      </x:c>
      <x:c r="J45" s="22" t="n">
        <x:v>4</x:v>
      </x:c>
      <x:c r="K45" s="22" t="n">
        <x:v>210</x:v>
      </x:c>
      <x:c r="L45" s="22" t="n">
        <x:v>60</x:v>
      </x:c>
      <x:c r="M45" s="22" t="n">
        <x:v>60</x:v>
      </x:c>
      <x:c r="N45" s="22" t="n">
        <x:v>53</x:v>
      </x:c>
      <x:c r="O45" s="22" t="n">
        <x:v>49</x:v>
      </x:c>
      <x:c r="P45" s="22" t="n">
        <x:v>49</x:v>
      </x:c>
      <x:c r="Q45" s="22" t="n">
        <x:v>49</x:v>
      </x:c>
      <x:c r="R45" s="22" t="n">
        <x:v>74</x:v>
      </x:c>
      <x:c r="S45" s="22" t="n">
        <x:v>52</x:v>
      </x:c>
      <x:c r="T45" s="22" t="n">
        <x:v>56</x:v>
      </x:c>
      <x:c r="U45" s="22" t="str">
        <x:v>昼～夕方専用。東高根森林公園は19時まで。枡形山展望台は日没前の到着を推奨。</x:v>
      </x:c>
      <x:c r="V45" s="22" t="e">
        <x:f>HYPERLINK("https://www.google.com/maps/dir/?api=1&amp;destination=%E7%94%9F%E7%94%B0%E7%B7%91%E5%9C%B0%E3%83%BB%E6%9E%A1%E5%BD%A2%E5%B1%B1%E5%B1%95%E6%9C%9B%E5%8F%B0&amp;travelmode=driving&amp;waypoints=%E7%9C%8C%E7%AB%8B%E4%B8%89%E3%83%84%E6%B1%A0%E5%85%AC%E5%9C%92%7C%E7%9C%8C%E7%AB%8B%E6%9D%B1%E9%AB%98%E6%A0%B9%E6%A3%AE%E6%9E%97%E5%85%AC%E5%9C%92","ルート開始")</x:f>
      </x:c>
      <x:c r="W45" s="22" t="n">
        <x:v>77</x:v>
      </x:c>
      <x:c r="X45" s="22" t="n">
        <x:v>71</x:v>
      </x:c>
      <x:c r="Y45" s="22" t="n">
        <x:v>0</x:v>
      </x:c>
      <x:c r="Z45" s="22" t="str">
        <x:v>森林・高台</x:v>
      </x:c>
      <x:c r="AA45" s="22" t="str">
        <x:v>昼専用</x:v>
      </x:c>
      <x:c r="AB45" s="22" t="str">
        <x:v>差替え済</x:v>
      </x:c>
    </x:row>
    <x:row r="46">
      <x:c r="A46" s="22" t="str">
        <x:v>R005</x:v>
      </x:c>
      <x:c r="B46" s="22" t="str">
        <x:v>東京港・環境再生ライン</x:v>
      </x:c>
      <x:c r="C46" s="22" t="str">
        <x:v>湿地／埋立地再生／橋景観</x:v>
      </x:c>
      <x:c r="D46" s="22" t="str">
        <x:v>東京港野鳥公園</x:v>
      </x:c>
      <x:c r="E46" s="22" t="str">
        <x:v>海の森公園</x:v>
      </x:c>
      <x:c r="F46" s="22"/>
      <x:c r="G46" s="22" t="str">
        <x:v>若洲海浜公園</x:v>
      </x:c>
      <x:c r="H46" s="22" t="str">
        <x:v>150～210分</x:v>
      </x:c>
      <x:c r="I46" s="22" t="n">
        <x:v>1</x:v>
      </x:c>
      <x:c r="J46" s="22" t="n">
        <x:v>4</x:v>
      </x:c>
      <x:c r="K46" s="22" t="n">
        <x:v>210</x:v>
      </x:c>
      <x:c r="L46" s="22" t="n">
        <x:v>57</x:v>
      </x:c>
      <x:c r="M46" s="22" t="n">
        <x:v>55</x:v>
      </x:c>
      <x:c r="N46" s="22" t="n">
        <x:v>52</x:v>
      </x:c>
      <x:c r="O46" s="22" t="n">
        <x:v>48</x:v>
      </x:c>
      <x:c r="P46" s="22" t="n">
        <x:v>48</x:v>
      </x:c>
      <x:c r="Q46" s="22" t="n">
        <x:v>47</x:v>
      </x:c>
      <x:c r="R46" s="22" t="n">
        <x:v>51</x:v>
      </x:c>
      <x:c r="S46" s="22" t="n">
        <x:v>45</x:v>
      </x:c>
      <x:c r="T46" s="22" t="n">
        <x:v>50</x:v>
      </x:c>
      <x:c r="U46" s="22" t="str">
        <x:v>昼専用。野鳥公園と海の森は17時まで。若洲駐車場は22時までだが、工事による一部利用休止を確認。</x:v>
      </x:c>
      <x:c r="V46" s="22" t="e">
        <x:f>HYPERLINK("https://www.google.com/maps/dir/?api=1&amp;destination=%E8%8B%A5%E6%B4%B2%E6%B5%B7%E6%B5%9C%E5%85%AC%E5%9C%92&amp;travelmode=driving&amp;waypoints=%E6%9D%B1%E4%BA%AC%E6%B8%AF%E9%87%8E%E9%B3%A5%E5%85%AC%E5%9C%92%7C%E6%B5%B7%E3%81%AE%E6%A3%AE%E5%85%AC%E5%9C%92","ルート開始")</x:f>
      </x:c>
      <x:c r="W46" s="22" t="n">
        <x:v>80</x:v>
      </x:c>
      <x:c r="X46" s="22" t="n">
        <x:v>79</x:v>
      </x:c>
      <x:c r="Y46" s="22" t="n">
        <x:v>0</x:v>
      </x:c>
      <x:c r="Z46" s="22" t="str">
        <x:v>東京港・水辺</x:v>
      </x:c>
      <x:c r="AA46" s="22" t="str">
        <x:v>昼専用</x:v>
      </x:c>
      <x:c r="AB46" s="22" t="str">
        <x:v>差替え済</x:v>
      </x:c>
    </x:row>
  </x:sheetData>
  <x:conditionalFormatting sqref="L2:T36">
    <x:cfRule type="colorScale" priority="1">
      <x:colorScale>
        <x:cfvo type="min"/>
        <x:cfvo type="percentile" val="50"/>
        <x:cfvo type="max"/>
        <x:color rgb="FFFEE2E2"/>
        <x:color rgb="FFFEF3C7"/>
        <x:color rgb="FFDCFCE7"/>
      </x:colorScale>
    </x:cfRule>
  </x:conditionalFormatting>
  <x:conditionalFormatting sqref="L2:W36">
    <x:cfRule type="colorScale" priority="2">
      <x:colorScale>
        <x:cfvo type="min"/>
        <x:cfvo type="percentile" val="50"/>
        <x:cfvo type="max"/>
        <x:color rgb="FFFEE2E2"/>
        <x:color rgb="FFFEF3C7"/>
        <x:color rgb="FFDCFCE7"/>
      </x:colorScale>
    </x:cfRule>
  </x:conditionalFormatting>
  <x:conditionalFormatting sqref="L2:Y38">
    <x:cfRule type="colorScale" priority="3">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edb08a7abcac4df4"/>
  </x:tableParts>
</x:worksheet>
</file>

<file path=xl/worksheets/sheet18.xml><?xml version="1.0" encoding="utf-8"?>
<x:worksheet xmlns:x="http://schemas.openxmlformats.org/spreadsheetml/2006/main">
  <x:sheetFormatPr defaultRowHeight="15"/>
  <x:cols>
    <x:col min="1" max="1" width="18" hidden="0" customWidth="1"/>
    <x:col min="2" max="2" width="13" hidden="0" customWidth="1"/>
    <x:col min="3" max="3" width="13" hidden="0" customWidth="1"/>
    <x:col min="4" max="4" width="13" hidden="0" customWidth="1"/>
    <x:col min="5" max="5" width="13" hidden="0" customWidth="1"/>
    <x:col min="6" max="6" width="15" hidden="0" customWidth="1"/>
    <x:col min="7" max="7" width="13" hidden="0" customWidth="1"/>
    <x:col min="8" max="8" width="13" hidden="0" customWidth="1"/>
    <x:col min="9" max="9" width="14" hidden="0" customWidth="1"/>
    <x:col min="10" max="10" width="16" hidden="0" customWidth="1"/>
  </x:cols>
  <x:sheetData>
    <x:row r="1">
      <x:c r="A1" s="179" t="str">
        <x:v>用途別採点ロジック｜v1</x:v>
      </x:c>
      <x:c r="B1" s="179"/>
      <x:c r="C1" s="179"/>
      <x:c r="D1" s="179"/>
      <x:c r="E1" s="179"/>
      <x:c r="F1" s="179"/>
      <x:c r="G1" s="179"/>
      <x:c r="H1" s="179"/>
      <x:c r="I1" s="179"/>
      <x:c r="J1" s="179"/>
    </x:row>
    <x:row r="2">
      <x:c r="A2" s="179"/>
      <x:c r="B2" s="179"/>
      <x:c r="C2" s="179"/>
      <x:c r="D2" s="179"/>
      <x:c r="E2" s="179"/>
      <x:c r="F2" s="179"/>
      <x:c r="G2" s="179"/>
      <x:c r="H2" s="179"/>
      <x:c r="I2" s="179"/>
      <x:c r="J2" s="179"/>
    </x:row>
    <x:row r="3">
      <x:c r="A3" s="22"/>
      <x:c r="B3" s="22"/>
      <x:c r="C3" s="22"/>
      <x:c r="D3" s="22"/>
      <x:c r="E3" s="22"/>
      <x:c r="F3" s="22"/>
      <x:c r="G3" s="22"/>
      <x:c r="H3" s="22"/>
      <x:c r="I3" s="22"/>
      <x:c r="J3" s="22"/>
    </x:row>
    <x:row r="4">
      <x:c r="A4" s="178" t="str">
        <x:v>用途</x:v>
      </x:c>
      <x:c r="B4" s="178" t="str">
        <x:v>距離</x:v>
      </x:c>
      <x:c r="C4" s="178" t="str">
        <x:v>夜間</x:v>
      </x:c>
      <x:c r="D4" s="178" t="str">
        <x:v>駐車</x:v>
      </x:c>
      <x:c r="E4" s="178" t="str">
        <x:v>閉場</x:v>
      </x:c>
      <x:c r="F4" s="178" t="str">
        <x:v>雨天/屋内</x:v>
      </x:c>
      <x:c r="G4" s="178" t="str">
        <x:v>車内</x:v>
      </x:c>
      <x:c r="H4" s="178" t="str">
        <x:v>穴場</x:v>
      </x:c>
      <x:c r="I4" s="178" t="str">
        <x:v>テーマ一致</x:v>
      </x:c>
      <x:c r="J4" s="178" t="str">
        <x:v>Story/滞在</x:v>
      </x:c>
    </x:row>
    <x:row r="5">
      <x:c r="A5" s="22" t="str">
        <x:v>平日夜90分</x:v>
      </x:c>
      <x:c r="B5" s="22" t="n">
        <x:v>25</x:v>
      </x:c>
      <x:c r="C5" s="22" t="n">
        <x:v>25</x:v>
      </x:c>
      <x:c r="D5" s="22" t="n">
        <x:v>15</x:v>
      </x:c>
      <x:c r="E5" s="22" t="n">
        <x:v>15</x:v>
      </x:c>
      <x:c r="F5" s="22" t="n">
        <x:v>0</x:v>
      </x:c>
      <x:c r="G5" s="22" t="n">
        <x:v>10</x:v>
      </x:c>
      <x:c r="H5" s="22" t="n">
        <x:v>10</x:v>
      </x:c>
      <x:c r="I5" s="22" t="n">
        <x:v>0</x:v>
      </x:c>
      <x:c r="J5" s="22" t="n">
        <x:v>0</x:v>
      </x:c>
    </x:row>
    <x:row r="6">
      <x:c r="A6" s="22" t="str">
        <x:v>深夜2時間</x:v>
      </x:c>
      <x:c r="B6" s="22" t="n">
        <x:v>15</x:v>
      </x:c>
      <x:c r="C6" s="22" t="n">
        <x:v>30</x:v>
      </x:c>
      <x:c r="D6" s="22" t="n">
        <x:v>20</x:v>
      </x:c>
      <x:c r="E6" s="22" t="n">
        <x:v>20</x:v>
      </x:c>
      <x:c r="F6" s="22" t="n">
        <x:v>0</x:v>
      </x:c>
      <x:c r="G6" s="22" t="n">
        <x:v>10</x:v>
      </x:c>
      <x:c r="H6" s="22" t="n">
        <x:v>5</x:v>
      </x:c>
      <x:c r="I6" s="22" t="n">
        <x:v>0</x:v>
      </x:c>
      <x:c r="J6" s="22" t="n">
        <x:v>0</x:v>
      </x:c>
    </x:row>
    <x:row r="7">
      <x:c r="A7" s="22" t="str">
        <x:v>雨天</x:v>
      </x:c>
      <x:c r="B7" s="22" t="n">
        <x:v>15</x:v>
      </x:c>
      <x:c r="C7" s="22" t="n">
        <x:v>0</x:v>
      </x:c>
      <x:c r="D7" s="22" t="n">
        <x:v>20</x:v>
      </x:c>
      <x:c r="E7" s="22" t="n">
        <x:v>10</x:v>
      </x:c>
      <x:c r="F7" s="22" t="n">
        <x:v>35</x:v>
      </x:c>
      <x:c r="G7" s="22" t="n">
        <x:v>10</x:v>
      </x:c>
      <x:c r="H7" s="22" t="n">
        <x:v>10</x:v>
      </x:c>
      <x:c r="I7" s="22" t="n">
        <x:v>0</x:v>
      </x:c>
      <x:c r="J7" s="22" t="n">
        <x:v>0</x:v>
      </x:c>
    </x:row>
    <x:row r="8">
      <x:c r="A8" s="22" t="str">
        <x:v>飛行機</x:v>
      </x:c>
      <x:c r="B8" s="22" t="n">
        <x:v>20</x:v>
      </x:c>
      <x:c r="C8" s="22" t="n">
        <x:v>15</x:v>
      </x:c>
      <x:c r="D8" s="22" t="n">
        <x:v>15</x:v>
      </x:c>
      <x:c r="E8" s="22" t="n">
        <x:v>0</x:v>
      </x:c>
      <x:c r="F8" s="22" t="n">
        <x:v>0</x:v>
      </x:c>
      <x:c r="G8" s="22" t="n">
        <x:v>10</x:v>
      </x:c>
      <x:c r="H8" s="22" t="n">
        <x:v>5</x:v>
      </x:c>
      <x:c r="I8" s="22" t="n">
        <x:v>35</x:v>
      </x:c>
      <x:c r="J8" s="22" t="n">
        <x:v>0</x:v>
      </x:c>
    </x:row>
    <x:row r="9">
      <x:c r="A9" s="22" t="str">
        <x:v>海・港</x:v>
      </x:c>
      <x:c r="B9" s="22" t="n">
        <x:v>15</x:v>
      </x:c>
      <x:c r="C9" s="22" t="n">
        <x:v>20</x:v>
      </x:c>
      <x:c r="D9" s="22" t="n">
        <x:v>15</x:v>
      </x:c>
      <x:c r="E9" s="22" t="n">
        <x:v>0</x:v>
      </x:c>
      <x:c r="F9" s="22" t="n">
        <x:v>0</x:v>
      </x:c>
      <x:c r="G9" s="22" t="n">
        <x:v>10</x:v>
      </x:c>
      <x:c r="H9" s="22" t="n">
        <x:v>5</x:v>
      </x:c>
      <x:c r="I9" s="22" t="n">
        <x:v>35</x:v>
      </x:c>
      <x:c r="J9" s="22" t="n">
        <x:v>0</x:v>
      </x:c>
    </x:row>
    <x:row r="10">
      <x:c r="A10" s="22" t="str">
        <x:v>工場夜景</x:v>
      </x:c>
      <x:c r="B10" s="22" t="n">
        <x:v>15</x:v>
      </x:c>
      <x:c r="C10" s="22" t="n">
        <x:v>20</x:v>
      </x:c>
      <x:c r="D10" s="22" t="n">
        <x:v>15</x:v>
      </x:c>
      <x:c r="E10" s="22" t="n">
        <x:v>0</x:v>
      </x:c>
      <x:c r="F10" s="22" t="n">
        <x:v>0</x:v>
      </x:c>
      <x:c r="G10" s="22" t="n">
        <x:v>10</x:v>
      </x:c>
      <x:c r="H10" s="22" t="n">
        <x:v>0</x:v>
      </x:c>
      <x:c r="I10" s="22" t="n">
        <x:v>40</x:v>
      </x:c>
      <x:c r="J10" s="22" t="n">
        <x:v>0</x:v>
      </x:c>
    </x:row>
    <x:row r="11">
      <x:c r="A11" s="22" t="str">
        <x:v>静かな場所</x:v>
      </x:c>
      <x:c r="B11" s="22" t="n">
        <x:v>20</x:v>
      </x:c>
      <x:c r="C11" s="22" t="n">
        <x:v>10</x:v>
      </x:c>
      <x:c r="D11" s="22" t="n">
        <x:v>15</x:v>
      </x:c>
      <x:c r="E11" s="22" t="n">
        <x:v>0</x:v>
      </x:c>
      <x:c r="F11" s="22" t="n">
        <x:v>0</x:v>
      </x:c>
      <x:c r="G11" s="22" t="n">
        <x:v>0</x:v>
      </x:c>
      <x:c r="H11" s="22" t="n">
        <x:v>20</x:v>
      </x:c>
      <x:c r="I11" s="22" t="n">
        <x:v>35</x:v>
      </x:c>
      <x:c r="J11" s="22" t="n">
        <x:v>0</x:v>
      </x:c>
    </x:row>
    <x:row r="12">
      <x:c r="A12" s="22" t="str">
        <x:v>休日半日</x:v>
      </x:c>
      <x:c r="B12" s="22" t="n">
        <x:v>10</x:v>
      </x:c>
      <x:c r="C12" s="22" t="n">
        <x:v>10</x:v>
      </x:c>
      <x:c r="D12" s="22" t="n">
        <x:v>15</x:v>
      </x:c>
      <x:c r="E12" s="22" t="n">
        <x:v>0</x:v>
      </x:c>
      <x:c r="F12" s="22" t="n">
        <x:v>5</x:v>
      </x:c>
      <x:c r="G12" s="22" t="n">
        <x:v>0</x:v>
      </x:c>
      <x:c r="H12" s="22" t="n">
        <x:v>10</x:v>
      </x:c>
      <x:c r="I12" s="22" t="n">
        <x:v>0</x:v>
      </x:c>
      <x:c r="J12" s="22" t="n">
        <x:v>50</x:v>
      </x:c>
    </x:row>
    <x:row r="13">
      <x:c r="A13" s="22" t="str">
        <x:v>注記</x:v>
      </x:c>
      <x:c r="B13" s="22" t="str">
        <x:v>各基礎点は1〜5</x:v>
      </x:c>
      <x:c r="C13" s="22" t="str">
        <x:v>用途点は0〜100へ換算</x:v>
      </x:c>
      <x:c r="D13" s="22" t="str">
        <x:v>閉場・駐車はOperational Truth</x:v>
      </x:c>
      <x:c r="E13" s="22" t="str">
        <x:v>スコアは候補選択補助であり安全保証ではない</x:v>
      </x:c>
      <x:c r="F13" s="22" t="str"/>
      <x:c r="G13" s="22" t="str"/>
      <x:c r="H13" s="22" t="str"/>
      <x:c r="I13" s="22" t="str"/>
      <x:c r="J13" s="22" t="str"/>
    </x:row>
    <x:row r="14">
      <x:c r="A14" s="22"/>
      <x:c r="B14" s="22"/>
      <x:c r="C14" s="22"/>
      <x:c r="D14" s="22"/>
      <x:c r="E14" s="22"/>
      <x:c r="F14" s="22"/>
      <x:c r="G14" s="22"/>
      <x:c r="H14" s="22"/>
      <x:c r="I14" s="22"/>
      <x:c r="J14" s="22"/>
    </x:row>
    <x:row r="15">
      <x:c r="A15" s="178" t="str">
        <x:v>基礎点</x:v>
      </x:c>
      <x:c r="B15" s="178" t="str">
        <x:v>5点</x:v>
      </x:c>
      <x:c r="C15" s="178" t="str">
        <x:v>4点</x:v>
      </x:c>
      <x:c r="D15" s="178" t="str">
        <x:v>3点</x:v>
      </x:c>
      <x:c r="E15" s="178" t="str">
        <x:v>2点</x:v>
      </x:c>
      <x:c r="F15" s="178" t="str">
        <x:v>1点</x:v>
      </x:c>
      <x:c r="G15" s="22"/>
      <x:c r="H15" s="22"/>
      <x:c r="I15" s="22"/>
      <x:c r="J15" s="22"/>
    </x:row>
    <x:row r="16">
      <x:c r="A16" s="22" t="str">
        <x:v>距離</x:v>
      </x:c>
      <x:c r="B16" s="22" t="str">
        <x:v>0〜10km</x:v>
      </x:c>
      <x:c r="C16" s="22" t="str">
        <x:v>10〜20km</x:v>
      </x:c>
      <x:c r="D16" s="22" t="str">
        <x:v>20〜25km</x:v>
      </x:c>
      <x:c r="E16" s="22" t="str">
        <x:v>25〜35km</x:v>
      </x:c>
      <x:c r="F16" s="22" t="str">
        <x:v>35km超</x:v>
      </x:c>
      <x:c r="G16" s="22"/>
      <x:c r="H16" s="22"/>
      <x:c r="I16" s="22"/>
      <x:c r="J16" s="22"/>
    </x:row>
    <x:row r="17">
      <x:c r="A17" s="22" t="str">
        <x:v>駐車</x:v>
      </x:c>
      <x:c r="B17" s="22" t="str">
        <x:v>24時間・大規模</x:v>
      </x:c>
      <x:c r="C17" s="22" t="str">
        <x:v>明確な専用駐車</x:v>
      </x:c>
      <x:c r="D17" s="22" t="str">
        <x:v>通常利用可</x:v>
      </x:c>
      <x:c r="E17" s="22" t="str">
        <x:v>小規模・時間貸し</x:v>
      </x:c>
      <x:c r="F17" s="22" t="str">
        <x:v>なし・駐車不可</x:v>
      </x:c>
      <x:c r="G17" s="22"/>
      <x:c r="H17" s="22"/>
      <x:c r="I17" s="22"/>
      <x:c r="J17" s="22"/>
    </x:row>
    <x:row r="18">
      <x:c r="A18" s="22" t="str">
        <x:v>閉場</x:v>
      </x:c>
      <x:c r="B18" s="22" t="str">
        <x:v>24時間・23時台</x:v>
      </x:c>
      <x:c r="C18" s="22" t="str">
        <x:v>22時台</x:v>
      </x:c>
      <x:c r="D18" s="22" t="str">
        <x:v>20〜21時台</x:v>
      </x:c>
      <x:c r="E18" s="22" t="str">
        <x:v>18〜19時台</x:v>
      </x:c>
      <x:c r="F18" s="22" t="str">
        <x:v>16〜17時台</x:v>
      </x:c>
      <x:c r="G18" s="22"/>
      <x:c r="H18" s="22"/>
      <x:c r="I18" s="22"/>
      <x:c r="J18" s="22"/>
    </x:row>
    <x:row r="19">
      <x:c r="A19" s="22" t="str">
        <x:v>雨天</x:v>
      </x:c>
      <x:c r="B19" s="22" t="str">
        <x:v>屋内中心</x:v>
      </x:c>
      <x:c r="C19" s="22" t="str">
        <x:v>屋根・施設あり</x:v>
      </x:c>
      <x:c r="D19" s="22" t="str">
        <x:v>一部対応</x:v>
      </x:c>
      <x:c r="E19" s="22" t="str">
        <x:v>屋外中心</x:v>
      </x:c>
      <x:c r="F19" s="22" t="str">
        <x:v>海・河川・森林</x:v>
      </x:c>
      <x:c r="G19" s="22"/>
      <x:c r="H19" s="22"/>
      <x:c r="I19" s="22"/>
      <x:c r="J19" s="22"/>
    </x:row>
    <x:row r="20">
      <x:c r="A20" s="22" t="str">
        <x:v>車内</x:v>
      </x:c>
      <x:c r="B20" s="22" t="str">
        <x:v>車内から主景観</x:v>
      </x:c>
      <x:c r="C20" s="22" t="str">
        <x:v>駐車場近接</x:v>
      </x:c>
      <x:c r="D20" s="22" t="str">
        <x:v>短い徒歩</x:v>
      </x:c>
      <x:c r="E20" s="22" t="str">
        <x:v>徒歩中心</x:v>
      </x:c>
      <x:c r="F20" s="22" t="str">
        <x:v>長い徒歩</x:v>
      </x:c>
      <x:c r="G20" s="22"/>
      <x:c r="H20" s="22"/>
      <x:c r="I20" s="22"/>
      <x:c r="J20" s="22"/>
    </x:row>
    <x:row r="21">
      <x:c r="A21" s="22" t="str">
        <x:v>一言判断</x:v>
      </x:c>
      <x:c r="B21" s="22" t="str">
        <x:v>今すぐ使える主力</x:v>
      </x:c>
      <x:c r="C21" s="22" t="str">
        <x:v>強い候補</x:v>
      </x:c>
      <x:c r="D21" s="22" t="str">
        <x:v>条件が合えば有力</x:v>
      </x:c>
      <x:c r="E21" s="22" t="str">
        <x:v>用途限定で有効</x:v>
      </x:c>
      <x:c r="F21" s="22" t="str">
        <x:v>補助候補</x:v>
      </x:c>
      <x:c r="G21" s="22"/>
      <x:c r="H21" s="22"/>
      <x:c r="I21" s="22"/>
      <x:c r="J21" s="22"/>
    </x:row>
    <x:row r="22">
      <x:c r="A22" s="22" t="str">
        <x:v>更新方針</x:v>
      </x:c>
      <x:c r="B22" s="22" t="str">
        <x:v>閉鎖・工事・営業時間変更時は再採点</x:v>
      </x:c>
      <x:c r="C22" s="22" t="str"/>
      <x:c r="D22" s="22" t="str"/>
      <x:c r="E22" s="22" t="str"/>
      <x:c r="F22" s="22" t="str"/>
      <x:c r="G22" s="22"/>
      <x:c r="H22" s="22"/>
      <x:c r="I22" s="22"/>
      <x:c r="J22" s="22"/>
    </x:row>
    <x:row r="23">
      <x:c r="A23" s="22" t="str">
        <x:v>確認日</x:v>
      </x:c>
      <x:c r="B23" s="23" t="n">
        <x:v>46232</x:v>
      </x:c>
      <x:c r="C23" s="22" t="str"/>
      <x:c r="D23" s="22" t="str"/>
      <x:c r="E23" s="22" t="str"/>
      <x:c r="F23" s="22" t="str"/>
      <x:c r="G23" s="22"/>
      <x:c r="H23" s="22"/>
      <x:c r="I23" s="22"/>
      <x:c r="J23" s="22"/>
    </x:row>
  </x:sheetData>
  <x:mergeCells>
    <x:mergeCell ref="A1:J2"/>
  </x:mergeCells>
  <x:pageMargins left="0.7" right="0.7" top="0.75" bottom="0.75" header="0.3" footer="0.3"/>
</x:worksheet>
</file>

<file path=xl/worksheets/sheet19.xml><?xml version="1.0" encoding="utf-8"?>
<x:worksheet xmlns:x="http://schemas.openxmlformats.org/spreadsheetml/2006/main">
  <x:sheetFormatPr defaultRowHeight="15"/>
  <x:cols>
    <x:col min="1" max="1" width="15" hidden="0" customWidth="1"/>
    <x:col min="2" max="2" width="28" hidden="0" customWidth="1"/>
    <x:col min="3" max="3" width="16" hidden="0" customWidth="1"/>
    <x:col min="4" max="4" width="10" hidden="0" customWidth="1"/>
    <x:col min="5" max="5" width="48" hidden="0" customWidth="1"/>
    <x:col min="6" max="6" width="28" hidden="0" customWidth="1"/>
    <x:col min="7" max="7" width="48" hidden="0" customWidth="1"/>
    <x:col min="8" max="8" width="13" hidden="0" customWidth="1"/>
  </x:cols>
  <x:sheetData>
    <x:row r="1">
      <x:c r="A1" s="365" t="str">
        <x:v>近距離ルートカード｜経由地多様性反映版</x:v>
      </x:c>
      <x:c r="B1" s="365"/>
      <x:c r="C1" s="365"/>
      <x:c r="D1" s="365"/>
      <x:c r="E1" s="365"/>
      <x:c r="F1" s="365"/>
      <x:c r="G1" s="365"/>
      <x:c r="H1" s="365"/>
      <x:c r="I1" s="365"/>
      <x:c r="J1" s="365"/>
      <x:c r="K1" s="365"/>
    </x:row>
    <x:row r="2">
      <x:c r="A2" s="365"/>
      <x:c r="B2" s="365"/>
      <x:c r="C2" s="365"/>
      <x:c r="D2" s="365"/>
      <x:c r="E2" s="365"/>
      <x:c r="F2" s="365"/>
      <x:c r="G2" s="365"/>
      <x:c r="H2" s="365"/>
      <x:c r="I2" s="365"/>
      <x:c r="J2" s="365"/>
      <x:c r="K2" s="365"/>
    </x:row>
    <x:row r="4">
      <x:c r="A4" s="369" t="str">
        <x:v>用途</x:v>
      </x:c>
      <x:c r="B4" s="369" t="str">
        <x:v>推奨ルート</x:v>
      </x:c>
      <x:c r="C4" s="369" t="str">
        <x:v>総時間</x:v>
      </x:c>
      <x:c r="D4" s="369" t="str">
        <x:v>スコア</x:v>
      </x:c>
      <x:c r="E4" s="369" t="str">
        <x:v>経由地</x:v>
      </x:c>
      <x:c r="F4" s="369" t="str">
        <x:v>最終目的地</x:v>
      </x:c>
      <x:c r="G4" s="369" t="str">
        <x:v>経由地品質</x:v>
      </x:c>
      <x:c r="H4" s="369" t="str">
        <x:v>多様性</x:v>
      </x:c>
      <x:c r="I4" s="370" t="str">
        <x:v>使い回し罰</x:v>
      </x:c>
      <x:c r="J4" s="370" t="str">
        <x:v>注意事項</x:v>
      </x:c>
      <x:c r="K4" s="370" t="str">
        <x:v>Googleマップ</x:v>
      </x:c>
    </x:row>
    <x:row r="5" ht="42" customHeight="1">
      <x:c r="A5" s="22" t="str">
        <x:v>平日夜90分</x:v>
      </x:c>
      <x:c r="B5" s="22" t="str">
        <x:v>羽田・足湯から河口へ</x:v>
      </x:c>
      <x:c r="C5" s="22" t="str">
        <x:v>70～110分</x:v>
      </x:c>
      <x:c r="D5" s="22" t="n">
        <x:v>88</x:v>
      </x:c>
      <x:c r="E5" s="22" t="str">
        <x:v>HANEDA INNOVATION CITY 足湯スカイデッキ → ソラムナード羽田緑地</x:v>
      </x:c>
      <x:c r="F5" s="22" t="str">
        <x:v>羽田空港 第3ターミナル展望デッキ</x:v>
      </x:c>
      <x:c r="G5" s="22" t="n">
        <x:v>84</x:v>
      </x:c>
      <x:c r="H5" s="95" t="n">
        <x:v>52</x:v>
      </x:c>
      <x:c r="I5" s="22" t="n">
        <x:v>30</x:v>
      </x:c>
      <x:c r="J5" s="22" t="str">
        <x:v>平日夜の主力。HIC P1を利用し、ソラムナードは徒歩を含む。</x:v>
      </x:c>
      <x:c r="K5" s="22" t="e">
        <x:f>HYPERLINK("https://www.google.com/maps/dir/?api=1&amp;destination=%E7%BE%BD%E7%94%B0%E7%A9%BA%E6%B8%AF%20%E7%AC%AC3%E3%82%BF%E3%83%BC%E3%83%9F%E3%83%8A%E3%83%AB%E5%B1%95%E6%9C%9B%E3%83%87%E3%83%83%E3%82%AD&amp;travelmode=driving&amp;waypoints=HANEDA%20INNOVATION%20CITY%20%E8%B6%B3%E6%B9%AF%E3%82%B9%E3%82%AB%E3%82%A4%E3%83%87%E3%83%83%E3%82%AD%7C%E3%82%BD%E3%83%A9%E3%83%A0%E3%83%8A%E3%83%BC%E3%83%89%E7%BE%BD%E7%94%B0%E7%B7%91%E5%9C%B0","開始")</x:f>
      </x:c>
    </x:row>
    <x:row r="6" ht="42" customHeight="1">
      <x:c r="A6" s="22" t="str">
        <x:v>平日夜90分</x:v>
      </x:c>
      <x:c r="B6" s="22" t="str">
        <x:v>首都高ミニマム・ナイト</x:v>
      </x:c>
      <x:c r="C6" s="22" t="str">
        <x:v>75～110分</x:v>
      </x:c>
      <x:c r="D6" s="22" t="n">
        <x:v>84</x:v>
      </x:c>
      <x:c r="E6" s="22" t="str">
        <x:v>平和島PA（上り） → 芝浦PA</x:v>
      </x:c>
      <x:c r="F6" s="22" t="str">
        <x:v>辰巳第一PA</x:v>
      </x:c>
      <x:c r="G6" s="22" t="n">
        <x:v>81</x:v>
      </x:c>
      <x:c r="H6" s="95" t="n">
        <x:v>71</x:v>
      </x:c>
      <x:c r="I6" s="22" t="n">
        <x:v>0</x:v>
      </x:c>
      <x:c r="J6" s="22" t="str">
        <x:v>各PAの臨時閉鎖確認。短時間休憩だけに限定。</x:v>
      </x:c>
      <x:c r="K6" s="22" t="e">
        <x:f>HYPERLINK("https://www.google.com/maps/dir/?api=1&amp;destination=%E8%BE%B0%E5%B7%B3%E7%AC%AC%E4%B8%80PA&amp;travelmode=driving&amp;waypoints=%E5%B9%B3%E5%92%8C%E5%B3%B6PA%EF%BC%88%E4%B8%8A%E3%82%8A%EF%BC%89%7C%E8%8A%9D%E6%B5%A6PA","開始")</x:f>
      </x:c>
    </x:row>
    <x:row r="7" ht="42" customHeight="1">
      <x:c r="A7" s="22" t="str">
        <x:v>平日夜90分</x:v>
      </x:c>
      <x:c r="B7" s="22" t="str">
        <x:v>平日夜90分・最短リセット</x:v>
      </x:c>
      <x:c r="C7" s="22" t="str">
        <x:v>75～110分</x:v>
      </x:c>
      <x:c r="D7" s="22" t="n">
        <x:v>84</x:v>
      </x:c>
      <x:c r="E7" s="22" t="str">
        <x:v>森ケ崎公園 → HANEDA INNOVATION CITY 足湯スカイデッキ</x:v>
      </x:c>
      <x:c r="F7" s="22" t="str">
        <x:v>羽田空港 第3ターミナル展望デッキ</x:v>
      </x:c>
      <x:c r="G7" s="22" t="n">
        <x:v>81</x:v>
      </x:c>
      <x:c r="H7" s="95" t="n">
        <x:v>52</x:v>
      </x:c>
      <x:c r="I7" s="22" t="n">
        <x:v>30</x:v>
      </x:c>
      <x:c r="J7" s="22" t="str">
        <x:v>森ケ崎閉園に間に合わなければHICから開始。</x:v>
      </x:c>
      <x:c r="K7" s="22" t="e">
        <x:f>HYPERLINK("https://www.google.com/maps/dir/?api=1&amp;destination=%E7%BE%BD%E7%94%B0%E7%A9%BA%E6%B8%AF%20%E7%AC%AC3%E3%82%BF%E3%83%BC%E3%83%9F%E3%83%8A%E3%83%AB%E5%B1%95%E6%9C%9B%E3%83%87%E3%83%83%E3%82%AD&amp;travelmode=driving&amp;waypoints=%E6%A3%AE%E3%82%B1%E5%B4%8E%E5%85%AC%E5%9C%92%7CHANEDA%20INNOVATION%20CITY%20%E8%B6%B3%E6%B9%AF%E3%82%B9%E3%82%AB%E3%82%A4%E3%83%87%E3%83%83%E3%82%AD","開始")</x:f>
      </x:c>
    </x:row>
    <x:row r="8" ht="42" customHeight="1">
      <x:c r="A8" s="22" t="str">
        <x:v>深夜2時間</x:v>
      </x:c>
      <x:c r="B8" s="22" t="str">
        <x:v>羽田・足湯から河口へ</x:v>
      </x:c>
      <x:c r="C8" s="22" t="str">
        <x:v>70～110分</x:v>
      </x:c>
      <x:c r="D8" s="22" t="n">
        <x:v>88</x:v>
      </x:c>
      <x:c r="E8" s="22" t="str">
        <x:v>HANEDA INNOVATION CITY 足湯スカイデッキ → ソラムナード羽田緑地</x:v>
      </x:c>
      <x:c r="F8" s="22" t="str">
        <x:v>羽田空港 第3ターミナル展望デッキ</x:v>
      </x:c>
      <x:c r="G8" s="22" t="n">
        <x:v>84</x:v>
      </x:c>
      <x:c r="H8" s="95" t="n">
        <x:v>52</x:v>
      </x:c>
      <x:c r="I8" s="22" t="n">
        <x:v>30</x:v>
      </x:c>
      <x:c r="J8" s="22" t="str">
        <x:v>平日夜の主力。HIC P1を利用し、ソラムナードは徒歩を含む。</x:v>
      </x:c>
      <x:c r="K8" s="22" t="e">
        <x:f>HYPERLINK("https://www.google.com/maps/dir/?api=1&amp;destination=%E7%BE%BD%E7%94%B0%E7%A9%BA%E6%B8%AF%20%E7%AC%AC3%E3%82%BF%E3%83%BC%E3%83%9F%E3%83%8A%E3%83%AB%E5%B1%95%E6%9C%9B%E3%83%87%E3%83%83%E3%82%AD&amp;travelmode=driving&amp;waypoints=HANEDA%20INNOVATION%20CITY%20%E8%B6%B3%E6%B9%AF%E3%82%B9%E3%82%AB%E3%82%A4%E3%83%87%E3%83%83%E3%82%AD%7C%E3%82%BD%E3%83%A9%E3%83%A0%E3%83%8A%E3%83%BC%E3%83%89%E7%BE%BD%E7%94%B0%E7%B7%91%E5%9C%B0","開始")</x:f>
      </x:c>
    </x:row>
    <x:row r="9" ht="42" customHeight="1">
      <x:c r="A9" s="22" t="str">
        <x:v>深夜2時間</x:v>
      </x:c>
      <x:c r="B9" s="22" t="str">
        <x:v>浦安ベイ・24時間海辺線</x:v>
      </x:c>
      <x:c r="C9" s="22" t="str">
        <x:v>150～220分</x:v>
      </x:c>
      <x:c r="D9" s="22" t="n">
        <x:v>86</x:v>
      </x:c>
      <x:c r="E9" s="22" t="str">
        <x:v>高洲海浜公園 → 浦安市総合公園 → 葛西臨海公園</x:v>
      </x:c>
      <x:c r="F9" s="22" t="str">
        <x:v>潮風公園</x:v>
      </x:c>
      <x:c r="G9" s="22" t="n">
        <x:v>88</x:v>
      </x:c>
      <x:c r="H9" s="95" t="n">
        <x:v>77</x:v>
      </x:c>
      <x:c r="I9" s="22" t="n">
        <x:v>0</x:v>
      </x:c>
      <x:c r="J9" s="22" t="str">
        <x:v>高洲と浦安総合は終日駐車可能。海風が強い日は各地点の滞在を短縮。</x:v>
      </x:c>
      <x:c r="K9" s="22" t="e">
        <x:f>HYPERLINK("https://www.google.com/maps/dir/?api=1&amp;destination=%E6%BD%AE%E9%A2%A8%E5%85%AC%E5%9C%92&amp;travelmode=driving&amp;waypoints=%E9%AB%98%E6%B4%B2%E6%B5%B7%E6%B5%9C%E5%85%AC%E5%9C%92%7C%E6%B5%A6%E5%AE%89%E5%B8%82%E7%B7%8F%E5%90%88%E5%85%AC%E5%9C%92%7C%E8%91%9B%E8%A5%BF%E8%87%A8%E6%B5%B7%E5%85%AC%E5%9C%92","開始")</x:f>
      </x:c>
    </x:row>
    <x:row r="10" ht="42" customHeight="1">
      <x:c r="A10" s="22" t="str">
        <x:v>深夜2時間</x:v>
      </x:c>
      <x:c r="B10" s="22" t="str">
        <x:v>首都高ミニマム・ナイト</x:v>
      </x:c>
      <x:c r="C10" s="22" t="str">
        <x:v>75～110分</x:v>
      </x:c>
      <x:c r="D10" s="22" t="n">
        <x:v>84</x:v>
      </x:c>
      <x:c r="E10" s="22" t="str">
        <x:v>平和島PA（上り） → 芝浦PA</x:v>
      </x:c>
      <x:c r="F10" s="22" t="str">
        <x:v>辰巳第一PA</x:v>
      </x:c>
      <x:c r="G10" s="22" t="n">
        <x:v>81</x:v>
      </x:c>
      <x:c r="H10" s="95" t="n">
        <x:v>71</x:v>
      </x:c>
      <x:c r="I10" s="22" t="n">
        <x:v>0</x:v>
      </x:c>
      <x:c r="J10" s="22" t="str">
        <x:v>各PAの臨時閉鎖確認。短時間休憩だけに限定。</x:v>
      </x:c>
      <x:c r="K10" s="22" t="e">
        <x:f>HYPERLINK("https://www.google.com/maps/dir/?api=1&amp;destination=%E8%BE%B0%E5%B7%B3%E7%AC%AC%E4%B8%80PA&amp;travelmode=driving&amp;waypoints=%E5%B9%B3%E5%92%8C%E5%B3%B6PA%EF%BC%88%E4%B8%8A%E3%82%8A%EF%BC%89%7C%E8%8A%9D%E6%B5%A6PA","開始")</x:f>
      </x:c>
    </x:row>
    <x:row r="11" ht="42" customHeight="1">
      <x:c r="A11" s="22" t="str">
        <x:v>雨天</x:v>
      </x:c>
      <x:c r="B11" s="22" t="str">
        <x:v>首都高ミニマム・ナイト</x:v>
      </x:c>
      <x:c r="C11" s="22" t="str">
        <x:v>75～110分</x:v>
      </x:c>
      <x:c r="D11" s="22" t="n">
        <x:v>85</x:v>
      </x:c>
      <x:c r="E11" s="22" t="str">
        <x:v>平和島PA（上り） → 芝浦PA</x:v>
      </x:c>
      <x:c r="F11" s="22" t="str">
        <x:v>辰巳第一PA</x:v>
      </x:c>
      <x:c r="G11" s="22" t="n">
        <x:v>81</x:v>
      </x:c>
      <x:c r="H11" s="95" t="n">
        <x:v>71</x:v>
      </x:c>
      <x:c r="I11" s="22" t="n">
        <x:v>0</x:v>
      </x:c>
      <x:c r="J11" s="22" t="str">
        <x:v>各PAの臨時閉鎖確認。短時間休憩だけに限定。</x:v>
      </x:c>
      <x:c r="K11" s="22" t="e">
        <x:f>HYPERLINK("https://www.google.com/maps/dir/?api=1&amp;destination=%E8%BE%B0%E5%B7%B3%E7%AC%AC%E4%B8%80PA&amp;travelmode=driving&amp;waypoints=%E5%B9%B3%E5%92%8C%E5%B3%B6PA%EF%BC%88%E4%B8%8A%E3%82%8A%EF%BC%89%7C%E8%8A%9D%E6%B5%A6PA","開始")</x:f>
      </x:c>
    </x:row>
    <x:row r="12" ht="42" customHeight="1">
      <x:c r="A12" s="22" t="str">
        <x:v>雨天</x:v>
      </x:c>
      <x:c r="B12" s="22" t="str">
        <x:v>深夜2時間・羽田海辺</x:v>
      </x:c>
      <x:c r="C12" s="22" t="str">
        <x:v>80～120分</x:v>
      </x:c>
      <x:c r="D12" s="22" t="n">
        <x:v>84</x:v>
      </x:c>
      <x:c r="E12" s="22" t="str">
        <x:v>羽田空港 第3ターミナル展望デッキ → HANEDA INNOVATION CITY 足湯スカイデッキ</x:v>
      </x:c>
      <x:c r="F12" s="22" t="str">
        <x:v>城南島海浜公園</x:v>
      </x:c>
      <x:c r="G12" s="22" t="n">
        <x:v>81</x:v>
      </x:c>
      <x:c r="H12" s="95" t="n">
        <x:v>49</x:v>
      </x:c>
      <x:c r="I12" s="22" t="n">
        <x:v>30</x:v>
      </x:c>
      <x:c r="J12" s="22" t="str">
        <x:v>足湯23:30まで。城南島は夜間の利用可能区域・駐車場を当日確認。</x:v>
      </x:c>
      <x:c r="K12" s="22" t="e">
        <x:f>HYPERLINK("https://www.google.com/maps/dir/?api=1&amp;destination=%E5%9F%8E%E5%8D%97%E5%B3%B6%E6%B5%B7%E6%B5%9C%E5%85%AC%E5%9C%92&amp;travelmode=driving&amp;waypoints=%E7%BE%BD%E7%94%B0%E7%A9%BA%E6%B8%AF%20%E7%AC%AC3%E3%82%BF%E3%83%BC%E3%83%9F%E3%83%8A%E3%83%AB%E5%B1%95%E6%9C%9B%E3%83%87%E3%83%83%E3%82%AD%7CHANEDA%20INNOVATION%20CITY%20%E8%B6%B3%E6%B9%AF%E3%82%B9%E3%82%AB%E3%82%A4%E3%83%87%E3%83%83%E3%82%AD","開始")</x:f>
      </x:c>
    </x:row>
    <x:row r="13" ht="42" customHeight="1">
      <x:c r="A13" s="22" t="str">
        <x:v>雨天</x:v>
      </x:c>
      <x:c r="B13" s="22" t="str">
        <x:v>羽田3ターミナル比較</x:v>
      </x:c>
      <x:c r="C13" s="22" t="str">
        <x:v>100～150分</x:v>
      </x:c>
      <x:c r="D13" s="22" t="n">
        <x:v>83</x:v>
      </x:c>
      <x:c r="E13" s="22" t="str">
        <x:v>羽田空港 第1ターミナル展望デッキ → 羽田空港 第2ターミナル展望デッキ／FLIGHT DECK TOKYO</x:v>
      </x:c>
      <x:c r="F13" s="22" t="str">
        <x:v>羽田空港 第3ターミナル展望デッキ</x:v>
      </x:c>
      <x:c r="G13" s="22" t="n">
        <x:v>80</x:v>
      </x:c>
      <x:c r="H13" s="95" t="n">
        <x:v>59</x:v>
      </x:c>
      <x:c r="I13" s="22" t="n">
        <x:v>12</x:v>
      </x:c>
      <x:c r="J13" s="22" t="str">
        <x:v>P3/P4等に1回駐車し、ターミナル間は無料連絡バスを基本とする。駐車場を3回入り直さない。</x:v>
      </x:c>
      <x:c r="K13" s="22" t="e">
        <x:f>HYPERLINK("https://www.google.com/maps/dir/?api=1&amp;destination=%E7%BE%BD%E7%94%B0%E7%A9%BA%E6%B8%AF%20%E7%AC%AC3%E3%82%BF%E3%83%BC%E3%83%9F%E3%83%8A%E3%83%AB%E5%B1%95%E6%9C%9B%E3%83%87%E3%83%83%E3%82%AD&amp;travelmode=driving&amp;waypoints=%E7%BE%BD%E7%94%B0%E7%A9%BA%E6%B8%AF%20%E7%AC%AC1%E3%82%BF%E3%83%BC%E3%83%9F%E3%83%8A%E3%83%AB%E5%B1%95%E6%9C%9B%E3%83%87%E3%83%83%E3%82%AD%7C%E7%BE%BD%E7%94%B0%E7%A9%BA%E6%B8%AF%20%E7%AC%AC2%E3%82%BF%E3%83%BC%E3%83%9F%E3%83%8A%E3%83%AB%E5%B1%95%E6%9C%9B%E3%83%87%E3%83%83%E3%82%AD%EF%BC%8FFLIGHT%20DECK%20TOKYO","開始")</x:f>
      </x:c>
    </x:row>
    <x:row r="14" ht="42" customHeight="1">
      <x:c r="A14" s="22" t="str">
        <x:v>飛行機</x:v>
      </x:c>
      <x:c r="B14" s="22" t="str">
        <x:v>羽田・足湯から河口へ</x:v>
      </x:c>
      <x:c r="C14" s="22" t="str">
        <x:v>70～110分</x:v>
      </x:c>
      <x:c r="D14" s="22" t="n">
        <x:v>90</x:v>
      </x:c>
      <x:c r="E14" s="22" t="str">
        <x:v>HANEDA INNOVATION CITY 足湯スカイデッキ → ソラムナード羽田緑地</x:v>
      </x:c>
      <x:c r="F14" s="22" t="str">
        <x:v>羽田空港 第3ターミナル展望デッキ</x:v>
      </x:c>
      <x:c r="G14" s="22" t="n">
        <x:v>84</x:v>
      </x:c>
      <x:c r="H14" s="95" t="n">
        <x:v>52</x:v>
      </x:c>
      <x:c r="I14" s="22" t="n">
        <x:v>30</x:v>
      </x:c>
      <x:c r="J14" s="22" t="str">
        <x:v>平日夜の主力。HIC P1を利用し、ソラムナードは徒歩を含む。</x:v>
      </x:c>
      <x:c r="K14" s="22" t="e">
        <x:f>HYPERLINK("https://www.google.com/maps/dir/?api=1&amp;destination=%E7%BE%BD%E7%94%B0%E7%A9%BA%E6%B8%AF%20%E7%AC%AC3%E3%82%BF%E3%83%BC%E3%83%9F%E3%83%8A%E3%83%AB%E5%B1%95%E6%9C%9B%E3%83%87%E3%83%83%E3%82%AD&amp;travelmode=driving&amp;waypoints=HANEDA%20INNOVATION%20CITY%20%E8%B6%B3%E6%B9%AF%E3%82%B9%E3%82%AB%E3%82%A4%E3%83%87%E3%83%83%E3%82%AD%7C%E3%82%BD%E3%83%A9%E3%83%A0%E3%83%8A%E3%83%BC%E3%83%89%E7%BE%BD%E7%94%B0%E7%B7%91%E5%9C%B0","開始")</x:f>
      </x:c>
    </x:row>
    <x:row r="15" ht="42" customHeight="1">
      <x:c r="A15" s="22" t="str">
        <x:v>飛行機</x:v>
      </x:c>
      <x:c r="B15" s="22" t="str">
        <x:v>森ケ崎・屋上から足湯へ</x:v>
      </x:c>
      <x:c r="C15" s="22" t="str">
        <x:v>70～120分</x:v>
      </x:c>
      <x:c r="D15" s="22" t="n">
        <x:v>87</x:v>
      </x:c>
      <x:c r="E15" s="22" t="str">
        <x:v>森ケ崎公園 → ソラムナード羽田緑地</x:v>
      </x:c>
      <x:c r="F15" s="22" t="str">
        <x:v>HANEDA INNOVATION CITY 足湯スカイデッキ</x:v>
      </x:c>
      <x:c r="G15" s="22" t="n">
        <x:v>84</x:v>
      </x:c>
      <x:c r="H15" s="95" t="n">
        <x:v>61</x:v>
      </x:c>
      <x:c r="I15" s="22" t="n">
        <x:v>21</x:v>
      </x:c>
      <x:c r="J15" s="22" t="str">
        <x:v>森ケ崎の閉園時刻がHard Gate。最後は23:30まで。</x:v>
      </x:c>
      <x:c r="K15" s="22" t="e">
        <x:f>HYPERLINK("https://www.google.com/maps/dir/?api=1&amp;destination=HANEDA%20INNOVATION%20CITY%20%E8%B6%B3%E6%B9%AF%E3%82%B9%E3%82%AB%E3%82%A4%E3%83%87%E3%83%83%E3%82%AD&amp;travelmode=driving&amp;waypoints=%E6%A3%AE%E3%82%B1%E5%B4%8E%E5%85%AC%E5%9C%92%7C%E3%82%BD%E3%83%A9%E3%83%A0%E3%83%8A%E3%83%BC%E3%83%89%E7%BE%BD%E7%94%B0%E7%B7%91%E5%9C%B0","開始")</x:f>
      </x:c>
    </x:row>
    <x:row r="16" ht="42" customHeight="1">
      <x:c r="A16" s="22" t="str">
        <x:v>飛行機</x:v>
      </x:c>
      <x:c r="B16" s="22" t="str">
        <x:v>平日夜90分・最短リセット</x:v>
      </x:c>
      <x:c r="C16" s="22" t="str">
        <x:v>75～110分</x:v>
      </x:c>
      <x:c r="D16" s="22" t="n">
        <x:v>87</x:v>
      </x:c>
      <x:c r="E16" s="22" t="str">
        <x:v>森ケ崎公園 → HANEDA INNOVATION CITY 足湯スカイデッキ</x:v>
      </x:c>
      <x:c r="F16" s="22" t="str">
        <x:v>羽田空港 第3ターミナル展望デッキ</x:v>
      </x:c>
      <x:c r="G16" s="22" t="n">
        <x:v>81</x:v>
      </x:c>
      <x:c r="H16" s="95" t="n">
        <x:v>52</x:v>
      </x:c>
      <x:c r="I16" s="22" t="n">
        <x:v>30</x:v>
      </x:c>
      <x:c r="J16" s="22" t="str">
        <x:v>森ケ崎閉園に間に合わなければHICから開始。</x:v>
      </x:c>
      <x:c r="K16" s="22" t="e">
        <x:f>HYPERLINK("https://www.google.com/maps/dir/?api=1&amp;destination=%E7%BE%BD%E7%94%B0%E7%A9%BA%E6%B8%AF%20%E7%AC%AC3%E3%82%BF%E3%83%BC%E3%83%9F%E3%83%8A%E3%83%AB%E5%B1%95%E6%9C%9B%E3%83%87%E3%83%83%E3%82%AD&amp;travelmode=driving&amp;waypoints=%E6%A3%AE%E3%82%B1%E5%B4%8E%E5%85%AC%E5%9C%92%7CHANEDA%20INNOVATION%20CITY%20%E8%B6%B3%E6%B9%AF%E3%82%B9%E3%82%AB%E3%82%A4%E3%83%87%E3%83%83%E3%82%AD","開始")</x:f>
      </x:c>
    </x:row>
    <x:row r="17" ht="42" customHeight="1">
      <x:c r="A17" s="22" t="str">
        <x:v>海・港</x:v>
      </x:c>
      <x:c r="B17" s="22" t="str">
        <x:v>羽田・足湯から河口へ</x:v>
      </x:c>
      <x:c r="C17" s="22" t="str">
        <x:v>70～110分</x:v>
      </x:c>
      <x:c r="D17" s="22" t="n">
        <x:v>90</x:v>
      </x:c>
      <x:c r="E17" s="22" t="str">
        <x:v>HANEDA INNOVATION CITY 足湯スカイデッキ → ソラムナード羽田緑地</x:v>
      </x:c>
      <x:c r="F17" s="22" t="str">
        <x:v>羽田空港 第3ターミナル展望デッキ</x:v>
      </x:c>
      <x:c r="G17" s="22" t="n">
        <x:v>84</x:v>
      </x:c>
      <x:c r="H17" s="95" t="n">
        <x:v>52</x:v>
      </x:c>
      <x:c r="I17" s="22" t="n">
        <x:v>30</x:v>
      </x:c>
      <x:c r="J17" s="22" t="str">
        <x:v>平日夜の主力。HIC P1を利用し、ソラムナードは徒歩を含む。</x:v>
      </x:c>
      <x:c r="K17" s="22" t="e">
        <x:f>HYPERLINK("https://www.google.com/maps/dir/?api=1&amp;destination=%E7%BE%BD%E7%94%B0%E7%A9%BA%E6%B8%AF%20%E7%AC%AC3%E3%82%BF%E3%83%BC%E3%83%9F%E3%83%8A%E3%83%AB%E5%B1%95%E6%9C%9B%E3%83%87%E3%83%83%E3%82%AD&amp;travelmode=driving&amp;waypoints=HANEDA%20INNOVATION%20CITY%20%E8%B6%B3%E6%B9%AF%E3%82%B9%E3%82%AB%E3%82%A4%E3%83%87%E3%83%83%E3%82%AD%7C%E3%82%BD%E3%83%A9%E3%83%A0%E3%83%8A%E3%83%BC%E3%83%89%E7%BE%BD%E7%94%B0%E7%B7%91%E5%9C%B0","開始")</x:f>
      </x:c>
    </x:row>
    <x:row r="18" ht="42" customHeight="1">
      <x:c r="A18" s="22" t="str">
        <x:v>海・港</x:v>
      </x:c>
      <x:c r="B18" s="22" t="str">
        <x:v>浦安ベイ・24時間海辺線</x:v>
      </x:c>
      <x:c r="C18" s="22" t="str">
        <x:v>150～220分</x:v>
      </x:c>
      <x:c r="D18" s="22" t="n">
        <x:v>89</x:v>
      </x:c>
      <x:c r="E18" s="22" t="str">
        <x:v>高洲海浜公園 → 浦安市総合公園 → 葛西臨海公園</x:v>
      </x:c>
      <x:c r="F18" s="22" t="str">
        <x:v>潮風公園</x:v>
      </x:c>
      <x:c r="G18" s="22" t="n">
        <x:v>88</x:v>
      </x:c>
      <x:c r="H18" s="95" t="n">
        <x:v>77</x:v>
      </x:c>
      <x:c r="I18" s="22" t="n">
        <x:v>0</x:v>
      </x:c>
      <x:c r="J18" s="22" t="str">
        <x:v>高洲と浦安総合は終日駐車可能。海風が強い日は各地点の滞在を短縮。</x:v>
      </x:c>
      <x:c r="K18" s="22" t="e">
        <x:f>HYPERLINK("https://www.google.com/maps/dir/?api=1&amp;destination=%E6%BD%AE%E9%A2%A8%E5%85%AC%E5%9C%92&amp;travelmode=driving&amp;waypoints=%E9%AB%98%E6%B4%B2%E6%B5%B7%E6%B5%9C%E5%85%AC%E5%9C%92%7C%E6%B5%A6%E5%AE%89%E5%B8%82%E7%B7%8F%E5%90%88%E5%85%AC%E5%9C%92%7C%E8%91%9B%E8%A5%BF%E8%87%A8%E6%B5%B7%E5%85%AC%E5%9C%92","開始")</x:f>
      </x:c>
    </x:row>
    <x:row r="19" ht="42" customHeight="1">
      <x:c r="A19" s="22" t="str">
        <x:v>海・港</x:v>
      </x:c>
      <x:c r="B19" s="22" t="str">
        <x:v>お台場から豊洲の水際夜景</x:v>
      </x:c>
      <x:c r="C19" s="22" t="str">
        <x:v>90～140分</x:v>
      </x:c>
      <x:c r="D19" s="22" t="n">
        <x:v>86</x:v>
      </x:c>
      <x:c r="E19" s="22" t="str">
        <x:v>お台場海浜公園 → 豊洲ぐるり公園</x:v>
      </x:c>
      <x:c r="F19" s="22" t="str">
        <x:v>晴海ふ頭公園</x:v>
      </x:c>
      <x:c r="G19" s="22" t="n">
        <x:v>83</x:v>
      </x:c>
      <x:c r="H19" s="95" t="n">
        <x:v>71</x:v>
      </x:c>
      <x:c r="I19" s="22" t="n">
        <x:v>0</x:v>
      </x:c>
      <x:c r="J19" s="22" t="str">
        <x:v>24時間駐車地点中心。イベント開催時はお台場を潮風公園へ、豊洲を晴海へ即時差替え。</x:v>
      </x:c>
      <x:c r="K19" s="22" t="e">
        <x:f>HYPERLINK("https://www.google.com/maps/dir/?api=1&amp;destination=%E6%99%B4%E6%B5%B7%E3%81%B5%E9%A0%AD%E5%85%AC%E5%9C%92&amp;travelmode=driving&amp;waypoints=%E3%81%8A%E5%8F%B0%E5%A0%B4%E6%B5%B7%E6%B5%9C%E5%85%AC%E5%9C%92%7C%E8%B1%8A%E6%B4%B2%E3%81%90%E3%82%8B%E3%82%8A%E5%85%AC%E5%9C%92","開始")</x:f>
      </x:c>
    </x:row>
    <x:row r="20" ht="42" customHeight="1">
      <x:c r="A20" s="22" t="str">
        <x:v>工場夜景</x:v>
      </x:c>
      <x:c r="B20" s="22" t="str">
        <x:v>羽田から川崎工場夜景へ</x:v>
      </x:c>
      <x:c r="C20" s="22" t="str">
        <x:v>100～150分</x:v>
      </x:c>
      <x:c r="D20" s="22" t="n">
        <x:v>86</x:v>
      </x:c>
      <x:c r="E20" s="22" t="str">
        <x:v>HANEDA INNOVATION CITY 足湯スカイデッキ → 川崎マリエン</x:v>
      </x:c>
      <x:c r="F20" s="22" t="str">
        <x:v>東扇島西公園</x:v>
      </x:c>
      <x:c r="G20" s="22" t="n">
        <x:v>82</x:v>
      </x:c>
      <x:c r="H20" s="95" t="n">
        <x:v>61</x:v>
      </x:c>
      <x:c r="I20" s="22" t="n">
        <x:v>21</x:v>
      </x:c>
      <x:c r="J20" s="22" t="str">
        <x:v>川崎マリエン展望室は21時まで。遅れた場合はマリエンを省略し、24時間利用可能な東扇島西公園へ。</x:v>
      </x:c>
      <x:c r="K20" s="22" t="e">
        <x:f>HYPERLINK("https://www.google.com/maps/dir/?api=1&amp;destination=%E6%9D%B1%E6%89%87%E5%B3%B6%E8%A5%BF%E5%85%AC%E5%9C%92&amp;travelmode=driving&amp;waypoints=HANEDA%20INNOVATION%20CITY%20%E8%B6%B3%E6%B9%AF%E3%82%B9%E3%82%AB%E3%82%A4%E3%83%87%E3%83%83%E3%82%AD%7C%E5%B7%9D%E5%B4%8E%E3%83%9E%E3%83%AA%E3%82%A8%E3%83%B3","開始")</x:f>
      </x:c>
    </x:row>
    <x:row r="21" ht="42" customHeight="1">
      <x:c r="A21" s="22" t="str">
        <x:v>工場夜景</x:v>
      </x:c>
      <x:c r="B21" s="22" t="str">
        <x:v>羽田河口から川崎港へ</x:v>
      </x:c>
      <x:c r="C21" s="22" t="str">
        <x:v>90～135分</x:v>
      </x:c>
      <x:c r="D21" s="22" t="n">
        <x:v>86</x:v>
      </x:c>
      <x:c r="E21" s="22" t="str">
        <x:v>HANEDA INNOVATION CITY 足湯スカイデッキ → ソラムナード羽田緑地</x:v>
      </x:c>
      <x:c r="F21" s="22" t="str">
        <x:v>川崎マリエン</x:v>
      </x:c>
      <x:c r="G21" s="22" t="n">
        <x:v>83</x:v>
      </x:c>
      <x:c r="H21" s="95" t="n">
        <x:v>58</x:v>
      </x:c>
      <x:c r="I21" s="22" t="n">
        <x:v>24</x:v>
      </x:c>
      <x:c r="J21" s="22" t="str">
        <x:v>HIC P1に駐車し、足湯とソラムナードは徒歩連結。川崎マリエン展望室は21時まで。</x:v>
      </x:c>
      <x:c r="K21" s="22" t="e">
        <x:f>HYPERLINK("https://www.google.com/maps/dir/?api=1&amp;destination=%E5%B7%9D%E5%B4%8E%E3%83%9E%E3%83%AA%E3%82%A8%E3%83%B3&amp;travelmode=driving&amp;waypoints=HANEDA%20INNOVATION%20CITY%20%E8%B6%B3%E6%B9%AF%E3%82%B9%E3%82%AB%E3%82%A4%E3%83%87%E3%83%83%E3%82%AD%7C%E3%82%BD%E3%83%A9%E3%83%A0%E3%83%8A%E3%83%BC%E3%83%89%E7%BE%BD%E7%94%B0%E7%B7%91%E5%9C%B0","開始")</x:f>
      </x:c>
    </x:row>
    <x:row r="22" ht="42" customHeight="1">
      <x:c r="A22" s="22" t="str">
        <x:v>工場夜景</x:v>
      </x:c>
      <x:c r="B22" s="22" t="str">
        <x:v>根岸湾工業景観</x:v>
      </x:c>
      <x:c r="C22" s="22" t="str">
        <x:v>160～220分</x:v>
      </x:c>
      <x:c r="D22" s="22" t="n">
        <x:v>81</x:v>
      </x:c>
      <x:c r="E22" s="22" t="str">
        <x:v>磯子海づり施設 → 本牧山頂公園</x:v>
      </x:c>
      <x:c r="F22" s="22" t="str">
        <x:v>横浜港シンボルタワー</x:v>
      </x:c>
      <x:c r="G22" s="22" t="n">
        <x:v>81</x:v>
      </x:c>
      <x:c r="H22" s="95" t="n">
        <x:v>68</x:v>
      </x:c>
      <x:c r="I22" s="22" t="n">
        <x:v>3</x:v>
      </x:c>
      <x:c r="J22" s="22" t="str">
        <x:v>各施設の閉場時刻を確認。工場岸壁・私道へ入らない。</x:v>
      </x:c>
      <x:c r="K22" s="22" t="e">
        <x:f>HYPERLINK("https://www.google.com/maps/dir/?api=1&amp;destination=%E6%A8%AA%E6%B5%9C%E6%B8%AF%E3%82%B7%E3%83%B3%E3%83%9C%E3%83%AB%E3%82%BF%E3%83%AF%E3%83%BC&amp;travelmode=driving&amp;waypoints=%E7%A3%AF%E5%AD%90%E6%B5%B7%E3%81%A5%E3%82%8A%E6%96%BD%E8%A8%AD%7C%E6%9C%AC%E7%89%A7%E5%B1%B1%E9%A0%82%E5%85%AC%E5%9C%92","開始")</x:f>
      </x:c>
    </x:row>
    <x:row r="23" ht="42" customHeight="1">
      <x:c r="A23" s="22" t="str">
        <x:v>静かな場所</x:v>
      </x:c>
      <x:c r="B23" s="22" t="str">
        <x:v>横浜・庭園と丘陵三層</x:v>
      </x:c>
      <x:c r="C23" s="22" t="str">
        <x:v>180～250分</x:v>
      </x:c>
      <x:c r="D23" s="22" t="n">
        <x:v>86</x:v>
      </x:c>
      <x:c r="E23" s="22" t="str">
        <x:v>三溪園 → 根岸森林公園</x:v>
      </x:c>
      <x:c r="F23" s="22" t="str">
        <x:v>金沢自然公園</x:v>
      </x:c>
      <x:c r="G23" s="22" t="n">
        <x:v>85</x:v>
      </x:c>
      <x:c r="H23" s="95" t="n">
        <x:v>88</x:v>
      </x:c>
      <x:c r="I23" s="22" t="n">
        <x:v>0</x:v>
      </x:c>
      <x:c r="J23" s="22" t="str">
        <x:v>午前開始の昼専用。三溪園の最終入園16:30と金沢自然公園の入庫締切を優先。</x:v>
      </x:c>
      <x:c r="K23" s="22" t="e">
        <x:f>HYPERLINK("https://www.google.com/maps/dir/?api=1&amp;destination=%E9%87%91%E6%B2%A2%E8%87%AA%E7%84%B6%E5%85%AC%E5%9C%92&amp;travelmode=driving&amp;waypoints=%E4%B8%89%E6%BA%AA%E5%9C%92%7C%E6%A0%B9%E5%B2%B8%E6%A3%AE%E6%9E%97%E5%85%AC%E5%9C%92","開始")</x:f>
      </x:c>
    </x:row>
    <x:row r="24" ht="42" customHeight="1">
      <x:c r="A24" s="22" t="str">
        <x:v>静かな場所</x:v>
      </x:c>
      <x:c r="B24" s="22" t="str">
        <x:v>川崎Storyショート</x:v>
      </x:c>
      <x:c r="C24" s="22" t="str">
        <x:v>100～150分</x:v>
      </x:c>
      <x:c r="D24" s="22" t="n">
        <x:v>84</x:v>
      </x:c>
      <x:c r="E24" s="22" t="str">
        <x:v>大師公園 → 富士見公園</x:v>
      </x:c>
      <x:c r="F24" s="22" t="str">
        <x:v>夢見ヶ崎動物公園</x:v>
      </x:c>
      <x:c r="G24" s="22" t="n">
        <x:v>82</x:v>
      </x:c>
      <x:c r="H24" s="95" t="n">
        <x:v>82</x:v>
      </x:c>
      <x:c r="I24" s="22" t="n">
        <x:v>0</x:v>
      </x:c>
      <x:c r="J24" s="22" t="str">
        <x:v>川崎大師の祭事日は中止。</x:v>
      </x:c>
      <x:c r="K24" s="22" t="e">
        <x:f>HYPERLINK("https://www.google.com/maps/dir/?api=1&amp;destination=%E5%A4%A2%E8%A6%8B%E3%83%B6%E5%B4%8E%E5%8B%95%E7%89%A9%E5%85%AC%E5%9C%92&amp;travelmode=driving&amp;waypoints=%E5%A4%A7%E5%B8%AB%E5%85%AC%E5%9C%92%7C%E5%AF%8C%E5%A3%AB%E8%A6%8B%E5%85%AC%E5%9C%92","開始")</x:f>
      </x:c>
    </x:row>
    <x:row r="25" ht="42" customHeight="1">
      <x:c r="A25" s="22" t="str">
        <x:v>静かな場所</x:v>
      </x:c>
      <x:c r="B25" s="22" t="str">
        <x:v>東東京・水辺ナイト</x:v>
      </x:c>
      <x:c r="C25" s="22" t="str">
        <x:v>150～210分</x:v>
      </x:c>
      <x:c r="D25" s="22" t="n">
        <x:v>80</x:v>
      </x:c>
      <x:c r="E25" s="22" t="str">
        <x:v>木場公園 → 大島小松川公園</x:v>
      </x:c>
      <x:c r="F25" s="22" t="str">
        <x:v>篠崎公園</x:v>
      </x:c>
      <x:c r="G25" s="22" t="n">
        <x:v>87</x:v>
      </x:c>
      <x:c r="H25" s="95" t="n">
        <x:v>79</x:v>
      </x:c>
      <x:c r="I25" s="22" t="n">
        <x:v>0</x:v>
      </x:c>
      <x:c r="J25" s="22" t="str">
        <x:v>24時間駐車場をつなぐ夜間用。木場公園の重複採用は湾岸から東東京へ切り替える休憩点として有効。</x:v>
      </x:c>
      <x:c r="K25" s="22" t="e">
        <x:f>HYPERLINK("https://www.google.com/maps/dir/?api=1&amp;destination=%E7%AF%A0%E5%B4%8E%E5%85%AC%E5%9C%92&amp;travelmode=driving&amp;waypoints=%E6%9C%A8%E5%A0%B4%E5%85%AC%E5%9C%92%7C%E5%A4%A7%E5%B3%B6%E5%B0%8F%E6%9D%BE%E5%B7%9D%E5%85%AC%E5%9C%92","開始")</x:f>
      </x:c>
    </x:row>
    <x:row r="26" ht="42" customHeight="1">
      <x:c r="A26" s="22" t="str">
        <x:v>休日半日</x:v>
      </x:c>
      <x:c r="B26" s="22" t="str">
        <x:v>大森・海苔の海辺線</x:v>
      </x:c>
      <x:c r="C26" s="22" t="str">
        <x:v>80～130分</x:v>
      </x:c>
      <x:c r="D26" s="22" t="n">
        <x:v>78</x:v>
      </x:c>
      <x:c r="E26" s="22" t="str">
        <x:v>平和の森公園 → 大森ふるさとの浜辺公園</x:v>
      </x:c>
      <x:c r="F26" s="22" t="str">
        <x:v>城南島海浜公園</x:v>
      </x:c>
      <x:c r="G26" s="22" t="n">
        <x:v>79</x:v>
      </x:c>
      <x:c r="H26" s="95" t="n">
        <x:v>67</x:v>
      </x:c>
      <x:c r="I26" s="22" t="n">
        <x:v>12</x:v>
      </x:c>
      <x:c r="J26" s="22" t="str">
        <x:v>浜辺21時閉門。公園共用駐車場の混雑時は城南島へ直行。</x:v>
      </x:c>
      <x:c r="K26" s="22" t="e">
        <x:f>HYPERLINK("https://www.google.com/maps/dir/?api=1&amp;destination=%E5%9F%8E%E5%8D%97%E5%B3%B6%E6%B5%B7%E6%B5%9C%E5%85%AC%E5%9C%92&amp;travelmode=driving&amp;waypoints=%E5%B9%B3%E5%92%8C%E3%81%AE%E6%A3%AE%E5%85%AC%E5%9C%92%7C%E5%A4%A7%E6%A3%AE%E3%81%B5%E3%82%8B%E3%81%95%E3%81%A8%E3%81%AE%E6%B5%9C%E8%BE%BA%E5%85%AC%E5%9C%92","開始")</x:f>
      </x:c>
    </x:row>
    <x:row r="27" ht="42" customHeight="1">
      <x:c r="A27" s="22" t="str">
        <x:v>休日半日</x:v>
      </x:c>
      <x:c r="B27" s="22" t="str">
        <x:v>大森海岸から飛行機へ</x:v>
      </x:c>
      <x:c r="C27" s="22" t="str">
        <x:v>90～130分</x:v>
      </x:c>
      <x:c r="D27" s="22" t="n">
        <x:v>78</x:v>
      </x:c>
      <x:c r="E27" s="22" t="str">
        <x:v>大森ふるさとの浜辺公園 → 京浜島つばさ公園</x:v>
      </x:c>
      <x:c r="F27" s="22" t="str">
        <x:v>城南島海浜公園</x:v>
      </x:c>
      <x:c r="G27" s="22" t="n">
        <x:v>79</x:v>
      </x:c>
      <x:c r="H27" s="95" t="n">
        <x:v>67</x:v>
      </x:c>
      <x:c r="I27" s="22" t="n">
        <x:v>18</x:v>
      </x:c>
      <x:c r="J27" s="22" t="str">
        <x:v>浜辺エリアと城南島駐車場は21時まで。20時以降は大森を省略し、京浜島→城南島へ短縮。</x:v>
      </x:c>
      <x:c r="K27" s="22" t="e">
        <x:f>HYPERLINK("https://www.google.com/maps/dir/?api=1&amp;destination=%E5%9F%8E%E5%8D%97%E5%B3%B6%E6%B5%B7%E6%B5%9C%E5%85%AC%E5%9C%92&amp;travelmode=driving&amp;waypoints=%E5%A4%A7%E6%A3%AE%E3%81%B5%E3%82%8B%E3%81%95%E3%81%A8%E3%81%AE%E6%B5%9C%E8%BE%BA%E5%85%AC%E5%9C%92%7C%E4%BA%AC%E6%B5%9C%E5%B3%B6%E3%81%A4%E3%81%B0%E3%81%95%E5%85%AC%E5%9C%92","開始")</x:f>
      </x:c>
    </x:row>
    <x:row r="28" ht="42" customHeight="1">
      <x:c r="A28" s="22" t="str">
        <x:v>休日半日</x:v>
      </x:c>
      <x:c r="B28" s="22" t="str">
        <x:v>深大寺から調布飛行場へ</x:v>
      </x:c>
      <x:c r="C28" s="22" t="str">
        <x:v>145～200分</x:v>
      </x:c>
      <x:c r="D28" s="22" t="n">
        <x:v>75</x:v>
      </x:c>
      <x:c r="E28" s="22" t="str">
        <x:v>神代植物公園・深大寺 → 武蔵野の森公園</x:v>
      </x:c>
      <x:c r="F28" s="22" t="str">
        <x:v>府中の森公園</x:v>
      </x:c>
      <x:c r="G28" s="22" t="n">
        <x:v>88</x:v>
      </x:c>
      <x:c r="H28" s="95" t="n">
        <x:v>91</x:v>
      </x:c>
      <x:c r="I28" s="22" t="n">
        <x:v>0</x:v>
      </x:c>
      <x:c r="J28" s="22" t="str">
        <x:v>昼～夕方専用。植物園閉園後は深大寺門前のみとし、武蔵野の森公園ではプロムナード16:30閉鎖に注意。</x:v>
      </x:c>
      <x:c r="K28" s="22" t="e">
        <x:f>HYPERLINK("https://www.google.com/maps/dir/?api=1&amp;destination=%E5%BA%9C%E4%B8%AD%E3%81%AE%E6%A3%AE%E5%85%AC%E5%9C%92&amp;travelmode=driving&amp;waypoints=%E7%A5%9E%E4%BB%A3%E6%A4%8D%E7%89%A9%E5%85%AC%E5%9C%92%E3%83%BB%E6%B7%B1%E5%A4%A7%E5%AF%BA%7C%E6%AD%A6%E8%94%B5%E9%87%8E%E3%81%AE%E6%A3%AE%E5%85%AC%E5%9C%92","開始")</x:f>
      </x:c>
    </x:row>
  </x:sheetData>
  <x:mergeCells>
    <x:mergeCell ref="A1:H2"/>
    <x:mergeCell ref="A1:I2"/>
    <x:mergeCell ref="A1:K2"/>
  </x:mergeCells>
  <x:conditionalFormatting sqref="D5:D28">
    <x:cfRule type="dataBar" priority="1">
      <x:dataBar>
        <x:cfvo type="min"/>
        <x:cfvo type="max"/>
        <x:color rgb="FF0F9ED5"/>
      </x:dataBar>
      <x:extLst>
        <x:ext xmlns:x14="http://schemas.microsoft.com/office/spreadsheetml/2009/9/main" uri="{B025F937-C7B1-47D3-B67F-A62EFF666E3E}">
          <x14:id>{78D5CB6A-3631-16A1-2451-9245FF561F86}</x14:id>
        </x:ext>
      </x:extLst>
    </x:cfRule>
  </x:conditionalFormatting>
  <x:conditionalFormatting sqref="D5:G28">
    <x:cfRule type="colorScale" priority="2">
      <x:colorScale>
        <x:cfvo type="min"/>
        <x:cfvo type="percentile" val="50"/>
        <x:cfvo type="max"/>
        <x:color rgb="FFFEE2E2"/>
        <x:color rgb="FFFEF3C7"/>
        <x:color rgb="FFDCFCE7"/>
      </x:colorScale>
    </x:cfRule>
  </x:conditionalFormatting>
  <x:conditionalFormatting sqref="D5:I28">
    <x:cfRule type="colorScale" priority="3">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c07bcd3d58144a95"/>
  </x:tableParts>
  <x:extLst>
    <x:ext xmlns:x14="http://schemas.microsoft.com/office/spreadsheetml/2009/9/main" xmlns:xm="http://schemas.microsoft.com/office/excel/2006/main" uri="{78C0D931-6437-407d-A8EE-F0AAD7539E65}">
      <x14:conditionalFormattings>
        <x14:conditionalFormatting>
          <x14:cfRule type="dataBar" priority="1" id="{78D5CB6A-3631-16A1-2451-9245FF561F86}">
            <x14:dataBar gradient="1">
              <x14:cfvo type="min"/>
              <x14:cfvo type="max"/>
              <x14:fillColor rgb="FF0F9ED5"/>
            </x14:dataBar>
          </x14:cfRule>
          <xm:sqref>D5:D28</xm:sqref>
        </x14:conditionalFormatting>
      </x14:conditionalFormattings>
    </x:ext>
  </x:extLst>
</x:worksheet>
</file>

<file path=xl/worksheets/sheet20.xml><?xml version="1.0" encoding="utf-8"?>
<x:worksheet xmlns:x="http://schemas.openxmlformats.org/spreadsheetml/2006/main">
  <x:sheetFormatPr defaultRowHeight="15"/>
  <x:cols>
    <x:col min="1" max="1" width="20" hidden="0" customWidth="1"/>
    <x:col min="2" max="2" width="18" hidden="0" customWidth="1"/>
    <x:col min="3" max="3" width="3" hidden="0" customWidth="1"/>
    <x:col min="4" max="4" width="12" hidden="0" customWidth="1"/>
    <x:col min="5" max="5" width="16" hidden="0" customWidth="1"/>
    <x:col min="6" max="6" width="12" hidden="0" customWidth="1"/>
    <x:col min="7" max="7" width="16" hidden="0" customWidth="1"/>
    <x:col min="8" max="8" width="12" hidden="0" customWidth="1"/>
    <x:col min="9" max="9" width="16" hidden="0" customWidth="1"/>
    <x:col min="10" max="10" width="45" hidden="0" customWidth="1"/>
  </x:cols>
  <x:sheetData>
    <x:row r="1">
      <x:c r="A1" s="239" t="str">
        <x:v>Project Cruise｜条件入力ナビ</x:v>
      </x:c>
      <x:c r="B1" s="239"/>
      <x:c r="C1" s="239"/>
      <x:c r="D1" s="239"/>
      <x:c r="E1" s="239"/>
      <x:c r="F1" s="239"/>
      <x:c r="G1" s="239"/>
      <x:c r="H1" s="239"/>
      <x:c r="I1" s="239"/>
      <x:c r="J1" s="239"/>
    </x:row>
    <x:row r="2">
      <x:c r="A2" s="239"/>
      <x:c r="B2" s="239"/>
      <x:c r="C2" s="239"/>
      <x:c r="D2" s="239"/>
      <x:c r="E2" s="239"/>
      <x:c r="F2" s="239"/>
      <x:c r="G2" s="239"/>
      <x:c r="H2" s="239"/>
      <x:c r="I2" s="239"/>
      <x:c r="J2" s="239"/>
    </x:row>
    <x:row r="3">
      <x:c r="A3" s="244" t="str">
        <x:v>条件を選ぶと、近距離コア70地点と35ルートを自動採点して候補を入れ替えます</x:v>
      </x:c>
      <x:c r="B3" s="244"/>
      <x:c r="C3" s="244"/>
      <x:c r="D3" s="244"/>
      <x:c r="E3" s="244"/>
      <x:c r="F3" s="244"/>
      <x:c r="G3" s="244"/>
      <x:c r="H3" s="244"/>
      <x:c r="I3" s="244"/>
      <x:c r="J3" s="244"/>
    </x:row>
    <x:row r="4">
      <x:c r="A4" s="185"/>
      <x:c r="B4" s="185"/>
      <x:c r="C4" s="185"/>
      <x:c r="D4" s="185"/>
      <x:c r="E4" s="185"/>
      <x:c r="F4" s="185"/>
      <x:c r="G4" s="185"/>
      <x:c r="H4" s="185"/>
      <x:c r="I4" s="185"/>
      <x:c r="J4" s="185"/>
    </x:row>
    <x:row r="5">
      <x:c r="A5" s="245" t="str">
        <x:v>条件</x:v>
      </x:c>
      <x:c r="B5" s="245" t="str">
        <x:v>選択</x:v>
      </x:c>
      <x:c r="C5" s="185"/>
      <x:c r="D5" s="246" t="str">
        <x:v>現在の判断条件</x:v>
      </x:c>
      <x:c r="E5" s="246"/>
      <x:c r="F5" s="246"/>
      <x:c r="G5" s="246"/>
      <x:c r="H5" s="246"/>
      <x:c r="I5" s="246"/>
      <x:c r="J5" s="246"/>
    </x:row>
    <x:row r="6">
      <x:c r="A6" s="247" t="str">
        <x:v>使える総時間（分）</x:v>
      </x:c>
      <x:c r="B6" s="248" t="n">
        <x:v>120</x:v>
      </x:c>
      <x:c r="C6" s="185"/>
      <x:c r="D6" s="185" t="str">
        <x:v>総時間</x:v>
      </x:c>
      <x:c r="E6" s="185" t="str">
        <x:f>B6&amp;"分"</x:f>
        <x:v>120分</x:v>
      </x:c>
      <x:c r="F6" s="185" t="str">
        <x:v>時間帯</x:v>
      </x:c>
      <x:c r="G6" s="185" t="str">
        <x:f>B7</x:f>
        <x:v>夜</x:v>
      </x:c>
      <x:c r="H6" s="185" t="str">
        <x:v>天候</x:v>
      </x:c>
      <x:c r="I6" s="185" t="str">
        <x:f>B8</x:f>
        <x:v>晴れ</x:v>
      </x:c>
      <x:c r="J6" s="185"/>
    </x:row>
    <x:row r="7">
      <x:c r="A7" s="247" t="str">
        <x:v>時間帯</x:v>
      </x:c>
      <x:c r="B7" s="248" t="str">
        <x:v>夜</x:v>
      </x:c>
      <x:c r="C7" s="185"/>
      <x:c r="D7" s="185" t="str">
        <x:v>気分</x:v>
      </x:c>
      <x:c r="E7" s="185" t="str">
        <x:f>B9</x:f>
        <x:v>おまかせ</x:v>
      </x:c>
      <x:c r="F7" s="185" t="str">
        <x:v>歩き方</x:v>
      </x:c>
      <x:c r="G7" s="185" t="str">
        <x:f>B10</x:f>
        <x:v>普通</x:v>
      </x:c>
      <x:c r="H7" s="185" t="str">
        <x:v>駐車</x:v>
      </x:c>
      <x:c r="I7" s="185" t="str">
        <x:f>B11</x:f>
        <x:v>確実性優先</x:v>
      </x:c>
      <x:c r="J7" s="185"/>
    </x:row>
    <x:row r="8">
      <x:c r="A8" s="247" t="str">
        <x:v>天候</x:v>
      </x:c>
      <x:c r="B8" s="248" t="str">
        <x:v>晴れ</x:v>
      </x:c>
      <x:c r="C8" s="185"/>
      <x:c r="D8" s="185" t="str">
        <x:v>高速道路</x:v>
      </x:c>
      <x:c r="E8" s="185" t="str">
        <x:f>B12</x:f>
        <x:v>どちらでも</x:v>
      </x:c>
      <x:c r="F8" s="185" t="str">
        <x:v>候補母数</x:v>
      </x:c>
      <x:c r="G8" s="185" t="n">
        <x:v>70</x:v>
      </x:c>
      <x:c r="H8" s="185" t="str">
        <x:v>ルート母数</x:v>
      </x:c>
      <x:c r="I8" s="185" t="n">
        <x:v>35</x:v>
      </x:c>
      <x:c r="J8" s="185"/>
    </x:row>
    <x:row r="9">
      <x:c r="A9" s="247" t="str">
        <x:v>気分</x:v>
      </x:c>
      <x:c r="B9" s="248" t="str">
        <x:v>おまかせ</x:v>
      </x:c>
      <x:c r="C9" s="185"/>
      <x:c r="D9" s="185" t="str">
        <x:v>判定</x:v>
      </x:c>
      <x:c r="E9" s="185" t="str">
        <x:v>入力を変えると下の順位が自動更新</x:v>
      </x:c>
      <x:c r="F9" s="185"/>
      <x:c r="G9" s="185"/>
      <x:c r="H9" s="185"/>
      <x:c r="I9" s="185"/>
      <x:c r="J9" s="185"/>
    </x:row>
    <x:row r="10">
      <x:c r="A10" s="247" t="str">
        <x:v>歩き方</x:v>
      </x:c>
      <x:c r="B10" s="248" t="str">
        <x:v>普通</x:v>
      </x:c>
      <x:c r="C10" s="185"/>
      <x:c r="D10" s="185" t="str">
        <x:v>路上短時間</x:v>
      </x:c>
      <x:c r="E10" s="185" t="str">
        <x:f>B13</x:f>
        <x:v>専用駐車優先</x:v>
      </x:c>
      <x:c r="F10" s="185"/>
      <x:c r="G10" s="185"/>
      <x:c r="H10" s="185"/>
      <x:c r="I10" s="185"/>
      <x:c r="J10" s="185"/>
    </x:row>
    <x:row r="11">
      <x:c r="A11" s="247" t="str">
        <x:v>駐車の考え方</x:v>
      </x:c>
      <x:c r="B11" s="248" t="str">
        <x:v>確実性優先</x:v>
      </x:c>
      <x:c r="C11" s="185"/>
      <x:c r="D11" s="185"/>
      <x:c r="E11" s="185"/>
      <x:c r="F11" s="185"/>
      <x:c r="G11" s="185"/>
      <x:c r="H11" s="185"/>
      <x:c r="I11" s="185"/>
      <x:c r="J11" s="185"/>
    </x:row>
    <x:row r="12">
      <x:c r="A12" s="247" t="str">
        <x:v>高速道路</x:v>
      </x:c>
      <x:c r="B12" s="248" t="str">
        <x:v>どちらでも</x:v>
      </x:c>
      <x:c r="C12" s="185"/>
      <x:c r="D12" s="185"/>
      <x:c r="E12" s="185"/>
      <x:c r="F12" s="185"/>
      <x:c r="G12" s="185"/>
      <x:c r="H12" s="185"/>
      <x:c r="I12" s="185"/>
      <x:c r="J12" s="185"/>
    </x:row>
    <x:row r="13">
      <x:c r="A13" s="450" t="str">
        <x:v>路上短時間駐車</x:v>
      </x:c>
      <x:c r="B13" s="453" t="str">
        <x:v>専用駐車優先</x:v>
      </x:c>
      <x:c r="C13" s="185"/>
      <x:c r="D13" s="185"/>
      <x:c r="E13" s="185"/>
      <x:c r="F13" s="185"/>
      <x:c r="G13" s="185"/>
      <x:c r="H13" s="185"/>
      <x:c r="I13" s="185"/>
      <x:c r="J13" s="185"/>
    </x:row>
    <x:row r="14" ht="34" customHeight="1">
      <x:c r="A14" s="456" t="str">
        <x:v>路上候補は、時間制限駐車区間の白線枠・稼働時間・標識を現地確認できた場合のみ使用。『皆が停めている』だけの場所は候補に含めません。</x:v>
      </x:c>
      <x:c r="B14" s="456"/>
      <x:c r="C14" s="456"/>
      <x:c r="D14" s="456"/>
      <x:c r="E14" s="456"/>
      <x:c r="F14" s="456"/>
      <x:c r="G14" s="456"/>
      <x:c r="H14" s="456"/>
      <x:c r="I14" s="456"/>
      <x:c r="J14" s="456"/>
    </x:row>
    <x:row r="15">
      <x:c r="A15" s="246" t="str">
        <x:v>おすすめ最終目的地 TOP5</x:v>
      </x:c>
      <x:c r="B15" s="246"/>
      <x:c r="C15" s="246"/>
      <x:c r="D15" s="246"/>
      <x:c r="E15" s="246"/>
      <x:c r="F15" s="246"/>
      <x:c r="G15" s="246"/>
      <x:c r="H15" s="246"/>
      <x:c r="I15" s="246"/>
      <x:c r="J15" s="246"/>
    </x:row>
    <x:row r="16">
      <x:c r="A16" s="249" t="str">
        <x:v>順位</x:v>
      </x:c>
      <x:c r="B16" s="249" t="str">
        <x:v>地点</x:v>
      </x:c>
      <x:c r="C16" s="249" t="str">
        <x:v>スコア</x:v>
      </x:c>
      <x:c r="D16" s="249" t="str">
        <x:v>距離</x:v>
      </x:c>
      <x:c r="E16" s="249" t="str">
        <x:v>所要目安</x:v>
      </x:c>
      <x:c r="F16" s="249" t="str">
        <x:v>推奨到着</x:v>
      </x:c>
      <x:c r="G16" s="249" t="str">
        <x:v>一言判断</x:v>
      </x:c>
      <x:c r="H16" s="249" t="str">
        <x:v>代替地点</x:v>
      </x:c>
      <x:c r="I16" s="249" t="str">
        <x:v>ナビ</x:v>
      </x:c>
      <x:c r="J16" s="249" t="str">
        <x:v>注意事項</x:v>
      </x:c>
    </x:row>
    <x:row r="17" ht="42" customHeight="1">
      <x:c r="A17" s="185" t="n">
        <x:v>1</x:v>
      </x:c>
      <x:c r="B17" s="185" t="str">
        <x:f>IFERROR(INDEX('カスタム候補計算'!$B$2:$B$94,MATCH(A17,'カスタム候補計算'!$AK$2:$AK$94,0)),"")</x:f>
        <x:v>HANEDA INNOVATION CITY 足湯スカイデッキ</x:v>
      </x:c>
      <x:c r="C17" s="185" t="n">
        <x:f>IFERROR(INDEX('カスタム候補計算'!$AJ$2:$AJ$94,MATCH(A17,'カスタム候補計算'!$AK$2:$AK$94,0)),"")</x:f>
        <x:v>84</x:v>
      </x:c>
      <x:c r="D17" s="185" t="str">
        <x:f>IFERROR(INDEX('カスタム候補計算'!$H$2:$H$94,MATCH(A17,'カスタム候補計算'!$AK$2:$AK$94,0)),"")</x:f>
        <x:v>蒲田から約6〜9km</x:v>
      </x:c>
      <x:c r="E17" s="185" t="str">
        <x:f>IFERROR(INDEX('カスタム候補計算'!$AF$2:$AF$94,MATCH(A17,'カスタム候補計算'!$AK$2:$AK$94,0))&amp;"分","")</x:f>
        <x:v>100分</x:v>
      </x:c>
      <x:c r="F17" s="185" t="str">
        <x:f>IFERROR(INDEX('カスタム候補計算'!$Z$2:$Z$94,MATCH(A17,'カスタム候補計算'!$AK$2:$AK$94,0)),"")</x:f>
        <x:v>出発前に閉場確認</x:v>
      </x:c>
      <x:c r="G17" s="185" t="str">
        <x:f>IFERROR(INDEX('カスタム候補計算'!$AA$2:$AA$94,MATCH(A17,'カスタム候補計算'!$AK$2:$AK$94,0)),"")</x:f>
        <x:v>条件が合えば有力</x:v>
      </x:c>
      <x:c r="H17" s="185" t="str">
        <x:f>IFERROR(INDEX('カスタム候補計算'!$AB$2:$AB$94,MATCH(A17,'カスタム候補計算'!$AK$2:$AK$94,0)),"")</x:f>
        <x:v>羽田空港 第3ターミナル展望デッキ</x:v>
      </x:c>
      <x:c r="I17" s="188" t="e">
        <x:f>IF(B17="","",HYPERLINK("https://www.google.com/maps/dir/?api=1&amp;destination="&amp;B17&amp;"&amp;travelmode=driving","開く"))</x:f>
      </x:c>
      <x:c r="J17" s="185" t="str">
        <x:f>IFERROR(INDEX('カスタム候補計算'!$F$2:$F$94,MATCH(A17,'カスタム候補計算'!$AK$2:$AK$94,0)),"")</x:f>
        <x:v>貸切利用時は入場不可。食事は禁止。深夜帯は静粛にし、P2は営業時間外出庫不可。</x:v>
      </x:c>
    </x:row>
    <x:row r="18" ht="42" customHeight="1">
      <x:c r="A18" s="185" t="n">
        <x:v>2</x:v>
      </x:c>
      <x:c r="B18" s="185" t="str">
        <x:f>IFERROR(INDEX('カスタム候補計算'!$B$2:$B$94,MATCH(A18,'カスタム候補計算'!$AK$2:$AK$94,0)),"")</x:f>
        <x:v>京浜島つばさ公園</x:v>
      </x:c>
      <x:c r="C18" s="185" t="n">
        <x:f>IFERROR(INDEX('カスタム候補計算'!$AJ$2:$AJ$94,MATCH(A18,'カスタム候補計算'!$AK$2:$AK$94,0)),"")</x:f>
        <x:v>81</x:v>
      </x:c>
      <x:c r="D18" s="185" t="str">
        <x:f>IFERROR(INDEX('カスタム候補計算'!$H$2:$H$94,MATCH(A18,'カスタム候補計算'!$AK$2:$AK$94,0)),"")</x:f>
        <x:v>概ね0〜10km</x:v>
      </x:c>
      <x:c r="E18" s="185" t="str">
        <x:f>IFERROR(INDEX('カスタム候補計算'!$AF$2:$AF$94,MATCH(A18,'カスタム候補計算'!$AK$2:$AK$94,0))&amp;"分","")</x:f>
        <x:v>105分</x:v>
      </x:c>
      <x:c r="F18" s="185" t="str">
        <x:f>IFERROR(INDEX('カスタム候補計算'!$Z$2:$Z$94,MATCH(A18,'カスタム候補計算'!$AK$2:$AK$94,0)),"")</x:f>
        <x:v>出発前に閉場確認</x:v>
      </x:c>
      <x:c r="G18" s="185" t="str">
        <x:f>IFERROR(INDEX('カスタム候補計算'!$AA$2:$AA$94,MATCH(A18,'カスタム候補計算'!$AK$2:$AK$94,0)),"")</x:f>
        <x:v>強い候補</x:v>
      </x:c>
      <x:c r="H18" s="185" t="str">
        <x:f>IFERROR(INDEX('カスタム候補計算'!$AB$2:$AB$94,MATCH(A18,'カスタム候補計算'!$AK$2:$AK$94,0)),"")</x:f>
        <x:v>城南島海浜公園</x:v>
      </x:c>
      <x:c r="I18" s="188" t="e">
        <x:f>IF(B18="","",HYPERLINK("https://www.google.com/maps/dir/?api=1&amp;destination="&amp;B18&amp;"&amp;travelmode=driving","開く"))</x:f>
      </x:c>
      <x:c r="J18" s="185" t="str">
        <x:f>IFERROR(INDEX('カスタム候補計算'!$F$2:$F$94,MATCH(A18,'カスタム候補計算'!$AK$2:$AK$94,0)),"")</x:f>
        <x:v>台数が少ない。満車時の路上待機・路上駐車は禁止。</x:v>
      </x:c>
    </x:row>
    <x:row r="19" ht="42" customHeight="1">
      <x:c r="A19" s="185" t="n">
        <x:v>3</x:v>
      </x:c>
      <x:c r="B19" s="185" t="str">
        <x:f>IFERROR(INDEX('カスタム候補計算'!$B$2:$B$94,MATCH(A19,'カスタム候補計算'!$AK$2:$AK$94,0)),"")</x:f>
        <x:v>東品川海上公園</x:v>
      </x:c>
      <x:c r="C19" s="185" t="n">
        <x:f>IFERROR(INDEX('カスタム候補計算'!$AJ$2:$AJ$94,MATCH(A19,'カスタム候補計算'!$AK$2:$AK$94,0)),"")</x:f>
        <x:v>81</x:v>
      </x:c>
      <x:c r="D19" s="185" t="str">
        <x:f>IFERROR(INDEX('カスタム候補計算'!$H$2:$H$94,MATCH(A19,'カスタム候補計算'!$AK$2:$AK$94,0)),"")</x:f>
        <x:v>概ね0〜10km</x:v>
      </x:c>
      <x:c r="E19" s="185" t="str">
        <x:f>IFERROR(INDEX('カスタム候補計算'!$AF$2:$AF$94,MATCH(A19,'カスタム候補計算'!$AK$2:$AK$94,0))&amp;"分","")</x:f>
        <x:v>120分</x:v>
      </x:c>
      <x:c r="F19" s="185" t="str">
        <x:f>IFERROR(INDEX('カスタム候補計算'!$Z$2:$Z$94,MATCH(A19,'カスタム候補計算'!$AK$2:$AK$94,0)),"")</x:f>
        <x:v>出発前に閉場確認</x:v>
      </x:c>
      <x:c r="G19" s="185" t="str">
        <x:f>IFERROR(INDEX('カスタム候補計算'!$AA$2:$AA$94,MATCH(A19,'カスタム候補計算'!$AK$2:$AK$94,0)),"")</x:f>
        <x:v>条件が合えば有力</x:v>
      </x:c>
      <x:c r="H19" s="185" t="str">
        <x:f>IFERROR(INDEX('カスタム候補計算'!$AB$2:$AB$94,MATCH(A19,'カスタム候補計算'!$AK$2:$AK$94,0)),"")</x:f>
        <x:v>羽田空港 第3ターミナル展望デッキ</x:v>
      </x:c>
      <x:c r="I19" s="188" t="e">
        <x:f>IF(B19="","",HYPERLINK("https://www.google.com/maps/dir/?api=1&amp;destination="&amp;B19&amp;"&amp;travelmode=driving","開く"))</x:f>
      </x:c>
      <x:c r="J19" s="185" t="str">
        <x:f>IFERROR(INDEX('カスタム候補計算'!$F$2:$F$94,MATCH(A19,'カスタム候補計算'!$AK$2:$AK$94,0)),"")</x:f>
        <x:v>専用駐車場はない。必ず合法な時間貸し駐車場を利用し、周辺道路での乗降・待機をしない。Park-PFI工事確認。</x:v>
      </x:c>
    </x:row>
    <x:row r="20" ht="42" customHeight="1">
      <x:c r="A20" s="185" t="n">
        <x:v>4</x:v>
      </x:c>
      <x:c r="B20" s="185" t="str">
        <x:f>IFERROR(INDEX('カスタム候補計算'!$B$2:$B$94,MATCH(A20,'カスタム候補計算'!$AK$2:$AK$94,0)),"")</x:f>
        <x:v>大森ふるさとの浜辺公園</x:v>
      </x:c>
      <x:c r="C20" s="185" t="n">
        <x:f>IFERROR(INDEX('カスタム候補計算'!$AJ$2:$AJ$94,MATCH(A20,'カスタム候補計算'!$AK$2:$AK$94,0)),"")</x:f>
        <x:v>79</x:v>
      </x:c>
      <x:c r="D20" s="185" t="str">
        <x:f>IFERROR(INDEX('カスタム候補計算'!$H$2:$H$94,MATCH(A20,'カスタム候補計算'!$AK$2:$AK$94,0)),"")</x:f>
        <x:v>蒲田から約4〜7km</x:v>
      </x:c>
      <x:c r="E20" s="185" t="str">
        <x:f>IFERROR(INDEX('カスタム候補計算'!$AF$2:$AF$94,MATCH(A20,'カスタム候補計算'!$AK$2:$AK$94,0))&amp;"分","")</x:f>
        <x:v>102分</x:v>
      </x:c>
      <x:c r="F20" s="185" t="str">
        <x:f>IFERROR(INDEX('カスタム候補計算'!$Z$2:$Z$94,MATCH(A20,'カスタム候補計算'!$AK$2:$AK$94,0)),"")</x:f>
        <x:v>出発前に閉場確認</x:v>
      </x:c>
      <x:c r="G20" s="185" t="str">
        <x:f>IFERROR(INDEX('カスタム候補計算'!$AA$2:$AA$94,MATCH(A20,'カスタム候補計算'!$AK$2:$AK$94,0)),"")</x:f>
        <x:v>条件が合えば有力</x:v>
      </x:c>
      <x:c r="H20" s="185" t="str">
        <x:f>IFERROR(INDEX('カスタム候補計算'!$AB$2:$AB$94,MATCH(A20,'カスタム候補計算'!$AK$2:$AK$94,0)),"")</x:f>
        <x:v>平和の森公園</x:v>
      </x:c>
      <x:c r="I20" s="188" t="e">
        <x:f>IF(B20="","",HYPERLINK("https://www.google.com/maps/dir/?api=1&amp;destination="&amp;B20&amp;"&amp;travelmode=driving","開く"))</x:f>
      </x:c>
      <x:c r="J20" s="185" t="str">
        <x:f>IFERROR(INDEX('カスタム候補計算'!$F$2:$F$94,MATCH(A20,'カスタム候補計算'!$AK$2:$AK$94,0)),"")</x:f>
        <x:v>浜辺は21時閉門。休日は駐車待ちが発生。遊泳・釣り・火気は禁止。</x:v>
      </x:c>
    </x:row>
    <x:row r="21" ht="42" customHeight="1">
      <x:c r="A21" s="185" t="n">
        <x:v>5</x:v>
      </x:c>
      <x:c r="B21" s="185" t="str">
        <x:f>IFERROR(INDEX('カスタム候補計算'!$B$2:$B$94,MATCH(A21,'カスタム候補計算'!$AK$2:$AK$94,0)),"")</x:f>
        <x:v>平和島公園</x:v>
      </x:c>
      <x:c r="C21" s="185" t="n">
        <x:f>IFERROR(INDEX('カスタム候補計算'!$AJ$2:$AJ$94,MATCH(A21,'カスタム候補計算'!$AK$2:$AK$94,0)),"")</x:f>
        <x:v>79</x:v>
      </x:c>
      <x:c r="D21" s="185" t="str">
        <x:f>IFERROR(INDEX('カスタム候補計算'!$H$2:$H$94,MATCH(A21,'カスタム候補計算'!$AK$2:$AK$94,0)),"")</x:f>
        <x:v>蒲田から約4〜7km</x:v>
      </x:c>
      <x:c r="E21" s="185" t="str">
        <x:f>IFERROR(INDEX('カスタム候補計算'!$AF$2:$AF$94,MATCH(A21,'カスタム候補計算'!$AK$2:$AK$94,0))&amp;"分","")</x:f>
        <x:v>85分</x:v>
      </x:c>
      <x:c r="F21" s="185" t="str">
        <x:f>IFERROR(INDEX('カスタム候補計算'!$Z$2:$Z$94,MATCH(A21,'カスタム候補計算'!$AK$2:$AK$94,0)),"")</x:f>
        <x:v>出発前に閉場確認</x:v>
      </x:c>
      <x:c r="G21" s="185" t="str">
        <x:f>IFERROR(INDEX('カスタム候補計算'!$AA$2:$AA$94,MATCH(A21,'カスタム候補計算'!$AK$2:$AK$94,0)),"")</x:f>
        <x:v>用途限定で有効</x:v>
      </x:c>
      <x:c r="H21" s="185" t="str">
        <x:f>IFERROR(INDEX('カスタム候補計算'!$AB$2:$AB$94,MATCH(A21,'カスタム候補計算'!$AK$2:$AK$94,0)),"")</x:f>
        <x:v>平和の森公園</x:v>
      </x:c>
      <x:c r="I21" s="188" t="e">
        <x:f>IF(B21="","",HYPERLINK("https://www.google.com/maps/dir/?api=1&amp;destination="&amp;B21&amp;"&amp;travelmode=driving","開く"))</x:f>
      </x:c>
      <x:c r="J21" s="185" t="str">
        <x:f>IFERROR(INDEX('カスタム候補計算'!$F$2:$F$94,MATCH(A21,'カスタム候補計算'!$AK$2:$AK$94,0)),"")</x:f>
        <x:v>休日は入庫待ちが長くなる場合がある。公園利用以外の駐車は禁止。夜間は住宅・スポーツ利用者へ配慮。</x:v>
      </x:c>
    </x:row>
    <x:row r="22">
      <x:c r="A22" s="185"/>
      <x:c r="B22" s="185"/>
      <x:c r="C22" s="185"/>
      <x:c r="D22" s="185"/>
      <x:c r="E22" s="185"/>
      <x:c r="F22" s="185"/>
      <x:c r="G22" s="185"/>
      <x:c r="H22" s="185"/>
      <x:c r="I22" s="185"/>
      <x:c r="J22" s="185"/>
    </x:row>
    <x:row r="23">
      <x:c r="A23" s="185"/>
      <x:c r="B23" s="185"/>
      <x:c r="C23" s="185"/>
      <x:c r="D23" s="185"/>
      <x:c r="E23" s="185"/>
      <x:c r="F23" s="185"/>
      <x:c r="G23" s="185"/>
      <x:c r="H23" s="185"/>
      <x:c r="I23" s="185"/>
      <x:c r="J23" s="185"/>
    </x:row>
    <x:row r="24">
      <x:c r="A24" s="246" t="str">
        <x:v>おすすめルート TOP3</x:v>
      </x:c>
      <x:c r="B24" s="246"/>
      <x:c r="C24" s="246"/>
      <x:c r="D24" s="246"/>
      <x:c r="E24" s="246"/>
      <x:c r="F24" s="246"/>
      <x:c r="G24" s="246"/>
      <x:c r="H24" s="246"/>
      <x:c r="I24" s="246"/>
      <x:c r="J24" s="246"/>
    </x:row>
    <x:row r="25">
      <x:c r="A25" s="249" t="str">
        <x:v>順位</x:v>
      </x:c>
      <x:c r="B25" s="249" t="str">
        <x:v>ルート</x:v>
      </x:c>
      <x:c r="C25" s="249" t="str">
        <x:v>スコア</x:v>
      </x:c>
      <x:c r="D25" s="249" t="str">
        <x:v>総時間</x:v>
      </x:c>
      <x:c r="E25" s="249" t="str">
        <x:v>経由地1</x:v>
      </x:c>
      <x:c r="F25" s="249" t="str">
        <x:v>経由地2</x:v>
      </x:c>
      <x:c r="G25" s="249" t="str">
        <x:v>最終目的地</x:v>
      </x:c>
      <x:c r="H25" s="249" t="str">
        <x:v>高速区分</x:v>
      </x:c>
      <x:c r="I25" s="249" t="str">
        <x:v>ルート開始</x:v>
      </x:c>
      <x:c r="J25" s="249" t="str">
        <x:v>注意事項</x:v>
      </x:c>
    </x:row>
    <x:row r="26" ht="42" customHeight="1">
      <x:c r="A26" s="185" t="n">
        <x:v>1</x:v>
      </x:c>
      <x:c r="B26" s="185" t="str">
        <x:f>IFERROR(INDEX('カスタムルート計算'!$B$2:$B$46,MATCH(A26,'カスタムルート計算'!$Z$2:$Z$46,0)),"")</x:f>
        <x:v>平日夕方90分・大森から羽田へ</x:v>
      </x:c>
      <x:c r="C26" s="185" t="n">
        <x:f>IFERROR(INDEX('カスタムルート計算'!$Y$2:$Y$46,MATCH(A26,'カスタムルート計算'!$Z$2:$Z$46,0)),"")</x:f>
        <x:v>90</x:v>
      </x:c>
      <x:c r="D26" s="185" t="str">
        <x:f>IFERROR(INDEX('カスタムルート計算'!$H$2:$H$46,MATCH(A26,'カスタムルート計算'!$Z$2:$Z$46,0)),"")</x:f>
        <x:v>80～120分</x:v>
      </x:c>
      <x:c r="E26" s="185" t="str">
        <x:f>IFERROR(INDEX('カスタムルート計算'!$D$2:$D$46,MATCH(A26,'カスタムルート計算'!$Z$2:$Z$46,0)),"")</x:f>
        <x:v>大森ふるさとの浜辺公園</x:v>
      </x:c>
      <x:c r="F26" s="185" t="str">
        <x:f>IFERROR(INDEX('カスタムルート計算'!$E$2:$E$46,MATCH(A26,'カスタムルート計算'!$Z$2:$Z$46,0)),"")</x:f>
        <x:v>森ケ崎公園</x:v>
      </x:c>
      <x:c r="G26" s="185" t="str">
        <x:f>IFERROR(INDEX('カスタムルート計算'!$G$2:$G$46,MATCH(A26,'カスタムルート計算'!$Z$2:$Z$46,0)),"")</x:f>
        <x:v>羽田空港 第3ターミナル展望デッキ</x:v>
      </x:c>
      <x:c r="H26" s="185" t="str">
        <x:f>IFERROR(INDEX('カスタムルート計算'!$V$2:$V$46,MATCH(A26,'カスタムルート計算'!$Z$2:$Z$46,0)),"")</x:f>
        <x:v>一般道向き</x:v>
      </x:c>
      <x:c r="I26" s="188" t="e">
        <x:f>IF(B26="","",HYPERLINK("https://www.google.com/maps/dir/?api=1&amp;destination="&amp;G26&amp;"&amp;travelmode=driving&amp;waypoints="&amp;E26&amp;IF(F26="","","|"&amp;F26),"開始"))</x:f>
      </x:c>
      <x:c r="J26" s="185" t="str">
        <x:f>IFERROR(INDEX('カスタムルート計算'!$U$2:$U$46,MATCH(A26,'カスタムルート計算'!$Z$2:$Z$46,0)),"")</x:f>
        <x:v>19時前後の出発を推奨。森ケ崎は季節により20:30または21:30、浜辺は21時閉門。遅れたら大森を省略。</x:v>
      </x:c>
    </x:row>
    <x:row r="27" ht="42" customHeight="1">
      <x:c r="A27" s="185" t="n">
        <x:v>2</x:v>
      </x:c>
      <x:c r="B27" s="185" t="str">
        <x:f>IFERROR(INDEX('カスタムルート計算'!$B$2:$B$46,MATCH(A27,'カスタムルート計算'!$Z$2:$Z$46,0)),"")</x:f>
        <x:v>首都高ミニマム・ナイト</x:v>
      </x:c>
      <x:c r="C27" s="185" t="n">
        <x:f>IFERROR(INDEX('カスタムルート計算'!$Y$2:$Y$46,MATCH(A27,'カスタムルート計算'!$Z$2:$Z$46,0)),"")</x:f>
        <x:v>79</x:v>
      </x:c>
      <x:c r="D27" s="185" t="str">
        <x:f>IFERROR(INDEX('カスタムルート計算'!$H$2:$H$46,MATCH(A27,'カスタムルート計算'!$Z$2:$Z$46,0)),"")</x:f>
        <x:v>75～110分</x:v>
      </x:c>
      <x:c r="E27" s="185" t="str">
        <x:f>IFERROR(INDEX('カスタムルート計算'!$D$2:$D$46,MATCH(A27,'カスタムルート計算'!$Z$2:$Z$46,0)),"")</x:f>
        <x:v>平和島PA（上り）</x:v>
      </x:c>
      <x:c r="F27" s="185" t="str">
        <x:f>IFERROR(INDEX('カスタムルート計算'!$E$2:$E$46,MATCH(A27,'カスタムルート計算'!$Z$2:$Z$46,0)),"")</x:f>
        <x:v>芝浦PA</x:v>
      </x:c>
      <x:c r="G27" s="185" t="str">
        <x:f>IFERROR(INDEX('カスタムルート計算'!$G$2:$G$46,MATCH(A27,'カスタムルート計算'!$Z$2:$Z$46,0)),"")</x:f>
        <x:v>辰巳第一PA</x:v>
      </x:c>
      <x:c r="H27" s="185" t="str">
        <x:f>IFERROR(INDEX('カスタムルート計算'!$V$2:$V$46,MATCH(A27,'カスタムルート計算'!$Z$2:$Z$46,0)),"")</x:f>
        <x:v>高速向き</x:v>
      </x:c>
      <x:c r="I27" s="188" t="e">
        <x:f>IF(B27="","",HYPERLINK("https://www.google.com/maps/dir/?api=1&amp;destination="&amp;G27&amp;"&amp;travelmode=driving&amp;waypoints="&amp;E27&amp;IF(F27="","","|"&amp;F27),"開始"))</x:f>
      </x:c>
      <x:c r="J27" s="185" t="str">
        <x:f>IFERROR(INDEX('カスタムルート計算'!$U$2:$U$46,MATCH(A27,'カスタムルート計算'!$Z$2:$Z$46,0)),"")</x:f>
        <x:v>各PAの臨時閉鎖確認。短時間休憩だけに限定。</x:v>
      </x:c>
    </x:row>
    <x:row r="28" ht="42" customHeight="1">
      <x:c r="A28" s="185" t="n">
        <x:v>3</x:v>
      </x:c>
      <x:c r="B28" s="185" t="str">
        <x:f>IFERROR(INDEX('カスタムルート計算'!$B$2:$B$46,MATCH(A28,'カスタムルート計算'!$Z$2:$Z$46,0)),"")</x:f>
        <x:v>深夜2時間・空港から港の端へ</x:v>
      </x:c>
      <x:c r="C28" s="185" t="n">
        <x:f>IFERROR(INDEX('カスタムルート計算'!$Y$2:$Y$46,MATCH(A28,'カスタムルート計算'!$Z$2:$Z$46,0)),"")</x:f>
        <x:v>79</x:v>
      </x:c>
      <x:c r="D28" s="185" t="str">
        <x:f>IFERROR(INDEX('カスタムルート計算'!$H$2:$H$46,MATCH(A28,'カスタムルート計算'!$Z$2:$Z$46,0)),"")</x:f>
        <x:v>90～135分</x:v>
      </x:c>
      <x:c r="E28" s="185" t="str">
        <x:f>IFERROR(INDEX('カスタムルート計算'!$D$2:$D$46,MATCH(A28,'カスタムルート計算'!$Z$2:$Z$46,0)),"")</x:f>
        <x:v>羽田空港 第3ターミナル展望デッキ</x:v>
      </x:c>
      <x:c r="F28" s="185" t="str">
        <x:f>IFERROR(INDEX('カスタムルート計算'!$E$2:$E$46,MATCH(A28,'カスタムルート計算'!$Z$2:$Z$46,0)),"")</x:f>
      </x:c>
      <x:c r="G28" s="185" t="str">
        <x:f>IFERROR(INDEX('カスタムルート計算'!$G$2:$G$46,MATCH(A28,'カスタムルート計算'!$Z$2:$Z$46,0)),"")</x:f>
        <x:v>東扇島西公園</x:v>
      </x:c>
      <x:c r="H28" s="185" t="str">
        <x:f>IFERROR(INDEX('カスタムルート計算'!$V$2:$V$46,MATCH(A28,'カスタムルート計算'!$Z$2:$Z$46,0)),"")</x:f>
        <x:v>一般道向き</x:v>
      </x:c>
      <x:c r="I28" s="188" t="e">
        <x:f>IF(B28="","",HYPERLINK("https://www.google.com/maps/dir/?api=1&amp;destination="&amp;G28&amp;"&amp;travelmode=driving&amp;waypoints="&amp;E28&amp;IF(F28="","","|"&amp;F28),"開始"))</x:f>
      </x:c>
      <x:c r="J28" s="185" t="str">
        <x:f>IFERROR(INDEX('カスタムルート計算'!$U$2:$U$46,MATCH(A28,'カスタムルート計算'!$Z$2:$Z$46,0)),"")</x:f>
        <x:v>T3展望デッキと東扇島西公園は24時間利用可能。東扇島西公園は釣り利用で混雑するため、満車時は川崎マリエン外周へ変更。</x:v>
      </x:c>
    </x:row>
    <x:row r="29">
      <x:c r="A29" s="185"/>
      <x:c r="B29" s="185"/>
      <x:c r="C29" s="185"/>
      <x:c r="D29" s="185"/>
      <x:c r="E29" s="185"/>
      <x:c r="F29" s="185"/>
      <x:c r="G29" s="185"/>
      <x:c r="H29" s="185"/>
      <x:c r="I29" s="185"/>
      <x:c r="J29" s="185"/>
    </x:row>
    <x:row r="30">
      <x:c r="A30" s="185"/>
      <x:c r="B30" s="185"/>
      <x:c r="C30" s="185"/>
      <x:c r="D30" s="185"/>
      <x:c r="E30" s="185"/>
      <x:c r="F30" s="185"/>
      <x:c r="G30" s="185"/>
      <x:c r="H30" s="185"/>
      <x:c r="I30" s="185"/>
      <x:c r="J30" s="185"/>
    </x:row>
    <x:row r="31">
      <x:c r="A31" s="246" t="str">
        <x:v>使い方と限界</x:v>
      </x:c>
      <x:c r="B31" s="246"/>
      <x:c r="C31" s="246"/>
      <x:c r="D31" s="246"/>
      <x:c r="E31" s="246"/>
      <x:c r="F31" s="246"/>
      <x:c r="G31" s="246"/>
      <x:c r="H31" s="246"/>
      <x:c r="I31" s="246"/>
      <x:c r="J31" s="246"/>
    </x:row>
    <x:row r="32">
      <x:c r="A32" s="250" t="str">
        <x:v>項目</x:v>
      </x:c>
      <x:c r="B32" s="250" t="str">
        <x:v>内容</x:v>
      </x:c>
      <x:c r="C32" s="250"/>
      <x:c r="D32" s="250"/>
      <x:c r="E32" s="250"/>
      <x:c r="F32" s="250"/>
      <x:c r="G32" s="250"/>
      <x:c r="H32" s="250"/>
      <x:c r="I32" s="250"/>
      <x:c r="J32" s="250"/>
    </x:row>
    <x:row r="33">
      <x:c r="A33" s="185" t="str">
        <x:v>総時間</x:v>
      </x:c>
      <x:c r="B33" s="185" t="str">
        <x:v>往復の概算移動時間＋滞在中央値で判定。渋滞は含まない。</x:v>
      </x:c>
      <x:c r="C33" s="185"/>
      <x:c r="D33" s="185"/>
      <x:c r="E33" s="185"/>
      <x:c r="F33" s="185"/>
      <x:c r="G33" s="185"/>
      <x:c r="H33" s="185"/>
      <x:c r="I33" s="185"/>
      <x:c r="J33" s="185"/>
    </x:row>
    <x:row r="34">
      <x:c r="A34" s="185" t="str">
        <x:v>強風</x:v>
      </x:c>
      <x:c r="B34" s="185" t="str">
        <x:v>海・港・河川・屋上・展望デッキを大きく減点。空港屋内施設は比較的残る。</x:v>
      </x:c>
      <x:c r="C34" s="185"/>
      <x:c r="D34" s="185"/>
      <x:c r="E34" s="185"/>
      <x:c r="F34" s="185"/>
      <x:c r="G34" s="185"/>
      <x:c r="H34" s="185"/>
      <x:c r="I34" s="185"/>
      <x:c r="J34" s="185"/>
    </x:row>
    <x:row r="35">
      <x:c r="A35" s="185" t="str">
        <x:v>歩き方</x:v>
      </x:c>
      <x:c r="B35" s="185" t="str">
        <x:v>歩きたくない場合、車内鑑賞性が高く徒歩負荷の低い地点を優先。</x:v>
      </x:c>
      <x:c r="C35" s="185"/>
      <x:c r="D35" s="185"/>
      <x:c r="E35" s="185"/>
      <x:c r="F35" s="185"/>
      <x:c r="G35" s="185"/>
      <x:c r="H35" s="185"/>
      <x:c r="I35" s="185"/>
      <x:c r="J35" s="185"/>
    </x:row>
    <x:row r="36">
      <x:c r="A36" s="185" t="str">
        <x:v>駐車</x:v>
      </x:c>
      <x:c r="B36" s="185" t="str">
        <x:v>確実性優先では24時間・専用駐車場を高評価。穴場優先では穴場度を加点。</x:v>
      </x:c>
      <x:c r="C36" s="185"/>
      <x:c r="D36" s="185"/>
      <x:c r="E36" s="185"/>
      <x:c r="F36" s="185"/>
      <x:c r="G36" s="185"/>
      <x:c r="H36" s="185"/>
      <x:c r="I36" s="185"/>
      <x:c r="J36" s="185"/>
    </x:row>
    <x:row r="37">
      <x:c r="A37" s="185" t="str">
        <x:v>最終確認</x:v>
      </x:c>
      <x:c r="B37" s="185" t="str">
        <x:v>営業時間、閉鎖、満車、工事、増水、PAの方向は出発直前に公式情報を確認。</x:v>
      </x:c>
      <x:c r="C37" s="185"/>
      <x:c r="D37" s="185"/>
      <x:c r="E37" s="185"/>
      <x:c r="F37" s="185"/>
      <x:c r="G37" s="185"/>
      <x:c r="H37" s="185"/>
      <x:c r="I37" s="185"/>
      <x:c r="J37" s="185"/>
    </x:row>
    <x:row r="39">
      <x:c r="A39" s="291" t="str">
        <x:v>選んだルートを実走プランへ</x:v>
      </x:c>
      <x:c r="B39" s="291"/>
      <x:c r="C39" s="291"/>
      <x:c r="D39" s="291"/>
      <x:c r="E39" s="291"/>
      <x:c r="F39" s="291"/>
      <x:c r="G39" s="291"/>
      <x:c r="H39" s="291"/>
      <x:c r="I39" s="291"/>
      <x:c r="J39" s="291"/>
    </x:row>
    <x:row r="40">
      <x:c r="A40" s="315" t="e">
        <x:f>HYPERLINK("#'実走プラン'!A1","出発時刻・渋滞・Hard Gate・Plan Bを設定する")</x:f>
      </x:c>
      <x:c r="B40" s="315"/>
      <x:c r="C40" s="315"/>
      <x:c r="D40" s="315"/>
      <x:c r="E40" s="315"/>
      <x:c r="F40" s="315"/>
      <x:c r="G40" s="315"/>
      <x:c r="H40" s="315"/>
      <x:c r="I40" s="315"/>
      <x:c r="J40" s="315"/>
    </x:row>
    <x:row r="41">
      <x:c r="A41" s="315"/>
      <x:c r="B41" s="315"/>
      <x:c r="C41" s="315"/>
      <x:c r="D41" s="315"/>
      <x:c r="E41" s="315"/>
      <x:c r="F41" s="315"/>
      <x:c r="G41" s="315"/>
      <x:c r="H41" s="315"/>
      <x:c r="I41" s="315"/>
      <x:c r="J41" s="315"/>
    </x:row>
  </x:sheetData>
  <x:mergeCells>
    <x:mergeCell ref="A1:J2"/>
    <x:mergeCell ref="A3:J3"/>
    <x:mergeCell ref="D5:J5"/>
    <x:mergeCell ref="A15:J15"/>
    <x:mergeCell ref="A24:J24"/>
    <x:mergeCell ref="A31:J31"/>
    <x:mergeCell ref="A39:J39"/>
    <x:mergeCell ref="A40:J41"/>
    <x:mergeCell ref="A14:J14"/>
  </x:mergeCells>
  <x:conditionalFormatting sqref="C17:C21">
    <x:cfRule type="dataBar" priority="1">
      <x:dataBar>
        <x:cfvo type="min"/>
        <x:cfvo type="max"/>
        <x:color rgb="FFA02B93"/>
      </x:dataBar>
      <x:extLst>
        <x:ext xmlns:x14="http://schemas.microsoft.com/office/spreadsheetml/2009/9/main" uri="{B025F937-C7B1-47D3-B67F-A62EFF666E3E}">
          <x14:id>{AA47CE39-AC04-3290-B26D-EA19E7C00C09}</x14:id>
        </x:ext>
      </x:extLst>
    </x:cfRule>
  </x:conditionalFormatting>
  <x:conditionalFormatting sqref="C26:C28">
    <x:cfRule type="dataBar" priority="2">
      <x:dataBar>
        <x:cfvo type="min"/>
        <x:cfvo type="max"/>
        <x:color rgb="FF0F9ED5"/>
      </x:dataBar>
      <x:extLst>
        <x:ext xmlns:x14="http://schemas.microsoft.com/office/spreadsheetml/2009/9/main" uri="{B025F937-C7B1-47D3-B67F-A62EFF666E3E}">
          <x14:id>{9F797EAD-2AA3-0956-B07F-5E6470E3D176}</x14:id>
        </x:ext>
      </x:extLst>
    </x:cfRule>
  </x:conditionalFormatting>
  <x:dataValidations count="8">
    <x:dataValidation type="list" sqref="B6">
      <x:formula1>"60,90,120,150,180,240"</x:formula1>
    </x:dataValidation>
    <x:dataValidation type="list" sqref="B7">
      <x:formula1>"昼,夕方,夜,深夜"</x:formula1>
    </x:dataValidation>
    <x:dataValidation type="list" sqref="B8">
      <x:formula1>"晴れ,小雨,雨,強風"</x:formula1>
    </x:dataValidation>
    <x:dataValidation type="list" sqref="B9">
      <x:formula1>"おまかせ,飛行機,海・港,工場夜景,静かな場所,Story"</x:formula1>
    </x:dataValidation>
    <x:dataValidation type="list" sqref="B10">
      <x:formula1>"歩きたくない,普通,歩きたい"</x:formula1>
    </x:dataValidation>
    <x:dataValidation type="list" sqref="B11">
      <x:formula1>"確実性優先,普通,穴場優先"</x:formula1>
    </x:dataValidation>
    <x:dataValidation type="list" sqref="B12">
      <x:formula1>"一般道中心,どちらでも,高速も楽しむ"</x:formula1>
    </x:dataValidation>
    <x:dataValidation type="list" sqref="B13">
      <x:formula1>"専用駐車優先,許容,路上候補除外"</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AA47CE39-AC04-3290-B26D-EA19E7C00C09}">
            <x14:dataBar gradient="1">
              <x14:cfvo type="min"/>
              <x14:cfvo type="max"/>
              <x14:fillColor rgb="FFA02B93"/>
            </x14:dataBar>
          </x14:cfRule>
          <xm:sqref>C17:C21</xm:sqref>
        </x14:conditionalFormatting>
        <x14:conditionalFormatting>
          <x14:cfRule type="dataBar" priority="2" id="{9F797EAD-2AA3-0956-B07F-5E6470E3D176}">
            <x14:dataBar gradient="1">
              <x14:cfvo type="min"/>
              <x14:cfvo type="max"/>
              <x14:fillColor rgb="FF0F9ED5"/>
            </x14:dataBar>
          </x14:cfRule>
          <xm:sqref>C26:C28</xm:sqref>
        </x14:conditionalFormatting>
      </x14:conditionalFormattings>
    </x:ext>
  </x:extLst>
</x:worksheet>
</file>

<file path=xl/worksheets/sheet21.xml><?xml version="1.0" encoding="utf-8"?>
<x:worksheet xmlns:x="http://schemas.openxmlformats.org/spreadsheetml/2006/main">
  <x:sheetFormatPr defaultRowHeight="15"/>
  <x:cols>
    <x:col min="1" max="1" width="9" hidden="0" customWidth="1"/>
    <x:col min="2" max="2" width="28" hidden="0" customWidth="1"/>
    <x:col min="3" max="3" width="20" hidden="0" customWidth="1"/>
    <x:col min="4" max="4" width="26" hidden="0" customWidth="1"/>
    <x:col min="5" max="5" width="44" hidden="0" customWidth="1"/>
    <x:col min="6" max="6" width="44" hidden="0" customWidth="1"/>
    <x:col min="7" max="7" width="12" hidden="0" customWidth="1"/>
    <x:col min="8" max="8" width="18" hidden="0" customWidth="1"/>
    <x:col min="9" max="9" width="20" hidden="0" customWidth="1"/>
    <x:col min="10" max="10" width="10" hidden="0" customWidth="1"/>
    <x:col min="11" max="11" width="10" hidden="0" customWidth="1"/>
    <x:col min="12" max="12" width="10" hidden="0" customWidth="1"/>
    <x:col min="13" max="13" width="10" hidden="0" customWidth="1"/>
    <x:col min="14" max="14" width="12" hidden="0" customWidth="1"/>
    <x:col min="15" max="15" width="10"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2" hidden="0" customWidth="1"/>
    <x:col min="23" max="23" width="11" hidden="0" customWidth="1"/>
    <x:col min="24" max="24" width="12" hidden="0" customWidth="1"/>
    <x:col min="25" max="25" width="20" hidden="0" customWidth="1"/>
    <x:col min="26" max="26" width="22" hidden="0" customWidth="1"/>
    <x:col min="27" max="27" width="20" hidden="0" customWidth="1"/>
    <x:col min="28" max="28" width="24" hidden="0" customWidth="1"/>
    <x:col min="29" max="29" width="30" hidden="0" customWidth="1"/>
    <x:col min="30" max="30" width="12" hidden="0" customWidth="1"/>
    <x:col min="31" max="31" width="12" hidden="0" customWidth="1"/>
    <x:col min="32" max="32" width="13" hidden="0" customWidth="1"/>
    <x:col min="33" max="33" width="10" hidden="0" customWidth="1"/>
    <x:col min="34" max="34" width="10" hidden="0" customWidth="1"/>
    <x:col min="35" max="35" width="10" hidden="0" customWidth="1"/>
    <x:col min="36" max="36" width="12" hidden="0" customWidth="1"/>
    <x:col min="37" max="37" width="8" hidden="0" customWidth="1"/>
  </x:cols>
  <x:sheetData>
    <x:row r="1">
      <x:c r="A1" s="407" t="str">
        <x:v>ID</x:v>
      </x:c>
      <x:c r="B1" s="407" t="str">
        <x:v>名称</x:v>
      </x:c>
      <x:c r="C1" s="407" t="str">
        <x:v>エリア</x:v>
      </x:c>
      <x:c r="D1" s="407" t="str">
        <x:v>カテゴリ</x:v>
      </x:c>
      <x:c r="E1" s="407" t="str">
        <x:v>成立理由</x:v>
      </x:c>
      <x:c r="F1" s="407" t="str">
        <x:v>注意事項</x:v>
      </x:c>
      <x:c r="G1" s="407" t="str">
        <x:v>距離帯</x:v>
      </x:c>
      <x:c r="H1" s="407" t="str">
        <x:v>概算距離</x:v>
      </x:c>
      <x:c r="I1" s="407" t="str">
        <x:v>概算所要</x:v>
      </x:c>
      <x:c r="J1" s="407" t="str">
        <x:v>夜間適性</x:v>
      </x:c>
      <x:c r="K1" s="407" t="str">
        <x:v>穴場度</x:v>
      </x:c>
      <x:c r="L1" s="407" t="str">
        <x:v>雨天適性</x:v>
      </x:c>
      <x:c r="M1" s="407" t="str">
        <x:v>車内鑑賞</x:v>
      </x:c>
      <x:c r="N1" s="407" t="str">
        <x:v>駐車確実性</x:v>
      </x:c>
      <x:c r="O1" s="407" t="str">
        <x:v>閉場余裕</x:v>
      </x:c>
      <x:c r="P1" s="407" t="str">
        <x:v>平日夜90分</x:v>
      </x:c>
      <x:c r="Q1" s="407" t="str">
        <x:v>深夜2時間</x:v>
      </x:c>
      <x:c r="R1" s="407" t="str">
        <x:v>雨天</x:v>
      </x:c>
      <x:c r="S1" s="407" t="str">
        <x:v>飛行機</x:v>
      </x:c>
      <x:c r="T1" s="407" t="str">
        <x:v>海・港</x:v>
      </x:c>
      <x:c r="U1" s="407" t="str">
        <x:v>工場夜景</x:v>
      </x:c>
      <x:c r="V1" s="407" t="str">
        <x:v>静かな場所</x:v>
      </x:c>
      <x:c r="W1" s="407" t="str">
        <x:v>休日半日</x:v>
      </x:c>
      <x:c r="X1" s="407" t="str">
        <x:v>最終目的地力</x:v>
      </x:c>
      <x:c r="Y1" s="407" t="str">
        <x:v>推奨用途</x:v>
      </x:c>
      <x:c r="Z1" s="407" t="str">
        <x:v>推奨到着</x:v>
      </x:c>
      <x:c r="AA1" s="407" t="str">
        <x:v>一言判断</x:v>
      </x:c>
      <x:c r="AB1" s="407" t="str">
        <x:v>代替地点</x:v>
      </x:c>
      <x:c r="AC1" s="407" t="str">
        <x:v>組合せ</x:v>
      </x:c>
      <x:c r="AD1" s="407" t="str">
        <x:v>片道最大分</x:v>
      </x:c>
      <x:c r="AE1" s="407" t="str">
        <x:v>滞在中央分</x:v>
      </x:c>
      <x:c r="AF1" s="407" t="str">
        <x:v>推定総時間分</x:v>
      </x:c>
      <x:c r="AG1" s="407" t="str">
        <x:v>徒歩負荷</x:v>
      </x:c>
      <x:c r="AH1" s="407" t="str">
        <x:v>Story点</x:v>
      </x:c>
      <x:c r="AI1" s="407" t="str">
        <x:v>強風リスク</x:v>
      </x:c>
      <x:c r="AJ1" s="407" t="str">
        <x:v>カスタムスコア</x:v>
      </x:c>
      <x:c r="AK1" s="407" t="str">
        <x:v>順位</x:v>
      </x:c>
      <x:c r="AL1" s="448" t="str">
        <x:v>路上短時間適性</x:v>
      </x:c>
      <x:c r="AM1" s="448" t="str">
        <x:v>路上合法性確度</x:v>
      </x:c>
    </x:row>
    <x:row r="2" ht="36" customHeight="1">
      <x:c r="A2" s="22" t="str">
        <x:v>D001</x:v>
      </x:c>
      <x:c r="B2" s="22" t="str">
        <x:v>城南島海浜公園</x:v>
      </x:c>
      <x:c r="C2" s="22" t="str">
        <x:v>大田区・城南島</x:v>
      </x:c>
      <x:c r="D2" s="22" t="str">
        <x:v>飛行機・海・港</x:v>
      </x:c>
      <x:c r="E2" s="22" t="str">
        <x:v>羽田の航空機、東京湾、コンテナ港を同時に味わえる大田区起点の基準Ending。</x:v>
      </x:c>
      <x:c r="F2" s="22" t="str">
        <x:v>21時以降は入出庫不可。臨時閉鎖と高さ制限を当日確認。</x:v>
      </x:c>
      <x:c r="G2" s="22" t="str">
        <x:v>0〜10km</x:v>
      </x:c>
      <x:c r="H2" s="22" t="str">
        <x:v>概ね0〜10km</x:v>
      </x:c>
      <x:c r="I2" s="22" t="str">
        <x:v>通常10〜30分</x:v>
      </x:c>
      <x:c r="J2" s="22" t="n">
        <x:v>4</x:v>
      </x:c>
      <x:c r="K2" s="22" t="n">
        <x:v>4</x:v>
      </x:c>
      <x:c r="L2" s="22" t="n">
        <x:v>1</x:v>
      </x:c>
      <x:c r="M2" s="22" t="n">
        <x:v>4</x:v>
      </x:c>
      <x:c r="N2" s="22" t="n">
        <x:v>4</x:v>
      </x:c>
      <x:c r="O2" s="22" t="n">
        <x:v>3</x:v>
      </x:c>
      <x:c r="P2" s="22" t="n">
        <x:v>82</x:v>
      </x:c>
      <x:c r="Q2" s="22" t="n">
        <x:v>79</x:v>
      </x:c>
      <x:c r="R2" s="22" t="n">
        <x:v>60</x:v>
      </x:c>
      <x:c r="S2" s="22" t="n">
        <x:v>91</x:v>
      </x:c>
      <x:c r="T2" s="22" t="n">
        <x:v>90</x:v>
      </x:c>
      <x:c r="U2" s="22" t="n">
        <x:v>59</x:v>
      </x:c>
      <x:c r="V2" s="22" t="n">
        <x:v>63</x:v>
      </x:c>
      <x:c r="W2" s="22" t="n">
        <x:v>61</x:v>
      </x:c>
      <x:c r="X2" s="22" t="n">
        <x:v>74</x:v>
      </x:c>
      <x:c r="Y2" s="22" t="str">
        <x:v>飛行機／海・港</x:v>
      </x:c>
      <x:c r="Z2" s="22" t="str">
        <x:v>出発前に閉場確認</x:v>
      </x:c>
      <x:c r="AA2" s="22" t="str">
        <x:v>条件が合えば有力</x:v>
      </x:c>
      <x:c r="AB2" s="22" t="str">
        <x:v>城南島海浜公園</x:v>
      </x:c>
      <x:c r="AC2" s="22" t="str">
        <x:v>京浜島つばさ公園／羽田空港 第3ターミナル展望デッキ</x:v>
      </x:c>
      <x:c r="AD2" s="22" t="n">
        <x:v>30</x:v>
      </x:c>
      <x:c r="AE2" s="22" t="n">
        <x:v>45</x:v>
      </x:c>
      <x:c r="AF2" s="22" t="n">
        <x:v>105</x:v>
      </x:c>
      <x:c r="AG2" s="22" t="n">
        <x:v>2</x:v>
      </x:c>
      <x:c r="AH2" s="22" t="n">
        <x:v>45</x:v>
      </x:c>
      <x:c r="AI2" s="22" t="n">
        <x:v>5</x:v>
      </x:c>
      <x:c r="AJ2" s="22" t="n">
        <x:f>ROUND(MAX(0,MIN(100,IF('条件入力ナビ'!$B$9="飛行機",S2,IF('条件入力ナビ'!$B$9="海・港",T2,IF('条件入力ナビ'!$B$9="工場夜景",U2,IF('条件入力ナビ'!$B$9="静かな場所",V2,IF('条件入力ナビ'!$B$9="Story",AH2,X2)))))*0.30+IF('条件入力ナビ'!$B$7="深夜",Q2,IF('条件入力ナビ'!$B$7="夜",P2,IF('条件入力ナビ'!$B$7="夕方",(P2+W2)/2,W2)))*0.20+IF('条件入力ナビ'!$B$8="雨",R2,IF('条件入力ナビ'!$B$8="小雨",(R2+X2)/2,IF('条件入力ナビ'!$B$8="強風",MAX(0,X2-AI2*8),X2)))*0.15+N2*2+IF('条件入力ナビ'!$B$11="確実性優先",N2*1.6,IF('条件入力ナビ'!$B$11="穴場優先",K2*1.6,(N2+K2)*0.8))+IF(AF2&lt;='条件入力ナビ'!$B$6,12,MAX(-30,-(AF2-'条件入力ナビ'!$B$6)*0.5))+IF('条件入力ナビ'!$B$10="歩きたくない",(6-AG2)*1.2,IF('条件入力ナビ'!$B$10="歩きたい",AG2*1.2,0))+IF('条件入力ナビ'!$B$13="許容",AL2*1.2,IF('条件入力ナビ'!$B$13="路上候補除外",IF(AL2&gt;0,-12,0),0)))))</x:f>
        <x:v>76</x:v>
      </x:c>
      <x:c r="AK2" s="22" t="n">
        <x:f>RANK.EQ(AJ2,$AJ$2:$AJ$94,0)+COUNTIF($AJ$2:AJ2,AJ2)-1</x:f>
        <x:v>6</x:v>
      </x:c>
      <x:c r="AL2" t="n">
        <x:v>0</x:v>
      </x:c>
      <x:c r="AM2" t="str">
        <x:v>-</x:v>
      </x:c>
    </x:row>
    <x:row r="3" ht="36" customHeight="1">
      <x:c r="A3" s="22" t="str">
        <x:v>D002</x:v>
      </x:c>
      <x:c r="B3" s="22" t="str">
        <x:v>京浜島つばさ公園</x:v>
      </x:c>
      <x:c r="C3" s="22" t="str">
        <x:v>大田区・京浜島</x:v>
      </x:c>
      <x:c r="D3" s="22" t="str">
        <x:v>飛行機・工業島</x:v>
      </x:c>
      <x:c r="E3" s="22" t="str">
        <x:v>滑走路を横から眺め、工業島の行き止まり感と航空機の迫力を味わえる。</x:v>
      </x:c>
      <x:c r="F3" s="22" t="str">
        <x:v>台数が少ない。満車時の路上待機・路上駐車は禁止。</x:v>
      </x:c>
      <x:c r="G3" s="22" t="str">
        <x:v>0〜10km</x:v>
      </x:c>
      <x:c r="H3" s="22" t="str">
        <x:v>概ね0〜10km</x:v>
      </x:c>
      <x:c r="I3" s="22" t="str">
        <x:v>通常10〜30分</x:v>
      </x:c>
      <x:c r="J3" s="22" t="n">
        <x:v>5</x:v>
      </x:c>
      <x:c r="K3" s="22" t="n">
        <x:v>4</x:v>
      </x:c>
      <x:c r="L3" s="22" t="n">
        <x:v>2</x:v>
      </x:c>
      <x:c r="M3" s="22" t="n">
        <x:v>4</x:v>
      </x:c>
      <x:c r="N3" s="22" t="n">
        <x:v>4</x:v>
      </x:c>
      <x:c r="O3" s="22" t="n">
        <x:v>5</x:v>
      </x:c>
      <x:c r="P3" s="22" t="n">
        <x:v>93</x:v>
      </x:c>
      <x:c r="Q3" s="22" t="n">
        <x:v>93</x:v>
      </x:c>
      <x:c r="R3" s="22" t="n">
        <x:v>71</x:v>
      </x:c>
      <x:c r="S3" s="22" t="n">
        <x:v>94</x:v>
      </x:c>
      <x:c r="T3" s="22" t="n">
        <x:v>66</x:v>
      </x:c>
      <x:c r="U3" s="22" t="n">
        <x:v>95</x:v>
      </x:c>
      <x:c r="V3" s="22" t="n">
        <x:v>65</x:v>
      </x:c>
      <x:c r="W3" s="22" t="n">
        <x:v>64</x:v>
      </x:c>
      <x:c r="X3" s="22" t="n">
        <x:v>80</x:v>
      </x:c>
      <x:c r="Y3" s="22" t="str">
        <x:v>工場夜景／飛行機</x:v>
      </x:c>
      <x:c r="Z3" s="22" t="str">
        <x:v>出発前に閉場確認</x:v>
      </x:c>
      <x:c r="AA3" s="22" t="str">
        <x:v>強い候補</x:v>
      </x:c>
      <x:c r="AB3" s="22" t="str">
        <x:v>城南島海浜公園</x:v>
      </x:c>
      <x:c r="AC3" s="22" t="str">
        <x:v>京浜島つばさ公園／羽田空港 第3ターミナル展望デッキ</x:v>
      </x:c>
      <x:c r="AD3" s="22" t="n">
        <x:v>30</x:v>
      </x:c>
      <x:c r="AE3" s="22" t="n">
        <x:v>45</x:v>
      </x:c>
      <x:c r="AF3" s="22" t="n">
        <x:v>105</x:v>
      </x:c>
      <x:c r="AG3" s="22" t="n">
        <x:v>2</x:v>
      </x:c>
      <x:c r="AH3" s="22" t="n">
        <x:v>45</x:v>
      </x:c>
      <x:c r="AI3" s="22" t="n">
        <x:v>2</x:v>
      </x:c>
      <x:c r="AJ3" s="22" t="n">
        <x:f>ROUND(MAX(0,MIN(100,IF('条件入力ナビ'!$B$9="飛行機",S3,IF('条件入力ナビ'!$B$9="海・港",T3,IF('条件入力ナビ'!$B$9="工場夜景",U3,IF('条件入力ナビ'!$B$9="静かな場所",V3,IF('条件入力ナビ'!$B$9="Story",AH3,X3)))))*0.30+IF('条件入力ナビ'!$B$7="深夜",Q3,IF('条件入力ナビ'!$B$7="夜",P3,IF('条件入力ナビ'!$B$7="夕方",(P3+W3)/2,W3)))*0.20+IF('条件入力ナビ'!$B$8="雨",R3,IF('条件入力ナビ'!$B$8="小雨",(R3+X3)/2,IF('条件入力ナビ'!$B$8="強風",MAX(0,X3-AI3*8),X3)))*0.15+N3*2+IF('条件入力ナビ'!$B$11="確実性優先",N3*1.6,IF('条件入力ナビ'!$B$11="穴場優先",K3*1.6,(N3+K3)*0.8))+IF(AF3&lt;='条件入力ナビ'!$B$6,12,MAX(-30,-(AF3-'条件入力ナビ'!$B$6)*0.5))+IF('条件入力ナビ'!$B$10="歩きたくない",(6-AG3)*1.2,IF('条件入力ナビ'!$B$10="歩きたい",AG3*1.2,0))+IF('条件入力ナビ'!$B$13="許容",AL3*1.2,IF('条件入力ナビ'!$B$13="路上候補除外",IF(AL3&gt;0,-12,0),0)))))</x:f>
        <x:v>81</x:v>
      </x:c>
      <x:c r="AK3" s="22" t="n">
        <x:f>RANK.EQ(AJ3,$AJ$2:$AJ$94,0)+COUNTIF($AJ$2:AJ3,AJ3)-1</x:f>
        <x:v>2</x:v>
      </x:c>
      <x:c r="AL3" t="n">
        <x:v>0</x:v>
      </x:c>
      <x:c r="AM3" t="str">
        <x:v>-</x:v>
      </x:c>
    </x:row>
    <x:row r="4" ht="36" customHeight="1">
      <x:c r="A4" s="22" t="str">
        <x:v>D003</x:v>
      </x:c>
      <x:c r="B4" s="22" t="str">
        <x:v>羽田空港 第3ターミナル展望デッキ</x:v>
      </x:c>
      <x:c r="C4" s="22" t="str">
        <x:v>大田区・羽田</x:v>
      </x:c>
      <x:c r="D4" s="22" t="str">
        <x:v>飛行機・展望</x:v>
      </x:c>
      <x:c r="E4" s="22" t="str">
        <x:v>深夜でも滑走路灯火と航空機を楽しめる、安定性の高いEnding。</x:v>
      </x:c>
      <x:c r="F4" s="22" t="str">
        <x:v>保安・悪天候・イベントで一時閉鎖の場合あり。多客期は駐車場混雑。</x:v>
      </x:c>
      <x:c r="G4" s="22" t="str">
        <x:v>0〜10km</x:v>
      </x:c>
      <x:c r="H4" s="22" t="str">
        <x:v>概ね0〜10km</x:v>
      </x:c>
      <x:c r="I4" s="22" t="str">
        <x:v>通常10〜30分</x:v>
      </x:c>
      <x:c r="J4" s="22" t="n">
        <x:v>5</x:v>
      </x:c>
      <x:c r="K4" s="22" t="n">
        <x:v>2</x:v>
      </x:c>
      <x:c r="L4" s="22" t="n">
        <x:v>2</x:v>
      </x:c>
      <x:c r="M4" s="22" t="n">
        <x:v>4</x:v>
      </x:c>
      <x:c r="N4" s="22" t="n">
        <x:v>2</x:v>
      </x:c>
      <x:c r="O4" s="22" t="n">
        <x:v>5</x:v>
      </x:c>
      <x:c r="P4" s="22" t="n">
        <x:v>83</x:v>
      </x:c>
      <x:c r="Q4" s="22" t="n">
        <x:v>83</x:v>
      </x:c>
      <x:c r="R4" s="22" t="n">
        <x:v>59</x:v>
      </x:c>
      <x:c r="S4" s="22" t="n">
        <x:v>86</x:v>
      </x:c>
      <x:c r="T4" s="22" t="n">
        <x:v>58</x:v>
      </x:c>
      <x:c r="U4" s="22" t="n">
        <x:v>57</x:v>
      </x:c>
      <x:c r="V4" s="22" t="n">
        <x:v>51</x:v>
      </x:c>
      <x:c r="W4" s="22" t="n">
        <x:v>54</x:v>
      </x:c>
      <x:c r="X4" s="22" t="n">
        <x:v>68</x:v>
      </x:c>
      <x:c r="Y4" s="22" t="str">
        <x:v>飛行機／平日夜90分</x:v>
      </x:c>
      <x:c r="Z4" s="22" t="str">
        <x:v>出発前に閉場確認</x:v>
      </x:c>
      <x:c r="AA4" s="22" t="str">
        <x:v>用途限定で有効</x:v>
      </x:c>
      <x:c r="AB4" s="22" t="str">
        <x:v>城南島海浜公園</x:v>
      </x:c>
      <x:c r="AC4" s="22" t="str">
        <x:v>京浜島つばさ公園／羽田空港 第3ターミナル展望デッキ</x:v>
      </x:c>
      <x:c r="AD4" s="22" t="n">
        <x:v>30</x:v>
      </x:c>
      <x:c r="AE4" s="22" t="n">
        <x:v>45</x:v>
      </x:c>
      <x:c r="AF4" s="22" t="n">
        <x:v>105</x:v>
      </x:c>
      <x:c r="AG4" s="22" t="n">
        <x:v>2</x:v>
      </x:c>
      <x:c r="AH4" s="22" t="n">
        <x:v>45</x:v>
      </x:c>
      <x:c r="AI4" s="22" t="n">
        <x:v>2</x:v>
      </x:c>
      <x:c r="AJ4" s="22" t="n">
        <x:f>ROUND(MAX(0,MIN(100,IF('条件入力ナビ'!$B$9="飛行機",S4,IF('条件入力ナビ'!$B$9="海・港",T4,IF('条件入力ナビ'!$B$9="工場夜景",U4,IF('条件入力ナビ'!$B$9="静かな場所",V4,IF('条件入力ナビ'!$B$9="Story",AH4,X4)))))*0.30+IF('条件入力ナビ'!$B$7="深夜",Q4,IF('条件入力ナビ'!$B$7="夜",P4,IF('条件入力ナビ'!$B$7="夕方",(P4+W4)/2,W4)))*0.20+IF('条件入力ナビ'!$B$8="雨",R4,IF('条件入力ナビ'!$B$8="小雨",(R4+X4)/2,IF('条件入力ナビ'!$B$8="強風",MAX(0,X4-AI4*8),X4)))*0.15+N4*2+IF('条件入力ナビ'!$B$11="確実性優先",N4*1.6,IF('条件入力ナビ'!$B$11="穴場優先",K4*1.6,(N4+K4)*0.8))+IF(AF4&lt;='条件入力ナビ'!$B$6,12,MAX(-30,-(AF4-'条件入力ナビ'!$B$6)*0.5))+IF('条件入力ナビ'!$B$10="歩きたくない",(6-AG4)*1.2,IF('条件入力ナビ'!$B$10="歩きたい",AG4*1.2,0))+IF('条件入力ナビ'!$B$13="許容",AL4*1.2,IF('条件入力ナビ'!$B$13="路上候補除外",IF(AL4&gt;0,-12,0),0)))))</x:f>
        <x:v>66</x:v>
      </x:c>
      <x:c r="AK4" s="22" t="n">
        <x:f>RANK.EQ(AJ4,$AJ$2:$AJ$94,0)+COUNTIF($AJ$2:AJ4,AJ4)-1</x:f>
        <x:v>17</x:v>
      </x:c>
      <x:c r="AL4" t="n">
        <x:v>0</x:v>
      </x:c>
      <x:c r="AM4" t="str">
        <x:v>-</x:v>
      </x:c>
    </x:row>
    <x:row r="5" ht="36" customHeight="1">
      <x:c r="A5" s="22" t="str">
        <x:v>D004</x:v>
      </x:c>
      <x:c r="B5" s="22" t="str">
        <x:v>多摩川浅間神社</x:v>
      </x:c>
      <x:c r="C5" s="22" t="str">
        <x:v>大田区・田園調布</x:v>
      </x:c>
      <x:c r="D5" s="22" t="str">
        <x:v>高台・Story</x:v>
      </x:c>
      <x:c r="E5" s="22" t="str">
        <x:v>多摩川と武蔵小杉方面を見下ろし、『シン・ゴジラ』の物語性も重ねられる。</x:v>
      </x:c>
      <x:c r="F5" s="22" t="str">
        <x:v>住宅地と神社のため静粛必須。夜遅くより夕暮れ向け。</x:v>
      </x:c>
      <x:c r="G5" s="22" t="str">
        <x:v>0〜10km</x:v>
      </x:c>
      <x:c r="H5" s="22" t="str">
        <x:v>概ね0〜10km</x:v>
      </x:c>
      <x:c r="I5" s="22" t="str">
        <x:v>通常10〜30分</x:v>
      </x:c>
      <x:c r="J5" s="22" t="n">
        <x:v>2</x:v>
      </x:c>
      <x:c r="K5" s="22" t="n">
        <x:v>3</x:v>
      </x:c>
      <x:c r="L5" s="22" t="n">
        <x:v>1</x:v>
      </x:c>
      <x:c r="M5" s="22" t="n">
        <x:v>1</x:v>
      </x:c>
      <x:c r="N5" s="22" t="n">
        <x:v>4</x:v>
      </x:c>
      <x:c r="O5" s="22" t="n">
        <x:v>1</x:v>
      </x:c>
      <x:c r="P5" s="22" t="n">
        <x:v>58</x:v>
      </x:c>
      <x:c r="Q5" s="22" t="n">
        <x:v>52</x:v>
      </x:c>
      <x:c r="R5" s="22" t="n">
        <x:v>48</x:v>
      </x:c>
      <x:c r="S5" s="22" t="n">
        <x:v>50</x:v>
      </x:c>
      <x:c r="T5" s="22" t="n">
        <x:v>47</x:v>
      </x:c>
      <x:c r="U5" s="22" t="n">
        <x:v>45</x:v>
      </x:c>
      <x:c r="V5" s="22" t="n">
        <x:v>55</x:v>
      </x:c>
      <x:c r="W5" s="22" t="n">
        <x:v>71</x:v>
      </x:c>
      <x:c r="X5" s="22" t="n">
        <x:v>54</x:v>
      </x:c>
      <x:c r="Y5" s="22" t="str">
        <x:v>休日半日／平日夜90分</x:v>
      </x:c>
      <x:c r="Z5" s="22" t="str">
        <x:v>出発前に閉場確認</x:v>
      </x:c>
      <x:c r="AA5" s="22" t="str">
        <x:v>用途限定で有効</x:v>
      </x:c>
      <x:c r="AB5" s="22" t="str">
        <x:v>羽田空港 第3ターミナル展望デッキ</x:v>
      </x:c>
      <x:c r="AC5" s="22" t="str">
        <x:v>城南島海浜公園／潮風公園</x:v>
      </x:c>
      <x:c r="AD5" s="22" t="n">
        <x:v>30</x:v>
      </x:c>
      <x:c r="AE5" s="22" t="n">
        <x:v>45</x:v>
      </x:c>
      <x:c r="AF5" s="22" t="n">
        <x:v>105</x:v>
      </x:c>
      <x:c r="AG5" s="22" t="n">
        <x:v>3</x:v>
      </x:c>
      <x:c r="AH5" s="22" t="n">
        <x:v>80</x:v>
      </x:c>
      <x:c r="AI5" s="22" t="n">
        <x:v>5</x:v>
      </x:c>
      <x:c r="AJ5" s="22" t="n">
        <x:f>ROUND(MAX(0,MIN(100,IF('条件入力ナビ'!$B$9="飛行機",S5,IF('条件入力ナビ'!$B$9="海・港",T5,IF('条件入力ナビ'!$B$9="工場夜景",U5,IF('条件入力ナビ'!$B$9="静かな場所",V5,IF('条件入力ナビ'!$B$9="Story",AH5,X5)))))*0.30+IF('条件入力ナビ'!$B$7="深夜",Q5,IF('条件入力ナビ'!$B$7="夜",P5,IF('条件入力ナビ'!$B$7="夕方",(P5+W5)/2,W5)))*0.20+IF('条件入力ナビ'!$B$8="雨",R5,IF('条件入力ナビ'!$B$8="小雨",(R5+X5)/2,IF('条件入力ナビ'!$B$8="強風",MAX(0,X5-AI5*8),X5)))*0.15+N5*2+IF('条件入力ナビ'!$B$11="確実性優先",N5*1.6,IF('条件入力ナビ'!$B$11="穴場優先",K5*1.6,(N5+K5)*0.8))+IF(AF5&lt;='条件入力ナビ'!$B$6,12,MAX(-30,-(AF5-'条件入力ナビ'!$B$6)*0.5))+IF('条件入力ナビ'!$B$10="歩きたくない",(6-AG5)*1.2,IF('条件入力ナビ'!$B$10="歩きたい",AG5*1.2,0))+IF('条件入力ナビ'!$B$13="許容",AL5*1.2,IF('条件入力ナビ'!$B$13="路上候補除外",IF(AL5&gt;0,-12,0),0)))))</x:f>
        <x:v>62</x:v>
      </x:c>
      <x:c r="AK5" s="22" t="n">
        <x:f>RANK.EQ(AJ5,$AJ$2:$AJ$94,0)+COUNTIF($AJ$2:AJ5,AJ5)-1</x:f>
        <x:v>25</x:v>
      </x:c>
      <x:c r="AL5" t="n">
        <x:v>0</x:v>
      </x:c>
      <x:c r="AM5" t="str">
        <x:v>-</x:v>
      </x:c>
    </x:row>
    <x:row r="6" ht="36" customHeight="1">
      <x:c r="A6" s="22" t="str">
        <x:v>D005</x:v>
      </x:c>
      <x:c r="B6" s="22" t="str">
        <x:v>潮風公園</x:v>
      </x:c>
      <x:c r="C6" s="22" t="str">
        <x:v>港区・台場</x:v>
      </x:c>
      <x:c r="D6" s="22" t="str">
        <x:v>海・都市夜景</x:v>
      </x:c>
      <x:c r="E6" s="22" t="str">
        <x:v>海辺でレインボーブリッジと都心の灯りを眺め、余韻を作りやすい。</x:v>
      </x:c>
      <x:c r="F6" s="22" t="str">
        <x:v>イベント・工事による部分閉鎖を当日確認。集会や騒音行為は禁止。</x:v>
      </x:c>
      <x:c r="G6" s="22" t="str">
        <x:v>10〜20km</x:v>
      </x:c>
      <x:c r="H6" s="22" t="str">
        <x:v>概ね10〜20km</x:v>
      </x:c>
      <x:c r="I6" s="22" t="str">
        <x:v>通常25〜50分</x:v>
      </x:c>
      <x:c r="J6" s="22" t="n">
        <x:v>5</x:v>
      </x:c>
      <x:c r="K6" s="22" t="n">
        <x:v>3</x:v>
      </x:c>
      <x:c r="L6" s="22" t="n">
        <x:v>1</x:v>
      </x:c>
      <x:c r="M6" s="22" t="n">
        <x:v>3</x:v>
      </x:c>
      <x:c r="N6" s="22" t="n">
        <x:v>4</x:v>
      </x:c>
      <x:c r="O6" s="22" t="n">
        <x:v>5</x:v>
      </x:c>
      <x:c r="P6" s="22" t="n">
        <x:v>84</x:v>
      </x:c>
      <x:c r="Q6" s="22" t="n">
        <x:v>87</x:v>
      </x:c>
      <x:c r="R6" s="22" t="n">
        <x:v>57</x:v>
      </x:c>
      <x:c r="S6" s="22" t="n">
        <x:v>59</x:v>
      </x:c>
      <x:c r="T6" s="22" t="n">
        <x:v>88</x:v>
      </x:c>
      <x:c r="U6" s="22" t="n">
        <x:v>58</x:v>
      </x:c>
      <x:c r="V6" s="22" t="n">
        <x:v>57</x:v>
      </x:c>
      <x:c r="W6" s="22" t="n">
        <x:v>59</x:v>
      </x:c>
      <x:c r="X6" s="22" t="n">
        <x:v>70</x:v>
      </x:c>
      <x:c r="Y6" s="22" t="str">
        <x:v>海・港／深夜2時間</x:v>
      </x:c>
      <x:c r="Z6" s="22" t="str">
        <x:v>出発前に閉場確認</x:v>
      </x:c>
      <x:c r="AA6" s="22" t="str">
        <x:v>用途限定で有効</x:v>
      </x:c>
      <x:c r="AB6" s="22" t="str">
        <x:v>城南島海浜公園</x:v>
      </x:c>
      <x:c r="AC6" s="22" t="str">
        <x:v>潮風公園／晴海ふ頭公園</x:v>
      </x:c>
      <x:c r="AD6" s="22" t="n">
        <x:v>50</x:v>
      </x:c>
      <x:c r="AE6" s="22" t="n">
        <x:v>45</x:v>
      </x:c>
      <x:c r="AF6" s="22" t="n">
        <x:v>145</x:v>
      </x:c>
      <x:c r="AG6" s="22" t="n">
        <x:v>2</x:v>
      </x:c>
      <x:c r="AH6" s="22" t="n">
        <x:v>45</x:v>
      </x:c>
      <x:c r="AI6" s="22" t="n">
        <x:v>5</x:v>
      </x:c>
      <x:c r="AJ6" s="22" t="n">
        <x:f>ROUND(MAX(0,MIN(100,IF('条件入力ナビ'!$B$9="飛行機",S6,IF('条件入力ナビ'!$B$9="海・港",T6,IF('条件入力ナビ'!$B$9="工場夜景",U6,IF('条件入力ナビ'!$B$9="静かな場所",V6,IF('条件入力ナビ'!$B$9="Story",AH6,X6)))))*0.30+IF('条件入力ナビ'!$B$7="深夜",Q6,IF('条件入力ナビ'!$B$7="夜",P6,IF('条件入力ナビ'!$B$7="夕方",(P6+W6)/2,W6)))*0.20+IF('条件入力ナビ'!$B$8="雨",R6,IF('条件入力ナビ'!$B$8="小雨",(R6+X6)/2,IF('条件入力ナビ'!$B$8="強風",MAX(0,X6-AI6*8),X6)))*0.15+N6*2+IF('条件入力ナビ'!$B$11="確実性優先",N6*1.6,IF('条件入力ナビ'!$B$11="穴場優先",K6*1.6,(N6+K6)*0.8))+IF(AF6&lt;='条件入力ナビ'!$B$6,12,MAX(-30,-(AF6-'条件入力ナビ'!$B$6)*0.5))+IF('条件入力ナビ'!$B$10="歩きたくない",(6-AG6)*1.2,IF('条件入力ナビ'!$B$10="歩きたい",AG6*1.2,0))+IF('条件入力ナビ'!$B$13="許容",AL6*1.2,IF('条件入力ナビ'!$B$13="路上候補除外",IF(AL6&gt;0,-12,0),0)))))</x:f>
        <x:v>50</x:v>
      </x:c>
      <x:c r="AK6" s="22" t="n">
        <x:f>RANK.EQ(AJ6,$AJ$2:$AJ$94,0)+COUNTIF($AJ$2:AJ6,AJ6)-1</x:f>
        <x:v>37</x:v>
      </x:c>
      <x:c r="AL6" t="n">
        <x:v>0</x:v>
      </x:c>
      <x:c r="AM6" t="str">
        <x:v>-</x:v>
      </x:c>
    </x:row>
    <x:row r="7" ht="36" customHeight="1">
      <x:c r="A7" s="22" t="str">
        <x:v>D006</x:v>
      </x:c>
      <x:c r="B7" s="22" t="str">
        <x:v>若洲海浜公園</x:v>
      </x:c>
      <x:c r="C7" s="22" t="str">
        <x:v>江東区・若洲</x:v>
      </x:c>
      <x:c r="D7" s="22" t="str">
        <x:v>橋・海・港</x:v>
      </x:c>
      <x:c r="E7" s="22" t="str">
        <x:v>東京ゲートブリッジを間近に感じ、東京港の最奥へ走る感覚が強い。</x:v>
      </x:c>
      <x:c r="F7" s="22" t="str">
        <x:v>江東区立若洲公園はリニューアル工事中で、駐車場の一部・キャンプ場・貸自転車等が利用休止。強風時は滞在短縮。</x:v>
      </x:c>
      <x:c r="G7" s="22" t="str">
        <x:v>10〜20km</x:v>
      </x:c>
      <x:c r="H7" s="22" t="str">
        <x:v>概ね10〜20km</x:v>
      </x:c>
      <x:c r="I7" s="22" t="str">
        <x:v>通常25〜50分</x:v>
      </x:c>
      <x:c r="J7" s="22" t="n">
        <x:v>4</x:v>
      </x:c>
      <x:c r="K7" s="22" t="n">
        <x:v>3</x:v>
      </x:c>
      <x:c r="L7" s="22" t="n">
        <x:v>1</x:v>
      </x:c>
      <x:c r="M7" s="22" t="n">
        <x:v>3</x:v>
      </x:c>
      <x:c r="N7" s="22" t="n">
        <x:v>4</x:v>
      </x:c>
      <x:c r="O7" s="22" t="n">
        <x:v>4</x:v>
      </x:c>
      <x:c r="P7" s="22" t="n">
        <x:v>76</x:v>
      </x:c>
      <x:c r="Q7" s="22" t="n">
        <x:v>77</x:v>
      </x:c>
      <x:c r="R7" s="22" t="n">
        <x:v>55</x:v>
      </x:c>
      <x:c r="S7" s="22" t="n">
        <x:v>56</x:v>
      </x:c>
      <x:c r="T7" s="22" t="n">
        <x:v>84</x:v>
      </x:c>
      <x:c r="U7" s="22" t="n">
        <x:v>54</x:v>
      </x:c>
      <x:c r="V7" s="22" t="n">
        <x:v>55</x:v>
      </x:c>
      <x:c r="W7" s="22" t="n">
        <x:v>57</x:v>
      </x:c>
      <x:c r="X7" s="22" t="n">
        <x:v>65</x:v>
      </x:c>
      <x:c r="Y7" s="22" t="str">
        <x:v>海・港／深夜2時間</x:v>
      </x:c>
      <x:c r="Z7" s="22" t="str">
        <x:v>出発前に閉場確認</x:v>
      </x:c>
      <x:c r="AA7" s="22" t="str">
        <x:v>用途限定で有効</x:v>
      </x:c>
      <x:c r="AB7" s="22" t="str">
        <x:v>城南島海浜公園</x:v>
      </x:c>
      <x:c r="AC7" s="22" t="str">
        <x:v>潮風公園／晴海ふ頭公園</x:v>
      </x:c>
      <x:c r="AD7" s="22" t="n">
        <x:v>50</x:v>
      </x:c>
      <x:c r="AE7" s="22" t="n">
        <x:v>60</x:v>
      </x:c>
      <x:c r="AF7" s="22" t="n">
        <x:v>160</x:v>
      </x:c>
      <x:c r="AG7" s="22" t="n">
        <x:v>2</x:v>
      </x:c>
      <x:c r="AH7" s="22" t="n">
        <x:v>45</x:v>
      </x:c>
      <x:c r="AI7" s="22" t="n">
        <x:v>5</x:v>
      </x:c>
      <x:c r="AJ7" s="22" t="n">
        <x:f>ROUND(MAX(0,MIN(100,IF('条件入力ナビ'!$B$9="飛行機",S7,IF('条件入力ナビ'!$B$9="海・港",T7,IF('条件入力ナビ'!$B$9="工場夜景",U7,IF('条件入力ナビ'!$B$9="静かな場所",V7,IF('条件入力ナビ'!$B$9="Story",AH7,X7)))))*0.30+IF('条件入力ナビ'!$B$7="深夜",Q7,IF('条件入力ナビ'!$B$7="夜",P7,IF('条件入力ナビ'!$B$7="夕方",(P7+W7)/2,W7)))*0.20+IF('条件入力ナビ'!$B$8="雨",R7,IF('条件入力ナビ'!$B$8="小雨",(R7+X7)/2,IF('条件入力ナビ'!$B$8="強風",MAX(0,X7-AI7*8),X7)))*0.15+N7*2+IF('条件入力ナビ'!$B$11="確実性優先",N7*1.6,IF('条件入力ナビ'!$B$11="穴場優先",K7*1.6,(N7+K7)*0.8))+IF(AF7&lt;='条件入力ナビ'!$B$6,12,MAX(-30,-(AF7-'条件入力ナビ'!$B$6)*0.5))+IF('条件入力ナビ'!$B$10="歩きたくない",(6-AG7)*1.2,IF('条件入力ナビ'!$B$10="歩きたい",AG7*1.2,0))+IF('条件入力ナビ'!$B$13="許容",AL7*1.2,IF('条件入力ナビ'!$B$13="路上候補除外",IF(AL7&gt;0,-12,0),0)))))</x:f>
        <x:v>39</x:v>
      </x:c>
      <x:c r="AK7" s="22" t="n">
        <x:f>RANK.EQ(AJ7,$AJ$2:$AJ$94,0)+COUNTIF($AJ$2:AJ7,AJ7)-1</x:f>
        <x:v>48</x:v>
      </x:c>
      <x:c r="AL7" t="n">
        <x:v>0</x:v>
      </x:c>
      <x:c r="AM7" t="str">
        <x:v>-</x:v>
      </x:c>
    </x:row>
    <x:row r="8" ht="36" customHeight="1">
      <x:c r="A8" s="22" t="str">
        <x:v>D007</x:v>
      </x:c>
      <x:c r="B8" s="22" t="str">
        <x:v>葛西臨海公園</x:v>
      </x:c>
      <x:c r="C8" s="22" t="str">
        <x:v>江戸川区・臨海町</x:v>
      </x:c>
      <x:c r="D8" s="22" t="str">
        <x:v>海・観覧車・公園</x:v>
      </x:c>
      <x:c r="E8" s="22" t="str">
        <x:v>湾岸道路の先に海辺と観覧車が現れ、東側の安定Endingになる。</x:v>
      </x:c>
      <x:c r="F8" s="22" t="str">
        <x:v>休日は混雑。深夜は暗い園路や人通りの少ない区域を避ける。</x:v>
      </x:c>
      <x:c r="G8" s="22" t="str">
        <x:v>20〜25km</x:v>
      </x:c>
      <x:c r="H8" s="22" t="str">
        <x:v>概ね20〜25km</x:v>
      </x:c>
      <x:c r="I8" s="22" t="str">
        <x:v>通常40〜70分</x:v>
      </x:c>
      <x:c r="J8" s="22" t="n">
        <x:v>4</x:v>
      </x:c>
      <x:c r="K8" s="22" t="n">
        <x:v>2</x:v>
      </x:c>
      <x:c r="L8" s="22" t="n">
        <x:v>1</x:v>
      </x:c>
      <x:c r="M8" s="22" t="n">
        <x:v>3</x:v>
      </x:c>
      <x:c r="N8" s="22" t="n">
        <x:v>4</x:v>
      </x:c>
      <x:c r="O8" s="22" t="n">
        <x:v>5</x:v>
      </x:c>
      <x:c r="P8" s="22" t="n">
        <x:v>72</x:v>
      </x:c>
      <x:c r="Q8" s="22" t="n">
        <x:v>77</x:v>
      </x:c>
      <x:c r="R8" s="22" t="n">
        <x:v>52</x:v>
      </x:c>
      <x:c r="S8" s="22" t="n">
        <x:v>51</x:v>
      </x:c>
      <x:c r="T8" s="22" t="n">
        <x:v>80</x:v>
      </x:c>
      <x:c r="U8" s="22" t="n">
        <x:v>51</x:v>
      </x:c>
      <x:c r="V8" s="22" t="n">
        <x:v>75</x:v>
      </x:c>
      <x:c r="W8" s="22" t="n">
        <x:v>53</x:v>
      </x:c>
      <x:c r="X8" s="22" t="n">
        <x:v>64</x:v>
      </x:c>
      <x:c r="Y8" s="22" t="str">
        <x:v>海・港／深夜2時間</x:v>
      </x:c>
      <x:c r="Z8" s="22" t="str">
        <x:v>出発前に閉場確認</x:v>
      </x:c>
      <x:c r="AA8" s="22" t="str">
        <x:v>用途限定で有効</x:v>
      </x:c>
      <x:c r="AB8" s="22" t="str">
        <x:v>城南島海浜公園</x:v>
      </x:c>
      <x:c r="AC8" s="22" t="str">
        <x:v>潮風公園／晴海ふ頭公園</x:v>
      </x:c>
      <x:c r="AD8" s="22" t="n">
        <x:v>70</x:v>
      </x:c>
      <x:c r="AE8" s="22" t="n">
        <x:v>60</x:v>
      </x:c>
      <x:c r="AF8" s="22" t="n">
        <x:v>200</x:v>
      </x:c>
      <x:c r="AG8" s="22" t="n">
        <x:v>2</x:v>
      </x:c>
      <x:c r="AH8" s="22" t="n">
        <x:v>45</x:v>
      </x:c>
      <x:c r="AI8" s="22" t="n">
        <x:v>5</x:v>
      </x:c>
      <x:c r="AJ8" s="22" t="n">
        <x:f>ROUND(MAX(0,MIN(100,IF('条件入力ナビ'!$B$9="飛行機",S8,IF('条件入力ナビ'!$B$9="海・港",T8,IF('条件入力ナビ'!$B$9="工場夜景",U8,IF('条件入力ナビ'!$B$9="静かな場所",V8,IF('条件入力ナビ'!$B$9="Story",AH8,X8)))))*0.30+IF('条件入力ナビ'!$B$7="深夜",Q8,IF('条件入力ナビ'!$B$7="夜",P8,IF('条件入力ナビ'!$B$7="夕方",(P8+W8)/2,W8)))*0.20+IF('条件入力ナビ'!$B$8="雨",R8,IF('条件入力ナビ'!$B$8="小雨",(R8+X8)/2,IF('条件入力ナビ'!$B$8="強風",MAX(0,X8-AI8*8),X8)))*0.15+N8*2+IF('条件入力ナビ'!$B$11="確実性優先",N8*1.6,IF('条件入力ナビ'!$B$11="穴場優先",K8*1.6,(N8+K8)*0.8))+IF(AF8&lt;='条件入力ナビ'!$B$6,12,MAX(-30,-(AF8-'条件入力ナビ'!$B$6)*0.5))+IF('条件入力ナビ'!$B$10="歩きたくない",(6-AG8)*1.2,IF('条件入力ナビ'!$B$10="歩きたい",AG8*1.2,0))+IF('条件入力ナビ'!$B$13="許容",AL8*1.2,IF('条件入力ナビ'!$B$13="路上候補除外",IF(AL8&gt;0,-12,0),0)))))</x:f>
        <x:v>28</x:v>
      </x:c>
      <x:c r="AK8" s="22" t="n">
        <x:f>RANK.EQ(AJ8,$AJ$2:$AJ$94,0)+COUNTIF($AJ$2:AJ8,AJ8)-1</x:f>
        <x:v>68</x:v>
      </x:c>
      <x:c r="AL8" t="n">
        <x:v>0</x:v>
      </x:c>
      <x:c r="AM8" t="str">
        <x:v>-</x:v>
      </x:c>
    </x:row>
    <x:row r="9" ht="36" customHeight="1">
      <x:c r="A9" s="22" t="str">
        <x:v>D008</x:v>
      </x:c>
      <x:c r="B9" s="22" t="str">
        <x:v>夢の島公園</x:v>
      </x:c>
      <x:c r="C9" s="22" t="str">
        <x:v>江東区・夢の島</x:v>
      </x:c>
      <x:c r="D9" s="22" t="str">
        <x:v>静かな休憩・公園</x:v>
      </x:c>
      <x:c r="E9" s="22" t="str">
        <x:v>派手さはないが、湾岸走行後に静かに休むEndingとして使いやすい。</x:v>
      </x:c>
      <x:c r="F9" s="22" t="str">
        <x:v>一部閉鎖やイベントを確認。夜は奥まった区域を避ける。</x:v>
      </x:c>
      <x:c r="G9" s="22" t="str">
        <x:v>10〜20km</x:v>
      </x:c>
      <x:c r="H9" s="22" t="str">
        <x:v>概ね10〜20km</x:v>
      </x:c>
      <x:c r="I9" s="22" t="str">
        <x:v>通常25〜50分</x:v>
      </x:c>
      <x:c r="J9" s="22" t="n">
        <x:v>3</x:v>
      </x:c>
      <x:c r="K9" s="22" t="n">
        <x:v>4</x:v>
      </x:c>
      <x:c r="L9" s="22" t="n">
        <x:v>1</x:v>
      </x:c>
      <x:c r="M9" s="22" t="n">
        <x:v>1</x:v>
      </x:c>
      <x:c r="N9" s="22" t="n">
        <x:v>4</x:v>
      </x:c>
      <x:c r="O9" s="22" t="n">
        <x:v>1</x:v>
      </x:c>
      <x:c r="P9" s="22" t="n">
        <x:v>60</x:v>
      </x:c>
      <x:c r="Q9" s="22" t="n">
        <x:v>56</x:v>
      </x:c>
      <x:c r="R9" s="22" t="n">
        <x:v>47</x:v>
      </x:c>
      <x:c r="S9" s="22" t="n">
        <x:v>50</x:v>
      </x:c>
      <x:c r="T9" s="22" t="n">
        <x:v>49</x:v>
      </x:c>
      <x:c r="U9" s="22" t="n">
        <x:v>46</x:v>
      </x:c>
      <x:c r="V9" s="22" t="n">
        <x:v>85</x:v>
      </x:c>
      <x:c r="W9" s="22" t="n">
        <x:v>57</x:v>
      </x:c>
      <x:c r="X9" s="22" t="n">
        <x:v>56</x:v>
      </x:c>
      <x:c r="Y9" s="22" t="str">
        <x:v>静かな場所／平日夜90分</x:v>
      </x:c>
      <x:c r="Z9" s="22" t="str">
        <x:v>出発前に閉場確認</x:v>
      </x:c>
      <x:c r="AA9" s="22" t="str">
        <x:v>用途限定で有効</x:v>
      </x:c>
      <x:c r="AB9" s="22" t="str">
        <x:v>平和の森公園</x:v>
      </x:c>
      <x:c r="AC9" s="22" t="str">
        <x:v>大森ふるさとの浜辺公園／森ケ崎公園</x:v>
      </x:c>
      <x:c r="AD9" s="22" t="n">
        <x:v>50</x:v>
      </x:c>
      <x:c r="AE9" s="22" t="n">
        <x:v>60</x:v>
      </x:c>
      <x:c r="AF9" s="22" t="n">
        <x:v>160</x:v>
      </x:c>
      <x:c r="AG9" s="22" t="n">
        <x:v>3</x:v>
      </x:c>
      <x:c r="AH9" s="22" t="n">
        <x:v>45</x:v>
      </x:c>
      <x:c r="AI9" s="22" t="n">
        <x:v>2</x:v>
      </x:c>
      <x:c r="AJ9" s="22" t="n">
        <x:f>ROUND(MAX(0,MIN(100,IF('条件入力ナビ'!$B$9="飛行機",S9,IF('条件入力ナビ'!$B$9="海・港",T9,IF('条件入力ナビ'!$B$9="工場夜景",U9,IF('条件入力ナビ'!$B$9="静かな場所",V9,IF('条件入力ナビ'!$B$9="Story",AH9,X9)))))*0.30+IF('条件入力ナビ'!$B$7="深夜",Q9,IF('条件入力ナビ'!$B$7="夜",P9,IF('条件入力ナビ'!$B$7="夕方",(P9+W9)/2,W9)))*0.20+IF('条件入力ナビ'!$B$8="雨",R9,IF('条件入力ナビ'!$B$8="小雨",(R9+X9)/2,IF('条件入力ナビ'!$B$8="強風",MAX(0,X9-AI9*8),X9)))*0.15+N9*2+IF('条件入力ナビ'!$B$11="確実性優先",N9*1.6,IF('条件入力ナビ'!$B$11="穴場優先",K9*1.6,(N9+K9)*0.8))+IF(AF9&lt;='条件入力ナビ'!$B$6,12,MAX(-30,-(AF9-'条件入力ナビ'!$B$6)*0.5))+IF('条件入力ナビ'!$B$10="歩きたくない",(6-AG9)*1.2,IF('条件入力ナビ'!$B$10="歩きたい",AG9*1.2,0))+IF('条件入力ナビ'!$B$13="許容",AL9*1.2,IF('条件入力ナビ'!$B$13="路上候補除外",IF(AL9&gt;0,-12,0),0)))))</x:f>
        <x:v>32</x:v>
      </x:c>
      <x:c r="AK9" s="22" t="n">
        <x:f>RANK.EQ(AJ9,$AJ$2:$AJ$94,0)+COUNTIF($AJ$2:AJ9,AJ9)-1</x:f>
        <x:v>60</x:v>
      </x:c>
      <x:c r="AL9" t="n">
        <x:v>0</x:v>
      </x:c>
      <x:c r="AM9" t="str">
        <x:v>-</x:v>
      </x:c>
    </x:row>
    <x:row r="10" ht="36" customHeight="1">
      <x:c r="A10" s="22" t="str">
        <x:v>D009</x:v>
      </x:c>
      <x:c r="B10" s="22" t="str">
        <x:v>川崎マリエン</x:v>
      </x:c>
      <x:c r="C10" s="22" t="str">
        <x:v>川崎市・東扇島</x:v>
      </x:c>
      <x:c r="D10" s="22" t="str">
        <x:v>工場夜景・展望</x:v>
      </x:c>
      <x:c r="E10" s="22" t="str">
        <x:v>川崎港、工場、大型船、東京湾を高所から360度眺められる主力Ending。</x:v>
      </x:c>
      <x:c r="F10" s="22" t="str">
        <x:v>最終入場、休館日、工事情報を当日確認。</x:v>
      </x:c>
      <x:c r="G10" s="22" t="str">
        <x:v>10〜20km</x:v>
      </x:c>
      <x:c r="H10" s="22" t="str">
        <x:v>概ね10〜20km</x:v>
      </x:c>
      <x:c r="I10" s="22" t="str">
        <x:v>通常25〜50分</x:v>
      </x:c>
      <x:c r="J10" s="22" t="n">
        <x:v>5</x:v>
      </x:c>
      <x:c r="K10" s="22" t="n">
        <x:v>4</x:v>
      </x:c>
      <x:c r="L10" s="22" t="n">
        <x:v>2</x:v>
      </x:c>
      <x:c r="M10" s="22" t="n">
        <x:v>4</x:v>
      </x:c>
      <x:c r="N10" s="22" t="n">
        <x:v>4</x:v>
      </x:c>
      <x:c r="O10" s="22" t="n">
        <x:v>5</x:v>
      </x:c>
      <x:c r="P10" s="22" t="n">
        <x:v>88</x:v>
      </x:c>
      <x:c r="Q10" s="22" t="n">
        <x:v>90</x:v>
      </x:c>
      <x:c r="R10" s="22" t="n">
        <x:v>68</x:v>
      </x:c>
      <x:c r="S10" s="22" t="n">
        <x:v>62</x:v>
      </x:c>
      <x:c r="T10" s="22" t="n">
        <x:v>63</x:v>
      </x:c>
      <x:c r="U10" s="22" t="n">
        <x:v>92</x:v>
      </x:c>
      <x:c r="V10" s="22" t="n">
        <x:v>61</x:v>
      </x:c>
      <x:c r="W10" s="22" t="n">
        <x:v>62</x:v>
      </x:c>
      <x:c r="X10" s="22" t="n">
        <x:v>74</x:v>
      </x:c>
      <x:c r="Y10" s="22" t="str">
        <x:v>工場夜景／深夜2時間</x:v>
      </x:c>
      <x:c r="Z10" s="22" t="str">
        <x:v>出発前に閉場確認</x:v>
      </x:c>
      <x:c r="AA10" s="22" t="str">
        <x:v>条件が合えば有力</x:v>
      </x:c>
      <x:c r="AB10" s="22" t="str">
        <x:v>川崎マリエン</x:v>
      </x:c>
      <x:c r="AC10" s="22" t="str">
        <x:v>東扇島東公園／ちどり公園</x:v>
      </x:c>
      <x:c r="AD10" s="22" t="n">
        <x:v>50</x:v>
      </x:c>
      <x:c r="AE10" s="22" t="n">
        <x:v>45</x:v>
      </x:c>
      <x:c r="AF10" s="22" t="n">
        <x:v>145</x:v>
      </x:c>
      <x:c r="AG10" s="22" t="n">
        <x:v>2</x:v>
      </x:c>
      <x:c r="AH10" s="22" t="n">
        <x:v>45</x:v>
      </x:c>
      <x:c r="AI10" s="22" t="n">
        <x:v>2</x:v>
      </x:c>
      <x:c r="AJ10" s="22" t="n">
        <x:f>ROUND(MAX(0,MIN(100,IF('条件入力ナビ'!$B$9="飛行機",S10,IF('条件入力ナビ'!$B$9="海・港",T10,IF('条件入力ナビ'!$B$9="工場夜景",U10,IF('条件入力ナビ'!$B$9="静かな場所",V10,IF('条件入力ナビ'!$B$9="Story",AH10,X10)))))*0.30+IF('条件入力ナビ'!$B$7="深夜",Q10,IF('条件入力ナビ'!$B$7="夜",P10,IF('条件入力ナビ'!$B$7="夕方",(P10+W10)/2,W10)))*0.20+IF('条件入力ナビ'!$B$8="雨",R10,IF('条件入力ナビ'!$B$8="小雨",(R10+X10)/2,IF('条件入力ナビ'!$B$8="強風",MAX(0,X10-AI10*8),X10)))*0.15+N10*2+IF('条件入力ナビ'!$B$11="確実性優先",N10*1.6,IF('条件入力ナビ'!$B$11="穴場優先",K10*1.6,(N10+K10)*0.8))+IF(AF10&lt;='条件入力ナビ'!$B$6,12,MAX(-30,-(AF10-'条件入力ナビ'!$B$6)*0.5))+IF('条件入力ナビ'!$B$10="歩きたくない",(6-AG10)*1.2,IF('条件入力ナビ'!$B$10="歩きたい",AG10*1.2,0))+IF('条件入力ナビ'!$B$13="許容",AL10*1.2,IF('条件入力ナビ'!$B$13="路上候補除外",IF(AL10&gt;0,-12,0),0)))))</x:f>
        <x:v>53</x:v>
      </x:c>
      <x:c r="AK10" s="22" t="n">
        <x:f>RANK.EQ(AJ10,$AJ$2:$AJ$94,0)+COUNTIF($AJ$2:AJ10,AJ10)-1</x:f>
        <x:v>31</x:v>
      </x:c>
      <x:c r="AL10" t="n">
        <x:v>0</x:v>
      </x:c>
      <x:c r="AM10" t="str">
        <x:v>-</x:v>
      </x:c>
    </x:row>
    <x:row r="11" ht="36" customHeight="1">
      <x:c r="A11" s="22" t="str">
        <x:v>D010</x:v>
      </x:c>
      <x:c r="B11" s="22" t="str">
        <x:v>東扇島東公園</x:v>
      </x:c>
      <x:c r="C11" s="22" t="str">
        <x:v>川崎市・東扇島</x:v>
      </x:c>
      <x:c r="D11" s="22" t="str">
        <x:v>人工海浜・港</x:v>
      </x:c>
      <x:c r="E11" s="22" t="str">
        <x:v>人工海浜、航空機、港湾設備を低い目線で眺める夕方Ending。</x:v>
      </x:c>
      <x:c r="F11" s="22" t="str">
        <x:v>夜遅い出発には不向き。入庫制限時刻を厳守。</x:v>
      </x:c>
      <x:c r="G11" s="22" t="str">
        <x:v>10〜20km</x:v>
      </x:c>
      <x:c r="H11" s="22" t="str">
        <x:v>概ね10〜20km</x:v>
      </x:c>
      <x:c r="I11" s="22" t="str">
        <x:v>通常25〜50分</x:v>
      </x:c>
      <x:c r="J11" s="22" t="n">
        <x:v>3</x:v>
      </x:c>
      <x:c r="K11" s="22" t="n">
        <x:v>4</x:v>
      </x:c>
      <x:c r="L11" s="22" t="n">
        <x:v>1</x:v>
      </x:c>
      <x:c r="M11" s="22" t="n">
        <x:v>3</x:v>
      </x:c>
      <x:c r="N11" s="22" t="n">
        <x:v>4</x:v>
      </x:c>
      <x:c r="O11" s="22" t="n">
        <x:v>3</x:v>
      </x:c>
      <x:c r="P11" s="22" t="n">
        <x:v>70</x:v>
      </x:c>
      <x:c r="Q11" s="22" t="n">
        <x:v>68</x:v>
      </x:c>
      <x:c r="R11" s="22" t="n">
        <x:v>55</x:v>
      </x:c>
      <x:c r="S11" s="22" t="n">
        <x:v>54</x:v>
      </x:c>
      <x:c r="T11" s="22" t="n">
        <x:v>81</x:v>
      </x:c>
      <x:c r="U11" s="22" t="n">
        <x:v>50</x:v>
      </x:c>
      <x:c r="V11" s="22" t="n">
        <x:v>57</x:v>
      </x:c>
      <x:c r="W11" s="22" t="n">
        <x:v>57</x:v>
      </x:c>
      <x:c r="X11" s="22" t="n">
        <x:v>62</x:v>
      </x:c>
      <x:c r="Y11" s="22" t="str">
        <x:v>海・港／平日夜90分</x:v>
      </x:c>
      <x:c r="Z11" s="22" t="str">
        <x:v>出発前に閉場確認</x:v>
      </x:c>
      <x:c r="AA11" s="22" t="str">
        <x:v>用途限定で有効</x:v>
      </x:c>
      <x:c r="AB11" s="22" t="str">
        <x:v>城南島海浜公園</x:v>
      </x:c>
      <x:c r="AC11" s="22" t="str">
        <x:v>潮風公園／晴海ふ頭公園</x:v>
      </x:c>
      <x:c r="AD11" s="22" t="n">
        <x:v>50</x:v>
      </x:c>
      <x:c r="AE11" s="22" t="n">
        <x:v>60</x:v>
      </x:c>
      <x:c r="AF11" s="22" t="n">
        <x:v>160</x:v>
      </x:c>
      <x:c r="AG11" s="22" t="n">
        <x:v>2</x:v>
      </x:c>
      <x:c r="AH11" s="22" t="n">
        <x:v>45</x:v>
      </x:c>
      <x:c r="AI11" s="22" t="n">
        <x:v>5</x:v>
      </x:c>
      <x:c r="AJ11" s="22" t="n">
        <x:f>ROUND(MAX(0,MIN(100,IF('条件入力ナビ'!$B$9="飛行機",S11,IF('条件入力ナビ'!$B$9="海・港",T11,IF('条件入力ナビ'!$B$9="工場夜景",U11,IF('条件入力ナビ'!$B$9="静かな場所",V11,IF('条件入力ナビ'!$B$9="Story",AH11,X11)))))*0.30+IF('条件入力ナビ'!$B$7="深夜",Q11,IF('条件入力ナビ'!$B$7="夜",P11,IF('条件入力ナビ'!$B$7="夕方",(P11+W11)/2,W11)))*0.20+IF('条件入力ナビ'!$B$8="雨",R11,IF('条件入力ナビ'!$B$8="小雨",(R11+X11)/2,IF('条件入力ナビ'!$B$8="強風",MAX(0,X11-AI11*8),X11)))*0.15+N11*2+IF('条件入力ナビ'!$B$11="確実性優先",N11*1.6,IF('条件入力ナビ'!$B$11="穴場優先",K11*1.6,(N11+K11)*0.8))+IF(AF11&lt;='条件入力ナビ'!$B$6,12,MAX(-30,-(AF11-'条件入力ナビ'!$B$6)*0.5))+IF('条件入力ナビ'!$B$10="歩きたくない",(6-AG11)*1.2,IF('条件入力ナビ'!$B$10="歩きたい",AG11*1.2,0))+IF('条件入力ナビ'!$B$13="許容",AL11*1.2,IF('条件入力ナビ'!$B$13="路上候補除外",IF(AL11&gt;0,-12,0),0)))))</x:f>
        <x:v>36</x:v>
      </x:c>
      <x:c r="AK11" s="22" t="n">
        <x:f>RANK.EQ(AJ11,$AJ$2:$AJ$94,0)+COUNTIF($AJ$2:AJ11,AJ11)-1</x:f>
        <x:v>53</x:v>
      </x:c>
      <x:c r="AL11" t="n">
        <x:v>0</x:v>
      </x:c>
      <x:c r="AM11" t="str">
        <x:v>-</x:v>
      </x:c>
    </x:row>
    <x:row r="12" ht="36" customHeight="1">
      <x:c r="A12" s="22" t="str">
        <x:v>D013</x:v>
      </x:c>
      <x:c r="B12" s="22" t="str">
        <x:v>横浜港大さん橋</x:v>
      </x:c>
      <x:c r="C12" s="22" t="str">
        <x:v>横浜市・中区</x:v>
      </x:c>
      <x:c r="D12" s="22" t="str">
        <x:v>港・都市夜景</x:v>
      </x:c>
      <x:c r="E12" s="22" t="str">
        <x:v>みなとみらいとベイブリッジを受け止める完成度の高い都市型Ending。</x:v>
      </x:c>
      <x:c r="F12" s="22" t="str">
        <x:v>イベント日・客船入港日は混雑。穴場性より確実性重視。</x:v>
      </x:c>
      <x:c r="G12" s="22" t="str">
        <x:v>20〜25km</x:v>
      </x:c>
      <x:c r="H12" s="22" t="str">
        <x:v>概ね20〜25km</x:v>
      </x:c>
      <x:c r="I12" s="22" t="str">
        <x:v>通常40〜70分</x:v>
      </x:c>
      <x:c r="J12" s="22" t="n">
        <x:v>5</x:v>
      </x:c>
      <x:c r="K12" s="22" t="n">
        <x:v>1</x:v>
      </x:c>
      <x:c r="L12" s="22" t="n">
        <x:v>2</x:v>
      </x:c>
      <x:c r="M12" s="22" t="n">
        <x:v>3</x:v>
      </x:c>
      <x:c r="N12" s="22" t="n">
        <x:v>4</x:v>
      </x:c>
      <x:c r="O12" s="22" t="n">
        <x:v>5</x:v>
      </x:c>
      <x:c r="P12" s="22" t="n">
        <x:v>75</x:v>
      </x:c>
      <x:c r="Q12" s="22" t="n">
        <x:v>82</x:v>
      </x:c>
      <x:c r="R12" s="22" t="n">
        <x:v>57</x:v>
      </x:c>
      <x:c r="S12" s="22" t="n">
        <x:v>53</x:v>
      </x:c>
      <x:c r="T12" s="22" t="n">
        <x:v>83</x:v>
      </x:c>
      <x:c r="U12" s="22" t="n">
        <x:v>55</x:v>
      </x:c>
      <x:c r="V12" s="22" t="n">
        <x:v>45</x:v>
      </x:c>
      <x:c r="W12" s="22" t="n">
        <x:v>54</x:v>
      </x:c>
      <x:c r="X12" s="22" t="n">
        <x:v>64</x:v>
      </x:c>
      <x:c r="Y12" s="22" t="str">
        <x:v>海・港／深夜2時間</x:v>
      </x:c>
      <x:c r="Z12" s="22" t="str">
        <x:v>出発前に閉場確認</x:v>
      </x:c>
      <x:c r="AA12" s="22" t="str">
        <x:v>用途限定で有効</x:v>
      </x:c>
      <x:c r="AB12" s="22" t="str">
        <x:v>城南島海浜公園</x:v>
      </x:c>
      <x:c r="AC12" s="22" t="str">
        <x:v>潮風公園／晴海ふ頭公園</x:v>
      </x:c>
      <x:c r="AD12" s="22" t="n">
        <x:v>70</x:v>
      </x:c>
      <x:c r="AE12" s="22" t="n">
        <x:v>45</x:v>
      </x:c>
      <x:c r="AF12" s="22" t="n">
        <x:v>185</x:v>
      </x:c>
      <x:c r="AG12" s="22" t="n">
        <x:v>2</x:v>
      </x:c>
      <x:c r="AH12" s="22" t="n">
        <x:v>45</x:v>
      </x:c>
      <x:c r="AI12" s="22" t="n">
        <x:v>5</x:v>
      </x:c>
      <x:c r="AJ12" s="22" t="n">
        <x:f>ROUND(MAX(0,MIN(100,IF('条件入力ナビ'!$B$9="飛行機",S12,IF('条件入力ナビ'!$B$9="海・港",T12,IF('条件入力ナビ'!$B$9="工場夜景",U12,IF('条件入力ナビ'!$B$9="静かな場所",V12,IF('条件入力ナビ'!$B$9="Story",AH12,X12)))))*0.30+IF('条件入力ナビ'!$B$7="深夜",Q12,IF('条件入力ナビ'!$B$7="夜",P12,IF('条件入力ナビ'!$B$7="夕方",(P12+W12)/2,W12)))*0.20+IF('条件入力ナビ'!$B$8="雨",R12,IF('条件入力ナビ'!$B$8="小雨",(R12+X12)/2,IF('条件入力ナビ'!$B$8="強風",MAX(0,X12-AI12*8),X12)))*0.15+N12*2+IF('条件入力ナビ'!$B$11="確実性優先",N12*1.6,IF('条件入力ナビ'!$B$11="穴場優先",K12*1.6,(N12+K12)*0.8))+IF(AF12&lt;='条件入力ナビ'!$B$6,12,MAX(-30,-(AF12-'条件入力ナビ'!$B$6)*0.5))+IF('条件入力ナビ'!$B$10="歩きたくない",(6-AG12)*1.2,IF('条件入力ナビ'!$B$10="歩きたい",AG12*1.2,0))+IF('条件入力ナビ'!$B$13="許容",AL12*1.2,IF('条件入力ナビ'!$B$13="路上候補除外",IF(AL12&gt;0,-12,0),0)))))</x:f>
        <x:v>28</x:v>
      </x:c>
      <x:c r="AK12" s="22" t="n">
        <x:f>RANK.EQ(AJ12,$AJ$2:$AJ$94,0)+COUNTIF($AJ$2:AJ12,AJ12)-1</x:f>
        <x:v>69</x:v>
      </x:c>
      <x:c r="AL12" t="n">
        <x:v>0</x:v>
      </x:c>
      <x:c r="AM12" t="str">
        <x:v>-</x:v>
      </x:c>
    </x:row>
    <x:row r="13" ht="36" customHeight="1">
      <x:c r="A13" s="22" t="str">
        <x:v>D021</x:v>
      </x:c>
      <x:c r="B13" s="22" t="str">
        <x:v>暁ふ頭公園</x:v>
      </x:c>
      <x:c r="C13" s="22" t="str">
        <x:v>江東区・青海</x:v>
      </x:c>
      <x:c r="D13" s="22" t="str">
        <x:v>港・行き止まり・静かな休憩</x:v>
      </x:c>
      <x:c r="E13" s="22" t="str">
        <x:v>東京港最奥まで走り切る感覚があり、船と海を近距離で眺める穴場Ending。</x:v>
      </x:c>
      <x:c r="F13" s="22" t="str">
        <x:v>港湾部で風が強い。工事・駐車運用変更を当日確認。</x:v>
      </x:c>
      <x:c r="G13" s="22" t="str">
        <x:v>10〜20km</x:v>
      </x:c>
      <x:c r="H13" s="22" t="str">
        <x:v>概ね10〜20km</x:v>
      </x:c>
      <x:c r="I13" s="22" t="str">
        <x:v>通常25〜50分</x:v>
      </x:c>
      <x:c r="J13" s="22" t="n">
        <x:v>5</x:v>
      </x:c>
      <x:c r="K13" s="22" t="n">
        <x:v>5</x:v>
      </x:c>
      <x:c r="L13" s="22" t="n">
        <x:v>2</x:v>
      </x:c>
      <x:c r="M13" s="22" t="n">
        <x:v>3</x:v>
      </x:c>
      <x:c r="N13" s="22" t="n">
        <x:v>4</x:v>
      </x:c>
      <x:c r="O13" s="22" t="n">
        <x:v>1</x:v>
      </x:c>
      <x:c r="P13" s="22" t="n">
        <x:v>76</x:v>
      </x:c>
      <x:c r="Q13" s="22" t="n">
        <x:v>73</x:v>
      </x:c>
      <x:c r="R13" s="22" t="n">
        <x:v>60</x:v>
      </x:c>
      <x:c r="S13" s="22" t="n">
        <x:v>61</x:v>
      </x:c>
      <x:c r="T13" s="22" t="n">
        <x:v>90</x:v>
      </x:c>
      <x:c r="U13" s="22" t="n">
        <x:v>58</x:v>
      </x:c>
      <x:c r="V13" s="22" t="n">
        <x:v>65</x:v>
      </x:c>
      <x:c r="W13" s="22" t="n">
        <x:v>64</x:v>
      </x:c>
      <x:c r="X13" s="22" t="n">
        <x:v>69</x:v>
      </x:c>
      <x:c r="Y13" s="22" t="str">
        <x:v>海・港／平日夜90分</x:v>
      </x:c>
      <x:c r="Z13" s="22" t="str">
        <x:v>出発前に閉場確認</x:v>
      </x:c>
      <x:c r="AA13" s="22" t="str">
        <x:v>用途限定で有効</x:v>
      </x:c>
      <x:c r="AB13" s="22" t="str">
        <x:v>城南島海浜公園</x:v>
      </x:c>
      <x:c r="AC13" s="22" t="str">
        <x:v>潮風公園／晴海ふ頭公園</x:v>
      </x:c>
      <x:c r="AD13" s="22" t="n">
        <x:v>50</x:v>
      </x:c>
      <x:c r="AE13" s="22" t="n">
        <x:v>60</x:v>
      </x:c>
      <x:c r="AF13" s="22" t="n">
        <x:v>160</x:v>
      </x:c>
      <x:c r="AG13" s="22" t="n">
        <x:v>2</x:v>
      </x:c>
      <x:c r="AH13" s="22" t="n">
        <x:v>45</x:v>
      </x:c>
      <x:c r="AI13" s="22" t="n">
        <x:v>5</x:v>
      </x:c>
      <x:c r="AJ13" s="22" t="n">
        <x:f>ROUND(MAX(0,MIN(100,IF('条件入力ナビ'!$B$9="飛行機",S13,IF('条件入力ナビ'!$B$9="海・港",T13,IF('条件入力ナビ'!$B$9="工場夜景",U13,IF('条件入力ナビ'!$B$9="静かな場所",V13,IF('条件入力ナビ'!$B$9="Story",AH13,X13)))))*0.30+IF('条件入力ナビ'!$B$7="深夜",Q13,IF('条件入力ナビ'!$B$7="夜",P13,IF('条件入力ナビ'!$B$7="夕方",(P13+W13)/2,W13)))*0.20+IF('条件入力ナビ'!$B$8="雨",R13,IF('条件入力ナビ'!$B$8="小雨",(R13+X13)/2,IF('条件入力ナビ'!$B$8="強風",MAX(0,X13-AI13*8),X13)))*0.15+N13*2+IF('条件入力ナビ'!$B$11="確実性優先",N13*1.6,IF('条件入力ナビ'!$B$11="穴場優先",K13*1.6,(N13+K13)*0.8))+IF(AF13&lt;='条件入力ナビ'!$B$6,12,MAX(-30,-(AF13-'条件入力ナビ'!$B$6)*0.5))+IF('条件入力ナビ'!$B$10="歩きたくない",(6-AG13)*1.2,IF('条件入力ナビ'!$B$10="歩きたい",AG13*1.2,0))+IF('条件入力ナビ'!$B$13="許容",AL13*1.2,IF('条件入力ナビ'!$B$13="路上候補除外",IF(AL13&gt;0,-12,0),0)))))</x:f>
        <x:v>41</x:v>
      </x:c>
      <x:c r="AK13" s="22" t="n">
        <x:f>RANK.EQ(AJ13,$AJ$2:$AJ$94,0)+COUNTIF($AJ$2:AJ13,AJ13)-1</x:f>
        <x:v>47</x:v>
      </x:c>
      <x:c r="AL13" t="n">
        <x:v>0</x:v>
      </x:c>
      <x:c r="AM13" t="str">
        <x:v>-</x:v>
      </x:c>
    </x:row>
    <x:row r="14" ht="36" customHeight="1">
      <x:c r="A14" s="22" t="str">
        <x:v>D022</x:v>
      </x:c>
      <x:c r="B14" s="22" t="str">
        <x:v>豊洲ぐるり公園</x:v>
      </x:c>
      <x:c r="C14" s="22" t="str">
        <x:v>江東区・豊洲</x:v>
      </x:c>
      <x:c r="D14" s="22" t="str">
        <x:v>都市夜景・水辺</x:v>
      </x:c>
      <x:c r="E14" s="22" t="str">
        <x:v>レインボーブリッジと都心の高層群を水辺越しに眺め、歩いて余韻を作れる。</x:v>
      </x:c>
      <x:c r="F14" s="22" t="str">
        <x:v>市場周辺イベント時は混雑。駐車位置と見たい景色の位置関係を確認。</x:v>
      </x:c>
      <x:c r="G14" s="22" t="str">
        <x:v>10〜20km</x:v>
      </x:c>
      <x:c r="H14" s="22" t="str">
        <x:v>概ね10〜20km</x:v>
      </x:c>
      <x:c r="I14" s="22" t="str">
        <x:v>通常25〜50分</x:v>
      </x:c>
      <x:c r="J14" s="22" t="n">
        <x:v>5</x:v>
      </x:c>
      <x:c r="K14" s="22" t="n">
        <x:v>3</x:v>
      </x:c>
      <x:c r="L14" s="22" t="n">
        <x:v>2</x:v>
      </x:c>
      <x:c r="M14" s="22" t="n">
        <x:v>3</x:v>
      </x:c>
      <x:c r="N14" s="22" t="n">
        <x:v>4</x:v>
      </x:c>
      <x:c r="O14" s="22" t="n">
        <x:v>5</x:v>
      </x:c>
      <x:c r="P14" s="22" t="n">
        <x:v>84</x:v>
      </x:c>
      <x:c r="Q14" s="22" t="n">
        <x:v>87</x:v>
      </x:c>
      <x:c r="R14" s="22" t="n">
        <x:v>64</x:v>
      </x:c>
      <x:c r="S14" s="22" t="n">
        <x:v>59</x:v>
      </x:c>
      <x:c r="T14" s="22" t="n">
        <x:v>88</x:v>
      </x:c>
      <x:c r="U14" s="22" t="n">
        <x:v>58</x:v>
      </x:c>
      <x:c r="V14" s="22" t="n">
        <x:v>57</x:v>
      </x:c>
      <x:c r="W14" s="22" t="n">
        <x:v>60</x:v>
      </x:c>
      <x:c r="X14" s="22" t="n">
        <x:v>71</x:v>
      </x:c>
      <x:c r="Y14" s="22" t="str">
        <x:v>海・港／深夜2時間</x:v>
      </x:c>
      <x:c r="Z14" s="22" t="str">
        <x:v>出発前に閉場確認</x:v>
      </x:c>
      <x:c r="AA14" s="22" t="str">
        <x:v>用途限定で有効</x:v>
      </x:c>
      <x:c r="AB14" s="22" t="str">
        <x:v>羽田空港 第3ターミナル展望デッキ</x:v>
      </x:c>
      <x:c r="AC14" s="22" t="str">
        <x:v>城南島海浜公園／潮風公園</x:v>
      </x:c>
      <x:c r="AD14" s="22" t="n">
        <x:v>50</x:v>
      </x:c>
      <x:c r="AE14" s="22" t="n">
        <x:v>45</x:v>
      </x:c>
      <x:c r="AF14" s="22" t="n">
        <x:v>145</x:v>
      </x:c>
      <x:c r="AG14" s="22" t="n">
        <x:v>2</x:v>
      </x:c>
      <x:c r="AH14" s="22" t="n">
        <x:v>45</x:v>
      </x:c>
      <x:c r="AI14" s="22" t="n">
        <x:v>2</x:v>
      </x:c>
      <x:c r="AJ14" s="22" t="n">
        <x:f>ROUND(MAX(0,MIN(100,IF('条件入力ナビ'!$B$9="飛行機",S14,IF('条件入力ナビ'!$B$9="海・港",T14,IF('条件入力ナビ'!$B$9="工場夜景",U14,IF('条件入力ナビ'!$B$9="静かな場所",V14,IF('条件入力ナビ'!$B$9="Story",AH14,X14)))))*0.30+IF('条件入力ナビ'!$B$7="深夜",Q14,IF('条件入力ナビ'!$B$7="夜",P14,IF('条件入力ナビ'!$B$7="夕方",(P14+W14)/2,W14)))*0.20+IF('条件入力ナビ'!$B$8="雨",R14,IF('条件入力ナビ'!$B$8="小雨",(R14+X14)/2,IF('条件入力ナビ'!$B$8="強風",MAX(0,X14-AI14*8),X14)))*0.15+N14*2+IF('条件入力ナビ'!$B$11="確実性優先",N14*1.6,IF('条件入力ナビ'!$B$11="穴場優先",K14*1.6,(N14+K14)*0.8))+IF(AF14&lt;='条件入力ナビ'!$B$6,12,MAX(-30,-(AF14-'条件入力ナビ'!$B$6)*0.5))+IF('条件入力ナビ'!$B$10="歩きたくない",(6-AG14)*1.2,IF('条件入力ナビ'!$B$10="歩きたい",AG14*1.2,0))+IF('条件入力ナビ'!$B$13="許容",AL14*1.2,IF('条件入力ナビ'!$B$13="路上候補除外",IF(AL14&gt;0,-12,0),0)))))</x:f>
        <x:v>51</x:v>
      </x:c>
      <x:c r="AK14" s="22" t="n">
        <x:f>RANK.EQ(AJ14,$AJ$2:$AJ$94,0)+COUNTIF($AJ$2:AJ14,AJ14)-1</x:f>
        <x:v>36</x:v>
      </x:c>
      <x:c r="AL14" t="n">
        <x:v>0</x:v>
      </x:c>
      <x:c r="AM14" t="str">
        <x:v>-</x:v>
      </x:c>
    </x:row>
    <x:row r="15" ht="36" customHeight="1">
      <x:c r="A15" s="22" t="str">
        <x:v>D023</x:v>
      </x:c>
      <x:c r="B15" s="22" t="str">
        <x:v>晴海ふ頭公園</x:v>
      </x:c>
      <x:c r="C15" s="22" t="str">
        <x:v>中央区・晴海</x:v>
      </x:c>
      <x:c r="D15" s="22" t="str">
        <x:v>港・都市夜景・Story</x:v>
      </x:c>
      <x:c r="E15" s="22" t="str">
        <x:v>東京港とTOKYOモニュメントが重なる都市型Ending。</x:v>
      </x:c>
      <x:c r="F15" s="22" t="str">
        <x:v>台数が少なくイベント時は入庫待ちに注意。</x:v>
      </x:c>
      <x:c r="G15" s="22" t="str">
        <x:v>10〜20km</x:v>
      </x:c>
      <x:c r="H15" s="22" t="str">
        <x:v>概ね10〜20km</x:v>
      </x:c>
      <x:c r="I15" s="22" t="str">
        <x:v>通常25〜50分</x:v>
      </x:c>
      <x:c r="J15" s="22" t="n">
        <x:v>5</x:v>
      </x:c>
      <x:c r="K15" s="22" t="n">
        <x:v>4</x:v>
      </x:c>
      <x:c r="L15" s="22" t="n">
        <x:v>2</x:v>
      </x:c>
      <x:c r="M15" s="22" t="n">
        <x:v>3</x:v>
      </x:c>
      <x:c r="N15" s="22" t="n">
        <x:v>4</x:v>
      </x:c>
      <x:c r="O15" s="22" t="n">
        <x:v>5</x:v>
      </x:c>
      <x:c r="P15" s="22" t="n">
        <x:v>86</x:v>
      </x:c>
      <x:c r="Q15" s="22" t="n">
        <x:v>88</x:v>
      </x:c>
      <x:c r="R15" s="22" t="n">
        <x:v>66</x:v>
      </x:c>
      <x:c r="S15" s="22" t="n">
        <x:v>60</x:v>
      </x:c>
      <x:c r="T15" s="22" t="n">
        <x:v>89</x:v>
      </x:c>
      <x:c r="U15" s="22" t="n">
        <x:v>58</x:v>
      </x:c>
      <x:c r="V15" s="22" t="n">
        <x:v>61</x:v>
      </x:c>
      <x:c r="W15" s="22" t="n">
        <x:v>78</x:v>
      </x:c>
      <x:c r="X15" s="22" t="n">
        <x:v>75</x:v>
      </x:c>
      <x:c r="Y15" s="22" t="str">
        <x:v>海・港／深夜2時間</x:v>
      </x:c>
      <x:c r="Z15" s="22" t="str">
        <x:v>出発前に閉場確認</x:v>
      </x:c>
      <x:c r="AA15" s="22" t="str">
        <x:v>条件が合えば有力</x:v>
      </x:c>
      <x:c r="AB15" s="22" t="str">
        <x:v>城南島海浜公園</x:v>
      </x:c>
      <x:c r="AC15" s="22" t="str">
        <x:v>潮風公園／晴海ふ頭公園</x:v>
      </x:c>
      <x:c r="AD15" s="22" t="n">
        <x:v>50</x:v>
      </x:c>
      <x:c r="AE15" s="22" t="n">
        <x:v>45</x:v>
      </x:c>
      <x:c r="AF15" s="22" t="n">
        <x:v>145</x:v>
      </x:c>
      <x:c r="AG15" s="22" t="n">
        <x:v>2</x:v>
      </x:c>
      <x:c r="AH15" s="22" t="n">
        <x:v>80</x:v>
      </x:c>
      <x:c r="AI15" s="22" t="n">
        <x:v>5</x:v>
      </x:c>
      <x:c r="AJ15" s="22" t="n">
        <x:f>ROUND(MAX(0,MIN(100,IF('条件入力ナビ'!$B$9="飛行機",S15,IF('条件入力ナビ'!$B$9="海・港",T15,IF('条件入力ナビ'!$B$9="工場夜景",U15,IF('条件入力ナビ'!$B$9="静かな場所",V15,IF('条件入力ナビ'!$B$9="Story",AH15,X15)))))*0.30+IF('条件入力ナビ'!$B$7="深夜",Q15,IF('条件入力ナビ'!$B$7="夜",P15,IF('条件入力ナビ'!$B$7="夕方",(P15+W15)/2,W15)))*0.20+IF('条件入力ナビ'!$B$8="雨",R15,IF('条件入力ナビ'!$B$8="小雨",(R15+X15)/2,IF('条件入力ナビ'!$B$8="強風",MAX(0,X15-AI15*8),X15)))*0.15+N15*2+IF('条件入力ナビ'!$B$11="確実性優先",N15*1.6,IF('条件入力ナビ'!$B$11="穴場優先",K15*1.6,(N15+K15)*0.8))+IF(AF15&lt;='条件入力ナビ'!$B$6,12,MAX(-30,-(AF15-'条件入力ナビ'!$B$6)*0.5))+IF('条件入力ナビ'!$B$10="歩きたくない",(6-AG15)*1.2,IF('条件入力ナビ'!$B$10="歩きたい",AG15*1.2,0))+IF('条件入力ナビ'!$B$13="許容",AL15*1.2,IF('条件入力ナビ'!$B$13="路上候補除外",IF(AL15&gt;0,-12,0),0)))))</x:f>
        <x:v>53</x:v>
      </x:c>
      <x:c r="AK15" s="22" t="n">
        <x:f>RANK.EQ(AJ15,$AJ$2:$AJ$94,0)+COUNTIF($AJ$2:AJ15,AJ15)-1</x:f>
        <x:v>32</x:v>
      </x:c>
      <x:c r="AL15" t="n">
        <x:v>0</x:v>
      </x:c>
      <x:c r="AM15" t="str">
        <x:v>-</x:v>
      </x:c>
    </x:row>
    <x:row r="16" ht="36" customHeight="1">
      <x:c r="A16" s="22" t="str">
        <x:v>D024</x:v>
      </x:c>
      <x:c r="B16" s="22" t="str">
        <x:v>東京港野鳥公園</x:v>
      </x:c>
      <x:c r="C16" s="22" t="str">
        <x:v>大田区・東海</x:v>
      </x:c>
      <x:c r="D16" s="22" t="str">
        <x:v>自然・水辺</x:v>
      </x:c>
      <x:c r="E16" s="22" t="str">
        <x:v>物流・空港エリアの中に湿地が残り、昼の静かな終点になる。</x:v>
      </x:c>
      <x:c r="F16" s="22" t="str">
        <x:v>休園日を確認。夕方以降は使用不可。</x:v>
      </x:c>
      <x:c r="G16" s="22" t="str">
        <x:v>0〜10km</x:v>
      </x:c>
      <x:c r="H16" s="22" t="str">
        <x:v>概ね0〜10km</x:v>
      </x:c>
      <x:c r="I16" s="22" t="str">
        <x:v>通常10〜30分</x:v>
      </x:c>
      <x:c r="J16" s="22" t="n">
        <x:v>1</x:v>
      </x:c>
      <x:c r="K16" s="22" t="n">
        <x:v>4</x:v>
      </x:c>
      <x:c r="L16" s="22" t="n">
        <x:v>2</x:v>
      </x:c>
      <x:c r="M16" s="22" t="n">
        <x:v>1</x:v>
      </x:c>
      <x:c r="N16" s="22" t="n">
        <x:v>4</x:v>
      </x:c>
      <x:c r="O16" s="22" t="n">
        <x:v>1</x:v>
      </x:c>
      <x:c r="P16" s="22" t="n">
        <x:v>55</x:v>
      </x:c>
      <x:c r="Q16" s="22" t="n">
        <x:v>47</x:v>
      </x:c>
      <x:c r="R16" s="22" t="n">
        <x:v>57</x:v>
      </x:c>
      <x:c r="S16" s="22" t="n">
        <x:v>48</x:v>
      </x:c>
      <x:c r="T16" s="22" t="n">
        <x:v>72</x:v>
      </x:c>
      <x:c r="U16" s="22" t="n">
        <x:v>41</x:v>
      </x:c>
      <x:c r="V16" s="22" t="n">
        <x:v>57</x:v>
      </x:c>
      <x:c r="W16" s="22" t="n">
        <x:v>56</x:v>
      </x:c>
      <x:c r="X16" s="22" t="n">
        <x:v>54</x:v>
      </x:c>
      <x:c r="Y16" s="22" t="str">
        <x:v>海・港／雨天</x:v>
      </x:c>
      <x:c r="Z16" s="22" t="str">
        <x:v>出発前に閉場確認</x:v>
      </x:c>
      <x:c r="AA16" s="22" t="str">
        <x:v>用途限定で有効</x:v>
      </x:c>
      <x:c r="AB16" s="22" t="str">
        <x:v>羽田空港 第3ターミナル展望デッキ</x:v>
      </x:c>
      <x:c r="AC16" s="22" t="str">
        <x:v>城南島海浜公園／潮風公園</x:v>
      </x:c>
      <x:c r="AD16" s="22" t="n">
        <x:v>30</x:v>
      </x:c>
      <x:c r="AE16" s="22" t="n">
        <x:v>45</x:v>
      </x:c>
      <x:c r="AF16" s="22" t="n">
        <x:v>105</x:v>
      </x:c>
      <x:c r="AG16" s="22" t="n">
        <x:v>3</x:v>
      </x:c>
      <x:c r="AH16" s="22" t="n">
        <x:v>45</x:v>
      </x:c>
      <x:c r="AI16" s="22" t="n">
        <x:v>2</x:v>
      </x:c>
      <x:c r="AJ16" s="22" t="n">
        <x:f>ROUND(MAX(0,MIN(100,IF('条件入力ナビ'!$B$9="飛行機",S16,IF('条件入力ナビ'!$B$9="海・港",T16,IF('条件入力ナビ'!$B$9="工場夜景",U16,IF('条件入力ナビ'!$B$9="静かな場所",V16,IF('条件入力ナビ'!$B$9="Story",AH16,X16)))))*0.30+IF('条件入力ナビ'!$B$7="深夜",Q16,IF('条件入力ナビ'!$B$7="夜",P16,IF('条件入力ナビ'!$B$7="夕方",(P16+W16)/2,W16)))*0.20+IF('条件入力ナビ'!$B$8="雨",R16,IF('条件入力ナビ'!$B$8="小雨",(R16+X16)/2,IF('条件入力ナビ'!$B$8="強風",MAX(0,X16-AI16*8),X16)))*0.15+N16*2+IF('条件入力ナビ'!$B$11="確実性優先",N16*1.6,IF('条件入力ナビ'!$B$11="穴場優先",K16*1.6,(N16+K16)*0.8))+IF(AF16&lt;='条件入力ナビ'!$B$6,12,MAX(-30,-(AF16-'条件入力ナビ'!$B$6)*0.5))+IF('条件入力ナビ'!$B$10="歩きたくない",(6-AG16)*1.2,IF('条件入力ナビ'!$B$10="歩きたい",AG16*1.2,0))+IF('条件入力ナビ'!$B$13="許容",AL16*1.2,IF('条件入力ナビ'!$B$13="路上候補除外",IF(AL16&gt;0,-12,0),0)))))</x:f>
        <x:v>62</x:v>
      </x:c>
      <x:c r="AK16" s="22" t="n">
        <x:f>RANK.EQ(AJ16,$AJ$2:$AJ$94,0)+COUNTIF($AJ$2:AJ16,AJ16)-1</x:f>
        <x:v>26</x:v>
      </x:c>
      <x:c r="AL16" t="n">
        <x:v>0</x:v>
      </x:c>
      <x:c r="AM16" t="str">
        <x:v>-</x:v>
      </x:c>
    </x:row>
    <x:row r="17" ht="36" customHeight="1">
      <x:c r="A17" s="22" t="str">
        <x:v>D025</x:v>
      </x:c>
      <x:c r="B17" s="22" t="str">
        <x:v>海の森公園</x:v>
      </x:c>
      <x:c r="C17" s="22" t="str">
        <x:v>江東区・海の森</x:v>
      </x:c>
      <x:c r="D17" s="22" t="str">
        <x:v>高台・東京港・新景観</x:v>
      </x:c>
      <x:c r="E17" s="22" t="str">
        <x:v>東京港の埋立地を高い視点から眺め、空の広さを体験できる。</x:v>
      </x:c>
      <x:c r="F17" s="22" t="str">
        <x:v>時間外は出庫不可。イベント・団体利用・公式ページの当日案内を確認。</x:v>
      </x:c>
      <x:c r="G17" s="22" t="str">
        <x:v>10〜20km</x:v>
      </x:c>
      <x:c r="H17" s="22" t="str">
        <x:v>概ね10〜20km</x:v>
      </x:c>
      <x:c r="I17" s="22" t="str">
        <x:v>通常25〜50分</x:v>
      </x:c>
      <x:c r="J17" s="22" t="n">
        <x:v>1</x:v>
      </x:c>
      <x:c r="K17" s="22" t="n">
        <x:v>5</x:v>
      </x:c>
      <x:c r="L17" s="22" t="n">
        <x:v>1</x:v>
      </x:c>
      <x:c r="M17" s="22" t="n">
        <x:v>3</x:v>
      </x:c>
      <x:c r="N17" s="22" t="n">
        <x:v>4</x:v>
      </x:c>
      <x:c r="O17" s="22" t="n">
        <x:v>1</x:v>
      </x:c>
      <x:c r="P17" s="22" t="n">
        <x:v>56</x:v>
      </x:c>
      <x:c r="Q17" s="22" t="n">
        <x:v>49</x:v>
      </x:c>
      <x:c r="R17" s="22" t="n">
        <x:v>53</x:v>
      </x:c>
      <x:c r="S17" s="22" t="n">
        <x:v>49</x:v>
      </x:c>
      <x:c r="T17" s="22" t="n">
        <x:v>74</x:v>
      </x:c>
      <x:c r="U17" s="22" t="n">
        <x:v>42</x:v>
      </x:c>
      <x:c r="V17" s="22" t="n">
        <x:v>57</x:v>
      </x:c>
      <x:c r="W17" s="22" t="n">
        <x:v>55</x:v>
      </x:c>
      <x:c r="X17" s="22" t="n">
        <x:v>55</x:v>
      </x:c>
      <x:c r="Y17" s="22" t="str">
        <x:v>海・港／静かな場所</x:v>
      </x:c>
      <x:c r="Z17" s="22" t="str">
        <x:v>出発前に閉場確認</x:v>
      </x:c>
      <x:c r="AA17" s="22" t="str">
        <x:v>用途限定で有効</x:v>
      </x:c>
      <x:c r="AB17" s="22" t="str">
        <x:v>城南島海浜公園</x:v>
      </x:c>
      <x:c r="AC17" s="22" t="str">
        <x:v>潮風公園／晴海ふ頭公園</x:v>
      </x:c>
      <x:c r="AD17" s="22" t="n">
        <x:v>50</x:v>
      </x:c>
      <x:c r="AE17" s="22" t="n">
        <x:v>60</x:v>
      </x:c>
      <x:c r="AF17" s="22" t="n">
        <x:v>160</x:v>
      </x:c>
      <x:c r="AG17" s="22" t="n">
        <x:v>2</x:v>
      </x:c>
      <x:c r="AH17" s="22" t="n">
        <x:v>45</x:v>
      </x:c>
      <x:c r="AI17" s="22" t="n">
        <x:v>5</x:v>
      </x:c>
      <x:c r="AJ17" s="22" t="n">
        <x:f>ROUND(MAX(0,MIN(100,IF('条件入力ナビ'!$B$9="飛行機",S17,IF('条件入力ナビ'!$B$9="海・港",T17,IF('条件入力ナビ'!$B$9="工場夜景",U17,IF('条件入力ナビ'!$B$9="静かな場所",V17,IF('条件入力ナビ'!$B$9="Story",AH17,X17)))))*0.30+IF('条件入力ナビ'!$B$7="深夜",Q17,IF('条件入力ナビ'!$B$7="夜",P17,IF('条件入力ナビ'!$B$7="夕方",(P17+W17)/2,W17)))*0.20+IF('条件入力ナビ'!$B$8="雨",R17,IF('条件入力ナビ'!$B$8="小雨",(R17+X17)/2,IF('条件入力ナビ'!$B$8="強風",MAX(0,X17-AI17*8),X17)))*0.15+N17*2+IF('条件入力ナビ'!$B$11="確実性優先",N17*1.6,IF('条件入力ナビ'!$B$11="穴場優先",K17*1.6,(N17+K17)*0.8))+IF(AF17&lt;='条件入力ナビ'!$B$6,12,MAX(-30,-(AF17-'条件入力ナビ'!$B$6)*0.5))+IF('条件入力ナビ'!$B$10="歩きたくない",(6-AG17)*1.2,IF('条件入力ナビ'!$B$10="歩きたい",AG17*1.2,0))+IF('条件入力ナビ'!$B$13="許容",AL17*1.2,IF('条件入力ナビ'!$B$13="路上候補除外",IF(AL17&gt;0,-12,0),0)))))</x:f>
        <x:v>30</x:v>
      </x:c>
      <x:c r="AK17" s="22" t="n">
        <x:f>RANK.EQ(AJ17,$AJ$2:$AJ$94,0)+COUNTIF($AJ$2:AJ17,AJ17)-1</x:f>
        <x:v>63</x:v>
      </x:c>
      <x:c r="AL17" t="n">
        <x:v>0</x:v>
      </x:c>
      <x:c r="AM17" t="str">
        <x:v>-</x:v>
      </x:c>
    </x:row>
    <x:row r="18" ht="36" customHeight="1">
      <x:c r="A18" s="22" t="str">
        <x:v>D044</x:v>
      </x:c>
      <x:c r="B18" s="22" t="str">
        <x:v>桜ヶ丘公園 ゆうひの丘</x:v>
      </x:c>
      <x:c r="C18" s="22" t="str">
        <x:v>多摩市・連光寺</x:v>
      </x:c>
      <x:c r="D18" s="22" t="str">
        <x:v>高台・夕景・夜景</x:v>
      </x:c>
      <x:c r="E18" s="22" t="str">
        <x:v>多摩丘陵から市街地を見下ろす夕景が強く、都心湾岸とは別系統の高台Endingになる。</x:v>
      </x:c>
      <x:c r="F18" s="22" t="str">
        <x:v>20時に夜間閉鎖。台数が少なく、公道での入庫待ちは不可。</x:v>
      </x:c>
      <x:c r="G18" s="22" t="str">
        <x:v>20〜25km</x:v>
      </x:c>
      <x:c r="H18" s="22" t="str">
        <x:v>概ね20〜25km</x:v>
      </x:c>
      <x:c r="I18" s="22" t="str">
        <x:v>通常40〜70分</x:v>
      </x:c>
      <x:c r="J18" s="22" t="n">
        <x:v>4</x:v>
      </x:c>
      <x:c r="K18" s="22" t="n">
        <x:v>4</x:v>
      </x:c>
      <x:c r="L18" s="22" t="n">
        <x:v>1</x:v>
      </x:c>
      <x:c r="M18" s="22" t="n">
        <x:v>3</x:v>
      </x:c>
      <x:c r="N18" s="22" t="n">
        <x:v>4</x:v>
      </x:c>
      <x:c r="O18" s="22" t="n">
        <x:v>3</x:v>
      </x:c>
      <x:c r="P18" s="22" t="n">
        <x:v>68</x:v>
      </x:c>
      <x:c r="Q18" s="22" t="n">
        <x:v>70</x:v>
      </x:c>
      <x:c r="R18" s="22" t="n">
        <x:v>50</x:v>
      </x:c>
      <x:c r="S18" s="22" t="n">
        <x:v>52</x:v>
      </x:c>
      <x:c r="T18" s="22" t="n">
        <x:v>53</x:v>
      </x:c>
      <x:c r="U18" s="22" t="n">
        <x:v>51</x:v>
      </x:c>
      <x:c r="V18" s="22" t="n">
        <x:v>51</x:v>
      </x:c>
      <x:c r="W18" s="22" t="n">
        <x:v>55</x:v>
      </x:c>
      <x:c r="X18" s="22" t="n">
        <x:v>57</x:v>
      </x:c>
      <x:c r="Y18" s="22" t="str">
        <x:v>深夜2時間／平日夜90分</x:v>
      </x:c>
      <x:c r="Z18" s="22" t="str">
        <x:v>出発前に閉場確認</x:v>
      </x:c>
      <x:c r="AA18" s="22" t="str">
        <x:v>用途限定で有効</x:v>
      </x:c>
      <x:c r="AB18" s="22" t="str">
        <x:v>羽田空港 第3ターミナル展望デッキ</x:v>
      </x:c>
      <x:c r="AC18" s="22" t="str">
        <x:v>城南島海浜公園／潮風公園</x:v>
      </x:c>
      <x:c r="AD18" s="22" t="n">
        <x:v>70</x:v>
      </x:c>
      <x:c r="AE18" s="22" t="n">
        <x:v>45</x:v>
      </x:c>
      <x:c r="AF18" s="22" t="n">
        <x:v>185</x:v>
      </x:c>
      <x:c r="AG18" s="22" t="n">
        <x:v>2</x:v>
      </x:c>
      <x:c r="AH18" s="22" t="n">
        <x:v>45</x:v>
      </x:c>
      <x:c r="AI18" s="22" t="n">
        <x:v>5</x:v>
      </x:c>
      <x:c r="AJ18" s="22" t="n">
        <x:f>ROUND(MAX(0,MIN(100,IF('条件入力ナビ'!$B$9="飛行機",S18,IF('条件入力ナビ'!$B$9="海・港",T18,IF('条件入力ナビ'!$B$9="工場夜景",U18,IF('条件入力ナビ'!$B$9="静かな場所",V18,IF('条件入力ナビ'!$B$9="Story",AH18,X18)))))*0.30+IF('条件入力ナビ'!$B$7="深夜",Q18,IF('条件入力ナビ'!$B$7="夜",P18,IF('条件入力ナビ'!$B$7="夕方",(P18+W18)/2,W18)))*0.20+IF('条件入力ナビ'!$B$8="雨",R18,IF('条件入力ナビ'!$B$8="小雨",(R18+X18)/2,IF('条件入力ナビ'!$B$8="強風",MAX(0,X18-AI18*8),X18)))*0.15+N18*2+IF('条件入力ナビ'!$B$11="確実性優先",N18*1.6,IF('条件入力ナビ'!$B$11="穴場優先",K18*1.6,(N18+K18)*0.8))+IF(AF18&lt;='条件入力ナビ'!$B$6,12,MAX(-30,-(AF18-'条件入力ナビ'!$B$6)*0.5))+IF('条件入力ナビ'!$B$10="歩きたくない",(6-AG18)*1.2,IF('条件入力ナビ'!$B$10="歩きたい",AG18*1.2,0))+IF('条件入力ナビ'!$B$13="許容",AL18*1.2,IF('条件入力ナビ'!$B$13="路上候補除外",IF(AL18&gt;0,-12,0),0)))))</x:f>
        <x:v>24</x:v>
      </x:c>
      <x:c r="AK18" s="22" t="n">
        <x:f>RANK.EQ(AJ18,$AJ$2:$AJ$94,0)+COUNTIF($AJ$2:AJ18,AJ18)-1</x:f>
        <x:v>77</x:v>
      </x:c>
      <x:c r="AL18" t="n">
        <x:v>0</x:v>
      </x:c>
      <x:c r="AM18" t="str">
        <x:v>-</x:v>
      </x:c>
    </x:row>
    <x:row r="19" ht="36" customHeight="1">
      <x:c r="A19" s="22" t="str">
        <x:v>D058</x:v>
      </x:c>
      <x:c r="B19" s="22" t="str">
        <x:v>浦安市総合公園</x:v>
      </x:c>
      <x:c r="C19" s="22" t="str">
        <x:v>浦安市・明海</x:v>
      </x:c>
      <x:c r="D19" s="22" t="str">
        <x:v>海・芝生・夜間公園</x:v>
      </x:c>
      <x:c r="E19" s="22" t="str">
        <x:v>海沿いの広い芝生と新浦安の灯りがあり、深夜にも使える穏やかな湾岸Ending。</x:v>
      </x:c>
      <x:c r="F19" s="22" t="str">
        <x:v>海側は風が強い。住宅・ホテルに近いため静粛に。</x:v>
      </x:c>
      <x:c r="G19" s="22" t="str">
        <x:v>20〜25km</x:v>
      </x:c>
      <x:c r="H19" s="22" t="str">
        <x:v>概ね20〜25km</x:v>
      </x:c>
      <x:c r="I19" s="22" t="str">
        <x:v>通常40〜70分</x:v>
      </x:c>
      <x:c r="J19" s="22" t="n">
        <x:v>5</x:v>
      </x:c>
      <x:c r="K19" s="22" t="n">
        <x:v>4</x:v>
      </x:c>
      <x:c r="L19" s="22" t="n">
        <x:v>1</x:v>
      </x:c>
      <x:c r="M19" s="22" t="n">
        <x:v>3</x:v>
      </x:c>
      <x:c r="N19" s="22" t="n">
        <x:v>4</x:v>
      </x:c>
      <x:c r="O19" s="22" t="n">
        <x:v>5</x:v>
      </x:c>
      <x:c r="P19" s="22" t="n">
        <x:v>81</x:v>
      </x:c>
      <x:c r="Q19" s="22" t="n">
        <x:v>85</x:v>
      </x:c>
      <x:c r="R19" s="22" t="n">
        <x:v>56</x:v>
      </x:c>
      <x:c r="S19" s="22" t="n">
        <x:v>56</x:v>
      </x:c>
      <x:c r="T19" s="22" t="n">
        <x:v>86</x:v>
      </x:c>
      <x:c r="U19" s="22" t="n">
        <x:v>55</x:v>
      </x:c>
      <x:c r="V19" s="22" t="n">
        <x:v>85</x:v>
      </x:c>
      <x:c r="W19" s="22" t="n">
        <x:v>59</x:v>
      </x:c>
      <x:c r="X19" s="22" t="n">
        <x:v>71</x:v>
      </x:c>
      <x:c r="Y19" s="22" t="str">
        <x:v>海・港／深夜2時間</x:v>
      </x:c>
      <x:c r="Z19" s="22" t="str">
        <x:v>出発前に閉場確認</x:v>
      </x:c>
      <x:c r="AA19" s="22" t="str">
        <x:v>用途限定で有効</x:v>
      </x:c>
      <x:c r="AB19" s="22" t="str">
        <x:v>城南島海浜公園</x:v>
      </x:c>
      <x:c r="AC19" s="22" t="str">
        <x:v>潮風公園／晴海ふ頭公園</x:v>
      </x:c>
      <x:c r="AD19" s="22" t="n">
        <x:v>70</x:v>
      </x:c>
      <x:c r="AE19" s="22" t="n">
        <x:v>60</x:v>
      </x:c>
      <x:c r="AF19" s="22" t="n">
        <x:v>200</x:v>
      </x:c>
      <x:c r="AG19" s="22" t="n">
        <x:v>2</x:v>
      </x:c>
      <x:c r="AH19" s="22" t="n">
        <x:v>45</x:v>
      </x:c>
      <x:c r="AI19" s="22" t="n">
        <x:v>5</x:v>
      </x:c>
      <x:c r="AJ19" s="22" t="n">
        <x:f>ROUND(MAX(0,MIN(100,IF('条件入力ナビ'!$B$9="飛行機",S19,IF('条件入力ナビ'!$B$9="海・港",T19,IF('条件入力ナビ'!$B$9="工場夜景",U19,IF('条件入力ナビ'!$B$9="静かな場所",V19,IF('条件入力ナビ'!$B$9="Story",AH19,X19)))))*0.30+IF('条件入力ナビ'!$B$7="深夜",Q19,IF('条件入力ナビ'!$B$7="夜",P19,IF('条件入力ナビ'!$B$7="夕方",(P19+W19)/2,W19)))*0.20+IF('条件入力ナビ'!$B$8="雨",R19,IF('条件入力ナビ'!$B$8="小雨",(R19+X19)/2,IF('条件入力ナビ'!$B$8="強風",MAX(0,X19-AI19*8),X19)))*0.15+N19*2+IF('条件入力ナビ'!$B$11="確実性優先",N19*1.6,IF('条件入力ナビ'!$B$11="穴場優先",K19*1.6,(N19+K19)*0.8))+IF(AF19&lt;='条件入力ナビ'!$B$6,12,MAX(-30,-(AF19-'条件入力ナビ'!$B$6)*0.5))+IF('条件入力ナビ'!$B$10="歩きたくない",(6-AG19)*1.2,IF('条件入力ナビ'!$B$10="歩きたい",AG19*1.2,0))+IF('条件入力ナビ'!$B$13="許容",AL19*1.2,IF('条件入力ナビ'!$B$13="路上候補除外",IF(AL19&gt;0,-12,0),0)))))</x:f>
        <x:v>33</x:v>
      </x:c>
      <x:c r="AK19" s="22" t="n">
        <x:f>RANK.EQ(AJ19,$AJ$2:$AJ$94,0)+COUNTIF($AJ$2:AJ19,AJ19)-1</x:f>
        <x:v>58</x:v>
      </x:c>
      <x:c r="AL19" t="n">
        <x:v>0</x:v>
      </x:c>
      <x:c r="AM19" t="str">
        <x:v>-</x:v>
      </x:c>
    </x:row>
    <x:row r="20" ht="36" customHeight="1">
      <x:c r="A20" s="22" t="str">
        <x:v>D062</x:v>
      </x:c>
      <x:c r="B20" s="22" t="str">
        <x:v>辰巳第一PA</x:v>
      </x:c>
      <x:c r="C20" s="22" t="str">
        <x:v>江東区・辰巳</x:v>
      </x:c>
      <x:c r="D20" s="22" t="str">
        <x:v>PA・高層夜景・首都高</x:v>
      </x:c>
      <x:c r="E20" s="22" t="str">
        <x:v>湾岸線から都心高層群を見渡せ、短時間で首都高ドライブを締められる。</x:v>
      </x:c>
      <x:c r="F20" s="22" t="str">
        <x:v>夜間閉鎖や入口規制を確認。撮影・滞留・騒音行為は避ける。</x:v>
      </x:c>
      <x:c r="G20" s="22" t="str">
        <x:v>10〜20km</x:v>
      </x:c>
      <x:c r="H20" s="22" t="str">
        <x:v>概ね10〜20km</x:v>
      </x:c>
      <x:c r="I20" s="22" t="str">
        <x:v>通常25〜50分</x:v>
      </x:c>
      <x:c r="J20" s="22" t="n">
        <x:v>5</x:v>
      </x:c>
      <x:c r="K20" s="22" t="n">
        <x:v>3</x:v>
      </x:c>
      <x:c r="L20" s="22" t="n">
        <x:v>4</x:v>
      </x:c>
      <x:c r="M20" s="22" t="n">
        <x:v>4</x:v>
      </x:c>
      <x:c r="N20" s="22" t="n">
        <x:v>4</x:v>
      </x:c>
      <x:c r="O20" s="22" t="n">
        <x:v>5</x:v>
      </x:c>
      <x:c r="P20" s="22" t="n">
        <x:v>86</x:v>
      </x:c>
      <x:c r="Q20" s="22" t="n">
        <x:v>89</x:v>
      </x:c>
      <x:c r="R20" s="22" t="n">
        <x:v>80</x:v>
      </x:c>
      <x:c r="S20" s="22" t="n">
        <x:v>61</x:v>
      </x:c>
      <x:c r="T20" s="22" t="n">
        <x:v>62</x:v>
      </x:c>
      <x:c r="U20" s="22" t="n">
        <x:v>60</x:v>
      </x:c>
      <x:c r="V20" s="22" t="n">
        <x:v>57</x:v>
      </x:c>
      <x:c r="W20" s="22" t="n">
        <x:v>62</x:v>
      </x:c>
      <x:c r="X20" s="22" t="n">
        <x:v>71</x:v>
      </x:c>
      <x:c r="Y20" s="22" t="str">
        <x:v>深夜2時間／平日夜90分</x:v>
      </x:c>
      <x:c r="Z20" s="22" t="str">
        <x:v>出発前に閉場確認</x:v>
      </x:c>
      <x:c r="AA20" s="22" t="str">
        <x:v>用途限定で有効</x:v>
      </x:c>
      <x:c r="AB20" s="22" t="str">
        <x:v>羽田空港 第3ターミナル展望デッキ</x:v>
      </x:c>
      <x:c r="AC20" s="22" t="str">
        <x:v>城南島海浜公園／潮風公園</x:v>
      </x:c>
      <x:c r="AD20" s="22" t="n">
        <x:v>50</x:v>
      </x:c>
      <x:c r="AE20" s="22" t="n">
        <x:v>22</x:v>
      </x:c>
      <x:c r="AF20" s="22" t="n">
        <x:v>122</x:v>
      </x:c>
      <x:c r="AG20" s="22" t="n">
        <x:v>2</x:v>
      </x:c>
      <x:c r="AH20" s="22" t="n">
        <x:v>45</x:v>
      </x:c>
      <x:c r="AI20" s="22" t="n">
        <x:v>2</x:v>
      </x:c>
      <x:c r="AJ20" s="22" t="n">
        <x:f>ROUND(MAX(0,MIN(100,IF('条件入力ナビ'!$B$9="飛行機",S20,IF('条件入力ナビ'!$B$9="海・港",T20,IF('条件入力ナビ'!$B$9="工場夜景",U20,IF('条件入力ナビ'!$B$9="静かな場所",V20,IF('条件入力ナビ'!$B$9="Story",AH20,X20)))))*0.30+IF('条件入力ナビ'!$B$7="深夜",Q20,IF('条件入力ナビ'!$B$7="夜",P20,IF('条件入力ナビ'!$B$7="夕方",(P20+W20)/2,W20)))*0.20+IF('条件入力ナビ'!$B$8="雨",R20,IF('条件入力ナビ'!$B$8="小雨",(R20+X20)/2,IF('条件入力ナビ'!$B$8="強風",MAX(0,X20-AI20*8),X20)))*0.15+N20*2+IF('条件入力ナビ'!$B$11="確実性優先",N20*1.6,IF('条件入力ナビ'!$B$11="穴場優先",K20*1.6,(N20+K20)*0.8))+IF(AF20&lt;='条件入力ナビ'!$B$6,12,MAX(-30,-(AF20-'条件入力ナビ'!$B$6)*0.5))+IF('条件入力ナビ'!$B$10="歩きたくない",(6-AG20)*1.2,IF('条件入力ナビ'!$B$10="歩きたい",AG20*1.2,0))+IF('条件入力ナビ'!$B$13="許容",AL20*1.2,IF('条件入力ナビ'!$B$13="路上候補除外",IF(AL20&gt;0,-12,0),0)))))</x:f>
        <x:v>63</x:v>
      </x:c>
      <x:c r="AK20" s="22" t="n">
        <x:f>RANK.EQ(AJ20,$AJ$2:$AJ$94,0)+COUNTIF($AJ$2:AJ20,AJ20)-1</x:f>
        <x:v>24</x:v>
      </x:c>
      <x:c r="AL20" t="n">
        <x:v>0</x:v>
      </x:c>
      <x:c r="AM20" t="str">
        <x:v>-</x:v>
      </x:c>
    </x:row>
    <x:row r="21" ht="36" customHeight="1">
      <x:c r="A21" s="22" t="str">
        <x:v>D063</x:v>
      </x:c>
      <x:c r="B21" s="22" t="str">
        <x:v>芝浦PA</x:v>
      </x:c>
      <x:c r="C21" s="22" t="str">
        <x:v>港区・海岸</x:v>
      </x:c>
      <x:c r="D21" s="22" t="str">
        <x:v>PA・高架・都市夜景</x:v>
      </x:c>
      <x:c r="E21" s="22" t="str">
        <x:v>レインボーブリッジ手前の高架空間で、都心湾岸ルートの余韻を短く残せる。</x:v>
      </x:c>
      <x:c r="F21" s="22" t="str">
        <x:v>閉鎖措置が入りやすい。満車時は通過し、待機しない。</x:v>
      </x:c>
      <x:c r="G21" s="22" t="str">
        <x:v>10〜20km</x:v>
      </x:c>
      <x:c r="H21" s="22" t="str">
        <x:v>概ね10〜20km</x:v>
      </x:c>
      <x:c r="I21" s="22" t="str">
        <x:v>通常25〜50分</x:v>
      </x:c>
      <x:c r="J21" s="22" t="n">
        <x:v>4</x:v>
      </x:c>
      <x:c r="K21" s="22" t="n">
        <x:v>3</x:v>
      </x:c>
      <x:c r="L21" s="22" t="n">
        <x:v>4</x:v>
      </x:c>
      <x:c r="M21" s="22" t="n">
        <x:v>4</x:v>
      </x:c>
      <x:c r="N21" s="22" t="n">
        <x:v>4</x:v>
      </x:c>
      <x:c r="O21" s="22" t="n">
        <x:v>5</x:v>
      </x:c>
      <x:c r="P21" s="22" t="n">
        <x:v>81</x:v>
      </x:c>
      <x:c r="Q21" s="22" t="n">
        <x:v>83</x:v>
      </x:c>
      <x:c r="R21" s="22" t="n">
        <x:v>80</x:v>
      </x:c>
      <x:c r="S21" s="22" t="n">
        <x:v>58</x:v>
      </x:c>
      <x:c r="T21" s="22" t="n">
        <x:v>58</x:v>
      </x:c>
      <x:c r="U21" s="22" t="n">
        <x:v>56</x:v>
      </x:c>
      <x:c r="V21" s="22" t="n">
        <x:v>55</x:v>
      </x:c>
      <x:c r="W21" s="22" t="n">
        <x:v>60</x:v>
      </x:c>
      <x:c r="X21" s="22" t="n">
        <x:v>67</x:v>
      </x:c>
      <x:c r="Y21" s="22" t="str">
        <x:v>深夜2時間／平日夜90分</x:v>
      </x:c>
      <x:c r="Z21" s="22" t="str">
        <x:v>出発前に閉場確認</x:v>
      </x:c>
      <x:c r="AA21" s="22" t="str">
        <x:v>用途限定で有効</x:v>
      </x:c>
      <x:c r="AB21" s="22" t="str">
        <x:v>羽田空港 第3ターミナル展望デッキ</x:v>
      </x:c>
      <x:c r="AC21" s="22" t="str">
        <x:v>城南島海浜公園／潮風公園</x:v>
      </x:c>
      <x:c r="AD21" s="22" t="n">
        <x:v>50</x:v>
      </x:c>
      <x:c r="AE21" s="22" t="n">
        <x:v>22</x:v>
      </x:c>
      <x:c r="AF21" s="22" t="n">
        <x:v>122</x:v>
      </x:c>
      <x:c r="AG21" s="22" t="n">
        <x:v>2</x:v>
      </x:c>
      <x:c r="AH21" s="22" t="n">
        <x:v>45</x:v>
      </x:c>
      <x:c r="AI21" s="22" t="n">
        <x:v>2</x:v>
      </x:c>
      <x:c r="AJ21" s="22" t="n">
        <x:f>ROUND(MAX(0,MIN(100,IF('条件入力ナビ'!$B$9="飛行機",S21,IF('条件入力ナビ'!$B$9="海・港",T21,IF('条件入力ナビ'!$B$9="工場夜景",U21,IF('条件入力ナビ'!$B$9="静かな場所",V21,IF('条件入力ナビ'!$B$9="Story",AH21,X21)))))*0.30+IF('条件入力ナビ'!$B$7="深夜",Q21,IF('条件入力ナビ'!$B$7="夜",P21,IF('条件入力ナビ'!$B$7="夕方",(P21+W21)/2,W21)))*0.20+IF('条件入力ナビ'!$B$8="雨",R21,IF('条件入力ナビ'!$B$8="小雨",(R21+X21)/2,IF('条件入力ナビ'!$B$8="強風",MAX(0,X21-AI21*8),X21)))*0.15+N21*2+IF('条件入力ナビ'!$B$11="確実性優先",N21*1.6,IF('条件入力ナビ'!$B$11="穴場優先",K21*1.6,(N21+K21)*0.8))+IF(AF21&lt;='条件入力ナビ'!$B$6,12,MAX(-30,-(AF21-'条件入力ナビ'!$B$6)*0.5))+IF('条件入力ナビ'!$B$10="歩きたくない",(6-AG21)*1.2,IF('条件入力ナビ'!$B$10="歩きたい",AG21*1.2,0))+IF('条件入力ナビ'!$B$13="許容",AL21*1.2,IF('条件入力ナビ'!$B$13="路上候補除外",IF(AL21&gt;0,-12,0),0)))))</x:f>
        <x:v>60</x:v>
      </x:c>
      <x:c r="AK21" s="22" t="n">
        <x:f>RANK.EQ(AJ21,$AJ$2:$AJ$94,0)+COUNTIF($AJ$2:AJ21,AJ21)-1</x:f>
        <x:v>28</x:v>
      </x:c>
      <x:c r="AL21" t="n">
        <x:v>0</x:v>
      </x:c>
      <x:c r="AM21" t="str">
        <x:v>-</x:v>
      </x:c>
    </x:row>
    <x:row r="22" ht="36" customHeight="1">
      <x:c r="A22" s="22" t="str">
        <x:v>D064</x:v>
      </x:c>
      <x:c r="B22" s="22" t="str">
        <x:v>大井PA（東行き）</x:v>
      </x:c>
      <x:c r="C22" s="22" t="str">
        <x:v>品川区・八潮</x:v>
      </x:c>
      <x:c r="D22" s="22" t="str">
        <x:v>PA・湾岸・近距離休憩</x:v>
      </x:c>
      <x:c r="E22" s="22" t="str">
        <x:v>大田区から近く、短時間だけ湾岸を走りたい夜のミニマムEndingになる。</x:v>
      </x:c>
      <x:c r="F22" s="22" t="str">
        <x:v>東行き専用で進行方向制約あり。工事情報を確認。</x:v>
      </x:c>
      <x:c r="G22" s="22" t="str">
        <x:v>0〜10km</x:v>
      </x:c>
      <x:c r="H22" s="22" t="str">
        <x:v>概ね0〜10km</x:v>
      </x:c>
      <x:c r="I22" s="22" t="str">
        <x:v>通常10〜30分</x:v>
      </x:c>
      <x:c r="J22" s="22" t="n">
        <x:v>4</x:v>
      </x:c>
      <x:c r="K22" s="22" t="n">
        <x:v>4</x:v>
      </x:c>
      <x:c r="L22" s="22" t="n">
        <x:v>4</x:v>
      </x:c>
      <x:c r="M22" s="22" t="n">
        <x:v>4</x:v>
      </x:c>
      <x:c r="N22" s="22" t="n">
        <x:v>4</x:v>
      </x:c>
      <x:c r="O22" s="22" t="n">
        <x:v>5</x:v>
      </x:c>
      <x:c r="P22" s="22" t="n">
        <x:v>88</x:v>
      </x:c>
      <x:c r="Q22" s="22" t="n">
        <x:v>87</x:v>
      </x:c>
      <x:c r="R22" s="22" t="n">
        <x:v>85</x:v>
      </x:c>
      <x:c r="S22" s="22" t="n">
        <x:v>63</x:v>
      </x:c>
      <x:c r="T22" s="22" t="n">
        <x:v>62</x:v>
      </x:c>
      <x:c r="U22" s="22" t="n">
        <x:v>59</x:v>
      </x:c>
      <x:c r="V22" s="22" t="n">
        <x:v>63</x:v>
      </x:c>
      <x:c r="W22" s="22" t="n">
        <x:v>64</x:v>
      </x:c>
      <x:c r="X22" s="22" t="n">
        <x:v>72</x:v>
      </x:c>
      <x:c r="Y22" s="22" t="str">
        <x:v>平日夜90分／深夜2時間</x:v>
      </x:c>
      <x:c r="Z22" s="22" t="str">
        <x:v>出発前に閉場確認</x:v>
      </x:c>
      <x:c r="AA22" s="22" t="str">
        <x:v>条件が合えば有力</x:v>
      </x:c>
      <x:c r="AB22" s="22" t="str">
        <x:v>羽田空港 第3ターミナル展望デッキ</x:v>
      </x:c>
      <x:c r="AC22" s="22" t="str">
        <x:v>城南島海浜公園／潮風公園</x:v>
      </x:c>
      <x:c r="AD22" s="22" t="n">
        <x:v>30</x:v>
      </x:c>
      <x:c r="AE22" s="22" t="n">
        <x:v>22</x:v>
      </x:c>
      <x:c r="AF22" s="22" t="n">
        <x:v>82</x:v>
      </x:c>
      <x:c r="AG22" s="22" t="n">
        <x:v>2</x:v>
      </x:c>
      <x:c r="AH22" s="22" t="n">
        <x:v>45</x:v>
      </x:c>
      <x:c r="AI22" s="22" t="n">
        <x:v>2</x:v>
      </x:c>
      <x:c r="AJ22" s="22" t="n">
        <x:f>ROUND(MAX(0,MIN(100,IF('条件入力ナビ'!$B$9="飛行機",S22,IF('条件入力ナビ'!$B$9="海・港",T22,IF('条件入力ナビ'!$B$9="工場夜景",U22,IF('条件入力ナビ'!$B$9="静かな場所",V22,IF('条件入力ナビ'!$B$9="Story",AH22,X22)))))*0.30+IF('条件入力ナビ'!$B$7="深夜",Q22,IF('条件入力ナビ'!$B$7="夜",P22,IF('条件入力ナビ'!$B$7="夕方",(P22+W22)/2,W22)))*0.20+IF('条件入力ナビ'!$B$8="雨",R22,IF('条件入力ナビ'!$B$8="小雨",(R22+X22)/2,IF('条件入力ナビ'!$B$8="強風",MAX(0,X22-AI22*8),X22)))*0.15+N22*2+IF('条件入力ナビ'!$B$11="確実性優先",N22*1.6,IF('条件入力ナビ'!$B$11="穴場優先",K22*1.6,(N22+K22)*0.8))+IF(AF22&lt;='条件入力ナビ'!$B$6,12,MAX(-30,-(AF22-'条件入力ナビ'!$B$6)*0.5))+IF('条件入力ナビ'!$B$10="歩きたくない",(6-AG22)*1.2,IF('条件入力ナビ'!$B$10="歩きたい",AG22*1.2,0))+IF('条件入力ナビ'!$B$13="許容",AL22*1.2,IF('条件入力ナビ'!$B$13="路上候補除外",IF(AL22&gt;0,-12,0),0)))))</x:f>
        <x:v>76</x:v>
      </x:c>
      <x:c r="AK22" s="22" t="n">
        <x:f>RANK.EQ(AJ22,$AJ$2:$AJ$94,0)+COUNTIF($AJ$2:AJ22,AJ22)-1</x:f>
        <x:v>7</x:v>
      </x:c>
      <x:c r="AL22" t="n">
        <x:v>0</x:v>
      </x:c>
      <x:c r="AM22" t="str">
        <x:v>-</x:v>
      </x:c>
    </x:row>
    <x:row r="23" ht="36" customHeight="1">
      <x:c r="A23" s="22" t="str">
        <x:v>D065</x:v>
      </x:c>
      <x:c r="B23" s="22" t="str">
        <x:v>平和島PA（上り）</x:v>
      </x:c>
      <x:c r="C23" s="22" t="str">
        <x:v>大田区・平和島</x:v>
      </x:c>
      <x:c r="D23" s="22" t="str">
        <x:v>PA・近距離・夜間休憩</x:v>
      </x:c>
      <x:c r="E23" s="22" t="str">
        <x:v>大田区内で最短の首都高体験を作れ、出発後すぐに気分転換したい夜に使える。</x:v>
      </x:c>
      <x:c r="F23" s="22" t="str">
        <x:v>上り線専用。短時間休憩に限定し、周回目的の走行はしない。</x:v>
      </x:c>
      <x:c r="G23" s="22" t="str">
        <x:v>0〜10km</x:v>
      </x:c>
      <x:c r="H23" s="22" t="str">
        <x:v>概ね0〜10km</x:v>
      </x:c>
      <x:c r="I23" s="22" t="str">
        <x:v>通常10〜30分</x:v>
      </x:c>
      <x:c r="J23" s="22" t="n">
        <x:v>4</x:v>
      </x:c>
      <x:c r="K23" s="22" t="n">
        <x:v>4</x:v>
      </x:c>
      <x:c r="L23" s="22" t="n">
        <x:v>4</x:v>
      </x:c>
      <x:c r="M23" s="22" t="n">
        <x:v>4</x:v>
      </x:c>
      <x:c r="N23" s="22" t="n">
        <x:v>4</x:v>
      </x:c>
      <x:c r="O23" s="22" t="n">
        <x:v>5</x:v>
      </x:c>
      <x:c r="P23" s="22" t="n">
        <x:v>88</x:v>
      </x:c>
      <x:c r="Q23" s="22" t="n">
        <x:v>87</x:v>
      </x:c>
      <x:c r="R23" s="22" t="n">
        <x:v>85</x:v>
      </x:c>
      <x:c r="S23" s="22" t="n">
        <x:v>63</x:v>
      </x:c>
      <x:c r="T23" s="22" t="n">
        <x:v>62</x:v>
      </x:c>
      <x:c r="U23" s="22" t="n">
        <x:v>59</x:v>
      </x:c>
      <x:c r="V23" s="22" t="n">
        <x:v>63</x:v>
      </x:c>
      <x:c r="W23" s="22" t="n">
        <x:v>64</x:v>
      </x:c>
      <x:c r="X23" s="22" t="n">
        <x:v>72</x:v>
      </x:c>
      <x:c r="Y23" s="22" t="str">
        <x:v>平日夜90分／深夜2時間</x:v>
      </x:c>
      <x:c r="Z23" s="22" t="str">
        <x:v>出発前に閉場確認</x:v>
      </x:c>
      <x:c r="AA23" s="22" t="str">
        <x:v>条件が合えば有力</x:v>
      </x:c>
      <x:c r="AB23" s="22" t="str">
        <x:v>羽田空港 第3ターミナル展望デッキ</x:v>
      </x:c>
      <x:c r="AC23" s="22" t="str">
        <x:v>城南島海浜公園／潮風公園</x:v>
      </x:c>
      <x:c r="AD23" s="22" t="n">
        <x:v>30</x:v>
      </x:c>
      <x:c r="AE23" s="22" t="n">
        <x:v>22</x:v>
      </x:c>
      <x:c r="AF23" s="22" t="n">
        <x:v>82</x:v>
      </x:c>
      <x:c r="AG23" s="22" t="n">
        <x:v>2</x:v>
      </x:c>
      <x:c r="AH23" s="22" t="n">
        <x:v>45</x:v>
      </x:c>
      <x:c r="AI23" s="22" t="n">
        <x:v>2</x:v>
      </x:c>
      <x:c r="AJ23" s="22" t="n">
        <x:f>ROUND(MAX(0,MIN(100,IF('条件入力ナビ'!$B$9="飛行機",S23,IF('条件入力ナビ'!$B$9="海・港",T23,IF('条件入力ナビ'!$B$9="工場夜景",U23,IF('条件入力ナビ'!$B$9="静かな場所",V23,IF('条件入力ナビ'!$B$9="Story",AH23,X23)))))*0.30+IF('条件入力ナビ'!$B$7="深夜",Q23,IF('条件入力ナビ'!$B$7="夜",P23,IF('条件入力ナビ'!$B$7="夕方",(P23+W23)/2,W23)))*0.20+IF('条件入力ナビ'!$B$8="雨",R23,IF('条件入力ナビ'!$B$8="小雨",(R23+X23)/2,IF('条件入力ナビ'!$B$8="強風",MAX(0,X23-AI23*8),X23)))*0.15+N23*2+IF('条件入力ナビ'!$B$11="確実性優先",N23*1.6,IF('条件入力ナビ'!$B$11="穴場優先",K23*1.6,(N23+K23)*0.8))+IF(AF23&lt;='条件入力ナビ'!$B$6,12,MAX(-30,-(AF23-'条件入力ナビ'!$B$6)*0.5))+IF('条件入力ナビ'!$B$10="歩きたくない",(6-AG23)*1.2,IF('条件入力ナビ'!$B$10="歩きたい",AG23*1.2,0))+IF('条件入力ナビ'!$B$13="許容",AL23*1.2,IF('条件入力ナビ'!$B$13="路上候補除外",IF(AL23&gt;0,-12,0),0)))))</x:f>
        <x:v>76</x:v>
      </x:c>
      <x:c r="AK23" s="22" t="n">
        <x:f>RANK.EQ(AJ23,$AJ$2:$AJ$94,0)+COUNTIF($AJ$2:AJ23,AJ23)-1</x:f>
        <x:v>8</x:v>
      </x:c>
      <x:c r="AL23" t="n">
        <x:v>0</x:v>
      </x:c>
      <x:c r="AM23" t="str">
        <x:v>-</x:v>
      </x:c>
    </x:row>
    <x:row r="24" ht="36" customHeight="1">
      <x:c r="A24" s="22" t="str">
        <x:v>D075</x:v>
      </x:c>
      <x:c r="B24" s="22" t="str">
        <x:v>県立四季の森公園</x:v>
      </x:c>
      <x:c r="C24" s="22" t="str">
        <x:v>横浜市・緑区</x:v>
      </x:c>
      <x:c r="D24" s="22" t="str">
        <x:v>谷戸・池・森林</x:v>
      </x:c>
      <x:c r="E24" s="22" t="str">
        <x:v>横浜市内ながら谷戸と水田、森が残り、昼の回復系Endingに向く。</x:v>
      </x:c>
      <x:c r="F24" s="22" t="str">
        <x:v>イベント・工事情報と閉場時刻を確認。夜は暗い。</x:v>
      </x:c>
      <x:c r="G24" s="22" t="str">
        <x:v>20〜25km</x:v>
      </x:c>
      <x:c r="H24" s="22" t="str">
        <x:v>概ね20〜25km</x:v>
      </x:c>
      <x:c r="I24" s="22" t="str">
        <x:v>通常40〜70分</x:v>
      </x:c>
      <x:c r="J24" s="22" t="n">
        <x:v>2</x:v>
      </x:c>
      <x:c r="K24" s="22" t="n">
        <x:v>4</x:v>
      </x:c>
      <x:c r="L24" s="22" t="n">
        <x:v>1</x:v>
      </x:c>
      <x:c r="M24" s="22" t="n">
        <x:v>1</x:v>
      </x:c>
      <x:c r="N24" s="22" t="n">
        <x:v>4</x:v>
      </x:c>
      <x:c r="O24" s="22" t="n">
        <x:v>1</x:v>
      </x:c>
      <x:c r="P24" s="22" t="n">
        <x:v>50</x:v>
      </x:c>
      <x:c r="Q24" s="22" t="n">
        <x:v>47</x:v>
      </x:c>
      <x:c r="R24" s="22" t="n">
        <x:v>44</x:v>
      </x:c>
      <x:c r="S24" s="22" t="n">
        <x:v>43</x:v>
      </x:c>
      <x:c r="T24" s="22" t="n">
        <x:v>42</x:v>
      </x:c>
      <x:c r="U24" s="22" t="n">
        <x:v>39</x:v>
      </x:c>
      <x:c r="V24" s="22" t="n">
        <x:v>79</x:v>
      </x:c>
      <x:c r="W24" s="22" t="n">
        <x:v>53</x:v>
      </x:c>
      <x:c r="X24" s="22" t="n">
        <x:v>50</x:v>
      </x:c>
      <x:c r="Y24" s="22" t="str">
        <x:v>静かな場所／休日半日</x:v>
      </x:c>
      <x:c r="Z24" s="22" t="str">
        <x:v>出発前に閉場確認</x:v>
      </x:c>
      <x:c r="AA24" s="22" t="str">
        <x:v>用途限定で有効</x:v>
      </x:c>
      <x:c r="AB24" s="22" t="str">
        <x:v>多摩川浅間神社</x:v>
      </x:c>
      <x:c r="AC24" s="22" t="str">
        <x:v>多摩川六郷橋緑地／多摩川ガス橋緑地</x:v>
      </x:c>
      <x:c r="AD24" s="22" t="n">
        <x:v>70</x:v>
      </x:c>
      <x:c r="AE24" s="22" t="n">
        <x:v>60</x:v>
      </x:c>
      <x:c r="AF24" s="22" t="n">
        <x:v>200</x:v>
      </x:c>
      <x:c r="AG24" s="22" t="n">
        <x:v>4</x:v>
      </x:c>
      <x:c r="AH24" s="22" t="n">
        <x:v>45</x:v>
      </x:c>
      <x:c r="AI24" s="22" t="n">
        <x:v>2</x:v>
      </x:c>
      <x:c r="AJ24" s="22" t="n">
        <x:f>ROUND(MAX(0,MIN(100,IF('条件入力ナビ'!$B$9="飛行機",S24,IF('条件入力ナビ'!$B$9="海・港",T24,IF('条件入力ナビ'!$B$9="工場夜景",U24,IF('条件入力ナビ'!$B$9="静かな場所",V24,IF('条件入力ナビ'!$B$9="Story",AH24,X24)))))*0.30+IF('条件入力ナビ'!$B$7="深夜",Q24,IF('条件入力ナビ'!$B$7="夜",P24,IF('条件入力ナビ'!$B$7="夕方",(P24+W24)/2,W24)))*0.20+IF('条件入力ナビ'!$B$8="雨",R24,IF('条件入力ナビ'!$B$8="小雨",(R24+X24)/2,IF('条件入力ナビ'!$B$8="強風",MAX(0,X24-AI24*8),X24)))*0.15+N24*2+IF('条件入力ナビ'!$B$11="確実性優先",N24*1.6,IF('条件入力ナビ'!$B$11="穴場優先",K24*1.6,(N24+K24)*0.8))+IF(AF24&lt;='条件入力ナビ'!$B$6,12,MAX(-30,-(AF24-'条件入力ナビ'!$B$6)*0.5))+IF('条件入力ナビ'!$B$10="歩きたくない",(6-AG24)*1.2,IF('条件入力ナビ'!$B$10="歩きたい",AG24*1.2,0))+IF('条件入力ナビ'!$B$13="許容",AL24*1.2,IF('条件入力ナビ'!$B$13="路上候補除外",IF(AL24&gt;0,-12,0),0)))))</x:f>
        <x:v>17</x:v>
      </x:c>
      <x:c r="AK24" s="22" t="n">
        <x:f>RANK.EQ(AJ24,$AJ$2:$AJ$94,0)+COUNTIF($AJ$2:AJ24,AJ24)-1</x:f>
        <x:v>91</x:v>
      </x:c>
      <x:c r="AL24" t="n">
        <x:v>0</x:v>
      </x:c>
      <x:c r="AM24" t="str">
        <x:v>-</x:v>
      </x:c>
    </x:row>
    <x:row r="25" ht="36" customHeight="1">
      <x:c r="A25" s="22" t="str">
        <x:v>D080</x:v>
      </x:c>
      <x:c r="B25" s="22" t="str">
        <x:v>根岸森林公園</x:v>
      </x:c>
      <x:c r="C25" s="22" t="str">
        <x:v>横浜市・中区</x:v>
      </x:c>
      <x:c r="D25" s="22" t="str">
        <x:v>高台・芝生・都市近郊</x:v>
      </x:c>
      <x:c r="E25" s="22" t="str">
        <x:v>広い芝生と旧競馬場の高台景観があり、横浜中心部の後に静けさを作れる。</x:v>
      </x:c>
      <x:c r="F25" s="22" t="str">
        <x:v>桜期・休日は満車と周辺渋滞。路上待機禁止。閉場時刻は当日表示を優先。</x:v>
      </x:c>
      <x:c r="G25" s="22" t="str">
        <x:v>20〜25km</x:v>
      </x:c>
      <x:c r="H25" s="22" t="str">
        <x:v>概ね20〜25km</x:v>
      </x:c>
      <x:c r="I25" s="22" t="str">
        <x:v>通常40〜70分</x:v>
      </x:c>
      <x:c r="J25" s="22" t="n">
        <x:v>4</x:v>
      </x:c>
      <x:c r="K25" s="22" t="n">
        <x:v>3</x:v>
      </x:c>
      <x:c r="L25" s="22" t="n">
        <x:v>1</x:v>
      </x:c>
      <x:c r="M25" s="22" t="n">
        <x:v>1</x:v>
      </x:c>
      <x:c r="N25" s="22" t="n">
        <x:v>4</x:v>
      </x:c>
      <x:c r="O25" s="22" t="n">
        <x:v>5</x:v>
      </x:c>
      <x:c r="P25" s="22" t="n">
        <x:v>70</x:v>
      </x:c>
      <x:c r="Q25" s="22" t="n">
        <x:v>74</x:v>
      </x:c>
      <x:c r="R25" s="22" t="n">
        <x:v>50</x:v>
      </x:c>
      <x:c r="S25" s="22" t="n">
        <x:v>48</x:v>
      </x:c>
      <x:c r="T25" s="22" t="n">
        <x:v>49</x:v>
      </x:c>
      <x:c r="U25" s="22" t="n">
        <x:v>47</x:v>
      </x:c>
      <x:c r="V25" s="22" t="n">
        <x:v>79</x:v>
      </x:c>
      <x:c r="W25" s="22" t="n">
        <x:v>55</x:v>
      </x:c>
      <x:c r="X25" s="22" t="n">
        <x:v>60</x:v>
      </x:c>
      <x:c r="Y25" s="22" t="str">
        <x:v>静かな場所／深夜2時間</x:v>
      </x:c>
      <x:c r="Z25" s="22" t="str">
        <x:v>出発前に閉場確認</x:v>
      </x:c>
      <x:c r="AA25" s="22" t="str">
        <x:v>用途限定で有効</x:v>
      </x:c>
      <x:c r="AB25" s="22" t="str">
        <x:v>羽田空港 第3ターミナル展望デッキ</x:v>
      </x:c>
      <x:c r="AC25" s="22" t="str">
        <x:v>城南島海浜公園／潮風公園</x:v>
      </x:c>
      <x:c r="AD25" s="22" t="n">
        <x:v>70</x:v>
      </x:c>
      <x:c r="AE25" s="22" t="n">
        <x:v>45</x:v>
      </x:c>
      <x:c r="AF25" s="22" t="n">
        <x:v>185</x:v>
      </x:c>
      <x:c r="AG25" s="22" t="n">
        <x:v>3</x:v>
      </x:c>
      <x:c r="AH25" s="22" t="n">
        <x:v>45</x:v>
      </x:c>
      <x:c r="AI25" s="22" t="n">
        <x:v>5</x:v>
      </x:c>
      <x:c r="AJ25" s="22" t="n">
        <x:f>ROUND(MAX(0,MIN(100,IF('条件入力ナビ'!$B$9="飛行機",S25,IF('条件入力ナビ'!$B$9="海・港",T25,IF('条件入力ナビ'!$B$9="工場夜景",U25,IF('条件入力ナビ'!$B$9="静かな場所",V25,IF('条件入力ナビ'!$B$9="Story",AH25,X25)))))*0.30+IF('条件入力ナビ'!$B$7="深夜",Q25,IF('条件入力ナビ'!$B$7="夜",P25,IF('条件入力ナビ'!$B$7="夕方",(P25+W25)/2,W25)))*0.20+IF('条件入力ナビ'!$B$8="雨",R25,IF('条件入力ナビ'!$B$8="小雨",(R25+X25)/2,IF('条件入力ナビ'!$B$8="強風",MAX(0,X25-AI25*8),X25)))*0.15+N25*2+IF('条件入力ナビ'!$B$11="確実性優先",N25*1.6,IF('条件入力ナビ'!$B$11="穴場優先",K25*1.6,(N25+K25)*0.8))+IF(AF25&lt;='条件入力ナビ'!$B$6,12,MAX(-30,-(AF25-'条件入力ナビ'!$B$6)*0.5))+IF('条件入力ナビ'!$B$10="歩きたくない",(6-AG25)*1.2,IF('条件入力ナビ'!$B$10="歩きたい",AG25*1.2,0))+IF('条件入力ナビ'!$B$13="許容",AL25*1.2,IF('条件入力ナビ'!$B$13="路上候補除外",IF(AL25&gt;0,-12,0),0)))))</x:f>
        <x:v>25</x:v>
      </x:c>
      <x:c r="AK25" s="22" t="n">
        <x:f>RANK.EQ(AJ25,$AJ$2:$AJ$94,0)+COUNTIF($AJ$2:AJ25,AJ25)-1</x:f>
        <x:v>75</x:v>
      </x:c>
      <x:c r="AL25" t="n">
        <x:v>0</x:v>
      </x:c>
      <x:c r="AM25" t="str">
        <x:v>-</x:v>
      </x:c>
    </x:row>
    <x:row r="26" ht="36" customHeight="1">
      <x:c r="A26" s="22" t="str">
        <x:v>D096</x:v>
      </x:c>
      <x:c r="B26" s="22" t="str">
        <x:v>大島小松川公園</x:v>
      </x:c>
      <x:c r="C26" s="22" t="str">
        <x:v>江戸川区・小松川</x:v>
      </x:c>
      <x:c r="D26" s="22" t="str">
        <x:v>河川・高台・夜間公園</x:v>
      </x:c>
      <x:c r="E26" s="22" t="str">
        <x:v>旧中川と荒川に挟まれた高台公園で、都心東側を静かに終える24時間候補になる。</x:v>
      </x:c>
      <x:c r="F26" s="22" t="str">
        <x:v>夜は暗い区域を避ける。公道での入庫待ち・騒音行為は禁止。</x:v>
      </x:c>
      <x:c r="G26" s="22" t="str">
        <x:v>20〜25km</x:v>
      </x:c>
      <x:c r="H26" s="22" t="str">
        <x:v>概ね20〜25km</x:v>
      </x:c>
      <x:c r="I26" s="22" t="str">
        <x:v>通常40〜70分</x:v>
      </x:c>
      <x:c r="J26" s="22" t="n">
        <x:v>4</x:v>
      </x:c>
      <x:c r="K26" s="22" t="n">
        <x:v>4</x:v>
      </x:c>
      <x:c r="L26" s="22" t="n">
        <x:v>1</x:v>
      </x:c>
      <x:c r="M26" s="22" t="n">
        <x:v>1</x:v>
      </x:c>
      <x:c r="N26" s="22" t="n">
        <x:v>4</x:v>
      </x:c>
      <x:c r="O26" s="22" t="n">
        <x:v>5</x:v>
      </x:c>
      <x:c r="P26" s="22" t="n">
        <x:v>72</x:v>
      </x:c>
      <x:c r="Q26" s="22" t="n">
        <x:v>75</x:v>
      </x:c>
      <x:c r="R26" s="22" t="n">
        <x:v>52</x:v>
      </x:c>
      <x:c r="S26" s="22" t="n">
        <x:v>49</x:v>
      </x:c>
      <x:c r="T26" s="22" t="n">
        <x:v>78</x:v>
      </x:c>
      <x:c r="U26" s="22" t="n">
        <x:v>47</x:v>
      </x:c>
      <x:c r="V26" s="22" t="n">
        <x:v>83</x:v>
      </x:c>
      <x:c r="W26" s="22" t="n">
        <x:v>57</x:v>
      </x:c>
      <x:c r="X26" s="22" t="n">
        <x:v>65</x:v>
      </x:c>
      <x:c r="Y26" s="22" t="str">
        <x:v>静かな場所／海・港</x:v>
      </x:c>
      <x:c r="Z26" s="22" t="str">
        <x:v>出発前に閉場確認</x:v>
      </x:c>
      <x:c r="AA26" s="22" t="str">
        <x:v>用途限定で有効</x:v>
      </x:c>
      <x:c r="AB26" s="22" t="str">
        <x:v>多摩川浅間神社</x:v>
      </x:c>
      <x:c r="AC26" s="22" t="str">
        <x:v>多摩川六郷橋緑地／多摩川ガス橋緑地</x:v>
      </x:c>
      <x:c r="AD26" s="22" t="n">
        <x:v>70</x:v>
      </x:c>
      <x:c r="AE26" s="22" t="n">
        <x:v>60</x:v>
      </x:c>
      <x:c r="AF26" s="22" t="n">
        <x:v>200</x:v>
      </x:c>
      <x:c r="AG26" s="22" t="n">
        <x:v>3</x:v>
      </x:c>
      <x:c r="AH26" s="22" t="n">
        <x:v>45</x:v>
      </x:c>
      <x:c r="AI26" s="22" t="n">
        <x:v>5</x:v>
      </x:c>
      <x:c r="AJ26" s="22" t="n">
        <x:f>ROUND(MAX(0,MIN(100,IF('条件入力ナビ'!$B$9="飛行機",S26,IF('条件入力ナビ'!$B$9="海・港",T26,IF('条件入力ナビ'!$B$9="工場夜景",U26,IF('条件入力ナビ'!$B$9="静かな場所",V26,IF('条件入力ナビ'!$B$9="Story",AH26,X26)))))*0.30+IF('条件入力ナビ'!$B$7="深夜",Q26,IF('条件入力ナビ'!$B$7="夜",P26,IF('条件入力ナビ'!$B$7="夕方",(P26+W26)/2,W26)))*0.20+IF('条件入力ナビ'!$B$8="雨",R26,IF('条件入力ナビ'!$B$8="小雨",(R26+X26)/2,IF('条件入力ナビ'!$B$8="強風",MAX(0,X26-AI26*8),X26)))*0.15+N26*2+IF('条件入力ナビ'!$B$11="確実性優先",N26*1.6,IF('条件入力ナビ'!$B$11="穴場優先",K26*1.6,(N26+K26)*0.8))+IF(AF26&lt;='条件入力ナビ'!$B$6,12,MAX(-30,-(AF26-'条件入力ナビ'!$B$6)*0.5))+IF('条件入力ナビ'!$B$10="歩きたくない",(6-AG26)*1.2,IF('条件入力ナビ'!$B$10="歩きたい",AG26*1.2,0))+IF('条件入力ナビ'!$B$13="許容",AL26*1.2,IF('条件入力ナビ'!$B$13="路上候補除外",IF(AL26&gt;0,-12,0),0)))))</x:f>
        <x:v>28</x:v>
      </x:c>
      <x:c r="AK26" s="22" t="n">
        <x:f>RANK.EQ(AJ26,$AJ$2:$AJ$94,0)+COUNTIF($AJ$2:AJ26,AJ26)-1</x:f>
        <x:v>70</x:v>
      </x:c>
      <x:c r="AL26" t="n">
        <x:v>0</x:v>
      </x:c>
      <x:c r="AM26" t="str">
        <x:v>-</x:v>
      </x:c>
    </x:row>
    <x:row r="27" ht="36" customHeight="1">
      <x:c r="A27" s="22" t="str">
        <x:v>D097</x:v>
      </x:c>
      <x:c r="B27" s="22" t="str">
        <x:v>篠崎公園</x:v>
      </x:c>
      <x:c r="C27" s="22" t="str">
        <x:v>江戸川区・上篠崎</x:v>
      </x:c>
      <x:c r="D27" s="22" t="str">
        <x:v>河川敷・公園・夜間休憩</x:v>
      </x:c>
      <x:c r="E27" s="22" t="str">
        <x:v>江戸川に近い広い公園で、東東京方面の長い一般道ドライブを落ち着かせられる。</x:v>
      </x:c>
      <x:c r="F27" s="22" t="str">
        <x:v>花火大会日は駐車場利用制限あり。夜間は外灯のある区域に限定。</x:v>
      </x:c>
      <x:c r="G27" s="22" t="str">
        <x:v>20〜25km</x:v>
      </x:c>
      <x:c r="H27" s="22" t="str">
        <x:v>概ね20〜25km</x:v>
      </x:c>
      <x:c r="I27" s="22" t="str">
        <x:v>通常40〜70分</x:v>
      </x:c>
      <x:c r="J27" s="22" t="n">
        <x:v>4</x:v>
      </x:c>
      <x:c r="K27" s="22" t="n">
        <x:v>4</x:v>
      </x:c>
      <x:c r="L27" s="22" t="n">
        <x:v>1</x:v>
      </x:c>
      <x:c r="M27" s="22" t="n">
        <x:v>1</x:v>
      </x:c>
      <x:c r="N27" s="22" t="n">
        <x:v>4</x:v>
      </x:c>
      <x:c r="O27" s="22" t="n">
        <x:v>5</x:v>
      </x:c>
      <x:c r="P27" s="22" t="n">
        <x:v>72</x:v>
      </x:c>
      <x:c r="Q27" s="22" t="n">
        <x:v>75</x:v>
      </x:c>
      <x:c r="R27" s="22" t="n">
        <x:v>52</x:v>
      </x:c>
      <x:c r="S27" s="22" t="n">
        <x:v>49</x:v>
      </x:c>
      <x:c r="T27" s="22" t="n">
        <x:v>78</x:v>
      </x:c>
      <x:c r="U27" s="22" t="n">
        <x:v>47</x:v>
      </x:c>
      <x:c r="V27" s="22" t="n">
        <x:v>83</x:v>
      </x:c>
      <x:c r="W27" s="22" t="n">
        <x:v>57</x:v>
      </x:c>
      <x:c r="X27" s="22" t="n">
        <x:v>65</x:v>
      </x:c>
      <x:c r="Y27" s="22" t="str">
        <x:v>静かな場所／海・港</x:v>
      </x:c>
      <x:c r="Z27" s="22" t="str">
        <x:v>出発前に閉場確認</x:v>
      </x:c>
      <x:c r="AA27" s="22" t="str">
        <x:v>用途限定で有効</x:v>
      </x:c>
      <x:c r="AB27" s="22" t="str">
        <x:v>多摩川浅間神社</x:v>
      </x:c>
      <x:c r="AC27" s="22" t="str">
        <x:v>多摩川六郷橋緑地／多摩川ガス橋緑地</x:v>
      </x:c>
      <x:c r="AD27" s="22" t="n">
        <x:v>70</x:v>
      </x:c>
      <x:c r="AE27" s="22" t="n">
        <x:v>60</x:v>
      </x:c>
      <x:c r="AF27" s="22" t="n">
        <x:v>200</x:v>
      </x:c>
      <x:c r="AG27" s="22" t="n">
        <x:v>3</x:v>
      </x:c>
      <x:c r="AH27" s="22" t="n">
        <x:v>45</x:v>
      </x:c>
      <x:c r="AI27" s="22" t="n">
        <x:v>5</x:v>
      </x:c>
      <x:c r="AJ27" s="22" t="n">
        <x:f>ROUND(MAX(0,MIN(100,IF('条件入力ナビ'!$B$9="飛行機",S27,IF('条件入力ナビ'!$B$9="海・港",T27,IF('条件入力ナビ'!$B$9="工場夜景",U27,IF('条件入力ナビ'!$B$9="静かな場所",V27,IF('条件入力ナビ'!$B$9="Story",AH27,X27)))))*0.30+IF('条件入力ナビ'!$B$7="深夜",Q27,IF('条件入力ナビ'!$B$7="夜",P27,IF('条件入力ナビ'!$B$7="夕方",(P27+W27)/2,W27)))*0.20+IF('条件入力ナビ'!$B$8="雨",R27,IF('条件入力ナビ'!$B$8="小雨",(R27+X27)/2,IF('条件入力ナビ'!$B$8="強風",MAX(0,X27-AI27*8),X27)))*0.15+N27*2+IF('条件入力ナビ'!$B$11="確実性優先",N27*1.6,IF('条件入力ナビ'!$B$11="穴場優先",K27*1.6,(N27+K27)*0.8))+IF(AF27&lt;='条件入力ナビ'!$B$6,12,MAX(-30,-(AF27-'条件入力ナビ'!$B$6)*0.5))+IF('条件入力ナビ'!$B$10="歩きたくない",(6-AG27)*1.2,IF('条件入力ナビ'!$B$10="歩きたい",AG27*1.2,0))+IF('条件入力ナビ'!$B$13="許容",AL27*1.2,IF('条件入力ナビ'!$B$13="路上候補除外",IF(AL27&gt;0,-12,0),0)))))</x:f>
        <x:v>28</x:v>
      </x:c>
      <x:c r="AK27" s="22" t="n">
        <x:f>RANK.EQ(AJ27,$AJ$2:$AJ$94,0)+COUNTIF($AJ$2:AJ27,AJ27)-1</x:f>
        <x:v>71</x:v>
      </x:c>
      <x:c r="AL27" t="n">
        <x:v>0</x:v>
      </x:c>
      <x:c r="AM27" t="str">
        <x:v>-</x:v>
      </x:c>
    </x:row>
    <x:row r="28" ht="36" customHeight="1">
      <x:c r="A28" s="22" t="str">
        <x:v>D098</x:v>
      </x:c>
      <x:c r="B28" s="22" t="str">
        <x:v>木場公園</x:v>
      </x:c>
      <x:c r="C28" s="22" t="str">
        <x:v>江東区・木場</x:v>
      </x:c>
      <x:c r="D28" s="22" t="str">
        <x:v>都市公園・橋・夜間休憩</x:v>
      </x:c>
      <x:c r="E28" s="22" t="str">
        <x:v>木場公園大橋と広い芝生があり、湾岸・都心走行を緑の空間で終えられる。</x:v>
      </x:c>
      <x:c r="F28" s="22" t="str">
        <x:v>イベント時は混雑。公道での入庫待ち禁止。商用撮影は申請が必要。</x:v>
      </x:c>
      <x:c r="G28" s="22" t="str">
        <x:v>10〜20km</x:v>
      </x:c>
      <x:c r="H28" s="22" t="str">
        <x:v>概ね10〜20km</x:v>
      </x:c>
      <x:c r="I28" s="22" t="str">
        <x:v>通常25〜50分</x:v>
      </x:c>
      <x:c r="J28" s="22" t="n">
        <x:v>4</x:v>
      </x:c>
      <x:c r="K28" s="22" t="n">
        <x:v>3</x:v>
      </x:c>
      <x:c r="L28" s="22" t="n">
        <x:v>1</x:v>
      </x:c>
      <x:c r="M28" s="22" t="n">
        <x:v>1</x:v>
      </x:c>
      <x:c r="N28" s="22" t="n">
        <x:v>4</x:v>
      </x:c>
      <x:c r="O28" s="22" t="n">
        <x:v>5</x:v>
      </x:c>
      <x:c r="P28" s="22" t="n">
        <x:v>75</x:v>
      </x:c>
      <x:c r="Q28" s="22" t="n">
        <x:v>77</x:v>
      </x:c>
      <x:c r="R28" s="22" t="n">
        <x:v>53</x:v>
      </x:c>
      <x:c r="S28" s="22" t="n">
        <x:v>52</x:v>
      </x:c>
      <x:c r="T28" s="22" t="n">
        <x:v>52</x:v>
      </x:c>
      <x:c r="U28" s="22" t="n">
        <x:v>50</x:v>
      </x:c>
      <x:c r="V28" s="22" t="n">
        <x:v>83</x:v>
      </x:c>
      <x:c r="W28" s="22" t="n">
        <x:v>57</x:v>
      </x:c>
      <x:c r="X28" s="22" t="n">
        <x:v>63</x:v>
      </x:c>
      <x:c r="Y28" s="22" t="str">
        <x:v>静かな場所／深夜2時間</x:v>
      </x:c>
      <x:c r="Z28" s="22" t="str">
        <x:v>出発前に閉場確認</x:v>
      </x:c>
      <x:c r="AA28" s="22" t="str">
        <x:v>用途限定で有効</x:v>
      </x:c>
      <x:c r="AB28" s="22" t="str">
        <x:v>平和の森公園</x:v>
      </x:c>
      <x:c r="AC28" s="22" t="str">
        <x:v>大森ふるさとの浜辺公園／森ケ崎公園</x:v>
      </x:c>
      <x:c r="AD28" s="22" t="n">
        <x:v>50</x:v>
      </x:c>
      <x:c r="AE28" s="22" t="n">
        <x:v>60</x:v>
      </x:c>
      <x:c r="AF28" s="22" t="n">
        <x:v>160</x:v>
      </x:c>
      <x:c r="AG28" s="22" t="n">
        <x:v>3</x:v>
      </x:c>
      <x:c r="AH28" s="22" t="n">
        <x:v>45</x:v>
      </x:c>
      <x:c r="AI28" s="22" t="n">
        <x:v>2</x:v>
      </x:c>
      <x:c r="AJ28" s="22" t="n">
        <x:f>ROUND(MAX(0,MIN(100,IF('条件入力ナビ'!$B$9="飛行機",S28,IF('条件入力ナビ'!$B$9="海・港",T28,IF('条件入力ナビ'!$B$9="工場夜景",U28,IF('条件入力ナビ'!$B$9="静かな場所",V28,IF('条件入力ナビ'!$B$9="Story",AH28,X28)))))*0.30+IF('条件入力ナビ'!$B$7="深夜",Q28,IF('条件入力ナビ'!$B$7="夜",P28,IF('条件入力ナビ'!$B$7="夕方",(P28+W28)/2,W28)))*0.20+IF('条件入力ナビ'!$B$8="雨",R28,IF('条件入力ナビ'!$B$8="小雨",(R28+X28)/2,IF('条件入力ナビ'!$B$8="強風",MAX(0,X28-AI28*8),X28)))*0.15+N28*2+IF('条件入力ナビ'!$B$11="確実性優先",N28*1.6,IF('条件入力ナビ'!$B$11="穴場優先",K28*1.6,(N28+K28)*0.8))+IF(AF28&lt;='条件入力ナビ'!$B$6,12,MAX(-30,-(AF28-'条件入力ナビ'!$B$6)*0.5))+IF('条件入力ナビ'!$B$10="歩きたくない",(6-AG28)*1.2,IF('条件入力ナビ'!$B$10="歩きたい",AG28*1.2,0))+IF('条件入力ナビ'!$B$13="許容",AL28*1.2,IF('条件入力ナビ'!$B$13="路上候補除外",IF(AL28&gt;0,-12,0),0)))))</x:f>
        <x:v>38</x:v>
      </x:c>
      <x:c r="AK28" s="22" t="n">
        <x:f>RANK.EQ(AJ28,$AJ$2:$AJ$94,0)+COUNTIF($AJ$2:AJ28,AJ28)-1</x:f>
        <x:v>50</x:v>
      </x:c>
      <x:c r="AL28" t="n">
        <x:v>0</x:v>
      </x:c>
      <x:c r="AM28" t="str">
        <x:v>-</x:v>
      </x:c>
    </x:row>
    <x:row r="29" ht="36" customHeight="1">
      <x:c r="A29" s="22" t="str">
        <x:v>D101</x:v>
      </x:c>
      <x:c r="B29" s="22" t="str">
        <x:v>武蔵野公園</x:v>
      </x:c>
      <x:c r="C29" s="22" t="str">
        <x:v>府中市・小金井市</x:v>
      </x:c>
      <x:c r="D29" s="22" t="str">
        <x:v>河川・草地・夜間公園</x:v>
      </x:c>
      <x:c r="E29" s="22" t="str">
        <x:v>野川沿いの広い草地と樹林があり、西東京方面の長い一般道ドライブを静かに終えられる。</x:v>
      </x:c>
      <x:c r="F29" s="22" t="str">
        <x:v>夜間は照明のある主要園路に限定。大型車不可。</x:v>
      </x:c>
      <x:c r="G29" s="22" t="str">
        <x:v>20〜25km</x:v>
      </x:c>
      <x:c r="H29" s="22" t="str">
        <x:v>概ね20〜25km</x:v>
      </x:c>
      <x:c r="I29" s="22" t="str">
        <x:v>通常40〜70分</x:v>
      </x:c>
      <x:c r="J29" s="22" t="n">
        <x:v>4</x:v>
      </x:c>
      <x:c r="K29" s="22" t="n">
        <x:v>4</x:v>
      </x:c>
      <x:c r="L29" s="22" t="n">
        <x:v>1</x:v>
      </x:c>
      <x:c r="M29" s="22" t="n">
        <x:v>1</x:v>
      </x:c>
      <x:c r="N29" s="22" t="n">
        <x:v>4</x:v>
      </x:c>
      <x:c r="O29" s="22" t="n">
        <x:v>5</x:v>
      </x:c>
      <x:c r="P29" s="22" t="n">
        <x:v>72</x:v>
      </x:c>
      <x:c r="Q29" s="22" t="n">
        <x:v>75</x:v>
      </x:c>
      <x:c r="R29" s="22" t="n">
        <x:v>52</x:v>
      </x:c>
      <x:c r="S29" s="22" t="n">
        <x:v>49</x:v>
      </x:c>
      <x:c r="T29" s="22" t="n">
        <x:v>78</x:v>
      </x:c>
      <x:c r="U29" s="22" t="n">
        <x:v>47</x:v>
      </x:c>
      <x:c r="V29" s="22" t="n">
        <x:v>83</x:v>
      </x:c>
      <x:c r="W29" s="22" t="n">
        <x:v>57</x:v>
      </x:c>
      <x:c r="X29" s="22" t="n">
        <x:v>65</x:v>
      </x:c>
      <x:c r="Y29" s="22" t="str">
        <x:v>静かな場所／海・港</x:v>
      </x:c>
      <x:c r="Z29" s="22" t="str">
        <x:v>出発前に閉場確認</x:v>
      </x:c>
      <x:c r="AA29" s="22" t="str">
        <x:v>用途限定で有効</x:v>
      </x:c>
      <x:c r="AB29" s="22" t="str">
        <x:v>多摩川浅間神社</x:v>
      </x:c>
      <x:c r="AC29" s="22" t="str">
        <x:v>多摩川六郷橋緑地／多摩川ガス橋緑地</x:v>
      </x:c>
      <x:c r="AD29" s="22" t="n">
        <x:v>70</x:v>
      </x:c>
      <x:c r="AE29" s="22" t="n">
        <x:v>60</x:v>
      </x:c>
      <x:c r="AF29" s="22" t="n">
        <x:v>200</x:v>
      </x:c>
      <x:c r="AG29" s="22" t="n">
        <x:v>3</x:v>
      </x:c>
      <x:c r="AH29" s="22" t="n">
        <x:v>45</x:v>
      </x:c>
      <x:c r="AI29" s="22" t="n">
        <x:v>5</x:v>
      </x:c>
      <x:c r="AJ29" s="22" t="n">
        <x:f>ROUND(MAX(0,MIN(100,IF('条件入力ナビ'!$B$9="飛行機",S29,IF('条件入力ナビ'!$B$9="海・港",T29,IF('条件入力ナビ'!$B$9="工場夜景",U29,IF('条件入力ナビ'!$B$9="静かな場所",V29,IF('条件入力ナビ'!$B$9="Story",AH29,X29)))))*0.30+IF('条件入力ナビ'!$B$7="深夜",Q29,IF('条件入力ナビ'!$B$7="夜",P29,IF('条件入力ナビ'!$B$7="夕方",(P29+W29)/2,W29)))*0.20+IF('条件入力ナビ'!$B$8="雨",R29,IF('条件入力ナビ'!$B$8="小雨",(R29+X29)/2,IF('条件入力ナビ'!$B$8="強風",MAX(0,X29-AI29*8),X29)))*0.15+N29*2+IF('条件入力ナビ'!$B$11="確実性優先",N29*1.6,IF('条件入力ナビ'!$B$11="穴場優先",K29*1.6,(N29+K29)*0.8))+IF(AF29&lt;='条件入力ナビ'!$B$6,12,MAX(-30,-(AF29-'条件入力ナビ'!$B$6)*0.5))+IF('条件入力ナビ'!$B$10="歩きたくない",(6-AG29)*1.2,IF('条件入力ナビ'!$B$10="歩きたい",AG29*1.2,0))+IF('条件入力ナビ'!$B$13="許容",AL29*1.2,IF('条件入力ナビ'!$B$13="路上候補除外",IF(AL29&gt;0,-12,0),0)))))</x:f>
        <x:v>28</x:v>
      </x:c>
      <x:c r="AK29" s="22" t="n">
        <x:f>RANK.EQ(AJ29,$AJ$2:$AJ$94,0)+COUNTIF($AJ$2:AJ29,AJ29)-1</x:f>
        <x:v>72</x:v>
      </x:c>
      <x:c r="AL29" t="n">
        <x:v>0</x:v>
      </x:c>
      <x:c r="AM29" t="str">
        <x:v>-</x:v>
      </x:c>
    </x:row>
    <x:row r="30" ht="36" customHeight="1">
      <x:c r="A30" s="22" t="str">
        <x:v>D102</x:v>
      </x:c>
      <x:c r="B30" s="22" t="str">
        <x:v>砧公園</x:v>
      </x:c>
      <x:c r="C30" s="22" t="str">
        <x:v>世田谷区・砧公園</x:v>
      </x:c>
      <x:c r="D30" s="22" t="str">
        <x:v>芝生・樹林・近距離</x:v>
      </x:c>
      <x:c r="E30" s="22" t="str">
        <x:v>大田区から短距離で到達でき、広い芝生と樹林で都市走行の緊張を落とせる。</x:v>
      </x:c>
      <x:c r="F30" s="22" t="str">
        <x:v>2026年は一部立入制限情報あり。当日公式確認。</x:v>
      </x:c>
      <x:c r="G30" s="22" t="str">
        <x:v>10〜20km</x:v>
      </x:c>
      <x:c r="H30" s="22" t="str">
        <x:v>概ね10〜20km</x:v>
      </x:c>
      <x:c r="I30" s="22" t="str">
        <x:v>通常25〜50分</x:v>
      </x:c>
      <x:c r="J30" s="22" t="n">
        <x:v>3</x:v>
      </x:c>
      <x:c r="K30" s="22" t="n">
        <x:v>3</x:v>
      </x:c>
      <x:c r="L30" s="22" t="n">
        <x:v>2</x:v>
      </x:c>
      <x:c r="M30" s="22" t="n">
        <x:v>1</x:v>
      </x:c>
      <x:c r="N30" s="22" t="n">
        <x:v>4</x:v>
      </x:c>
      <x:c r="O30" s="22" t="n">
        <x:v>1</x:v>
      </x:c>
      <x:c r="P30" s="22" t="n">
        <x:v>58</x:v>
      </x:c>
      <x:c r="Q30" s="22" t="n">
        <x:v>55</x:v>
      </x:c>
      <x:c r="R30" s="22" t="n">
        <x:v>52</x:v>
      </x:c>
      <x:c r="S30" s="22" t="n">
        <x:v>49</x:v>
      </x:c>
      <x:c r="T30" s="22" t="n">
        <x:v>48</x:v>
      </x:c>
      <x:c r="U30" s="22" t="n">
        <x:v>46</x:v>
      </x:c>
      <x:c r="V30" s="22" t="n">
        <x:v>81</x:v>
      </x:c>
      <x:c r="W30" s="22" t="n">
        <x:v>56</x:v>
      </x:c>
      <x:c r="X30" s="22" t="n">
        <x:v>56</x:v>
      </x:c>
      <x:c r="Y30" s="22" t="str">
        <x:v>静かな場所／平日夜90分</x:v>
      </x:c>
      <x:c r="Z30" s="22" t="str">
        <x:v>出発前に閉場確認</x:v>
      </x:c>
      <x:c r="AA30" s="22" t="str">
        <x:v>用途限定で有効</x:v>
      </x:c>
      <x:c r="AB30" s="22" t="str">
        <x:v>羽田空港 第3ターミナル展望デッキ</x:v>
      </x:c>
      <x:c r="AC30" s="22" t="str">
        <x:v>城南島海浜公園／潮風公園</x:v>
      </x:c>
      <x:c r="AD30" s="22" t="n">
        <x:v>50</x:v>
      </x:c>
      <x:c r="AE30" s="22" t="n">
        <x:v>45</x:v>
      </x:c>
      <x:c r="AF30" s="22" t="n">
        <x:v>145</x:v>
      </x:c>
      <x:c r="AG30" s="22" t="n">
        <x:v>3</x:v>
      </x:c>
      <x:c r="AH30" s="22" t="n">
        <x:v>45</x:v>
      </x:c>
      <x:c r="AI30" s="22" t="n">
        <x:v>2</x:v>
      </x:c>
      <x:c r="AJ30" s="22" t="n">
        <x:f>ROUND(MAX(0,MIN(100,IF('条件入力ナビ'!$B$9="飛行機",S30,IF('条件入力ナビ'!$B$9="海・港",T30,IF('条件入力ナビ'!$B$9="工場夜景",U30,IF('条件入力ナビ'!$B$9="静かな場所",V30,IF('条件入力ナビ'!$B$9="Story",AH30,X30)))))*0.30+IF('条件入力ナビ'!$B$7="深夜",Q30,IF('条件入力ナビ'!$B$7="夜",P30,IF('条件入力ナビ'!$B$7="夕方",(P30+W30)/2,W30)))*0.20+IF('条件入力ナビ'!$B$8="雨",R30,IF('条件入力ナビ'!$B$8="小雨",(R30+X30)/2,IF('条件入力ナビ'!$B$8="強風",MAX(0,X30-AI30*8),X30)))*0.15+N30*2+IF('条件入力ナビ'!$B$11="確実性優先",N30*1.6,IF('条件入力ナビ'!$B$11="穴場優先",K30*1.6,(N30+K30)*0.8))+IF(AF30&lt;='条件入力ナビ'!$B$6,12,MAX(-30,-(AF30-'条件入力ナビ'!$B$6)*0.5))+IF('条件入力ナビ'!$B$10="歩きたくない",(6-AG30)*1.2,IF('条件入力ナビ'!$B$10="歩きたい",AG30*1.2,0))+IF('条件入力ナビ'!$B$13="許容",AL30*1.2,IF('条件入力ナビ'!$B$13="路上候補除外",IF(AL30&gt;0,-12,0),0)))))</x:f>
        <x:v>39</x:v>
      </x:c>
      <x:c r="AK30" s="22" t="n">
        <x:f>RANK.EQ(AJ30,$AJ$2:$AJ$94,0)+COUNTIF($AJ$2:AJ30,AJ30)-1</x:f>
        <x:v>49</x:v>
      </x:c>
      <x:c r="AL30" t="n">
        <x:v>0</x:v>
      </x:c>
      <x:c r="AM30" t="str">
        <x:v>-</x:v>
      </x:c>
    </x:row>
    <x:row r="31" ht="36" customHeight="1">
      <x:c r="A31" s="22" t="str">
        <x:v>D103</x:v>
      </x:c>
      <x:c r="B31" s="22" t="str">
        <x:v>夢見ヶ崎動物公園</x:v>
      </x:c>
      <x:c r="C31" s="22" t="str">
        <x:v>川崎市・幸区</x:v>
      </x:c>
      <x:c r="D31" s="22" t="str">
        <x:v>高台・動物公園・夜景</x:v>
      </x:c>
      <x:c r="E31" s="22" t="str">
        <x:v>小高い丘の展望広場から住宅地の灯りを眺められ、近距離の静かな夜景Endingになる。</x:v>
      </x:c>
      <x:c r="F31" s="22" t="str">
        <x:v>夜間は動物舎周辺へ近づかず、近隣住宅へ配慮。</x:v>
      </x:c>
      <x:c r="G31" s="22" t="str">
        <x:v>0〜10km</x:v>
      </x:c>
      <x:c r="H31" s="22" t="str">
        <x:v>概ね0〜10km</x:v>
      </x:c>
      <x:c r="I31" s="22" t="str">
        <x:v>通常10〜30分</x:v>
      </x:c>
      <x:c r="J31" s="22" t="n">
        <x:v>4</x:v>
      </x:c>
      <x:c r="K31" s="22" t="n">
        <x:v>4</x:v>
      </x:c>
      <x:c r="L31" s="22" t="n">
        <x:v>1</x:v>
      </x:c>
      <x:c r="M31" s="22" t="n">
        <x:v>3</x:v>
      </x:c>
      <x:c r="N31" s="22" t="n">
        <x:v>4</x:v>
      </x:c>
      <x:c r="O31" s="22" t="n">
        <x:v>5</x:v>
      </x:c>
      <x:c r="P31" s="22" t="n">
        <x:v>86</x:v>
      </x:c>
      <x:c r="Q31" s="22" t="n">
        <x:v>85</x:v>
      </x:c>
      <x:c r="R31" s="22" t="n">
        <x:v>62</x:v>
      </x:c>
      <x:c r="S31" s="22" t="n">
        <x:v>61</x:v>
      </x:c>
      <x:c r="T31" s="22" t="n">
        <x:v>60</x:v>
      </x:c>
      <x:c r="U31" s="22" t="n">
        <x:v>57</x:v>
      </x:c>
      <x:c r="V31" s="22" t="n">
        <x:v>91</x:v>
      </x:c>
      <x:c r="W31" s="22" t="n">
        <x:v>73</x:v>
      </x:c>
      <x:c r="X31" s="22" t="n">
        <x:v>73</x:v>
      </x:c>
      <x:c r="Y31" s="22" t="str">
        <x:v>静かな場所／平日夜90分</x:v>
      </x:c>
      <x:c r="Z31" s="22" t="str">
        <x:v>出発前に閉場確認</x:v>
      </x:c>
      <x:c r="AA31" s="22" t="str">
        <x:v>条件が合えば有力</x:v>
      </x:c>
      <x:c r="AB31" s="22" t="str">
        <x:v>平和の森公園</x:v>
      </x:c>
      <x:c r="AC31" s="22" t="str">
        <x:v>大森ふるさとの浜辺公園／森ケ崎公園</x:v>
      </x:c>
      <x:c r="AD31" s="22" t="n">
        <x:v>30</x:v>
      </x:c>
      <x:c r="AE31" s="22" t="n">
        <x:v>105</x:v>
      </x:c>
      <x:c r="AF31" s="22" t="n">
        <x:v>165</x:v>
      </x:c>
      <x:c r="AG31" s="22" t="n">
        <x:v>2</x:v>
      </x:c>
      <x:c r="AH31" s="22" t="n">
        <x:v>45</x:v>
      </x:c>
      <x:c r="AI31" s="22" t="n">
        <x:v>5</x:v>
      </x:c>
      <x:c r="AJ31" s="22" t="n">
        <x:f>ROUND(MAX(0,MIN(100,IF('条件入力ナビ'!$B$9="飛行機",S31,IF('条件入力ナビ'!$B$9="海・港",T31,IF('条件入力ナビ'!$B$9="工場夜景",U31,IF('条件入力ナビ'!$B$9="静かな場所",V31,IF('条件入力ナビ'!$B$9="Story",AH31,X31)))))*0.30+IF('条件入力ナビ'!$B$7="深夜",Q31,IF('条件入力ナビ'!$B$7="夜",P31,IF('条件入力ナビ'!$B$7="夕方",(P31+W31)/2,W31)))*0.20+IF('条件入力ナビ'!$B$8="雨",R31,IF('条件入力ナビ'!$B$8="小雨",(R31+X31)/2,IF('条件入力ナビ'!$B$8="強風",MAX(0,X31-AI31*8),X31)))*0.15+N31*2+IF('条件入力ナビ'!$B$11="確実性優先",N31*1.6,IF('条件入力ナビ'!$B$11="穴場優先",K31*1.6,(N31+K31)*0.8))+IF(AF31&lt;='条件入力ナビ'!$B$6,12,MAX(-30,-(AF31-'条件入力ナビ'!$B$6)*0.5))+IF('条件入力ナビ'!$B$10="歩きたくない",(6-AG31)*1.2,IF('条件入力ナビ'!$B$10="歩きたい",AG31*1.2,0))+IF('条件入力ナビ'!$B$13="許容",AL31*1.2,IF('条件入力ナビ'!$B$13="路上候補除外",IF(AL31&gt;0,-12,0),0)))))</x:f>
        <x:v>42</x:v>
      </x:c>
      <x:c r="AK31" s="22" t="n">
        <x:f>RANK.EQ(AJ31,$AJ$2:$AJ$94,0)+COUNTIF($AJ$2:AJ31,AJ31)-1</x:f>
        <x:v>46</x:v>
      </x:c>
      <x:c r="AL31" t="n">
        <x:v>0</x:v>
      </x:c>
      <x:c r="AM31" t="str">
        <x:v>-</x:v>
      </x:c>
    </x:row>
    <x:row r="32" ht="36" customHeight="1">
      <x:c r="A32" s="22" t="str">
        <x:v>D104</x:v>
      </x:c>
      <x:c r="B32" s="22" t="str">
        <x:v>殿町緑地</x:v>
      </x:c>
      <x:c r="C32" s="22" t="str">
        <x:v>川崎市・川崎区</x:v>
      </x:c>
      <x:c r="D32" s="22" t="str">
        <x:v>多摩川・飛行機・河川敷</x:v>
      </x:c>
      <x:c r="E32" s="22" t="str">
        <x:v>羽田空港対岸の多摩川沿いで、橋・航空機・広い空を近距離で味わえる。</x:v>
      </x:c>
      <x:c r="F32" s="22" t="str">
        <x:v>増水・工事・閉鎖時は利用不可。緑地外や堤防上への駐車禁止。</x:v>
      </x:c>
      <x:c r="G32" s="22" t="str">
        <x:v>0〜10km</x:v>
      </x:c>
      <x:c r="H32" s="22" t="str">
        <x:v>概ね0〜10km</x:v>
      </x:c>
      <x:c r="I32" s="22" t="str">
        <x:v>通常10〜30分</x:v>
      </x:c>
      <x:c r="J32" s="22" t="n">
        <x:v>4</x:v>
      </x:c>
      <x:c r="K32" s="22" t="n">
        <x:v>5</x:v>
      </x:c>
      <x:c r="L32" s="22" t="n">
        <x:v>1</x:v>
      </x:c>
      <x:c r="M32" s="22" t="n">
        <x:v>4</x:v>
      </x:c>
      <x:c r="N32" s="22" t="n">
        <x:v>4</x:v>
      </x:c>
      <x:c r="O32" s="22" t="n">
        <x:v>1</x:v>
      </x:c>
      <x:c r="P32" s="22" t="n">
        <x:v>78</x:v>
      </x:c>
      <x:c r="Q32" s="22" t="n">
        <x:v>72</x:v>
      </x:c>
      <x:c r="R32" s="22" t="n">
        <x:v>58</x:v>
      </x:c>
      <x:c r="S32" s="22" t="n">
        <x:v>92</x:v>
      </x:c>
      <x:c r="T32" s="22" t="n">
        <x:v>91</x:v>
      </x:c>
      <x:c r="U32" s="22" t="n">
        <x:v>59</x:v>
      </x:c>
      <x:c r="V32" s="22" t="n">
        <x:v>67</x:v>
      </x:c>
      <x:c r="W32" s="22" t="n">
        <x:v>63</x:v>
      </x:c>
      <x:c r="X32" s="22" t="n">
        <x:v>73</x:v>
      </x:c>
      <x:c r="Y32" s="22" t="str">
        <x:v>飛行機／海・港</x:v>
      </x:c>
      <x:c r="Z32" s="22" t="str">
        <x:v>出発前に閉場確認</x:v>
      </x:c>
      <x:c r="AA32" s="22" t="str">
        <x:v>条件が合えば有力</x:v>
      </x:c>
      <x:c r="AB32" s="22" t="str">
        <x:v>城南島海浜公園</x:v>
      </x:c>
      <x:c r="AC32" s="22" t="str">
        <x:v>京浜島つばさ公園／羽田空港 第3ターミナル展望デッキ</x:v>
      </x:c>
      <x:c r="AD32" s="22" t="n">
        <x:v>30</x:v>
      </x:c>
      <x:c r="AE32" s="22" t="n">
        <x:v>45</x:v>
      </x:c>
      <x:c r="AF32" s="22" t="n">
        <x:v>105</x:v>
      </x:c>
      <x:c r="AG32" s="22" t="n">
        <x:v>2</x:v>
      </x:c>
      <x:c r="AH32" s="22" t="n">
        <x:v>45</x:v>
      </x:c>
      <x:c r="AI32" s="22" t="n">
        <x:v>5</x:v>
      </x:c>
      <x:c r="AJ32" s="22" t="n">
        <x:f>ROUND(MAX(0,MIN(100,IF('条件入力ナビ'!$B$9="飛行機",S32,IF('条件入力ナビ'!$B$9="海・港",T32,IF('条件入力ナビ'!$B$9="工場夜景",U32,IF('条件入力ナビ'!$B$9="静かな場所",V32,IF('条件入力ナビ'!$B$9="Story",AH32,X32)))))*0.30+IF('条件入力ナビ'!$B$7="深夜",Q32,IF('条件入力ナビ'!$B$7="夜",P32,IF('条件入力ナビ'!$B$7="夕方",(P32+W32)/2,W32)))*0.20+IF('条件入力ナビ'!$B$8="雨",R32,IF('条件入力ナビ'!$B$8="小雨",(R32+X32)/2,IF('条件入力ナビ'!$B$8="強風",MAX(0,X32-AI32*8),X32)))*0.15+N32*2+IF('条件入力ナビ'!$B$11="確実性優先",N32*1.6,IF('条件入力ナビ'!$B$11="穴場優先",K32*1.6,(N32+K32)*0.8))+IF(AF32&lt;='条件入力ナビ'!$B$6,12,MAX(-30,-(AF32-'条件入力ナビ'!$B$6)*0.5))+IF('条件入力ナビ'!$B$10="歩きたくない",(6-AG32)*1.2,IF('条件入力ナビ'!$B$10="歩きたい",AG32*1.2,0))+IF('条件入力ナビ'!$B$13="許容",AL32*1.2,IF('条件入力ナビ'!$B$13="路上候補除外",IF(AL32&gt;0,-12,0),0)))))</x:f>
        <x:v>75</x:v>
      </x:c>
      <x:c r="AK32" s="22" t="n">
        <x:f>RANK.EQ(AJ32,$AJ$2:$AJ$94,0)+COUNTIF($AJ$2:AJ32,AJ32)-1</x:f>
        <x:v>9</x:v>
      </x:c>
      <x:c r="AL32" t="n">
        <x:v>0</x:v>
      </x:c>
      <x:c r="AM32" t="str">
        <x:v>-</x:v>
      </x:c>
    </x:row>
    <x:row r="33" ht="36" customHeight="1">
      <x:c r="A33" s="22" t="str">
        <x:v>D105</x:v>
      </x:c>
      <x:c r="B33" s="22" t="str">
        <x:v>鷺沼北公園</x:v>
      </x:c>
      <x:c r="C33" s="22" t="str">
        <x:v>川崎市・宮前区</x:v>
      </x:c>
      <x:c r="D33" s="22" t="str">
        <x:v>高台・都市展望</x:v>
      </x:c>
      <x:c r="E33" s="22" t="str">
        <x:v>東京タワーやスカイツリー方面を望める小規模な展望公園で、近隣型穴場Endingになる。</x:v>
      </x:c>
      <x:c r="F33" s="22" t="str">
        <x:v>路上駐車禁止。徒歩移動を伴うため最終目的地より経由地向き。</x:v>
      </x:c>
      <x:c r="G33" s="22" t="str">
        <x:v>10〜20km</x:v>
      </x:c>
      <x:c r="H33" s="22" t="str">
        <x:v>概ね10〜20km</x:v>
      </x:c>
      <x:c r="I33" s="22" t="str">
        <x:v>通常25〜50分</x:v>
      </x:c>
      <x:c r="J33" s="22" t="n">
        <x:v>2</x:v>
      </x:c>
      <x:c r="K33" s="22" t="n">
        <x:v>5</x:v>
      </x:c>
      <x:c r="L33" s="22" t="n">
        <x:v>1</x:v>
      </x:c>
      <x:c r="M33" s="22" t="n">
        <x:v>1</x:v>
      </x:c>
      <x:c r="N33" s="22" t="n">
        <x:v>1</x:v>
      </x:c>
      <x:c r="O33" s="22" t="n">
        <x:v>1</x:v>
      </x:c>
      <x:c r="P33" s="22" t="n">
        <x:v>48</x:v>
      </x:c>
      <x:c r="Q33" s="22" t="n">
        <x:v>39</x:v>
      </x:c>
      <x:c r="R33" s="22" t="n">
        <x:v>37</x:v>
      </x:c>
      <x:c r="S33" s="22" t="n">
        <x:v>39</x:v>
      </x:c>
      <x:c r="T33" s="22" t="n">
        <x:v>37</x:v>
      </x:c>
      <x:c r="U33" s="22" t="n">
        <x:v>33</x:v>
      </x:c>
      <x:c r="V33" s="22" t="n">
        <x:v>50</x:v>
      </x:c>
      <x:c r="W33" s="22" t="n">
        <x:v>48</x:v>
      </x:c>
      <x:c r="X33" s="22" t="n">
        <x:v>42</x:v>
      </x:c>
      <x:c r="Y33" s="22" t="str">
        <x:v>静かな場所／平日夜90分</x:v>
      </x:c>
      <x:c r="Z33" s="22" t="str">
        <x:v>出発前に閉場確認</x:v>
      </x:c>
      <x:c r="AA33" s="22" t="str">
        <x:v>用途限定で有効</x:v>
      </x:c>
      <x:c r="AB33" s="22" t="str">
        <x:v>羽田空港 第3ターミナル展望デッキ</x:v>
      </x:c>
      <x:c r="AC33" s="22" t="str">
        <x:v>城南島海浜公園／潮風公園</x:v>
      </x:c>
      <x:c r="AD33" s="22" t="n">
        <x:v>50</x:v>
      </x:c>
      <x:c r="AE33" s="22" t="n">
        <x:v>45</x:v>
      </x:c>
      <x:c r="AF33" s="22" t="n">
        <x:v>145</x:v>
      </x:c>
      <x:c r="AG33" s="22" t="n">
        <x:v>3</x:v>
      </x:c>
      <x:c r="AH33" s="22" t="n">
        <x:v>45</x:v>
      </x:c>
      <x:c r="AI33" s="22" t="n">
        <x:v>5</x:v>
      </x:c>
      <x:c r="AJ33" s="22" t="n">
        <x:f>ROUND(MAX(0,MIN(100,IF('条件入力ナビ'!$B$9="飛行機",S33,IF('条件入力ナビ'!$B$9="海・港",T33,IF('条件入力ナビ'!$B$9="工場夜景",U33,IF('条件入力ナビ'!$B$9="静かな場所",V33,IF('条件入力ナビ'!$B$9="Story",AH33,X33)))))*0.30+IF('条件入力ナビ'!$B$7="深夜",Q33,IF('条件入力ナビ'!$B$7="夜",P33,IF('条件入力ナビ'!$B$7="夕方",(P33+W33)/2,W33)))*0.20+IF('条件入力ナビ'!$B$8="雨",R33,IF('条件入力ナビ'!$B$8="小雨",(R33+X33)/2,IF('条件入力ナビ'!$B$8="強風",MAX(0,X33-AI33*8),X33)))*0.15+N33*2+IF('条件入力ナビ'!$B$11="確実性優先",N33*1.6,IF('条件入力ナビ'!$B$11="穴場優先",K33*1.6,(N33+K33)*0.8))+IF(AF33&lt;='条件入力ナビ'!$B$6,12,MAX(-30,-(AF33-'条件入力ナビ'!$B$6)*0.5))+IF('条件入力ナビ'!$B$10="歩きたくない",(6-AG33)*1.2,IF('条件入力ナビ'!$B$10="歩きたい",AG33*1.2,0))+IF('条件入力ナビ'!$B$13="許容",AL33*1.2,IF('条件入力ナビ'!$B$13="路上候補除外",IF(AL33&gt;0,-12,0),0)))))</x:f>
        <x:v>20</x:v>
      </x:c>
      <x:c r="AK33" s="22" t="n">
        <x:f>RANK.EQ(AJ33,$AJ$2:$AJ$94,0)+COUNTIF($AJ$2:AJ33,AJ33)-1</x:f>
        <x:v>87</x:v>
      </x:c>
      <x:c r="AL33" t="n">
        <x:v>0</x:v>
      </x:c>
      <x:c r="AM33" t="str">
        <x:v>-</x:v>
      </x:c>
    </x:row>
    <x:row r="34" ht="36" customHeight="1">
      <x:c r="A34" s="22" t="str">
        <x:v>D106</x:v>
      </x:c>
      <x:c r="B34" s="22" t="str">
        <x:v>菅生緑地</x:v>
      </x:c>
      <x:c r="C34" s="22" t="str">
        <x:v>川崎市・宮前区</x:v>
      </x:c>
      <x:c r="D34" s="22" t="str">
        <x:v>高台・展望・里山</x:v>
      </x:c>
      <x:c r="E34" s="22" t="str">
        <x:v>高台の展望デッキと里山的な緑があり、川崎北部で静かな昼Endingになる。</x:v>
      </x:c>
      <x:c r="F34" s="22" t="str">
        <x:v>夜間不向き。駐車場所と閉鎖時刻を当日確認。</x:v>
      </x:c>
      <x:c r="G34" s="22" t="str">
        <x:v>10〜20km</x:v>
      </x:c>
      <x:c r="H34" s="22" t="str">
        <x:v>概ね10〜20km</x:v>
      </x:c>
      <x:c r="I34" s="22" t="str">
        <x:v>通常25〜50分</x:v>
      </x:c>
      <x:c r="J34" s="22" t="n">
        <x:v>2</x:v>
      </x:c>
      <x:c r="K34" s="22" t="n">
        <x:v>4</x:v>
      </x:c>
      <x:c r="L34" s="22" t="n">
        <x:v>1</x:v>
      </x:c>
      <x:c r="M34" s="22" t="n">
        <x:v>1</x:v>
      </x:c>
      <x:c r="N34" s="22" t="n">
        <x:v>4</x:v>
      </x:c>
      <x:c r="O34" s="22" t="n">
        <x:v>1</x:v>
      </x:c>
      <x:c r="P34" s="22" t="n">
        <x:v>55</x:v>
      </x:c>
      <x:c r="Q34" s="22" t="n">
        <x:v>50</x:v>
      </x:c>
      <x:c r="R34" s="22" t="n">
        <x:v>47</x:v>
      </x:c>
      <x:c r="S34" s="22" t="n">
        <x:v>47</x:v>
      </x:c>
      <x:c r="T34" s="22" t="n">
        <x:v>45</x:v>
      </x:c>
      <x:c r="U34" s="22" t="n">
        <x:v>42</x:v>
      </x:c>
      <x:c r="V34" s="22" t="n">
        <x:v>55</x:v>
      </x:c>
      <x:c r="W34" s="22" t="n">
        <x:v>55</x:v>
      </x:c>
      <x:c r="X34" s="22" t="n">
        <x:v>50</x:v>
      </x:c>
      <x:c r="Y34" s="22" t="str">
        <x:v>平日夜90分／静かな場所</x:v>
      </x:c>
      <x:c r="Z34" s="22" t="str">
        <x:v>出発前に閉場確認</x:v>
      </x:c>
      <x:c r="AA34" s="22" t="str">
        <x:v>用途限定で有効</x:v>
      </x:c>
      <x:c r="AB34" s="22" t="str">
        <x:v>羽田空港 第3ターミナル展望デッキ</x:v>
      </x:c>
      <x:c r="AC34" s="22" t="str">
        <x:v>城南島海浜公園／潮風公園</x:v>
      </x:c>
      <x:c r="AD34" s="22" t="n">
        <x:v>50</x:v>
      </x:c>
      <x:c r="AE34" s="22" t="n">
        <x:v>45</x:v>
      </x:c>
      <x:c r="AF34" s="22" t="n">
        <x:v>145</x:v>
      </x:c>
      <x:c r="AG34" s="22" t="n">
        <x:v>3</x:v>
      </x:c>
      <x:c r="AH34" s="22" t="n">
        <x:v>45</x:v>
      </x:c>
      <x:c r="AI34" s="22" t="n">
        <x:v>5</x:v>
      </x:c>
      <x:c r="AJ34" s="22" t="n">
        <x:f>ROUND(MAX(0,MIN(100,IF('条件入力ナビ'!$B$9="飛行機",S34,IF('条件入力ナビ'!$B$9="海・港",T34,IF('条件入力ナビ'!$B$9="工場夜景",U34,IF('条件入力ナビ'!$B$9="静かな場所",V34,IF('条件入力ナビ'!$B$9="Story",AH34,X34)))))*0.30+IF('条件入力ナビ'!$B$7="深夜",Q34,IF('条件入力ナビ'!$B$7="夜",P34,IF('条件入力ナビ'!$B$7="夕方",(P34+W34)/2,W34)))*0.20+IF('条件入力ナビ'!$B$8="雨",R34,IF('条件入力ナビ'!$B$8="小雨",(R34+X34)/2,IF('条件入力ナビ'!$B$8="強風",MAX(0,X34-AI34*8),X34)))*0.15+N34*2+IF('条件入力ナビ'!$B$11="確実性優先",N34*1.6,IF('条件入力ナビ'!$B$11="穴場優先",K34*1.6,(N34+K34)*0.8))+IF(AF34&lt;='条件入力ナビ'!$B$6,12,MAX(-30,-(AF34-'条件入力ナビ'!$B$6)*0.5))+IF('条件入力ナビ'!$B$10="歩きたくない",(6-AG34)*1.2,IF('条件入力ナビ'!$B$10="歩きたい",AG34*1.2,0))+IF('条件入力ナビ'!$B$13="許容",AL34*1.2,IF('条件入力ナビ'!$B$13="路上候補除外",IF(AL34&gt;0,-12,0),0)))))</x:f>
        <x:v>35</x:v>
      </x:c>
      <x:c r="AK34" s="22" t="n">
        <x:f>RANK.EQ(AJ34,$AJ$2:$AJ$94,0)+COUNTIF($AJ$2:AJ34,AJ34)-1</x:f>
        <x:v>56</x:v>
      </x:c>
      <x:c r="AL34" t="n">
        <x:v>0</x:v>
      </x:c>
      <x:c r="AM34" t="str">
        <x:v>-</x:v>
      </x:c>
    </x:row>
    <x:row r="35" ht="36" customHeight="1">
      <x:c r="A35" s="22" t="str">
        <x:v>D108</x:v>
      </x:c>
      <x:c r="B35" s="22" t="str">
        <x:v>千葉公園</x:v>
      </x:c>
      <x:c r="C35" s="22" t="str">
        <x:v>千葉市・中央区</x:v>
      </x:c>
      <x:c r="D35" s="22" t="str">
        <x:v>池・都市公園・夜間散歩</x:v>
      </x:c>
      <x:c r="E35" s="22" t="str">
        <x:v>池とモノレール、市街地の灯りが重なり、千葉市中心部の落ち着いたEndingになる。</x:v>
      </x:c>
      <x:c r="F35" s="22" t="str">
        <x:v>イベント・ボート営業日で混雑。夜は主要園路のみ。</x:v>
      </x:c>
      <x:c r="G35" s="22" t="str">
        <x:v>10〜20km</x:v>
      </x:c>
      <x:c r="H35" s="22" t="str">
        <x:v>概ね10〜20km</x:v>
      </x:c>
      <x:c r="I35" s="22" t="str">
        <x:v>通常25〜50分</x:v>
      </x:c>
      <x:c r="J35" s="22" t="n">
        <x:v>4</x:v>
      </x:c>
      <x:c r="K35" s="22" t="n">
        <x:v>3</x:v>
      </x:c>
      <x:c r="L35" s="22" t="n">
        <x:v>1</x:v>
      </x:c>
      <x:c r="M35" s="22" t="n">
        <x:v>1</x:v>
      </x:c>
      <x:c r="N35" s="22" t="n">
        <x:v>4</x:v>
      </x:c>
      <x:c r="O35" s="22" t="n">
        <x:v>5</x:v>
      </x:c>
      <x:c r="P35" s="22" t="n">
        <x:v>75</x:v>
      </x:c>
      <x:c r="Q35" s="22" t="n">
        <x:v>77</x:v>
      </x:c>
      <x:c r="R35" s="22" t="n">
        <x:v>53</x:v>
      </x:c>
      <x:c r="S35" s="22" t="n">
        <x:v>52</x:v>
      </x:c>
      <x:c r="T35" s="22" t="n">
        <x:v>52</x:v>
      </x:c>
      <x:c r="U35" s="22" t="n">
        <x:v>50</x:v>
      </x:c>
      <x:c r="V35" s="22" t="n">
        <x:v>83</x:v>
      </x:c>
      <x:c r="W35" s="22" t="n">
        <x:v>57</x:v>
      </x:c>
      <x:c r="X35" s="22" t="n">
        <x:v>63</x:v>
      </x:c>
      <x:c r="Y35" s="22" t="str">
        <x:v>静かな場所／深夜2時間</x:v>
      </x:c>
      <x:c r="Z35" s="22" t="str">
        <x:v>出発前に閉場確認</x:v>
      </x:c>
      <x:c r="AA35" s="22" t="str">
        <x:v>用途限定で有効</x:v>
      </x:c>
      <x:c r="AB35" s="22" t="str">
        <x:v>多摩川浅間神社</x:v>
      </x:c>
      <x:c r="AC35" s="22" t="str">
        <x:v>多摩川六郷橋緑地／多摩川ガス橋緑地</x:v>
      </x:c>
      <x:c r="AD35" s="22" t="n">
        <x:v>50</x:v>
      </x:c>
      <x:c r="AE35" s="22" t="n">
        <x:v>60</x:v>
      </x:c>
      <x:c r="AF35" s="22" t="n">
        <x:v>160</x:v>
      </x:c>
      <x:c r="AG35" s="22" t="n">
        <x:v>3</x:v>
      </x:c>
      <x:c r="AH35" s="22" t="n">
        <x:v>45</x:v>
      </x:c>
      <x:c r="AI35" s="22" t="n">
        <x:v>2</x:v>
      </x:c>
      <x:c r="AJ35" s="22" t="n">
        <x:f>ROUND(MAX(0,MIN(100,IF('条件入力ナビ'!$B$9="飛行機",S35,IF('条件入力ナビ'!$B$9="海・港",T35,IF('条件入力ナビ'!$B$9="工場夜景",U35,IF('条件入力ナビ'!$B$9="静かな場所",V35,IF('条件入力ナビ'!$B$9="Story",AH35,X35)))))*0.30+IF('条件入力ナビ'!$B$7="深夜",Q35,IF('条件入力ナビ'!$B$7="夜",P35,IF('条件入力ナビ'!$B$7="夕方",(P35+W35)/2,W35)))*0.20+IF('条件入力ナビ'!$B$8="雨",R35,IF('条件入力ナビ'!$B$8="小雨",(R35+X35)/2,IF('条件入力ナビ'!$B$8="強風",MAX(0,X35-AI35*8),X35)))*0.15+N35*2+IF('条件入力ナビ'!$B$11="確実性優先",N35*1.6,IF('条件入力ナビ'!$B$11="穴場優先",K35*1.6,(N35+K35)*0.8))+IF(AF35&lt;='条件入力ナビ'!$B$6,12,MAX(-30,-(AF35-'条件入力ナビ'!$B$6)*0.5))+IF('条件入力ナビ'!$B$10="歩きたくない",(6-AG35)*1.2,IF('条件入力ナビ'!$B$10="歩きたい",AG35*1.2,0))+IF('条件入力ナビ'!$B$13="許容",AL35*1.2,IF('条件入力ナビ'!$B$13="路上候補除外",IF(AL35&gt;0,-12,0),0)))))</x:f>
        <x:v>38</x:v>
      </x:c>
      <x:c r="AK35" s="22" t="n">
        <x:f>RANK.EQ(AJ35,$AJ$2:$AJ$94,0)+COUNTIF($AJ$2:AJ35,AJ35)-1</x:f>
        <x:v>51</x:v>
      </x:c>
      <x:c r="AL35" t="n">
        <x:v>0</x:v>
      </x:c>
      <x:c r="AM35" t="str">
        <x:v>-</x:v>
      </x:c>
    </x:row>
    <x:row r="36" ht="36" customHeight="1">
      <x:c r="A36" s="22" t="str">
        <x:v>D109</x:v>
      </x:c>
      <x:c r="B36" s="22" t="str">
        <x:v>亥鼻公園</x:v>
      </x:c>
      <x:c r="C36" s="22" t="str">
        <x:v>千葉市・中央区</x:v>
      </x:c>
      <x:c r="D36" s="22" t="str">
        <x:v>城址・高台・Story</x:v>
      </x:c>
      <x:c r="E36" s="22" t="str">
        <x:v>千葉城と歴史公園の高台景観があり、都市ドライブに物語性を加えられる。</x:v>
      </x:c>
      <x:c r="F36" s="22" t="str">
        <x:v>桜祭り時は混雑。千葉城施設の営業時間と駐車位置を確認。</x:v>
      </x:c>
      <x:c r="G36" s="22" t="str">
        <x:v>10〜20km</x:v>
      </x:c>
      <x:c r="H36" s="22" t="str">
        <x:v>概ね10〜20km</x:v>
      </x:c>
      <x:c r="I36" s="22" t="str">
        <x:v>通常25〜50分</x:v>
      </x:c>
      <x:c r="J36" s="22" t="n">
        <x:v>3</x:v>
      </x:c>
      <x:c r="K36" s="22" t="n">
        <x:v>4</x:v>
      </x:c>
      <x:c r="L36" s="22" t="n">
        <x:v>1</x:v>
      </x:c>
      <x:c r="M36" s="22" t="n">
        <x:v>1</x:v>
      </x:c>
      <x:c r="N36" s="22" t="n">
        <x:v>4</x:v>
      </x:c>
      <x:c r="O36" s="22" t="n">
        <x:v>5</x:v>
      </x:c>
      <x:c r="P36" s="22" t="n">
        <x:v>72</x:v>
      </x:c>
      <x:c r="Q36" s="22" t="n">
        <x:v>72</x:v>
      </x:c>
      <x:c r="R36" s="22" t="n">
        <x:v>55</x:v>
      </x:c>
      <x:c r="S36" s="22" t="n">
        <x:v>50</x:v>
      </x:c>
      <x:c r="T36" s="22" t="n">
        <x:v>49</x:v>
      </x:c>
      <x:c r="U36" s="22" t="n">
        <x:v>46</x:v>
      </x:c>
      <x:c r="V36" s="22" t="n">
        <x:v>57</x:v>
      </x:c>
      <x:c r="W36" s="22" t="n">
        <x:v>73</x:v>
      </x:c>
      <x:c r="X36" s="22" t="n">
        <x:v>61</x:v>
      </x:c>
      <x:c r="Y36" s="22" t="str">
        <x:v>休日半日／平日夜90分</x:v>
      </x:c>
      <x:c r="Z36" s="22" t="str">
        <x:v>出発前に閉場確認</x:v>
      </x:c>
      <x:c r="AA36" s="22" t="str">
        <x:v>用途限定で有効</x:v>
      </x:c>
      <x:c r="AB36" s="22" t="str">
        <x:v>羽田空港 第3ターミナル展望デッキ</x:v>
      </x:c>
      <x:c r="AC36" s="22" t="str">
        <x:v>城南島海浜公園／潮風公園</x:v>
      </x:c>
      <x:c r="AD36" s="22" t="n">
        <x:v>50</x:v>
      </x:c>
      <x:c r="AE36" s="22" t="n">
        <x:v>45</x:v>
      </x:c>
      <x:c r="AF36" s="22" t="n">
        <x:v>145</x:v>
      </x:c>
      <x:c r="AG36" s="22" t="n">
        <x:v>3</x:v>
      </x:c>
      <x:c r="AH36" s="22" t="n">
        <x:v>80</x:v>
      </x:c>
      <x:c r="AI36" s="22" t="n">
        <x:v>5</x:v>
      </x:c>
      <x:c r="AJ36" s="22" t="n">
        <x:f>ROUND(MAX(0,MIN(100,IF('条件入力ナビ'!$B$9="飛行機",S36,IF('条件入力ナビ'!$B$9="海・港",T36,IF('条件入力ナビ'!$B$9="工場夜景",U36,IF('条件入力ナビ'!$B$9="静かな場所",V36,IF('条件入力ナビ'!$B$9="Story",AH36,X36)))))*0.30+IF('条件入力ナビ'!$B$7="深夜",Q36,IF('条件入力ナビ'!$B$7="夜",P36,IF('条件入力ナビ'!$B$7="夕方",(P36+W36)/2,W36)))*0.20+IF('条件入力ナビ'!$B$8="雨",R36,IF('条件入力ナビ'!$B$8="小雨",(R36+X36)/2,IF('条件入力ナビ'!$B$8="強風",MAX(0,X36-AI36*8),X36)))*0.15+N36*2+IF('条件入力ナビ'!$B$11="確実性優先",N36*1.6,IF('条件入力ナビ'!$B$11="穴場優先",K36*1.6,(N36+K36)*0.8))+IF(AF36&lt;='条件入力ナビ'!$B$6,12,MAX(-30,-(AF36-'条件入力ナビ'!$B$6)*0.5))+IF('条件入力ナビ'!$B$10="歩きたくない",(6-AG36)*1.2,IF('条件入力ナビ'!$B$10="歩きたい",AG36*1.2,0))+IF('条件入力ナビ'!$B$13="許容",AL36*1.2,IF('条件入力ナビ'!$B$13="路上候補除外",IF(AL36&gt;0,-12,0),0)))))</x:f>
        <x:v>44</x:v>
      </x:c>
      <x:c r="AK36" s="22" t="n">
        <x:f>RANK.EQ(AJ36,$AJ$2:$AJ$94,0)+COUNTIF($AJ$2:AJ36,AJ36)-1</x:f>
        <x:v>44</x:v>
      </x:c>
      <x:c r="AL36" t="n">
        <x:v>0</x:v>
      </x:c>
      <x:c r="AM36" t="str">
        <x:v>-</x:v>
      </x:c>
    </x:row>
    <x:row r="37" ht="36" customHeight="1">
      <x:c r="A37" s="22" t="str">
        <x:v>D112</x:v>
      </x:c>
      <x:c r="B37" s="22" t="str">
        <x:v>県立三ツ池公園</x:v>
      </x:c>
      <x:c r="C37" s="22" t="str">
        <x:v>横浜市・鶴見区</x:v>
      </x:c>
      <x:c r="D37" s="22" t="str">
        <x:v>池・丘陵・大規模公園</x:v>
      </x:c>
      <x:c r="E37" s="22" t="str">
        <x:v>三つの池と丘陵があり、大田区から近いのに都市感を切れる。</x:v>
      </x:c>
      <x:c r="F37" s="22" t="str">
        <x:v>駐車場閉鎖時刻を当日確認。桜期は大混雑。</x:v>
      </x:c>
      <x:c r="G37" s="22" t="str">
        <x:v>10〜20km</x:v>
      </x:c>
      <x:c r="H37" s="22" t="str">
        <x:v>概ね10〜20km</x:v>
      </x:c>
      <x:c r="I37" s="22" t="str">
        <x:v>通常25〜50分</x:v>
      </x:c>
      <x:c r="J37" s="22" t="n">
        <x:v>3</x:v>
      </x:c>
      <x:c r="K37" s="22" t="n">
        <x:v>3</x:v>
      </x:c>
      <x:c r="L37" s="22" t="n">
        <x:v>1</x:v>
      </x:c>
      <x:c r="M37" s="22" t="n">
        <x:v>1</x:v>
      </x:c>
      <x:c r="N37" s="22" t="n">
        <x:v>2</x:v>
      </x:c>
      <x:c r="O37" s="22" t="n">
        <x:v>5</x:v>
      </x:c>
      <x:c r="P37" s="22" t="n">
        <x:v>64</x:v>
      </x:c>
      <x:c r="Q37" s="22" t="n">
        <x:v>63</x:v>
      </x:c>
      <x:c r="R37" s="22" t="n">
        <x:v>45</x:v>
      </x:c>
      <x:c r="S37" s="22" t="n">
        <x:v>43</x:v>
      </x:c>
      <x:c r="T37" s="22" t="n">
        <x:v>42</x:v>
      </x:c>
      <x:c r="U37" s="22" t="n">
        <x:v>40</x:v>
      </x:c>
      <x:c r="V37" s="22" t="n">
        <x:v>75</x:v>
      </x:c>
      <x:c r="W37" s="22" t="n">
        <x:v>49</x:v>
      </x:c>
      <x:c r="X37" s="22" t="n">
        <x:v>53</x:v>
      </x:c>
      <x:c r="Y37" s="22" t="str">
        <x:v>静かな場所／平日夜90分</x:v>
      </x:c>
      <x:c r="Z37" s="22" t="str">
        <x:v>出発前に閉場確認</x:v>
      </x:c>
      <x:c r="AA37" s="22" t="str">
        <x:v>用途限定で有効</x:v>
      </x:c>
      <x:c r="AB37" s="22" t="str">
        <x:v>多摩川浅間神社</x:v>
      </x:c>
      <x:c r="AC37" s="22" t="str">
        <x:v>多摩川六郷橋緑地／多摩川ガス橋緑地</x:v>
      </x:c>
      <x:c r="AD37" s="22" t="n">
        <x:v>50</x:v>
      </x:c>
      <x:c r="AE37" s="22" t="n">
        <x:v>60</x:v>
      </x:c>
      <x:c r="AF37" s="22" t="n">
        <x:v>160</x:v>
      </x:c>
      <x:c r="AG37" s="22" t="n">
        <x:v>4</x:v>
      </x:c>
      <x:c r="AH37" s="22" t="n">
        <x:v>45</x:v>
      </x:c>
      <x:c r="AI37" s="22" t="n">
        <x:v>2</x:v>
      </x:c>
      <x:c r="AJ37" s="22" t="n">
        <x:f>ROUND(MAX(0,MIN(100,IF('条件入力ナビ'!$B$9="飛行機",S37,IF('条件入力ナビ'!$B$9="海・港",T37,IF('条件入力ナビ'!$B$9="工場夜景",U37,IF('条件入力ナビ'!$B$9="静かな場所",V37,IF('条件入力ナビ'!$B$9="Story",AH37,X37)))))*0.30+IF('条件入力ナビ'!$B$7="深夜",Q37,IF('条件入力ナビ'!$B$7="夜",P37,IF('条件入力ナビ'!$B$7="夕方",(P37+W37)/2,W37)))*0.20+IF('条件入力ナビ'!$B$8="雨",R37,IF('条件入力ナビ'!$B$8="小雨",(R37+X37)/2,IF('条件入力ナビ'!$B$8="強風",MAX(0,X37-AI37*8),X37)))*0.15+N37*2+IF('条件入力ナビ'!$B$11="確実性優先",N37*1.6,IF('条件入力ナビ'!$B$11="穴場優先",K37*1.6,(N37+K37)*0.8))+IF(AF37&lt;='条件入力ナビ'!$B$6,12,MAX(-30,-(AF37-'条件入力ナビ'!$B$6)*0.5))+IF('条件入力ナビ'!$B$10="歩きたくない",(6-AG37)*1.2,IF('条件入力ナビ'!$B$10="歩きたい",AG37*1.2,0))+IF('条件入力ナビ'!$B$13="許容",AL37*1.2,IF('条件入力ナビ'!$B$13="路上候補除外",IF(AL37&gt;0,-12,0),0)))))</x:f>
        <x:v>24</x:v>
      </x:c>
      <x:c r="AK37" s="22" t="n">
        <x:f>RANK.EQ(AJ37,$AJ$2:$AJ$94,0)+COUNTIF($AJ$2:AJ37,AJ37)-1</x:f>
        <x:v>78</x:v>
      </x:c>
      <x:c r="AL37" t="n">
        <x:v>0</x:v>
      </x:c>
      <x:c r="AM37" t="str">
        <x:v>-</x:v>
      </x:c>
    </x:row>
    <x:row r="38" ht="36" customHeight="1">
      <x:c r="A38" s="22" t="str">
        <x:v>D116</x:v>
      </x:c>
      <x:c r="B38" s="22" t="str">
        <x:v>大師公園</x:v>
      </x:c>
      <x:c r="C38" s="22" t="str">
        <x:v>川崎市・川崎区</x:v>
      </x:c>
      <x:c r="D38" s="22" t="str">
        <x:v>大規模公園・Story・近距離</x:v>
      </x:c>
      <x:c r="E38" s="22" t="str">
        <x:v>川崎大師周辺の街並みと公園を組み合わせ、短距離のStory Layerとして使える。</x:v>
      </x:c>
      <x:c r="F38" s="22" t="str">
        <x:v>祭事日は道路規制と大混雑。路上駐車禁止。</x:v>
      </x:c>
      <x:c r="G38" s="22" t="str">
        <x:v>0〜10km</x:v>
      </x:c>
      <x:c r="H38" s="22" t="str">
        <x:v>概ね0〜10km</x:v>
      </x:c>
      <x:c r="I38" s="22" t="str">
        <x:v>通常10〜30分</x:v>
      </x:c>
      <x:c r="J38" s="22" t="n">
        <x:v>3</x:v>
      </x:c>
      <x:c r="K38" s="22" t="n">
        <x:v>3</x:v>
      </x:c>
      <x:c r="L38" s="22" t="n">
        <x:v>1</x:v>
      </x:c>
      <x:c r="M38" s="22" t="n">
        <x:v>1</x:v>
      </x:c>
      <x:c r="N38" s="22" t="n">
        <x:v>4</x:v>
      </x:c>
      <x:c r="O38" s="22" t="n">
        <x:v>5</x:v>
      </x:c>
      <x:c r="P38" s="22" t="n">
        <x:v>75</x:v>
      </x:c>
      <x:c r="Q38" s="22" t="n">
        <x:v>74</x:v>
      </x:c>
      <x:c r="R38" s="22" t="n">
        <x:v>56</x:v>
      </x:c>
      <x:c r="S38" s="22" t="n">
        <x:v>53</x:v>
      </x:c>
      <x:c r="T38" s="22" t="n">
        <x:v>51</x:v>
      </x:c>
      <x:c r="U38" s="22" t="n">
        <x:v>49</x:v>
      </x:c>
      <x:c r="V38" s="22" t="n">
        <x:v>85</x:v>
      </x:c>
      <x:c r="W38" s="22" t="n">
        <x:v>73</x:v>
      </x:c>
      <x:c r="X38" s="22" t="n">
        <x:v>66</x:v>
      </x:c>
      <x:c r="Y38" s="22" t="str">
        <x:v>静かな場所／平日夜90分</x:v>
      </x:c>
      <x:c r="Z38" s="22" t="str">
        <x:v>出発前に閉場確認</x:v>
      </x:c>
      <x:c r="AA38" s="22" t="str">
        <x:v>用途限定で有効</x:v>
      </x:c>
      <x:c r="AB38" s="22" t="str">
        <x:v>平和の森公園</x:v>
      </x:c>
      <x:c r="AC38" s="22" t="str">
        <x:v>大森ふるさとの浜辺公園／森ケ崎公園</x:v>
      </x:c>
      <x:c r="AD38" s="22" t="n">
        <x:v>30</x:v>
      </x:c>
      <x:c r="AE38" s="22" t="n">
        <x:v>60</x:v>
      </x:c>
      <x:c r="AF38" s="22" t="n">
        <x:v>120</x:v>
      </x:c>
      <x:c r="AG38" s="22" t="n">
        <x:v>3</x:v>
      </x:c>
      <x:c r="AH38" s="22" t="n">
        <x:v>80</x:v>
      </x:c>
      <x:c r="AI38" s="22" t="n">
        <x:v>2</x:v>
      </x:c>
      <x:c r="AJ38" s="22" t="n">
        <x:f>ROUND(MAX(0,MIN(100,IF('条件入力ナビ'!$B$9="飛行機",S38,IF('条件入力ナビ'!$B$9="海・港",T38,IF('条件入力ナビ'!$B$9="工場夜景",U38,IF('条件入力ナビ'!$B$9="静かな場所",V38,IF('条件入力ナビ'!$B$9="Story",AH38,X38)))))*0.30+IF('条件入力ナビ'!$B$7="深夜",Q38,IF('条件入力ナビ'!$B$7="夜",P38,IF('条件入力ナビ'!$B$7="夕方",(P38+W38)/2,W38)))*0.20+IF('条件入力ナビ'!$B$8="雨",R38,IF('条件入力ナビ'!$B$8="小雨",(R38+X38)/2,IF('条件入力ナビ'!$B$8="強風",MAX(0,X38-AI38*8),X38)))*0.15+N38*2+IF('条件入力ナビ'!$B$11="確実性優先",N38*1.6,IF('条件入力ナビ'!$B$11="穴場優先",K38*1.6,(N38+K38)*0.8))+IF(AF38&lt;='条件入力ナビ'!$B$6,12,MAX(-30,-(AF38-'条件入力ナビ'!$B$6)*0.5))+IF('条件入力ナビ'!$B$10="歩きたくない",(6-AG38)*1.2,IF('条件入力ナビ'!$B$10="歩きたい",AG38*1.2,0))+IF('条件入力ナビ'!$B$13="許容",AL38*1.2,IF('条件入力ナビ'!$B$13="路上候補除外",IF(AL38&gt;0,-12,0),0)))))</x:f>
        <x:v>71</x:v>
      </x:c>
      <x:c r="AK38" s="22" t="n">
        <x:f>RANK.EQ(AJ38,$AJ$2:$AJ$94,0)+COUNTIF($AJ$2:AJ38,AJ38)-1</x:f>
        <x:v>13</x:v>
      </x:c>
      <x:c r="AL38" t="n">
        <x:v>0</x:v>
      </x:c>
      <x:c r="AM38" t="str">
        <x:v>-</x:v>
      </x:c>
    </x:row>
    <x:row r="39" ht="36" customHeight="1">
      <x:c r="A39" s="22" t="str">
        <x:v>D117</x:v>
      </x:c>
      <x:c r="B39" s="22" t="str">
        <x:v>富士見公園</x:v>
      </x:c>
      <x:c r="C39" s="22" t="str">
        <x:v>川崎市・川崎区</x:v>
      </x:c>
      <x:c r="D39" s="22" t="str">
        <x:v>都市公園・スポーツ・夜間休憩</x:v>
      </x:c>
      <x:c r="E39" s="22" t="str">
        <x:v>川崎中心部で広い公園に切り替えられ、工場夜景前後の休憩地点になる。</x:v>
      </x:c>
      <x:c r="F39" s="22" t="str">
        <x:v>イベント・競技開催日は混雑。工事範囲確認。</x:v>
      </x:c>
      <x:c r="G39" s="22" t="str">
        <x:v>0〜10km</x:v>
      </x:c>
      <x:c r="H39" s="22" t="str">
        <x:v>概ね0〜10km</x:v>
      </x:c>
      <x:c r="I39" s="22" t="str">
        <x:v>通常10〜30分</x:v>
      </x:c>
      <x:c r="J39" s="22" t="n">
        <x:v>3</x:v>
      </x:c>
      <x:c r="K39" s="22" t="n">
        <x:v>3</x:v>
      </x:c>
      <x:c r="L39" s="22" t="n">
        <x:v>1</x:v>
      </x:c>
      <x:c r="M39" s="22" t="n">
        <x:v>1</x:v>
      </x:c>
      <x:c r="N39" s="22" t="n">
        <x:v>4</x:v>
      </x:c>
      <x:c r="O39" s="22" t="n">
        <x:v>1</x:v>
      </x:c>
      <x:c r="P39" s="22" t="n">
        <x:v>63</x:v>
      </x:c>
      <x:c r="Q39" s="22" t="n">
        <x:v>58</x:v>
      </x:c>
      <x:c r="R39" s="22" t="n">
        <x:v>48</x:v>
      </x:c>
      <x:c r="S39" s="22" t="n">
        <x:v>53</x:v>
      </x:c>
      <x:c r="T39" s="22" t="n">
        <x:v>51</x:v>
      </x:c>
      <x:c r="U39" s="22" t="n">
        <x:v>49</x:v>
      </x:c>
      <x:c r="V39" s="22" t="n">
        <x:v>85</x:v>
      </x:c>
      <x:c r="W39" s="22" t="n">
        <x:v>57</x:v>
      </x:c>
      <x:c r="X39" s="22" t="n">
        <x:v>58</x:v>
      </x:c>
      <x:c r="Y39" s="22" t="str">
        <x:v>静かな場所／平日夜90分</x:v>
      </x:c>
      <x:c r="Z39" s="22" t="str">
        <x:v>出発前に閉場確認</x:v>
      </x:c>
      <x:c r="AA39" s="22" t="str">
        <x:v>用途限定で有効</x:v>
      </x:c>
      <x:c r="AB39" s="22" t="str">
        <x:v>平和の森公園</x:v>
      </x:c>
      <x:c r="AC39" s="22" t="str">
        <x:v>大森ふるさとの浜辺公園／森ケ崎公園</x:v>
      </x:c>
      <x:c r="AD39" s="22" t="n">
        <x:v>30</x:v>
      </x:c>
      <x:c r="AE39" s="22" t="n">
        <x:v>60</x:v>
      </x:c>
      <x:c r="AF39" s="22" t="n">
        <x:v>120</x:v>
      </x:c>
      <x:c r="AG39" s="22" t="n">
        <x:v>3</x:v>
      </x:c>
      <x:c r="AH39" s="22" t="n">
        <x:v>45</x:v>
      </x:c>
      <x:c r="AI39" s="22" t="n">
        <x:v>2</x:v>
      </x:c>
      <x:c r="AJ39" s="22" t="n">
        <x:f>ROUND(MAX(0,MIN(100,IF('条件入力ナビ'!$B$9="飛行機",S39,IF('条件入力ナビ'!$B$9="海・港",T39,IF('条件入力ナビ'!$B$9="工場夜景",U39,IF('条件入力ナビ'!$B$9="静かな場所",V39,IF('条件入力ナビ'!$B$9="Story",AH39,X39)))))*0.30+IF('条件入力ナビ'!$B$7="深夜",Q39,IF('条件入力ナビ'!$B$7="夜",P39,IF('条件入力ナビ'!$B$7="夕方",(P39+W39)/2,W39)))*0.20+IF('条件入力ナビ'!$B$8="雨",R39,IF('条件入力ナビ'!$B$8="小雨",(R39+X39)/2,IF('条件入力ナビ'!$B$8="強風",MAX(0,X39-AI39*8),X39)))*0.15+N39*2+IF('条件入力ナビ'!$B$11="確実性優先",N39*1.6,IF('条件入力ナビ'!$B$11="穴場優先",K39*1.6,(N39+K39)*0.8))+IF(AF39&lt;='条件入力ナビ'!$B$6,12,MAX(-30,-(AF39-'条件入力ナビ'!$B$6)*0.5))+IF('条件入力ナビ'!$B$10="歩きたくない",(6-AG39)*1.2,IF('条件入力ナビ'!$B$10="歩きたい",AG39*1.2,0))+IF('条件入力ナビ'!$B$13="許容",AL39*1.2,IF('条件入力ナビ'!$B$13="路上候補除外",IF(AL39&gt;0,-12,0),0)))))</x:f>
        <x:v>65</x:v>
      </x:c>
      <x:c r="AK39" s="22" t="n">
        <x:f>RANK.EQ(AJ39,$AJ$2:$AJ$94,0)+COUNTIF($AJ$2:AJ39,AJ39)-1</x:f>
        <x:v>20</x:v>
      </x:c>
      <x:c r="AL39" t="n">
        <x:v>0</x:v>
      </x:c>
      <x:c r="AM39" t="str">
        <x:v>-</x:v>
      </x:c>
    </x:row>
    <x:row r="40" ht="36" customHeight="1">
      <x:c r="A40" s="22" t="str">
        <x:v>D118</x:v>
      </x:c>
      <x:c r="B40" s="22" t="str">
        <x:v>御幸公園</x:v>
      </x:c>
      <x:c r="C40" s="22" t="str">
        <x:v>川崎市・幸区</x:v>
      </x:c>
      <x:c r="D40" s="22" t="str">
        <x:v>多摩川・梅林・河川景観</x:v>
      </x:c>
      <x:c r="E40" s="22" t="str">
        <x:v>多摩川沿いの開放感と梅林があり、川崎北側の穏やかな昼Endingになる。</x:v>
      </x:c>
      <x:c r="F40" s="22" t="str">
        <x:v>専用駐車条件を当日確認。河川増水時は避ける。</x:v>
      </x:c>
      <x:c r="G40" s="22" t="str">
        <x:v>0〜10km</x:v>
      </x:c>
      <x:c r="H40" s="22" t="str">
        <x:v>概ね0〜10km</x:v>
      </x:c>
      <x:c r="I40" s="22" t="str">
        <x:v>通常10〜30分</x:v>
      </x:c>
      <x:c r="J40" s="22" t="n">
        <x:v>2</x:v>
      </x:c>
      <x:c r="K40" s="22" t="n">
        <x:v>4</x:v>
      </x:c>
      <x:c r="L40" s="22" t="n">
        <x:v>1</x:v>
      </x:c>
      <x:c r="M40" s="22" t="n">
        <x:v>1</x:v>
      </x:c>
      <x:c r="N40" s="22" t="n">
        <x:v>4</x:v>
      </x:c>
      <x:c r="O40" s="22" t="n">
        <x:v>1</x:v>
      </x:c>
      <x:c r="P40" s="22" t="n">
        <x:v>60</x:v>
      </x:c>
      <x:c r="Q40" s="22" t="n">
        <x:v>53</x:v>
      </x:c>
      <x:c r="R40" s="22" t="n">
        <x:v>50</x:v>
      </x:c>
      <x:c r="S40" s="22" t="n">
        <x:v>51</x:v>
      </x:c>
      <x:c r="T40" s="22" t="n">
        <x:v>76</x:v>
      </x:c>
      <x:c r="U40" s="22" t="n">
        <x:v>45</x:v>
      </x:c>
      <x:c r="V40" s="22" t="n">
        <x:v>59</x:v>
      </x:c>
      <x:c r="W40" s="22" t="n">
        <x:v>57</x:v>
      </x:c>
      <x:c r="X40" s="22" t="n">
        <x:v>57</x:v>
      </x:c>
      <x:c r="Y40" s="22" t="str">
        <x:v>海・港／平日夜90分</x:v>
      </x:c>
      <x:c r="Z40" s="22" t="str">
        <x:v>出発前に閉場確認</x:v>
      </x:c>
      <x:c r="AA40" s="22" t="str">
        <x:v>用途限定で有効</x:v>
      </x:c>
      <x:c r="AB40" s="22" t="str">
        <x:v>多摩川浅間神社</x:v>
      </x:c>
      <x:c r="AC40" s="22" t="str">
        <x:v>多摩川六郷橋緑地／多摩川ガス橋緑地</x:v>
      </x:c>
      <x:c r="AD40" s="22" t="n">
        <x:v>30</x:v>
      </x:c>
      <x:c r="AE40" s="22" t="n">
        <x:v>60</x:v>
      </x:c>
      <x:c r="AF40" s="22" t="n">
        <x:v>120</x:v>
      </x:c>
      <x:c r="AG40" s="22" t="n">
        <x:v>3</x:v>
      </x:c>
      <x:c r="AH40" s="22" t="n">
        <x:v>45</x:v>
      </x:c>
      <x:c r="AI40" s="22" t="n">
        <x:v>5</x:v>
      </x:c>
      <x:c r="AJ40" s="22" t="n">
        <x:f>ROUND(MAX(0,MIN(100,IF('条件入力ナビ'!$B$9="飛行機",S40,IF('条件入力ナビ'!$B$9="海・港",T40,IF('条件入力ナビ'!$B$9="工場夜景",U40,IF('条件入力ナビ'!$B$9="静かな場所",V40,IF('条件入力ナビ'!$B$9="Story",AH40,X40)))))*0.30+IF('条件入力ナビ'!$B$7="深夜",Q40,IF('条件入力ナビ'!$B$7="夜",P40,IF('条件入力ナビ'!$B$7="夕方",(P40+W40)/2,W40)))*0.20+IF('条件入力ナビ'!$B$8="雨",R40,IF('条件入力ナビ'!$B$8="小雨",(R40+X40)/2,IF('条件入力ナビ'!$B$8="強風",MAX(0,X40-AI40*8),X40)))*0.15+N40*2+IF('条件入力ナビ'!$B$11="確実性優先",N40*1.6,IF('条件入力ナビ'!$B$11="穴場優先",K40*1.6,(N40+K40)*0.8))+IF(AF40&lt;='条件入力ナビ'!$B$6,12,MAX(-30,-(AF40-'条件入力ナビ'!$B$6)*0.5))+IF('条件入力ナビ'!$B$10="歩きたくない",(6-AG40)*1.2,IF('条件入力ナビ'!$B$10="歩きたい",AG40*1.2,0))+IF('条件入力ナビ'!$B$13="許容",AL40*1.2,IF('条件入力ナビ'!$B$13="路上候補除外",IF(AL40&gt;0,-12,0),0)))))</x:f>
        <x:v>64</x:v>
      </x:c>
      <x:c r="AK40" s="22" t="n">
        <x:f>RANK.EQ(AJ40,$AJ$2:$AJ$94,0)+COUNTIF($AJ$2:AJ40,AJ40)-1</x:f>
        <x:v>22</x:v>
      </x:c>
      <x:c r="AL40" t="n">
        <x:v>0</x:v>
      </x:c>
      <x:c r="AM40" t="str">
        <x:v>-</x:v>
      </x:c>
    </x:row>
    <x:row r="41" ht="36" customHeight="1">
      <x:c r="A41" s="22" t="str">
        <x:v>D119</x:v>
      </x:c>
      <x:c r="B41" s="22" t="str">
        <x:v>殿町第2公園</x:v>
      </x:c>
      <x:c r="C41" s="22" t="str">
        <x:v>川崎市・川崎区</x:v>
      </x:c>
      <x:c r="D41" s="22" t="str">
        <x:v>飛行機・多摩川・小展望</x:v>
      </x:c>
      <x:c r="E41" s="22" t="str">
        <x:v>羽田空港、多摩川、橋を望む小規模公園で、近距離の航空機経由地として面白い。</x:v>
      </x:c>
      <x:c r="F41" s="22" t="str">
        <x:v>路上駐車前提では使用しない。経由地専用候補。</x:v>
      </x:c>
      <x:c r="G41" s="22" t="str">
        <x:v>0〜10km</x:v>
      </x:c>
      <x:c r="H41" s="22" t="str">
        <x:v>概ね0〜10km</x:v>
      </x:c>
      <x:c r="I41" s="22" t="str">
        <x:v>通常10〜30分</x:v>
      </x:c>
      <x:c r="J41" s="22" t="n">
        <x:v>2</x:v>
      </x:c>
      <x:c r="K41" s="22" t="n">
        <x:v>5</x:v>
      </x:c>
      <x:c r="L41" s="22" t="n">
        <x:v>2</x:v>
      </x:c>
      <x:c r="M41" s="22" t="n">
        <x:v>4</x:v>
      </x:c>
      <x:c r="N41" s="22" t="n">
        <x:v>1</x:v>
      </x:c>
      <x:c r="O41" s="22" t="n">
        <x:v>1</x:v>
      </x:c>
      <x:c r="P41" s="22" t="n">
        <x:v>59</x:v>
      </x:c>
      <x:c r="Q41" s="22" t="n">
        <x:v>48</x:v>
      </x:c>
      <x:c r="R41" s="22" t="n">
        <x:v>53</x:v>
      </x:c>
      <x:c r="S41" s="22" t="n">
        <x:v>77</x:v>
      </x:c>
      <x:c r="T41" s="22" t="n">
        <x:v>46</x:v>
      </x:c>
      <x:c r="U41" s="22" t="n">
        <x:v>42</x:v>
      </x:c>
      <x:c r="V41" s="22" t="n">
        <x:v>54</x:v>
      </x:c>
      <x:c r="W41" s="22" t="n">
        <x:v>51</x:v>
      </x:c>
      <x:c r="X41" s="22" t="n">
        <x:v>54</x:v>
      </x:c>
      <x:c r="Y41" s="22" t="str">
        <x:v>飛行機／平日夜90分</x:v>
      </x:c>
      <x:c r="Z41" s="22" t="str">
        <x:v>出発前に閉場確認</x:v>
      </x:c>
      <x:c r="AA41" s="22" t="str">
        <x:v>用途限定で有効</x:v>
      </x:c>
      <x:c r="AB41" s="22" t="str">
        <x:v>城南島海浜公園</x:v>
      </x:c>
      <x:c r="AC41" s="22" t="str">
        <x:v>京浜島つばさ公園／羽田空港 第3ターミナル展望デッキ</x:v>
      </x:c>
      <x:c r="AD41" s="22" t="n">
        <x:v>30</x:v>
      </x:c>
      <x:c r="AE41" s="22" t="n">
        <x:v>45</x:v>
      </x:c>
      <x:c r="AF41" s="22" t="n">
        <x:v>105</x:v>
      </x:c>
      <x:c r="AG41" s="22" t="n">
        <x:v>2</x:v>
      </x:c>
      <x:c r="AH41" s="22" t="n">
        <x:v>45</x:v>
      </x:c>
      <x:c r="AI41" s="22" t="n">
        <x:v>2</x:v>
      </x:c>
      <x:c r="AJ41" s="22" t="n">
        <x:f>ROUND(MAX(0,MIN(100,IF('条件入力ナビ'!$B$9="飛行機",S41,IF('条件入力ナビ'!$B$9="海・港",T41,IF('条件入力ナビ'!$B$9="工場夜景",U41,IF('条件入力ナビ'!$B$9="静かな場所",V41,IF('条件入力ナビ'!$B$9="Story",AH41,X41)))))*0.30+IF('条件入力ナビ'!$B$7="深夜",Q41,IF('条件入力ナビ'!$B$7="夜",P41,IF('条件入力ナビ'!$B$7="夕方",(P41+W41)/2,W41)))*0.20+IF('条件入力ナビ'!$B$8="雨",R41,IF('条件入力ナビ'!$B$8="小雨",(R41+X41)/2,IF('条件入力ナビ'!$B$8="強風",MAX(0,X41-AI41*8),X41)))*0.15+N41*2+IF('条件入力ナビ'!$B$11="確実性優先",N41*1.6,IF('条件入力ナビ'!$B$11="穴場優先",K41*1.6,(N41+K41)*0.8))+IF(AF41&lt;='条件入力ナビ'!$B$6,12,MAX(-30,-(AF41-'条件入力ナビ'!$B$6)*0.5))+IF('条件入力ナビ'!$B$10="歩きたくない",(6-AG41)*1.2,IF('条件入力ナビ'!$B$10="歩きたい",AG41*1.2,0))+IF('条件入力ナビ'!$B$13="許容",AL41*1.2,IF('条件入力ナビ'!$B$13="路上候補除外",IF(AL41&gt;0,-12,0),0)))))</x:f>
        <x:v>52</x:v>
      </x:c>
      <x:c r="AK41" s="22" t="n">
        <x:f>RANK.EQ(AJ41,$AJ$2:$AJ$94,0)+COUNTIF($AJ$2:AJ41,AJ41)-1</x:f>
        <x:v>34</x:v>
      </x:c>
      <x:c r="AL41" t="n">
        <x:v>0</x:v>
      </x:c>
      <x:c r="AM41" t="str">
        <x:v>-</x:v>
      </x:c>
    </x:row>
    <x:row r="42" ht="36" customHeight="1">
      <x:c r="A42" s="22" t="str">
        <x:v>D143</x:v>
      </x:c>
      <x:c r="B42" s="22" t="str">
        <x:v>桜ヶ丘公園 ゆうひの丘</x:v>
      </x:c>
      <x:c r="C42" s="22" t="str">
        <x:v>多摩市・連光寺</x:v>
      </x:c>
      <x:c r="D42" s="22" t="str">
        <x:v>高台・夕景・夜景</x:v>
      </x:c>
      <x:c r="E42" s="22" t="str">
        <x:v>多摩丘陵の高台から市街地の夕景を眺められ、短い徒歩で到達感が得られる。</x:v>
      </x:c>
      <x:c r="F42" s="22" t="str">
        <x:v>20時閉鎖。週末は満車時の公道待機禁止。住宅地のため静粛必須。</x:v>
      </x:c>
      <x:c r="G42" s="22" t="str">
        <x:v>20〜25km</x:v>
      </x:c>
      <x:c r="H42" s="22" t="str">
        <x:v>概ね20〜25km</x:v>
      </x:c>
      <x:c r="I42" s="22" t="str">
        <x:v>通常40〜70分</x:v>
      </x:c>
      <x:c r="J42" s="22" t="n">
        <x:v>4</x:v>
      </x:c>
      <x:c r="K42" s="22" t="n">
        <x:v>3</x:v>
      </x:c>
      <x:c r="L42" s="22" t="n">
        <x:v>1</x:v>
      </x:c>
      <x:c r="M42" s="22" t="n">
        <x:v>3</x:v>
      </x:c>
      <x:c r="N42" s="22" t="n">
        <x:v>4</x:v>
      </x:c>
      <x:c r="O42" s="22" t="n">
        <x:v>3</x:v>
      </x:c>
      <x:c r="P42" s="22" t="n">
        <x:v>68</x:v>
      </x:c>
      <x:c r="Q42" s="22" t="n">
        <x:v>70</x:v>
      </x:c>
      <x:c r="R42" s="22" t="n">
        <x:v>50</x:v>
      </x:c>
      <x:c r="S42" s="22" t="n">
        <x:v>52</x:v>
      </x:c>
      <x:c r="T42" s="22" t="n">
        <x:v>53</x:v>
      </x:c>
      <x:c r="U42" s="22" t="n">
        <x:v>51</x:v>
      </x:c>
      <x:c r="V42" s="22" t="n">
        <x:v>51</x:v>
      </x:c>
      <x:c r="W42" s="22" t="n">
        <x:v>55</x:v>
      </x:c>
      <x:c r="X42" s="22" t="n">
        <x:v>57</x:v>
      </x:c>
      <x:c r="Y42" s="22" t="str">
        <x:v>深夜2時間／平日夜90分</x:v>
      </x:c>
      <x:c r="Z42" s="22" t="str">
        <x:v>出発前に閉場確認</x:v>
      </x:c>
      <x:c r="AA42" s="22" t="str">
        <x:v>用途限定で有効</x:v>
      </x:c>
      <x:c r="AB42" s="22" t="str">
        <x:v>羽田空港 第3ターミナル展望デッキ</x:v>
      </x:c>
      <x:c r="AC42" s="22" t="str">
        <x:v>城南島海浜公園／潮風公園</x:v>
      </x:c>
      <x:c r="AD42" s="22" t="n">
        <x:v>70</x:v>
      </x:c>
      <x:c r="AE42" s="22" t="n">
        <x:v>45</x:v>
      </x:c>
      <x:c r="AF42" s="22" t="n">
        <x:v>185</x:v>
      </x:c>
      <x:c r="AG42" s="22" t="n">
        <x:v>2</x:v>
      </x:c>
      <x:c r="AH42" s="22" t="n">
        <x:v>45</x:v>
      </x:c>
      <x:c r="AI42" s="22" t="n">
        <x:v>5</x:v>
      </x:c>
      <x:c r="AJ42" s="22" t="n">
        <x:f>ROUND(MAX(0,MIN(100,IF('条件入力ナビ'!$B$9="飛行機",S42,IF('条件入力ナビ'!$B$9="海・港",T42,IF('条件入力ナビ'!$B$9="工場夜景",U42,IF('条件入力ナビ'!$B$9="静かな場所",V42,IF('条件入力ナビ'!$B$9="Story",AH42,X42)))))*0.30+IF('条件入力ナビ'!$B$7="深夜",Q42,IF('条件入力ナビ'!$B$7="夜",P42,IF('条件入力ナビ'!$B$7="夕方",(P42+W42)/2,W42)))*0.20+IF('条件入力ナビ'!$B$8="雨",R42,IF('条件入力ナビ'!$B$8="小雨",(R42+X42)/2,IF('条件入力ナビ'!$B$8="強風",MAX(0,X42-AI42*8),X42)))*0.15+N42*2+IF('条件入力ナビ'!$B$11="確実性優先",N42*1.6,IF('条件入力ナビ'!$B$11="穴場優先",K42*1.6,(N42+K42)*0.8))+IF(AF42&lt;='条件入力ナビ'!$B$6,12,MAX(-30,-(AF42-'条件入力ナビ'!$B$6)*0.5))+IF('条件入力ナビ'!$B$10="歩きたくない",(6-AG42)*1.2,IF('条件入力ナビ'!$B$10="歩きたい",AG42*1.2,0))+IF('条件入力ナビ'!$B$13="許容",AL42*1.2,IF('条件入力ナビ'!$B$13="路上候補除外",IF(AL42&gt;0,-12,0),0)))))</x:f>
        <x:v>24</x:v>
      </x:c>
      <x:c r="AK42" s="22" t="n">
        <x:f>RANK.EQ(AJ42,$AJ$2:$AJ$94,0)+COUNTIF($AJ$2:AJ42,AJ42)-1</x:f>
        <x:v>79</x:v>
      </x:c>
      <x:c r="AL42" t="n">
        <x:v>0</x:v>
      </x:c>
      <x:c r="AM42" t="str">
        <x:v>-</x:v>
      </x:c>
    </x:row>
    <x:row r="43" ht="36" customHeight="1">
      <x:c r="A43" s="22" t="str">
        <x:v>D144</x:v>
      </x:c>
      <x:c r="B43" s="22" t="str">
        <x:v>武蔵野の森公園</x:v>
      </x:c>
      <x:c r="C43" s="22" t="str">
        <x:v>府中市・調布市・三鷹市</x:v>
      </x:c>
      <x:c r="D43" s="22" t="str">
        <x:v>飛行機・広い空・24時間駐車</x:v>
      </x:c>
      <x:c r="E43" s="22" t="str">
        <x:v>調布飛行場に隣接し、小型機の離着陸と広い空を眺められる航空系の安定候補。</x:v>
      </x:c>
      <x:c r="F43" s="22" t="str">
        <x:v>夜間は北地区・南地区を結ぶプロムナードが閉鎖。飛行場側の明るい範囲を利用。</x:v>
      </x:c>
      <x:c r="G43" s="22" t="str">
        <x:v>20〜25km</x:v>
      </x:c>
      <x:c r="H43" s="22" t="str">
        <x:v>概ね20〜25km</x:v>
      </x:c>
      <x:c r="I43" s="22" t="str">
        <x:v>通常40〜70分</x:v>
      </x:c>
      <x:c r="J43" s="22" t="n">
        <x:v>5</x:v>
      </x:c>
      <x:c r="K43" s="22" t="n">
        <x:v>3</x:v>
      </x:c>
      <x:c r="L43" s="22" t="n">
        <x:v>2</x:v>
      </x:c>
      <x:c r="M43" s="22" t="n">
        <x:v>4</x:v>
      </x:c>
      <x:c r="N43" s="22" t="n">
        <x:v>2</x:v>
      </x:c>
      <x:c r="O43" s="22" t="n">
        <x:v>5</x:v>
      </x:c>
      <x:c r="P43" s="22" t="n">
        <x:v>75</x:v>
      </x:c>
      <x:c r="Q43" s="22" t="n">
        <x:v>78</x:v>
      </x:c>
      <x:c r="R43" s="22" t="n">
        <x:v>55</x:v>
      </x:c>
      <x:c r="S43" s="22" t="n">
        <x:v>79</x:v>
      </x:c>
      <x:c r="T43" s="22" t="n">
        <x:v>53</x:v>
      </x:c>
      <x:c r="U43" s="22" t="n">
        <x:v>51</x:v>
      </x:c>
      <x:c r="V43" s="22" t="n">
        <x:v>47</x:v>
      </x:c>
      <x:c r="W43" s="22" t="n">
        <x:v>52</x:v>
      </x:c>
      <x:c r="X43" s="22" t="n">
        <x:v>62</x:v>
      </x:c>
      <x:c r="Y43" s="22" t="str">
        <x:v>飛行機／深夜2時間</x:v>
      </x:c>
      <x:c r="Z43" s="22" t="str">
        <x:v>出発前に閉場確認</x:v>
      </x:c>
      <x:c r="AA43" s="22" t="str">
        <x:v>用途限定で有効</x:v>
      </x:c>
      <x:c r="AB43" s="22" t="str">
        <x:v>城南島海浜公園</x:v>
      </x:c>
      <x:c r="AC43" s="22" t="str">
        <x:v>京浜島つばさ公園／羽田空港 第3ターミナル展望デッキ</x:v>
      </x:c>
      <x:c r="AD43" s="22" t="n">
        <x:v>70</x:v>
      </x:c>
      <x:c r="AE43" s="22" t="n">
        <x:v>45</x:v>
      </x:c>
      <x:c r="AF43" s="22" t="n">
        <x:v>185</x:v>
      </x:c>
      <x:c r="AG43" s="22" t="n">
        <x:v>2</x:v>
      </x:c>
      <x:c r="AH43" s="22" t="n">
        <x:v>45</x:v>
      </x:c>
      <x:c r="AI43" s="22" t="n">
        <x:v>2</x:v>
      </x:c>
      <x:c r="AJ43" s="22" t="n">
        <x:f>ROUND(MAX(0,MIN(100,IF('条件入力ナビ'!$B$9="飛行機",S43,IF('条件入力ナビ'!$B$9="海・港",T43,IF('条件入力ナビ'!$B$9="工場夜景",U43,IF('条件入力ナビ'!$B$9="静かな場所",V43,IF('条件入力ナビ'!$B$9="Story",AH43,X43)))))*0.30+IF('条件入力ナビ'!$B$7="深夜",Q43,IF('条件入力ナビ'!$B$7="夜",P43,IF('条件入力ナビ'!$B$7="夕方",(P43+W43)/2,W43)))*0.20+IF('条件入力ナビ'!$B$8="雨",R43,IF('条件入力ナビ'!$B$8="小雨",(R43+X43)/2,IF('条件入力ナビ'!$B$8="強風",MAX(0,X43-AI43*8),X43)))*0.15+N43*2+IF('条件入力ナビ'!$B$11="確実性優先",N43*1.6,IF('条件入力ナビ'!$B$11="穴場優先",K43*1.6,(N43+K43)*0.8))+IF(AF43&lt;='条件入力ナビ'!$B$6,12,MAX(-30,-(AF43-'条件入力ナビ'!$B$6)*0.5))+IF('条件入力ナビ'!$B$10="歩きたくない",(6-AG43)*1.2,IF('条件入力ナビ'!$B$10="歩きたい",AG43*1.2,0))+IF('条件入力ナビ'!$B$13="許容",AL43*1.2,IF('条件入力ナビ'!$B$13="路上候補除外",IF(AL43&gt;0,-12,0),0)))))</x:f>
        <x:v>20</x:v>
      </x:c>
      <x:c r="AK43" s="22" t="n">
        <x:f>RANK.EQ(AJ43,$AJ$2:$AJ$94,0)+COUNTIF($AJ$2:AJ43,AJ43)-1</x:f>
        <x:v>88</x:v>
      </x:c>
      <x:c r="AL43" t="n">
        <x:v>0</x:v>
      </x:c>
      <x:c r="AM43" t="str">
        <x:v>-</x:v>
      </x:c>
    </x:row>
    <x:row r="44" ht="36" customHeight="1">
      <x:c r="A44" s="22" t="str">
        <x:v>D145</x:v>
      </x:c>
      <x:c r="B44" s="22" t="str">
        <x:v>駒沢オリンピック公園</x:v>
      </x:c>
      <x:c r="C44" s="22" t="str">
        <x:v>世田谷区・駒沢</x:v>
      </x:c>
      <x:c r="D44" s="22" t="str">
        <x:v>オリンピック・建築・24時間駐車</x:v>
      </x:c>
      <x:c r="E44" s="22" t="str">
        <x:v>1964年東京大会の競技施設群を夜間でも眺められ、建築と都市史のStory Layerが強い。</x:v>
      </x:c>
      <x:c r="F44" s="22" t="str">
        <x:v>大会・イベント日は混雑。第一駐車場は工事による一部閉鎖情報を確認。</x:v>
      </x:c>
      <x:c r="G44" s="22" t="str">
        <x:v>10〜20km</x:v>
      </x:c>
      <x:c r="H44" s="22" t="str">
        <x:v>概ね10〜20km</x:v>
      </x:c>
      <x:c r="I44" s="22" t="str">
        <x:v>通常25〜50分</x:v>
      </x:c>
      <x:c r="J44" s="22" t="n">
        <x:v>4</x:v>
      </x:c>
      <x:c r="K44" s="22" t="n">
        <x:v>2</x:v>
      </x:c>
      <x:c r="L44" s="22" t="n">
        <x:v>2</x:v>
      </x:c>
      <x:c r="M44" s="22" t="n">
        <x:v>1</x:v>
      </x:c>
      <x:c r="N44" s="22" t="n">
        <x:v>4</x:v>
      </x:c>
      <x:c r="O44" s="22" t="n">
        <x:v>5</x:v>
      </x:c>
      <x:c r="P44" s="22" t="n">
        <x:v>73</x:v>
      </x:c>
      <x:c r="Q44" s="22" t="n">
        <x:v>76</x:v>
      </x:c>
      <x:c r="R44" s="22" t="n">
        <x:v>58</x:v>
      </x:c>
      <x:c r="S44" s="22" t="n">
        <x:v>51</x:v>
      </x:c>
      <x:c r="T44" s="22" t="n">
        <x:v>51</x:v>
      </x:c>
      <x:c r="U44" s="22" t="n">
        <x:v>50</x:v>
      </x:c>
      <x:c r="V44" s="22" t="n">
        <x:v>51</x:v>
      </x:c>
      <x:c r="W44" s="22" t="n">
        <x:v>72</x:v>
      </x:c>
      <x:c r="X44" s="22" t="n">
        <x:v>62</x:v>
      </x:c>
      <x:c r="Y44" s="22" t="str">
        <x:v>深夜2時間／平日夜90分</x:v>
      </x:c>
      <x:c r="Z44" s="22" t="str">
        <x:v>出発前に閉場確認</x:v>
      </x:c>
      <x:c r="AA44" s="22" t="str">
        <x:v>用途限定で有効</x:v>
      </x:c>
      <x:c r="AB44" s="22" t="str">
        <x:v>羽田空港 第3ターミナル展望デッキ</x:v>
      </x:c>
      <x:c r="AC44" s="22" t="str">
        <x:v>城南島海浜公園／潮風公園</x:v>
      </x:c>
      <x:c r="AD44" s="22" t="n">
        <x:v>50</x:v>
      </x:c>
      <x:c r="AE44" s="22" t="n">
        <x:v>45</x:v>
      </x:c>
      <x:c r="AF44" s="22" t="n">
        <x:v>145</x:v>
      </x:c>
      <x:c r="AG44" s="22" t="n">
        <x:v>3</x:v>
      </x:c>
      <x:c r="AH44" s="22" t="n">
        <x:v>80</x:v>
      </x:c>
      <x:c r="AI44" s="22" t="n">
        <x:v>2</x:v>
      </x:c>
      <x:c r="AJ44" s="22" t="n">
        <x:f>ROUND(MAX(0,MIN(100,IF('条件入力ナビ'!$B$9="飛行機",S44,IF('条件入力ナビ'!$B$9="海・港",T44,IF('条件入力ナビ'!$B$9="工場夜景",U44,IF('条件入力ナビ'!$B$9="静かな場所",V44,IF('条件入力ナビ'!$B$9="Story",AH44,X44)))))*0.30+IF('条件入力ナビ'!$B$7="深夜",Q44,IF('条件入力ナビ'!$B$7="夜",P44,IF('条件入力ナビ'!$B$7="夕方",(P44+W44)/2,W44)))*0.20+IF('条件入力ナビ'!$B$8="雨",R44,IF('条件入力ナビ'!$B$8="小雨",(R44+X44)/2,IF('条件入力ナビ'!$B$8="強風",MAX(0,X44-AI44*8),X44)))*0.15+N44*2+IF('条件入力ナビ'!$B$11="確実性優先",N44*1.6,IF('条件入力ナビ'!$B$11="穴場優先",K44*1.6,(N44+K44)*0.8))+IF(AF44&lt;='条件入力ナビ'!$B$6,12,MAX(-30,-(AF44-'条件入力ナビ'!$B$6)*0.5))+IF('条件入力ナビ'!$B$10="歩きたくない",(6-AG44)*1.2,IF('条件入力ナビ'!$B$10="歩きたい",AG44*1.2,0))+IF('条件入力ナビ'!$B$13="許容",AL44*1.2,IF('条件入力ナビ'!$B$13="路上候補除外",IF(AL44&gt;0,-12,0),0)))))</x:f>
        <x:v>44</x:v>
      </x:c>
      <x:c r="AK44" s="22" t="n">
        <x:f>RANK.EQ(AJ44,$AJ$2:$AJ$94,0)+COUNTIF($AJ$2:AJ44,AJ44)-1</x:f>
        <x:v>45</x:v>
      </x:c>
      <x:c r="AL44" t="n">
        <x:v>0</x:v>
      </x:c>
      <x:c r="AM44" t="str">
        <x:v>-</x:v>
      </x:c>
    </x:row>
    <x:row r="45" ht="36" customHeight="1">
      <x:c r="A45" s="22" t="str">
        <x:v>D146</x:v>
      </x:c>
      <x:c r="B45" s="22" t="str">
        <x:v>東扇島西公園</x:v>
      </x:c>
      <x:c r="C45" s="22" t="str">
        <x:v>川崎市・東扇島</x:v>
      </x:c>
      <x:c r="D45" s="22" t="str">
        <x:v>港・行き止まり・釣り</x:v>
      </x:c>
      <x:c r="E45" s="22" t="str">
        <x:v>東扇島の西端まで走り切り、東京湾・船舶・工業港湾を眺める行き止まり型Ending。</x:v>
      </x:c>
      <x:c r="F45" s="22" t="str">
        <x:v>土日祝・釣り時間帯は混雑。路上駐車・アイドリング禁止。臨時閉鎖を当日確認。</x:v>
      </x:c>
      <x:c r="G45" s="22" t="str">
        <x:v>10〜20km</x:v>
      </x:c>
      <x:c r="H45" s="22" t="str">
        <x:v>概ね10〜20km</x:v>
      </x:c>
      <x:c r="I45" s="22" t="str">
        <x:v>通常25〜50分</x:v>
      </x:c>
      <x:c r="J45" s="22" t="n">
        <x:v>5</x:v>
      </x:c>
      <x:c r="K45" s="22" t="n">
        <x:v>4</x:v>
      </x:c>
      <x:c r="L45" s="22" t="n">
        <x:v>2</x:v>
      </x:c>
      <x:c r="M45" s="22" t="n">
        <x:v>3</x:v>
      </x:c>
      <x:c r="N45" s="22" t="n">
        <x:v>5</x:v>
      </x:c>
      <x:c r="O45" s="22" t="n">
        <x:v>5</x:v>
      </x:c>
      <x:c r="P45" s="22" t="n">
        <x:v>89</x:v>
      </x:c>
      <x:c r="Q45" s="22" t="n">
        <x:v>92</x:v>
      </x:c>
      <x:c r="R45" s="22" t="n">
        <x:v>70</x:v>
      </x:c>
      <x:c r="S45" s="22" t="n">
        <x:v>63</x:v>
      </x:c>
      <x:c r="T45" s="22" t="n">
        <x:v>92</x:v>
      </x:c>
      <x:c r="U45" s="22" t="n">
        <x:v>61</x:v>
      </x:c>
      <x:c r="V45" s="22" t="n">
        <x:v>64</x:v>
      </x:c>
      <x:c r="W45" s="22" t="n">
        <x:v>65</x:v>
      </x:c>
      <x:c r="X45" s="22" t="n">
        <x:v>76</x:v>
      </x:c>
      <x:c r="Y45" s="22" t="str">
        <x:v>深夜2時間／海・港</x:v>
      </x:c>
      <x:c r="Z45" s="22" t="str">
        <x:v>出発前に閉場確認</x:v>
      </x:c>
      <x:c r="AA45" s="22" t="str">
        <x:v>条件が合えば有力</x:v>
      </x:c>
      <x:c r="AB45" s="22" t="str">
        <x:v>城南島海浜公園</x:v>
      </x:c>
      <x:c r="AC45" s="22" t="str">
        <x:v>潮風公園／晴海ふ頭公園</x:v>
      </x:c>
      <x:c r="AD45" s="22" t="n">
        <x:v>50</x:v>
      </x:c>
      <x:c r="AE45" s="22" t="n">
        <x:v>60</x:v>
      </x:c>
      <x:c r="AF45" s="22" t="n">
        <x:v>160</x:v>
      </x:c>
      <x:c r="AG45" s="22" t="n">
        <x:v>2</x:v>
      </x:c>
      <x:c r="AH45" s="22" t="n">
        <x:v>45</x:v>
      </x:c>
      <x:c r="AI45" s="22" t="n">
        <x:v>5</x:v>
      </x:c>
      <x:c r="AJ45" s="22" t="n">
        <x:f>ROUND(MAX(0,MIN(100,IF('条件入力ナビ'!$B$9="飛行機",S45,IF('条件入力ナビ'!$B$9="海・港",T45,IF('条件入力ナビ'!$B$9="工場夜景",U45,IF('条件入力ナビ'!$B$9="静かな場所",V45,IF('条件入力ナビ'!$B$9="Story",AH45,X45)))))*0.30+IF('条件入力ナビ'!$B$7="深夜",Q45,IF('条件入力ナビ'!$B$7="夜",P45,IF('条件入力ナビ'!$B$7="夕方",(P45+W45)/2,W45)))*0.20+IF('条件入力ナビ'!$B$8="雨",R45,IF('条件入力ナビ'!$B$8="小雨",(R45+X45)/2,IF('条件入力ナビ'!$B$8="強風",MAX(0,X45-AI45*8),X45)))*0.15+N45*2+IF('条件入力ナビ'!$B$11="確実性優先",N45*1.6,IF('条件入力ナビ'!$B$11="穴場優先",K45*1.6,(N45+K45)*0.8))+IF(AF45&lt;='条件入力ナビ'!$B$6,12,MAX(-30,-(AF45-'条件入力ナビ'!$B$6)*0.5))+IF('条件入力ナビ'!$B$10="歩きたくない",(6-AG45)*1.2,IF('条件入力ナビ'!$B$10="歩きたい",AG45*1.2,0))+IF('条件入力ナビ'!$B$13="許容",AL45*1.2,IF('条件入力ナビ'!$B$13="路上候補除外",IF(AL45&gt;0,-12,0),0)))))</x:f>
        <x:v>50</x:v>
      </x:c>
      <x:c r="AK45" s="22" t="n">
        <x:f>RANK.EQ(AJ45,$AJ$2:$AJ$94,0)+COUNTIF($AJ$2:AJ45,AJ45)-1</x:f>
        <x:v>38</x:v>
      </x:c>
      <x:c r="AL45" t="n">
        <x:v>0</x:v>
      </x:c>
      <x:c r="AM45" t="str">
        <x:v>-</x:v>
      </x:c>
    </x:row>
    <x:row r="46" ht="36" customHeight="1">
      <x:c r="A46" s="22" t="str">
        <x:v>D147</x:v>
      </x:c>
      <x:c r="B46" s="22" t="str">
        <x:v>北八朔公園</x:v>
      </x:c>
      <x:c r="C46" s="22" t="str">
        <x:v>横浜市・緑区</x:v>
      </x:c>
      <x:c r="D46" s="22" t="str">
        <x:v>谷戸・里山・風致公園</x:v>
      </x:c>
      <x:c r="E46" s="22" t="str">
        <x:v>谷戸地形と樹林が残る横浜北部の静かな公園で、都市部から自然へ切り替える経由地になる。</x:v>
      </x:c>
      <x:c r="F46" s="22" t="str">
        <x:v>夜間は暗い。主要園路のみ利用し、自然保護区域へ入らない。</x:v>
      </x:c>
      <x:c r="G46" s="22" t="str">
        <x:v>20〜25km</x:v>
      </x:c>
      <x:c r="H46" s="22" t="str">
        <x:v>概ね20〜25km</x:v>
      </x:c>
      <x:c r="I46" s="22" t="str">
        <x:v>通常40〜70分</x:v>
      </x:c>
      <x:c r="J46" s="22" t="n">
        <x:v>3</x:v>
      </x:c>
      <x:c r="K46" s="22" t="n">
        <x:v>4</x:v>
      </x:c>
      <x:c r="L46" s="22" t="n">
        <x:v>1</x:v>
      </x:c>
      <x:c r="M46" s="22" t="n">
        <x:v>1</x:v>
      </x:c>
      <x:c r="N46" s="22" t="n">
        <x:v>4</x:v>
      </x:c>
      <x:c r="O46" s="22" t="n">
        <x:v>5</x:v>
      </x:c>
      <x:c r="P46" s="22" t="n">
        <x:v>67</x:v>
      </x:c>
      <x:c r="Q46" s="22" t="n">
        <x:v>69</x:v>
      </x:c>
      <x:c r="R46" s="22" t="n">
        <x:v>52</x:v>
      </x:c>
      <x:c r="S46" s="22" t="n">
        <x:v>46</x:v>
      </x:c>
      <x:c r="T46" s="22" t="n">
        <x:v>46</x:v>
      </x:c>
      <x:c r="U46" s="22" t="n">
        <x:v>43</x:v>
      </x:c>
      <x:c r="V46" s="22" t="n">
        <x:v>81</x:v>
      </x:c>
      <x:c r="W46" s="22" t="n">
        <x:v>55</x:v>
      </x:c>
      <x:c r="X46" s="22" t="n">
        <x:v>58</x:v>
      </x:c>
      <x:c r="Y46" s="22" t="str">
        <x:v>静かな場所／深夜2時間</x:v>
      </x:c>
      <x:c r="Z46" s="22" t="str">
        <x:v>出発前に閉場確認</x:v>
      </x:c>
      <x:c r="AA46" s="22" t="str">
        <x:v>用途限定で有効</x:v>
      </x:c>
      <x:c r="AB46" s="22" t="str">
        <x:v>平和の森公園</x:v>
      </x:c>
      <x:c r="AC46" s="22" t="str">
        <x:v>大森ふるさとの浜辺公園／森ケ崎公園</x:v>
      </x:c>
      <x:c r="AD46" s="22" t="n">
        <x:v>70</x:v>
      </x:c>
      <x:c r="AE46" s="22" t="n">
        <x:v>60</x:v>
      </x:c>
      <x:c r="AF46" s="22" t="n">
        <x:v>200</x:v>
      </x:c>
      <x:c r="AG46" s="22" t="n">
        <x:v>3</x:v>
      </x:c>
      <x:c r="AH46" s="22" t="n">
        <x:v>45</x:v>
      </x:c>
      <x:c r="AI46" s="22" t="n">
        <x:v>2</x:v>
      </x:c>
      <x:c r="AJ46" s="22" t="n">
        <x:f>ROUND(MAX(0,MIN(100,IF('条件入力ナビ'!$B$9="飛行機",S46,IF('条件入力ナビ'!$B$9="海・港",T46,IF('条件入力ナビ'!$B$9="工場夜景",U46,IF('条件入力ナビ'!$B$9="静かな場所",V46,IF('条件入力ナビ'!$B$9="Story",AH46,X46)))))*0.30+IF('条件入力ナビ'!$B$7="深夜",Q46,IF('条件入力ナビ'!$B$7="夜",P46,IF('条件入力ナビ'!$B$7="夕方",(P46+W46)/2,W46)))*0.20+IF('条件入力ナビ'!$B$8="雨",R46,IF('条件入力ナビ'!$B$8="小雨",(R46+X46)/2,IF('条件入力ナビ'!$B$8="強風",MAX(0,X46-AI46*8),X46)))*0.15+N46*2+IF('条件入力ナビ'!$B$11="確実性優先",N46*1.6,IF('条件入力ナビ'!$B$11="穴場優先",K46*1.6,(N46+K46)*0.8))+IF(AF46&lt;='条件入力ナビ'!$B$6,12,MAX(-30,-(AF46-'条件入力ナビ'!$B$6)*0.5))+IF('条件入力ナビ'!$B$10="歩きたくない",(6-AG46)*1.2,IF('条件入力ナビ'!$B$10="歩きたい",AG46*1.2,0))+IF('条件入力ナビ'!$B$13="許容",AL46*1.2,IF('条件入力ナビ'!$B$13="路上候補除外",IF(AL46&gt;0,-12,0),0)))))</x:f>
        <x:v>24</x:v>
      </x:c>
      <x:c r="AK46" s="22" t="n">
        <x:f>RANK.EQ(AJ46,$AJ$2:$AJ$94,0)+COUNTIF($AJ$2:AJ46,AJ46)-1</x:f>
        <x:v>80</x:v>
      </x:c>
      <x:c r="AL46" t="n">
        <x:v>0</x:v>
      </x:c>
      <x:c r="AM46" t="str">
        <x:v>-</x:v>
      </x:c>
    </x:row>
    <x:row r="47" ht="36" customHeight="1">
      <x:c r="A47" s="22" t="str">
        <x:v>D152</x:v>
      </x:c>
      <x:c r="B47" s="22" t="str">
        <x:v>府中の森公園</x:v>
      </x:c>
      <x:c r="C47" s="22" t="str">
        <x:v>府中市・浅間町</x:v>
      </x:c>
      <x:c r="D47" s="22" t="str">
        <x:v>並木・文化施設・24時間駐車</x:v>
      </x:c>
      <x:c r="E47" s="22" t="str">
        <x:v>整った並木と文化施設があり、西東京の夜間休憩地点として安定する。</x:v>
      </x:c>
      <x:c r="F47" s="22" t="str">
        <x:v>イベント時は駐車場混雑。住宅地に近いため夜間は静粛に利用。</x:v>
      </x:c>
      <x:c r="G47" s="22" t="str">
        <x:v>20〜25km</x:v>
      </x:c>
      <x:c r="H47" s="22" t="str">
        <x:v>概ね20〜25km</x:v>
      </x:c>
      <x:c r="I47" s="22" t="str">
        <x:v>通常40〜70分</x:v>
      </x:c>
      <x:c r="J47" s="22" t="n">
        <x:v>4</x:v>
      </x:c>
      <x:c r="K47" s="22" t="n">
        <x:v>3</x:v>
      </x:c>
      <x:c r="L47" s="22" t="n">
        <x:v>2</x:v>
      </x:c>
      <x:c r="M47" s="22" t="n">
        <x:v>1</x:v>
      </x:c>
      <x:c r="N47" s="22" t="n">
        <x:v>5</x:v>
      </x:c>
      <x:c r="O47" s="22" t="n">
        <x:v>5</x:v>
      </x:c>
      <x:c r="P47" s="22" t="n">
        <x:v>73</x:v>
      </x:c>
      <x:c r="Q47" s="22" t="n">
        <x:v>78</x:v>
      </x:c>
      <x:c r="R47" s="22" t="n">
        <x:v>61</x:v>
      </x:c>
      <x:c r="S47" s="22" t="n">
        <x:v>51</x:v>
      </x:c>
      <x:c r="T47" s="22" t="n">
        <x:v>52</x:v>
      </x:c>
      <x:c r="U47" s="22" t="n">
        <x:v>50</x:v>
      </x:c>
      <x:c r="V47" s="22" t="n">
        <x:v>54</x:v>
      </x:c>
      <x:c r="W47" s="22" t="n">
        <x:v>59</x:v>
      </x:c>
      <x:c r="X47" s="22" t="n">
        <x:v>61</x:v>
      </x:c>
      <x:c r="Y47" s="22" t="str">
        <x:v>深夜2時間／平日夜90分</x:v>
      </x:c>
      <x:c r="Z47" s="22" t="str">
        <x:v>出発前に閉場確認</x:v>
      </x:c>
      <x:c r="AA47" s="22" t="str">
        <x:v>用途限定で有効</x:v>
      </x:c>
      <x:c r="AB47" s="22" t="str">
        <x:v>羽田空港 第3ターミナル展望デッキ</x:v>
      </x:c>
      <x:c r="AC47" s="22" t="str">
        <x:v>城南島海浜公園／潮風公園</x:v>
      </x:c>
      <x:c r="AD47" s="22" t="n">
        <x:v>70</x:v>
      </x:c>
      <x:c r="AE47" s="22" t="n">
        <x:v>45</x:v>
      </x:c>
      <x:c r="AF47" s="22" t="n">
        <x:v>185</x:v>
      </x:c>
      <x:c r="AG47" s="22" t="n">
        <x:v>3</x:v>
      </x:c>
      <x:c r="AH47" s="22" t="n">
        <x:v>45</x:v>
      </x:c>
      <x:c r="AI47" s="22" t="n">
        <x:v>2</x:v>
      </x:c>
      <x:c r="AJ47" s="22" t="n">
        <x:f>ROUND(MAX(0,MIN(100,IF('条件入力ナビ'!$B$9="飛行機",S47,IF('条件入力ナビ'!$B$9="海・港",T47,IF('条件入力ナビ'!$B$9="工場夜景",U47,IF('条件入力ナビ'!$B$9="静かな場所",V47,IF('条件入力ナビ'!$B$9="Story",AH47,X47)))))*0.30+IF('条件入力ナビ'!$B$7="深夜",Q47,IF('条件入力ナビ'!$B$7="夜",P47,IF('条件入力ナビ'!$B$7="夕方",(P47+W47)/2,W47)))*0.20+IF('条件入力ナビ'!$B$8="雨",R47,IF('条件入力ナビ'!$B$8="小雨",(R47+X47)/2,IF('条件入力ナビ'!$B$8="強風",MAX(0,X47-AI47*8),X47)))*0.15+N47*2+IF('条件入力ナビ'!$B$11="確実性優先",N47*1.6,IF('条件入力ナビ'!$B$11="穴場優先",K47*1.6,(N47+K47)*0.8))+IF(AF47&lt;='条件入力ナビ'!$B$6,12,MAX(-30,-(AF47-'条件入力ナビ'!$B$6)*0.5))+IF('条件入力ナビ'!$B$10="歩きたくない",(6-AG47)*1.2,IF('条件入力ナビ'!$B$10="歩きたい",AG47*1.2,0))+IF('条件入力ナビ'!$B$13="許容",AL47*1.2,IF('条件入力ナビ'!$B$13="路上候補除外",IF(AL47&gt;0,-12,0),0)))))</x:f>
        <x:v>30</x:v>
      </x:c>
      <x:c r="AK47" s="22" t="n">
        <x:f>RANK.EQ(AJ47,$AJ$2:$AJ$94,0)+COUNTIF($AJ$2:AJ47,AJ47)-1</x:f>
        <x:v>64</x:v>
      </x:c>
      <x:c r="AL47" t="n">
        <x:v>0</x:v>
      </x:c>
      <x:c r="AM47" t="str">
        <x:v>-</x:v>
      </x:c>
    </x:row>
    <x:row r="48" ht="36" customHeight="1">
      <x:c r="A48" s="22" t="str">
        <x:v>D154</x:v>
      </x:c>
      <x:c r="B48" s="22" t="str">
        <x:v>神代植物公園・深大寺</x:v>
      </x:c>
      <x:c r="C48" s="22" t="str">
        <x:v>調布市・深大寺</x:v>
      </x:c>
      <x:c r="D48" s="22" t="str">
        <x:v>植物園・寺社・Story</x:v>
      </x:c>
      <x:c r="E48" s="22" t="str">
        <x:v>植物園と深大寺の門前町を組み合わせられ、季節景観と歴史を一度に楽しめる。</x:v>
      </x:c>
      <x:c r="F48" s="22" t="str">
        <x:v>植物園閉園後は深大寺周辺散策のみ。行楽期は満車。</x:v>
      </x:c>
      <x:c r="G48" s="22" t="str">
        <x:v>20〜25km</x:v>
      </x:c>
      <x:c r="H48" s="22" t="str">
        <x:v>概ね20〜25km</x:v>
      </x:c>
      <x:c r="I48" s="22" t="str">
        <x:v>通常40〜70分</x:v>
      </x:c>
      <x:c r="J48" s="22" t="n">
        <x:v>3</x:v>
      </x:c>
      <x:c r="K48" s="22" t="n">
        <x:v>2</x:v>
      </x:c>
      <x:c r="L48" s="22" t="n">
        <x:v>2</x:v>
      </x:c>
      <x:c r="M48" s="22" t="n">
        <x:v>1</x:v>
      </x:c>
      <x:c r="N48" s="22" t="n">
        <x:v>4</x:v>
      </x:c>
      <x:c r="O48" s="22" t="n">
        <x:v>5</x:v>
      </x:c>
      <x:c r="P48" s="22" t="n">
        <x:v>63</x:v>
      </x:c>
      <x:c r="Q48" s="22" t="n">
        <x:v>67</x:v>
      </x:c>
      <x:c r="R48" s="22" t="n">
        <x:v>55</x:v>
      </x:c>
      <x:c r="S48" s="22" t="n">
        <x:v>44</x:v>
      </x:c>
      <x:c r="T48" s="22" t="n">
        <x:v>44</x:v>
      </x:c>
      <x:c r="U48" s="22" t="n">
        <x:v>43</x:v>
      </x:c>
      <x:c r="V48" s="22" t="n">
        <x:v>45</x:v>
      </x:c>
      <x:c r="W48" s="22" t="n">
        <x:v>80</x:v>
      </x:c>
      <x:c r="X48" s="22" t="n">
        <x:v>57</x:v>
      </x:c>
      <x:c r="Y48" s="22" t="str">
        <x:v>休日半日／深夜2時間</x:v>
      </x:c>
      <x:c r="Z48" s="22" t="str">
        <x:v>出発前に閉場確認</x:v>
      </x:c>
      <x:c r="AA48" s="22" t="str">
        <x:v>用途限定で有効</x:v>
      </x:c>
      <x:c r="AB48" s="22" t="str">
        <x:v>羽田空港 第3ターミナル展望デッキ</x:v>
      </x:c>
      <x:c r="AC48" s="22" t="str">
        <x:v>城南島海浜公園／潮風公園</x:v>
      </x:c>
      <x:c r="AD48" s="22" t="n">
        <x:v>70</x:v>
      </x:c>
      <x:c r="AE48" s="22" t="n">
        <x:v>105</x:v>
      </x:c>
      <x:c r="AF48" s="22" t="n">
        <x:v>245</x:v>
      </x:c>
      <x:c r="AG48" s="22" t="n">
        <x:v>3</x:v>
      </x:c>
      <x:c r="AH48" s="22" t="n">
        <x:v>80</x:v>
      </x:c>
      <x:c r="AI48" s="22" t="n">
        <x:v>2</x:v>
      </x:c>
      <x:c r="AJ48" s="22" t="n">
        <x:f>ROUND(MAX(0,MIN(100,IF('条件入力ナビ'!$B$9="飛行機",S48,IF('条件入力ナビ'!$B$9="海・港",T48,IF('条件入力ナビ'!$B$9="工場夜景",U48,IF('条件入力ナビ'!$B$9="静かな場所",V48,IF('条件入力ナビ'!$B$9="Story",AH48,X48)))))*0.30+IF('条件入力ナビ'!$B$7="深夜",Q48,IF('条件入力ナビ'!$B$7="夜",P48,IF('条件入力ナビ'!$B$7="夕方",(P48+W48)/2,W48)))*0.20+IF('条件入力ナビ'!$B$8="雨",R48,IF('条件入力ナビ'!$B$8="小雨",(R48+X48)/2,IF('条件入力ナビ'!$B$8="強風",MAX(0,X48-AI48*8),X48)))*0.15+N48*2+IF('条件入力ナビ'!$B$11="確実性優先",N48*1.6,IF('条件入力ナビ'!$B$11="穴場優先",K48*1.6,(N48+K48)*0.8))+IF(AF48&lt;='条件入力ナビ'!$B$6,12,MAX(-30,-(AF48-'条件入力ナビ'!$B$6)*0.5))+IF('条件入力ナビ'!$B$10="歩きたくない",(6-AG48)*1.2,IF('条件入力ナビ'!$B$10="歩きたい",AG48*1.2,0))+IF('条件入力ナビ'!$B$13="許容",AL48*1.2,IF('条件入力ナビ'!$B$13="路上候補除外",IF(AL48&gt;0,-12,0),0)))))</x:f>
        <x:v>23</x:v>
      </x:c>
      <x:c r="AK48" s="22" t="n">
        <x:f>RANK.EQ(AJ48,$AJ$2:$AJ$94,0)+COUNTIF($AJ$2:AJ48,AJ48)-1</x:f>
        <x:v>81</x:v>
      </x:c>
      <x:c r="AL48" t="n">
        <x:v>0</x:v>
      </x:c>
      <x:c r="AM48" t="str">
        <x:v>-</x:v>
      </x:c>
    </x:row>
    <x:row r="49" ht="36" customHeight="1">
      <x:c r="A49" s="22" t="str">
        <x:v>D156</x:v>
      </x:c>
      <x:c r="B49" s="22" t="str">
        <x:v>稲田公園</x:v>
      </x:c>
      <x:c r="C49" s="22" t="str">
        <x:v>川崎市・多摩区</x:v>
      </x:c>
      <x:c r="D49" s="22" t="str">
        <x:v>多摩川・くじら遊具・近距離</x:v>
      </x:c>
      <x:c r="E49" s="22" t="str">
        <x:v>多摩川沿いの開放感と象徴的なくじらモニュメントがあり、近距離のStory系公園になる。</x:v>
      </x:c>
      <x:c r="F49" s="22" t="str">
        <x:v>河川増水時は避ける。夏季プール営業日は混雑。</x:v>
      </x:c>
      <x:c r="G49" s="22" t="str">
        <x:v>20〜25km</x:v>
      </x:c>
      <x:c r="H49" s="22" t="str">
        <x:v>概ね20〜25km</x:v>
      </x:c>
      <x:c r="I49" s="22" t="str">
        <x:v>通常40〜70分</x:v>
      </x:c>
      <x:c r="J49" s="22" t="n">
        <x:v>3</x:v>
      </x:c>
      <x:c r="K49" s="22" t="n">
        <x:v>4</x:v>
      </x:c>
      <x:c r="L49" s="22" t="n">
        <x:v>2</x:v>
      </x:c>
      <x:c r="M49" s="22" t="n">
        <x:v>1</x:v>
      </x:c>
      <x:c r="N49" s="22" t="n">
        <x:v>4</x:v>
      </x:c>
      <x:c r="O49" s="22" t="n">
        <x:v>1</x:v>
      </x:c>
      <x:c r="P49" s="22" t="n">
        <x:v>55</x:v>
      </x:c>
      <x:c r="Q49" s="22" t="n">
        <x:v>53</x:v>
      </x:c>
      <x:c r="R49" s="22" t="n">
        <x:v>51</x:v>
      </x:c>
      <x:c r="S49" s="22" t="n">
        <x:v>46</x:v>
      </x:c>
      <x:c r="T49" s="22" t="n">
        <x:v>46</x:v>
      </x:c>
      <x:c r="U49" s="22" t="n">
        <x:v>43</x:v>
      </x:c>
      <x:c r="V49" s="22" t="n">
        <x:v>53</x:v>
      </x:c>
      <x:c r="W49" s="22" t="n">
        <x:v>56</x:v>
      </x:c>
      <x:c r="X49" s="22" t="n">
        <x:v>51</x:v>
      </x:c>
      <x:c r="Y49" s="22" t="str">
        <x:v>休日半日／平日夜90分</x:v>
      </x:c>
      <x:c r="Z49" s="22" t="str">
        <x:v>出発前に閉場確認</x:v>
      </x:c>
      <x:c r="AA49" s="22" t="str">
        <x:v>用途限定で有効</x:v>
      </x:c>
      <x:c r="AB49" s="22" t="str">
        <x:v>羽田空港 第3ターミナル展望デッキ</x:v>
      </x:c>
      <x:c r="AC49" s="22" t="str">
        <x:v>城南島海浜公園／潮風公園</x:v>
      </x:c>
      <x:c r="AD49" s="22" t="n">
        <x:v>70</x:v>
      </x:c>
      <x:c r="AE49" s="22" t="n">
        <x:v>45</x:v>
      </x:c>
      <x:c r="AF49" s="22" t="n">
        <x:v>185</x:v>
      </x:c>
      <x:c r="AG49" s="22" t="n">
        <x:v>3</x:v>
      </x:c>
      <x:c r="AH49" s="22" t="n">
        <x:v>45</x:v>
      </x:c>
      <x:c r="AI49" s="22" t="n">
        <x:v>2</x:v>
      </x:c>
      <x:c r="AJ49" s="22" t="n">
        <x:f>ROUND(MAX(0,MIN(100,IF('条件入力ナビ'!$B$9="飛行機",S49,IF('条件入力ナビ'!$B$9="海・港",T49,IF('条件入力ナビ'!$B$9="工場夜景",U49,IF('条件入力ナビ'!$B$9="静かな場所",V49,IF('条件入力ナビ'!$B$9="Story",AH49,X49)))))*0.30+IF('条件入力ナビ'!$B$7="深夜",Q49,IF('条件入力ナビ'!$B$7="夜",P49,IF('条件入力ナビ'!$B$7="夕方",(P49+W49)/2,W49)))*0.20+IF('条件入力ナビ'!$B$8="雨",R49,IF('条件入力ナビ'!$B$8="小雨",(R49+X49)/2,IF('条件入力ナビ'!$B$8="強風",MAX(0,X49-AI49*8),X49)))*0.15+N49*2+IF('条件入力ナビ'!$B$11="確実性優先",N49*1.6,IF('条件入力ナビ'!$B$11="穴場優先",K49*1.6,(N49+K49)*0.8))+IF(AF49&lt;='条件入力ナビ'!$B$6,12,MAX(-30,-(AF49-'条件入力ナビ'!$B$6)*0.5))+IF('条件入力ナビ'!$B$10="歩きたくない",(6-AG49)*1.2,IF('条件入力ナビ'!$B$10="歩きたい",AG49*1.2,0))+IF('条件入力ナビ'!$B$13="許容",AL49*1.2,IF('条件入力ナビ'!$B$13="路上候補除外",IF(AL49&gt;0,-12,0),0)))))</x:f>
        <x:v>18</x:v>
      </x:c>
      <x:c r="AK49" s="22" t="n">
        <x:f>RANK.EQ(AJ49,$AJ$2:$AJ$94,0)+COUNTIF($AJ$2:AJ49,AJ49)-1</x:f>
        <x:v>90</x:v>
      </x:c>
      <x:c r="AL49" t="n">
        <x:v>0</x:v>
      </x:c>
      <x:c r="AM49" t="str">
        <x:v>-</x:v>
      </x:c>
    </x:row>
    <x:row r="50" ht="36" customHeight="1">
      <x:c r="A50" s="22" t="str">
        <x:v>D157</x:v>
      </x:c>
      <x:c r="B50" s="22" t="str">
        <x:v>川崎市役所 展望ロビー・スカイデッキ</x:v>
      </x:c>
      <x:c r="C50" s="22" t="str">
        <x:v>川崎市・川崎区</x:v>
      </x:c>
      <x:c r="D50" s="22" t="str">
        <x:v>市役所・展望・都市史</x:v>
      </x:c>
      <x:c r="E50" s="22" t="str">
        <x:v>無料の高層展望から川崎・東京・横浜方面を一望し、旧庁舎復元部の歴史展示も見られる。</x:v>
      </x:c>
      <x:c r="F50" s="22" t="str">
        <x:v>駐車料金が発生。行政行事・荒天でスカイデッキ閉鎖あり。</x:v>
      </x:c>
      <x:c r="G50" s="22" t="str">
        <x:v>0〜10km</x:v>
      </x:c>
      <x:c r="H50" s="22" t="str">
        <x:v>概ね0〜10km</x:v>
      </x:c>
      <x:c r="I50" s="22" t="str">
        <x:v>通常10〜30分</x:v>
      </x:c>
      <x:c r="J50" s="22" t="n">
        <x:v>4</x:v>
      </x:c>
      <x:c r="K50" s="22" t="n">
        <x:v>3</x:v>
      </x:c>
      <x:c r="L50" s="22" t="n">
        <x:v>2</x:v>
      </x:c>
      <x:c r="M50" s="22" t="n">
        <x:v>1</x:v>
      </x:c>
      <x:c r="N50" s="22" t="n">
        <x:v>4</x:v>
      </x:c>
      <x:c r="O50" s="22" t="n">
        <x:v>1</x:v>
      </x:c>
      <x:c r="P50" s="22" t="n">
        <x:v>68</x:v>
      </x:c>
      <x:c r="Q50" s="22" t="n">
        <x:v>64</x:v>
      </x:c>
      <x:c r="R50" s="22" t="n">
        <x:v>55</x:v>
      </x:c>
      <x:c r="S50" s="22" t="n">
        <x:v>56</x:v>
      </x:c>
      <x:c r="T50" s="22" t="n">
        <x:v>55</x:v>
      </x:c>
      <x:c r="U50" s="22" t="n">
        <x:v>53</x:v>
      </x:c>
      <x:c r="V50" s="22" t="n">
        <x:v>59</x:v>
      </x:c>
      <x:c r="W50" s="22" t="n">
        <x:v>60</x:v>
      </x:c>
      <x:c r="X50" s="22" t="n">
        <x:v>60</x:v>
      </x:c>
      <x:c r="Y50" s="22" t="str">
        <x:v>平日夜90分／深夜2時間</x:v>
      </x:c>
      <x:c r="Z50" s="22" t="str">
        <x:v>出発前に閉場確認</x:v>
      </x:c>
      <x:c r="AA50" s="22" t="str">
        <x:v>用途限定で有効</x:v>
      </x:c>
      <x:c r="AB50" s="22" t="str">
        <x:v>羽田空港 第3ターミナル展望デッキ</x:v>
      </x:c>
      <x:c r="AC50" s="22" t="str">
        <x:v>城南島海浜公園／潮風公園</x:v>
      </x:c>
      <x:c r="AD50" s="22" t="n">
        <x:v>30</x:v>
      </x:c>
      <x:c r="AE50" s="22" t="n">
        <x:v>45</x:v>
      </x:c>
      <x:c r="AF50" s="22" t="n">
        <x:v>105</x:v>
      </x:c>
      <x:c r="AG50" s="22" t="n">
        <x:v>3</x:v>
      </x:c>
      <x:c r="AH50" s="22" t="n">
        <x:v>45</x:v>
      </x:c>
      <x:c r="AI50" s="22" t="n">
        <x:v>2</x:v>
      </x:c>
      <x:c r="AJ50" s="22" t="n">
        <x:f>ROUND(MAX(0,MIN(100,IF('条件入力ナビ'!$B$9="飛行機",S50,IF('条件入力ナビ'!$B$9="海・港",T50,IF('条件入力ナビ'!$B$9="工場夜景",U50,IF('条件入力ナビ'!$B$9="静かな場所",V50,IF('条件入力ナビ'!$B$9="Story",AH50,X50)))))*0.30+IF('条件入力ナビ'!$B$7="深夜",Q50,IF('条件入力ナビ'!$B$7="夜",P50,IF('条件入力ナビ'!$B$7="夕方",(P50+W50)/2,W50)))*0.20+IF('条件入力ナビ'!$B$8="雨",R50,IF('条件入力ナビ'!$B$8="小雨",(R50+X50)/2,IF('条件入力ナビ'!$B$8="強風",MAX(0,X50-AI50*8),X50)))*0.15+N50*2+IF('条件入力ナビ'!$B$11="確実性優先",N50*1.6,IF('条件入力ナビ'!$B$11="穴場優先",K50*1.6,(N50+K50)*0.8))+IF(AF50&lt;='条件入力ナビ'!$B$6,12,MAX(-30,-(AF50-'条件入力ナビ'!$B$6)*0.5))+IF('条件入力ナビ'!$B$10="歩きたくない",(6-AG50)*1.2,IF('条件入力ナビ'!$B$10="歩きたい",AG50*1.2,0))+IF('条件入力ナビ'!$B$13="許容",AL50*1.2,IF('条件入力ナビ'!$B$13="路上候補除外",IF(AL50&gt;0,-12,0),0)))))</x:f>
        <x:v>67</x:v>
      </x:c>
      <x:c r="AK50" s="22" t="n">
        <x:f>RANK.EQ(AJ50,$AJ$2:$AJ$94,0)+COUNTIF($AJ$2:AJ50,AJ50)-1</x:f>
        <x:v>15</x:v>
      </x:c>
      <x:c r="AL50" t="n">
        <x:v>0</x:v>
      </x:c>
      <x:c r="AM50" t="str">
        <x:v>-</x:v>
      </x:c>
    </x:row>
    <x:row r="51" ht="36" customHeight="1">
      <x:c r="A51" s="22" t="str">
        <x:v>D159</x:v>
      </x:c>
      <x:c r="B51" s="22" t="str">
        <x:v>青葉の森公園</x:v>
      </x:c>
      <x:c r="C51" s="22" t="str">
        <x:v>千葉市・中央区</x:v>
      </x:c>
      <x:c r="D51" s="22" t="str">
        <x:v>大規模公園・文化施設・夜間</x:v>
      </x:c>
      <x:c r="E51" s="22" t="str">
        <x:v>広い芝生、博物館、芸術文化ホールが集まり、千葉市内の文化系Endingとして安定する。</x:v>
      </x:c>
      <x:c r="F51" s="22" t="str">
        <x:v>22時閉鎖。イベント日は満車、周辺路上駐車禁止。</x:v>
      </x:c>
      <x:c r="G51" s="22" t="str">
        <x:v>10〜20km</x:v>
      </x:c>
      <x:c r="H51" s="22" t="str">
        <x:v>概ね10〜20km</x:v>
      </x:c>
      <x:c r="I51" s="22" t="str">
        <x:v>通常25〜50分</x:v>
      </x:c>
      <x:c r="J51" s="22" t="n">
        <x:v>4</x:v>
      </x:c>
      <x:c r="K51" s="22" t="n">
        <x:v>2</x:v>
      </x:c>
      <x:c r="L51" s="22" t="n">
        <x:v>1</x:v>
      </x:c>
      <x:c r="M51" s="22" t="n">
        <x:v>1</x:v>
      </x:c>
      <x:c r="N51" s="22" t="n">
        <x:v>2</x:v>
      </x:c>
      <x:c r="O51" s="22" t="n">
        <x:v>5</x:v>
      </x:c>
      <x:c r="P51" s="22" t="n">
        <x:v>67</x:v>
      </x:c>
      <x:c r="Q51" s="22" t="n">
        <x:v>68</x:v>
      </x:c>
      <x:c r="R51" s="22" t="n">
        <x:v>43</x:v>
      </x:c>
      <x:c r="S51" s="22" t="n">
        <x:v>45</x:v>
      </x:c>
      <x:c r="T51" s="22" t="n">
        <x:v>45</x:v>
      </x:c>
      <x:c r="U51" s="22" t="n">
        <x:v>44</x:v>
      </x:c>
      <x:c r="V51" s="22" t="n">
        <x:v>73</x:v>
      </x:c>
      <x:c r="W51" s="22" t="n">
        <x:v>49</x:v>
      </x:c>
      <x:c r="X51" s="22" t="n">
        <x:v>55</x:v>
      </x:c>
      <x:c r="Y51" s="22" t="str">
        <x:v>静かな場所／深夜2時間</x:v>
      </x:c>
      <x:c r="Z51" s="22" t="str">
        <x:v>出発前に閉場確認</x:v>
      </x:c>
      <x:c r="AA51" s="22" t="str">
        <x:v>用途限定で有効</x:v>
      </x:c>
      <x:c r="AB51" s="22" t="str">
        <x:v>平和の森公園</x:v>
      </x:c>
      <x:c r="AC51" s="22" t="str">
        <x:v>大森ふるさとの浜辺公園／森ケ崎公園</x:v>
      </x:c>
      <x:c r="AD51" s="22" t="n">
        <x:v>50</x:v>
      </x:c>
      <x:c r="AE51" s="22" t="n">
        <x:v>60</x:v>
      </x:c>
      <x:c r="AF51" s="22" t="n">
        <x:v>160</x:v>
      </x:c>
      <x:c r="AG51" s="22" t="n">
        <x:v>3</x:v>
      </x:c>
      <x:c r="AH51" s="22" t="n">
        <x:v>45</x:v>
      </x:c>
      <x:c r="AI51" s="22" t="n">
        <x:v>2</x:v>
      </x:c>
      <x:c r="AJ51" s="22" t="n">
        <x:f>ROUND(MAX(0,MIN(100,IF('条件入力ナビ'!$B$9="飛行機",S51,IF('条件入力ナビ'!$B$9="海・港",T51,IF('条件入力ナビ'!$B$9="工場夜景",U51,IF('条件入力ナビ'!$B$9="静かな場所",V51,IF('条件入力ナビ'!$B$9="Story",AH51,X51)))))*0.30+IF('条件入力ナビ'!$B$7="深夜",Q51,IF('条件入力ナビ'!$B$7="夜",P51,IF('条件入力ナビ'!$B$7="夕方",(P51+W51)/2,W51)))*0.20+IF('条件入力ナビ'!$B$8="雨",R51,IF('条件入力ナビ'!$B$8="小雨",(R51+X51)/2,IF('条件入力ナビ'!$B$8="強風",MAX(0,X51-AI51*8),X51)))*0.15+N51*2+IF('条件入力ナビ'!$B$11="確実性優先",N51*1.6,IF('条件入力ナビ'!$B$11="穴場優先",K51*1.6,(N51+K51)*0.8))+IF(AF51&lt;='条件入力ナビ'!$B$6,12,MAX(-30,-(AF51-'条件入力ナビ'!$B$6)*0.5))+IF('条件入力ナビ'!$B$10="歩きたくない",(6-AG51)*1.2,IF('条件入力ナビ'!$B$10="歩きたい",AG51*1.2,0))+IF('条件入力ナビ'!$B$13="許容",AL51*1.2,IF('条件入力ナビ'!$B$13="路上候補除外",IF(AL51&gt;0,-12,0),0)))))</x:f>
        <x:v>25</x:v>
      </x:c>
      <x:c r="AK51" s="22" t="n">
        <x:f>RANK.EQ(AJ51,$AJ$2:$AJ$94,0)+COUNTIF($AJ$2:AJ51,AJ51)-1</x:f>
        <x:v>76</x:v>
      </x:c>
      <x:c r="AL51" t="n">
        <x:v>0</x:v>
      </x:c>
      <x:c r="AM51" t="str">
        <x:v>-</x:v>
      </x:c>
    </x:row>
    <x:row r="52" ht="36" customHeight="1">
      <x:c r="A52" s="22" t="str">
        <x:v>D164</x:v>
      </x:c>
      <x:c r="B52" s="22" t="str">
        <x:v>本牧山頂公園</x:v>
      </x:c>
      <x:c r="C52" s="22" t="str">
        <x:v>横浜市・中区</x:v>
      </x:c>
      <x:c r="D52" s="22" t="str">
        <x:v>高台・港・草地・都市展望</x:v>
      </x:c>
      <x:c r="E52" s="22" t="str">
        <x:v>本牧の尾根上を歩きながら横浜港と住宅地を見下ろせ、港湾ドライブの最後に地形の高さを加えられる。</x:v>
      </x:c>
      <x:c r="F52" s="22" t="str">
        <x:v>住宅地に接するため夜間の騒音厳禁。駐車場の入出庫時間を出発前に確認。</x:v>
      </x:c>
      <x:c r="G52" s="22" t="str">
        <x:v>20〜25km</x:v>
      </x:c>
      <x:c r="H52" s="22" t="str">
        <x:v>概ね20〜25km</x:v>
      </x:c>
      <x:c r="I52" s="22" t="str">
        <x:v>通常40〜70分</x:v>
      </x:c>
      <x:c r="J52" s="22" t="n">
        <x:v>3</x:v>
      </x:c>
      <x:c r="K52" s="22" t="n">
        <x:v>4</x:v>
      </x:c>
      <x:c r="L52" s="22" t="n">
        <x:v>1</x:v>
      </x:c>
      <x:c r="M52" s="22" t="n">
        <x:v>3</x:v>
      </x:c>
      <x:c r="N52" s="22" t="n">
        <x:v>4</x:v>
      </x:c>
      <x:c r="O52" s="22" t="n">
        <x:v>1</x:v>
      </x:c>
      <x:c r="P52" s="22" t="n">
        <x:v>59</x:v>
      </x:c>
      <x:c r="Q52" s="22" t="n">
        <x:v>57</x:v>
      </x:c>
      <x:c r="R52" s="22" t="n">
        <x:v>48</x:v>
      </x:c>
      <x:c r="S52" s="22" t="n">
        <x:v>50</x:v>
      </x:c>
      <x:c r="T52" s="22" t="n">
        <x:v>78</x:v>
      </x:c>
      <x:c r="U52" s="22" t="n">
        <x:v>47</x:v>
      </x:c>
      <x:c r="V52" s="22" t="n">
        <x:v>53</x:v>
      </x:c>
      <x:c r="W52" s="22" t="n">
        <x:v>55</x:v>
      </x:c>
      <x:c r="X52" s="22" t="n">
        <x:v>56</x:v>
      </x:c>
      <x:c r="Y52" s="22" t="str">
        <x:v>海・港／平日夜90分</x:v>
      </x:c>
      <x:c r="Z52" s="22" t="str">
        <x:v>出発前に閉場確認</x:v>
      </x:c>
      <x:c r="AA52" s="22" t="str">
        <x:v>用途限定で有効</x:v>
      </x:c>
      <x:c r="AB52" s="22" t="str">
        <x:v>城南島海浜公園</x:v>
      </x:c>
      <x:c r="AC52" s="22" t="str">
        <x:v>潮風公園／晴海ふ頭公園</x:v>
      </x:c>
      <x:c r="AD52" s="22" t="n">
        <x:v>70</x:v>
      </x:c>
      <x:c r="AE52" s="22" t="n">
        <x:v>45</x:v>
      </x:c>
      <x:c r="AF52" s="22" t="n">
        <x:v>185</x:v>
      </x:c>
      <x:c r="AG52" s="22" t="n">
        <x:v>2</x:v>
      </x:c>
      <x:c r="AH52" s="22" t="n">
        <x:v>45</x:v>
      </x:c>
      <x:c r="AI52" s="22" t="n">
        <x:v>5</x:v>
      </x:c>
      <x:c r="AJ52" s="22" t="n">
        <x:f>ROUND(MAX(0,MIN(100,IF('条件入力ナビ'!$B$9="飛行機",S52,IF('条件入力ナビ'!$B$9="海・港",T52,IF('条件入力ナビ'!$B$9="工場夜景",U52,IF('条件入力ナビ'!$B$9="静かな場所",V52,IF('条件入力ナビ'!$B$9="Story",AH52,X52)))))*0.30+IF('条件入力ナビ'!$B$7="深夜",Q52,IF('条件入力ナビ'!$B$7="夜",P52,IF('条件入力ナビ'!$B$7="夕方",(P52+W52)/2,W52)))*0.20+IF('条件入力ナビ'!$B$8="雨",R52,IF('条件入力ナビ'!$B$8="小雨",(R52+X52)/2,IF('条件入力ナビ'!$B$8="強風",MAX(0,X52-AI52*8),X52)))*0.15+N52*2+IF('条件入力ナビ'!$B$11="確実性優先",N52*1.6,IF('条件入力ナビ'!$B$11="穴場優先",K52*1.6,(N52+K52)*0.8))+IF(AF52&lt;='条件入力ナビ'!$B$6,12,MAX(-30,-(AF52-'条件入力ナビ'!$B$6)*0.5))+IF('条件入力ナビ'!$B$10="歩きたくない",(6-AG52)*1.2,IF('条件入力ナビ'!$B$10="歩きたい",AG52*1.2,0))+IF('条件入力ナビ'!$B$13="許容",AL52*1.2,IF('条件入力ナビ'!$B$13="路上候補除外",IF(AL52&gt;0,-12,0),0)))))</x:f>
        <x:v>21</x:v>
      </x:c>
      <x:c r="AK52" s="22" t="n">
        <x:f>RANK.EQ(AJ52,$AJ$2:$AJ$94,0)+COUNTIF($AJ$2:AJ52,AJ52)-1</x:f>
        <x:v>85</x:v>
      </x:c>
      <x:c r="AL52" t="n">
        <x:v>0</x:v>
      </x:c>
      <x:c r="AM52" t="str">
        <x:v>-</x:v>
      </x:c>
    </x:row>
    <x:row r="53" ht="36" customHeight="1">
      <x:c r="A53" s="22" t="str">
        <x:v>D181</x:v>
      </x:c>
      <x:c r="B53" s="22" t="str">
        <x:v>高洲海浜公園</x:v>
      </x:c>
      <x:c r="C53" s="22" t="str">
        <x:v>浦安市・高洲</x:v>
      </x:c>
      <x:c r="D53" s="22" t="str">
        <x:v>海・展望の丘・24時間駐車</x:v>
      </x:c>
      <x:c r="E53" s="22" t="str">
        <x:v>芝生、展望の丘、テラス式海岸を備え、東京湾の風と新浦安の街明かりを安全な駐車場から楽しめる。</x:v>
      </x:c>
      <x:c r="F53" s="22" t="str">
        <x:v>海沿いは強風になりやすい。火気禁止。深夜は住宅地側への騒音と長時間滞在を避ける。</x:v>
      </x:c>
      <x:c r="G53" s="22" t="str">
        <x:v>20〜25km</x:v>
      </x:c>
      <x:c r="H53" s="22" t="str">
        <x:v>概ね20〜25km</x:v>
      </x:c>
      <x:c r="I53" s="22" t="str">
        <x:v>通常40〜70分</x:v>
      </x:c>
      <x:c r="J53" s="22" t="n">
        <x:v>5</x:v>
      </x:c>
      <x:c r="K53" s="22" t="n">
        <x:v>4</x:v>
      </x:c>
      <x:c r="L53" s="22" t="n">
        <x:v>1</x:v>
      </x:c>
      <x:c r="M53" s="22" t="n">
        <x:v>3</x:v>
      </x:c>
      <x:c r="N53" s="22" t="n">
        <x:v>4</x:v>
      </x:c>
      <x:c r="O53" s="22" t="n">
        <x:v>5</x:v>
      </x:c>
      <x:c r="P53" s="22" t="n">
        <x:v>81</x:v>
      </x:c>
      <x:c r="Q53" s="22" t="n">
        <x:v>85</x:v>
      </x:c>
      <x:c r="R53" s="22" t="n">
        <x:v>56</x:v>
      </x:c>
      <x:c r="S53" s="22" t="n">
        <x:v>56</x:v>
      </x:c>
      <x:c r="T53" s="22" t="n">
        <x:v>86</x:v>
      </x:c>
      <x:c r="U53" s="22" t="n">
        <x:v>55</x:v>
      </x:c>
      <x:c r="V53" s="22" t="n">
        <x:v>57</x:v>
      </x:c>
      <x:c r="W53" s="22" t="n">
        <x:v>59</x:v>
      </x:c>
      <x:c r="X53" s="22" t="n">
        <x:v>68</x:v>
      </x:c>
      <x:c r="Y53" s="22" t="str">
        <x:v>海・港／深夜2時間</x:v>
      </x:c>
      <x:c r="Z53" s="22" t="str">
        <x:v>出発前に閉場確認</x:v>
      </x:c>
      <x:c r="AA53" s="22" t="str">
        <x:v>用途限定で有効</x:v>
      </x:c>
      <x:c r="AB53" s="22" t="str">
        <x:v>城南島海浜公園</x:v>
      </x:c>
      <x:c r="AC53" s="22" t="str">
        <x:v>潮風公園／晴海ふ頭公園</x:v>
      </x:c>
      <x:c r="AD53" s="22" t="n">
        <x:v>70</x:v>
      </x:c>
      <x:c r="AE53" s="22" t="n">
        <x:v>45</x:v>
      </x:c>
      <x:c r="AF53" s="22" t="n">
        <x:v>185</x:v>
      </x:c>
      <x:c r="AG53" s="22" t="n">
        <x:v>2</x:v>
      </x:c>
      <x:c r="AH53" s="22" t="n">
        <x:v>45</x:v>
      </x:c>
      <x:c r="AI53" s="22" t="n">
        <x:v>5</x:v>
      </x:c>
      <x:c r="AJ53" s="22" t="n">
        <x:f>ROUND(MAX(0,MIN(100,IF('条件入力ナビ'!$B$9="飛行機",S53,IF('条件入力ナビ'!$B$9="海・港",T53,IF('条件入力ナビ'!$B$9="工場夜景",U53,IF('条件入力ナビ'!$B$9="静かな場所",V53,IF('条件入力ナビ'!$B$9="Story",AH53,X53)))))*0.30+IF('条件入力ナビ'!$B$7="深夜",Q53,IF('条件入力ナビ'!$B$7="夜",P53,IF('条件入力ナビ'!$B$7="夕方",(P53+W53)/2,W53)))*0.20+IF('条件入力ナビ'!$B$8="雨",R53,IF('条件入力ナビ'!$B$8="小雨",(R53+X53)/2,IF('条件入力ナビ'!$B$8="強風",MAX(0,X53-AI53*8),X53)))*0.15+N53*2+IF('条件入力ナビ'!$B$11="確実性優先",N53*1.6,IF('条件入力ナビ'!$B$11="穴場優先",K53*1.6,(N53+K53)*0.8))+IF(AF53&lt;='条件入力ナビ'!$B$6,12,MAX(-30,-(AF53-'条件入力ナビ'!$B$6)*0.5))+IF('条件入力ナビ'!$B$10="歩きたくない",(6-AG53)*1.2,IF('条件入力ナビ'!$B$10="歩きたい",AG53*1.2,0))+IF('条件入力ナビ'!$B$13="許容",AL53*1.2,IF('条件入力ナビ'!$B$13="路上候補除外",IF(AL53&gt;0,-12,0),0)))))</x:f>
        <x:v>31</x:v>
      </x:c>
      <x:c r="AK53" s="22" t="n">
        <x:f>RANK.EQ(AJ53,$AJ$2:$AJ$94,0)+COUNTIF($AJ$2:AJ53,AJ53)-1</x:f>
        <x:v>61</x:v>
      </x:c>
      <x:c r="AL53" t="n">
        <x:v>0</x:v>
      </x:c>
      <x:c r="AM53" t="str">
        <x:v>-</x:v>
      </x:c>
    </x:row>
    <x:row r="54" ht="36" customHeight="1">
      <x:c r="A54" s="22" t="str">
        <x:v>D205</x:v>
      </x:c>
      <x:c r="B54" s="22" t="str">
        <x:v>三溪園</x:v>
      </x:c>
      <x:c r="C54" s="22" t="str">
        <x:v>横浜市・中区本牧</x:v>
      </x:c>
      <x:c r="D54" s="22" t="str">
        <x:v>日本庭園・古建築・Story</x:v>
      </x:c>
      <x:c r="E54" s="22" t="str">
        <x:v>池、谷戸、三重塔、移築古建築を巡り、横浜港の近代都市景観とは別の時間軸へ入れる文化系Ending。</x:v>
      </x:c>
      <x:c r="F54" s="22" t="str">
        <x:v>12月26～31日休園。桜・紅葉・夜間開園は満車。2026年は一部古建築の公開休止・修繕情報あり。</x:v>
      </x:c>
      <x:c r="G54" s="22" t="str">
        <x:v>20〜25km</x:v>
      </x:c>
      <x:c r="H54" s="22" t="str">
        <x:v>概ね20〜25km</x:v>
      </x:c>
      <x:c r="I54" s="22" t="str">
        <x:v>通常40〜70分</x:v>
      </x:c>
      <x:c r="J54" s="22" t="n">
        <x:v>1</x:v>
      </x:c>
      <x:c r="K54" s="22" t="n">
        <x:v>2</x:v>
      </x:c>
      <x:c r="L54" s="22" t="n">
        <x:v>1</x:v>
      </x:c>
      <x:c r="M54" s="22" t="n">
        <x:v>1</x:v>
      </x:c>
      <x:c r="N54" s="22" t="n">
        <x:v>4</x:v>
      </x:c>
      <x:c r="O54" s="22" t="n">
        <x:v>1</x:v>
      </x:c>
      <x:c r="P54" s="22" t="n">
        <x:v>41</x:v>
      </x:c>
      <x:c r="Q54" s="22" t="n">
        <x:v>39</x:v>
      </x:c>
      <x:c r="R54" s="22" t="n">
        <x:v>40</x:v>
      </x:c>
      <x:c r="S54" s="22" t="n">
        <x:v>38</x:v>
      </x:c>
      <x:c r="T54" s="22" t="n">
        <x:v>36</x:v>
      </x:c>
      <x:c r="U54" s="22" t="n">
        <x:v>35</x:v>
      </x:c>
      <x:c r="V54" s="22" t="n">
        <x:v>69</x:v>
      </x:c>
      <x:c r="W54" s="22" t="n">
        <x:v>63</x:v>
      </x:c>
      <x:c r="X54" s="22" t="n">
        <x:v>45</x:v>
      </x:c>
      <x:c r="Y54" s="22" t="str">
        <x:v>静かな場所／休日半日</x:v>
      </x:c>
      <x:c r="Z54" s="22" t="str">
        <x:v>出発前に閉場確認</x:v>
      </x:c>
      <x:c r="AA54" s="22" t="str">
        <x:v>用途限定で有効</x:v>
      </x:c>
      <x:c r="AB54" s="22" t="str">
        <x:v>羽田空港 第3ターミナル展望デッキ</x:v>
      </x:c>
      <x:c r="AC54" s="22" t="str">
        <x:v>城南島海浜公園／潮風公園</x:v>
      </x:c>
      <x:c r="AD54" s="22" t="n">
        <x:v>70</x:v>
      </x:c>
      <x:c r="AE54" s="22" t="n">
        <x:v>60</x:v>
      </x:c>
      <x:c r="AF54" s="22" t="n">
        <x:v>200</x:v>
      </x:c>
      <x:c r="AG54" s="22" t="n">
        <x:v>4</x:v>
      </x:c>
      <x:c r="AH54" s="22" t="n">
        <x:v>80</x:v>
      </x:c>
      <x:c r="AI54" s="22" t="n">
        <x:v>2</x:v>
      </x:c>
      <x:c r="AJ54" s="22" t="n">
        <x:f>ROUND(MAX(0,MIN(100,IF('条件入力ナビ'!$B$9="飛行機",S54,IF('条件入力ナビ'!$B$9="海・港",T54,IF('条件入力ナビ'!$B$9="工場夜景",U54,IF('条件入力ナビ'!$B$9="静かな場所",V54,IF('条件入力ナビ'!$B$9="Story",AH54,X54)))))*0.30+IF('条件入力ナビ'!$B$7="深夜",Q54,IF('条件入力ナビ'!$B$7="夜",P54,IF('条件入力ナビ'!$B$7="夕方",(P54+W54)/2,W54)))*0.20+IF('条件入力ナビ'!$B$8="雨",R54,IF('条件入力ナビ'!$B$8="小雨",(R54+X54)/2,IF('条件入力ナビ'!$B$8="強風",MAX(0,X54-AI54*8),X54)))*0.15+N54*2+IF('条件入力ナビ'!$B$11="確実性優先",N54*1.6,IF('条件入力ナビ'!$B$11="穴場優先",K54*1.6,(N54+K54)*0.8))+IF(AF54&lt;='条件入力ナビ'!$B$6,12,MAX(-30,-(AF54-'条件入力ナビ'!$B$6)*0.5))+IF('条件入力ナビ'!$B$10="歩きたくない",(6-AG54)*1.2,IF('条件入力ナビ'!$B$10="歩きたい",AG54*1.2,0))+IF('条件入力ナビ'!$B$13="許容",AL54*1.2,IF('条件入力ナビ'!$B$13="路上候補除外",IF(AL54&gt;0,-12,0),0)))))</x:f>
        <x:v>13</x:v>
      </x:c>
      <x:c r="AK54" s="22" t="n">
        <x:f>RANK.EQ(AJ54,$AJ$2:$AJ$94,0)+COUNTIF($AJ$2:AJ54,AJ54)-1</x:f>
        <x:v>92</x:v>
      </x:c>
      <x:c r="AL54" t="n">
        <x:v>0</x:v>
      </x:c>
      <x:c r="AM54" t="str">
        <x:v>-</x:v>
      </x:c>
    </x:row>
    <x:row r="55" ht="36" customHeight="1">
      <x:c r="A55" s="22" t="str">
        <x:v>D207</x:v>
      </x:c>
      <x:c r="B55" s="22" t="str">
        <x:v>生田緑地・枡形山展望台</x:v>
      </x:c>
      <x:c r="C55" s="22" t="str">
        <x:v>川崎市・多摩区</x:v>
      </x:c>
      <x:c r="D55" s="22" t="str">
        <x:v>高台・展望・文化施設</x:v>
      </x:c>
      <x:c r="E55" s="22" t="str">
        <x:v>枡形山の展望、民家園、岡本太郎美術館、プラネタリウムを組み合わせ、自然と文化の両方で目的地化できる。</x:v>
      </x:c>
      <x:c r="F55" s="22" t="str">
        <x:v>展望台や園路は夜に暗い。施設営業時間は別。休日は東口駐車場が混雑。</x:v>
      </x:c>
      <x:c r="G55" s="22" t="str">
        <x:v>20〜25km</x:v>
      </x:c>
      <x:c r="H55" s="22" t="str">
        <x:v>概ね20〜25km</x:v>
      </x:c>
      <x:c r="I55" s="22" t="str">
        <x:v>通常40〜70分</x:v>
      </x:c>
      <x:c r="J55" s="22" t="n">
        <x:v>4</x:v>
      </x:c>
      <x:c r="K55" s="22" t="n">
        <x:v>2</x:v>
      </x:c>
      <x:c r="L55" s="22" t="n">
        <x:v>1</x:v>
      </x:c>
      <x:c r="M55" s="22" t="n">
        <x:v>1</x:v>
      </x:c>
      <x:c r="N55" s="22" t="n">
        <x:v>4</x:v>
      </x:c>
      <x:c r="O55" s="22" t="n">
        <x:v>4</x:v>
      </x:c>
      <x:c r="P55" s="22" t="n">
        <x:v>65</x:v>
      </x:c>
      <x:c r="Q55" s="22" t="n">
        <x:v>69</x:v>
      </x:c>
      <x:c r="R55" s="22" t="n">
        <x:v>46</x:v>
      </x:c>
      <x:c r="S55" s="22" t="n">
        <x:v>47</x:v>
      </x:c>
      <x:c r="T55" s="22" t="n">
        <x:v>48</x:v>
      </x:c>
      <x:c r="U55" s="22" t="n">
        <x:v>47</x:v>
      </x:c>
      <x:c r="V55" s="22" t="n">
        <x:v>47</x:v>
      </x:c>
      <x:c r="W55" s="22" t="n">
        <x:v>53</x:v>
      </x:c>
      <x:c r="X55" s="22" t="n">
        <x:v>54</x:v>
      </x:c>
      <x:c r="Y55" s="22" t="str">
        <x:v>深夜2時間／平日夜90分</x:v>
      </x:c>
      <x:c r="Z55" s="22" t="str">
        <x:v>出発前に閉場確認</x:v>
      </x:c>
      <x:c r="AA55" s="22" t="str">
        <x:v>用途限定で有効</x:v>
      </x:c>
      <x:c r="AB55" s="22" t="str">
        <x:v>羽田空港 第3ターミナル展望デッキ</x:v>
      </x:c>
      <x:c r="AC55" s="22" t="str">
        <x:v>城南島海浜公園／潮風公園</x:v>
      </x:c>
      <x:c r="AD55" s="22" t="n">
        <x:v>70</x:v>
      </x:c>
      <x:c r="AE55" s="22" t="n">
        <x:v>45</x:v>
      </x:c>
      <x:c r="AF55" s="22" t="n">
        <x:v>185</x:v>
      </x:c>
      <x:c r="AG55" s="22" t="n">
        <x:v>3</x:v>
      </x:c>
      <x:c r="AH55" s="22" t="n">
        <x:v>45</x:v>
      </x:c>
      <x:c r="AI55" s="22" t="n">
        <x:v>5</x:v>
      </x:c>
      <x:c r="AJ55" s="22" t="n">
        <x:f>ROUND(MAX(0,MIN(100,IF('条件入力ナビ'!$B$9="飛行機",S55,IF('条件入力ナビ'!$B$9="海・港",T55,IF('条件入力ナビ'!$B$9="工場夜景",U55,IF('条件入力ナビ'!$B$9="静かな場所",V55,IF('条件入力ナビ'!$B$9="Story",AH55,X55)))))*0.30+IF('条件入力ナビ'!$B$7="深夜",Q55,IF('条件入力ナビ'!$B$7="夜",P55,IF('条件入力ナビ'!$B$7="夕方",(P55+W55)/2,W55)))*0.20+IF('条件入力ナビ'!$B$8="雨",R55,IF('条件入力ナビ'!$B$8="小雨",(R55+X55)/2,IF('条件入力ナビ'!$B$8="強風",MAX(0,X55-AI55*8),X55)))*0.15+N55*2+IF('条件入力ナビ'!$B$11="確実性優先",N55*1.6,IF('条件入力ナビ'!$B$11="穴場優先",K55*1.6,(N55+K55)*0.8))+IF(AF55&lt;='条件入力ナビ'!$B$6,12,MAX(-30,-(AF55-'条件入力ナビ'!$B$6)*0.5))+IF('条件入力ナビ'!$B$10="歩きたくない",(6-AG55)*1.2,IF('条件入力ナビ'!$B$10="歩きたい",AG55*1.2,0))+IF('条件入力ナビ'!$B$13="許容",AL55*1.2,IF('条件入力ナビ'!$B$13="路上候補除外",IF(AL55&gt;0,-12,0),0)))))</x:f>
        <x:v>22</x:v>
      </x:c>
      <x:c r="AK55" s="22" t="n">
        <x:f>RANK.EQ(AJ55,$AJ$2:$AJ$94,0)+COUNTIF($AJ$2:AJ55,AJ55)-1</x:f>
        <x:v>83</x:v>
      </x:c>
      <x:c r="AL55" t="n">
        <x:v>0</x:v>
      </x:c>
      <x:c r="AM55" t="str">
        <x:v>-</x:v>
      </x:c>
    </x:row>
    <x:row r="56" ht="36" customHeight="1">
      <x:c r="A56" s="22" t="str">
        <x:v>D208</x:v>
      </x:c>
      <x:c r="B56" s="22" t="str">
        <x:v>県立東高根森林公園</x:v>
      </x:c>
      <x:c r="C56" s="22" t="str">
        <x:v>川崎市・宮前区</x:v>
      </x:c>
      <x:c r="D56" s="22" t="str">
        <x:v>森林・遺跡・シラカシ林</x:v>
      </x:c>
      <x:c r="E56" s="22" t="str">
        <x:v>古代遺跡の上に広がるシラカシ林と湿生植物園を歩き、住宅地の中で急に深い森へ入れる。</x:v>
      </x:c>
      <x:c r="F56" s="22" t="str">
        <x:v>19時を過ぎると翌朝まで出庫不可。土日祝の有料期間は季節で変わるため当日確認。</x:v>
      </x:c>
      <x:c r="G56" s="22" t="str">
        <x:v>10〜20km</x:v>
      </x:c>
      <x:c r="H56" s="22" t="str">
        <x:v>概ね10〜20km</x:v>
      </x:c>
      <x:c r="I56" s="22" t="str">
        <x:v>通常25〜50分</x:v>
      </x:c>
      <x:c r="J56" s="22" t="n">
        <x:v>2</x:v>
      </x:c>
      <x:c r="K56" s="22" t="n">
        <x:v>4</x:v>
      </x:c>
      <x:c r="L56" s="22" t="n">
        <x:v>1</x:v>
      </x:c>
      <x:c r="M56" s="22" t="n">
        <x:v>1</x:v>
      </x:c>
      <x:c r="N56" s="22" t="n">
        <x:v>4</x:v>
      </x:c>
      <x:c r="O56" s="22" t="n">
        <x:v>2</x:v>
      </x:c>
      <x:c r="P56" s="22" t="n">
        <x:v>58</x:v>
      </x:c>
      <x:c r="Q56" s="22" t="n">
        <x:v>54</x:v>
      </x:c>
      <x:c r="R56" s="22" t="n">
        <x:v>49</x:v>
      </x:c>
      <x:c r="S56" s="22" t="n">
        <x:v>47</x:v>
      </x:c>
      <x:c r="T56" s="22" t="n">
        <x:v>45</x:v>
      </x:c>
      <x:c r="U56" s="22" t="n">
        <x:v>42</x:v>
      </x:c>
      <x:c r="V56" s="22" t="n">
        <x:v>83</x:v>
      </x:c>
      <x:c r="W56" s="22" t="n">
        <x:v>55</x:v>
      </x:c>
      <x:c r="X56" s="22" t="n">
        <x:v>54</x:v>
      </x:c>
      <x:c r="Y56" s="22" t="str">
        <x:v>静かな場所／平日夜90分</x:v>
      </x:c>
      <x:c r="Z56" s="22" t="str">
        <x:v>出発前に閉場確認</x:v>
      </x:c>
      <x:c r="AA56" s="22" t="str">
        <x:v>用途限定で有効</x:v>
      </x:c>
      <x:c r="AB56" s="22" t="str">
        <x:v>平和の森公園</x:v>
      </x:c>
      <x:c r="AC56" s="22" t="str">
        <x:v>大森ふるさとの浜辺公園／森ケ崎公園</x:v>
      </x:c>
      <x:c r="AD56" s="22" t="n">
        <x:v>50</x:v>
      </x:c>
      <x:c r="AE56" s="22" t="n">
        <x:v>60</x:v>
      </x:c>
      <x:c r="AF56" s="22" t="n">
        <x:v>160</x:v>
      </x:c>
      <x:c r="AG56" s="22" t="n">
        <x:v>4</x:v>
      </x:c>
      <x:c r="AH56" s="22" t="n">
        <x:v>45</x:v>
      </x:c>
      <x:c r="AI56" s="22" t="n">
        <x:v>2</x:v>
      </x:c>
      <x:c r="AJ56" s="22" t="n">
        <x:f>ROUND(MAX(0,MIN(100,IF('条件入力ナビ'!$B$9="飛行機",S56,IF('条件入力ナビ'!$B$9="海・港",T56,IF('条件入力ナビ'!$B$9="工場夜景",U56,IF('条件入力ナビ'!$B$9="静かな場所",V56,IF('条件入力ナビ'!$B$9="Story",AH56,X56)))))*0.30+IF('条件入力ナビ'!$B$7="深夜",Q56,IF('条件入力ナビ'!$B$7="夜",P56,IF('条件入力ナビ'!$B$7="夕方",(P56+W56)/2,W56)))*0.20+IF('条件入力ナビ'!$B$8="雨",R56,IF('条件入力ナビ'!$B$8="小雨",(R56+X56)/2,IF('条件入力ナビ'!$B$8="強風",MAX(0,X56-AI56*8),X56)))*0.15+N56*2+IF('条件入力ナビ'!$B$11="確実性優先",N56*1.6,IF('条件入力ナビ'!$B$11="穴場優先",K56*1.6,(N56+K56)*0.8))+IF(AF56&lt;='条件入力ナビ'!$B$6,12,MAX(-30,-(AF56-'条件入力ナビ'!$B$6)*0.5))+IF('条件入力ナビ'!$B$10="歩きたくない",(6-AG56)*1.2,IF('条件入力ナビ'!$B$10="歩きたい",AG56*1.2,0))+IF('条件入力ナビ'!$B$13="許容",AL56*1.2,IF('条件入力ナビ'!$B$13="路上候補除外",IF(AL56&gt;0,-12,0),0)))))</x:f>
        <x:v>30</x:v>
      </x:c>
      <x:c r="AK56" s="22" t="n">
        <x:f>RANK.EQ(AJ56,$AJ$2:$AJ$94,0)+COUNTIF($AJ$2:AJ56,AJ56)-1</x:f>
        <x:v>65</x:v>
      </x:c>
      <x:c r="AL56" t="n">
        <x:v>0</x:v>
      </x:c>
      <x:c r="AM56" t="str">
        <x:v>-</x:v>
      </x:c>
    </x:row>
    <x:row r="57" ht="36" customHeight="1">
      <x:c r="A57" s="22" t="str">
        <x:v>D221</x:v>
      </x:c>
      <x:c r="B57" s="22" t="str">
        <x:v>葛西海浜公園</x:v>
      </x:c>
      <x:c r="C57" s="22" t="str">
        <x:v>東京都江戸川区</x:v>
      </x:c>
      <x:c r="D57" s="22" t="str">
        <x:v>干潟・海浜・東京湾</x:v>
      </x:c>
      <x:c r="E57" s="22" t="str">
        <x:v>都心近くで干潟と東京湾の水平線を感じられ、臨海公園の人工景観から自然海浜へ抜けるEndingになる。</x:v>
      </x:c>
      <x:c r="F57" s="22" t="str">
        <x:v>大型連休は早朝から満車。入庫規制中の路上待機禁止。荒天・高波・潮位上昇時は海浜へ入らない。</x:v>
      </x:c>
      <x:c r="G57" s="22" t="str">
        <x:v>20〜25km</x:v>
      </x:c>
      <x:c r="H57" s="22" t="str">
        <x:v>概ね20〜25km</x:v>
      </x:c>
      <x:c r="I57" s="22" t="str">
        <x:v>通常40〜70分</x:v>
      </x:c>
      <x:c r="J57" s="22" t="n">
        <x:v>4</x:v>
      </x:c>
      <x:c r="K57" s="22" t="n">
        <x:v>2</x:v>
      </x:c>
      <x:c r="L57" s="22" t="n">
        <x:v>1</x:v>
      </x:c>
      <x:c r="M57" s="22" t="n">
        <x:v>3</x:v>
      </x:c>
      <x:c r="N57" s="22" t="n">
        <x:v>4</x:v>
      </x:c>
      <x:c r="O57" s="22" t="n">
        <x:v>5</x:v>
      </x:c>
      <x:c r="P57" s="22" t="n">
        <x:v>72</x:v>
      </x:c>
      <x:c r="Q57" s="22" t="n">
        <x:v>77</x:v>
      </x:c>
      <x:c r="R57" s="22" t="n">
        <x:v>52</x:v>
      </x:c>
      <x:c r="S57" s="22" t="n">
        <x:v>51</x:v>
      </x:c>
      <x:c r="T57" s="22" t="n">
        <x:v>80</x:v>
      </x:c>
      <x:c r="U57" s="22" t="n">
        <x:v>51</x:v>
      </x:c>
      <x:c r="V57" s="22" t="n">
        <x:v>47</x:v>
      </x:c>
      <x:c r="W57" s="22" t="n">
        <x:v>53</x:v>
      </x:c>
      <x:c r="X57" s="22" t="n">
        <x:v>61</x:v>
      </x:c>
      <x:c r="Y57" s="22" t="str">
        <x:v>海・港／深夜2時間</x:v>
      </x:c>
      <x:c r="Z57" s="22" t="str">
        <x:v>出発前に閉場確認</x:v>
      </x:c>
      <x:c r="AA57" s="22" t="str">
        <x:v>用途限定で有効</x:v>
      </x:c>
      <x:c r="AB57" s="22" t="str">
        <x:v>城南島海浜公園</x:v>
      </x:c>
      <x:c r="AC57" s="22" t="str">
        <x:v>潮風公園／晴海ふ頭公園</x:v>
      </x:c>
      <x:c r="AD57" s="22" t="n">
        <x:v>70</x:v>
      </x:c>
      <x:c r="AE57" s="22" t="n">
        <x:v>45</x:v>
      </x:c>
      <x:c r="AF57" s="22" t="n">
        <x:v>185</x:v>
      </x:c>
      <x:c r="AG57" s="22" t="n">
        <x:v>2</x:v>
      </x:c>
      <x:c r="AH57" s="22" t="n">
        <x:v>45</x:v>
      </x:c>
      <x:c r="AI57" s="22" t="n">
        <x:v>5</x:v>
      </x:c>
      <x:c r="AJ57" s="22" t="n">
        <x:f>ROUND(MAX(0,MIN(100,IF('条件入力ナビ'!$B$9="飛行機",S57,IF('条件入力ナビ'!$B$9="海・港",T57,IF('条件入力ナビ'!$B$9="工場夜景",U57,IF('条件入力ナビ'!$B$9="静かな場所",V57,IF('条件入力ナビ'!$B$9="Story",AH57,X57)))))*0.30+IF('条件入力ナビ'!$B$7="深夜",Q57,IF('条件入力ナビ'!$B$7="夜",P57,IF('条件入力ナビ'!$B$7="夕方",(P57+W57)/2,W57)))*0.20+IF('条件入力ナビ'!$B$8="雨",R57,IF('条件入力ナビ'!$B$8="小雨",(R57+X57)/2,IF('条件入力ナビ'!$B$8="強風",MAX(0,X57-AI57*8),X57)))*0.15+N57*2+IF('条件入力ナビ'!$B$11="確実性優先",N57*1.6,IF('条件入力ナビ'!$B$11="穴場優先",K57*1.6,(N57+K57)*0.8))+IF(AF57&lt;='条件入力ナビ'!$B$6,12,MAX(-30,-(AF57-'条件入力ナビ'!$B$6)*0.5))+IF('条件入力ナビ'!$B$10="歩きたくない",(6-AG57)*1.2,IF('条件入力ナビ'!$B$10="歩きたい",AG57*1.2,0))+IF('条件入力ナビ'!$B$13="許容",AL57*1.2,IF('条件入力ナビ'!$B$13="路上候補除外",IF(AL57&gt;0,-12,0),0)))))</x:f>
        <x:v>26</x:v>
      </x:c>
      <x:c r="AK57" s="22" t="n">
        <x:f>RANK.EQ(AJ57,$AJ$2:$AJ$94,0)+COUNTIF($AJ$2:AJ57,AJ57)-1</x:f>
        <x:v>73</x:v>
      </x:c>
      <x:c r="AL57" t="n">
        <x:v>0</x:v>
      </x:c>
      <x:c r="AM57" t="str">
        <x:v>-</x:v>
      </x:c>
    </x:row>
    <x:row r="58" ht="36" customHeight="1">
      <x:c r="A58" s="22" t="str">
        <x:v>D222</x:v>
      </x:c>
      <x:c r="B58" s="22" t="str">
        <x:v>東品川海上公園</x:v>
      </x:c>
      <x:c r="C58" s="22" t="str">
        <x:v>東京都品川区</x:v>
      </x:c>
      <x:c r="D58" s="22" t="str">
        <x:v>運河・屋上庭園・Story</x:v>
      </x:c>
      <x:c r="E58" s="22" t="str">
        <x:v>目黒川が天王洲南運河へ注ぐ河口で、運河、橋、ポンプ場屋上庭園、ミッフィー花壇を短時間で巡れる。</x:v>
      </x:c>
      <x:c r="F58" s="22" t="str">
        <x:v>専用駐車場はない。必ず合法な時間貸し駐車場を利用し、周辺道路での乗降・待機をしない。Park-PFI工事確認。</x:v>
      </x:c>
      <x:c r="G58" s="22" t="str">
        <x:v>0〜10km</x:v>
      </x:c>
      <x:c r="H58" s="22" t="str">
        <x:v>概ね0〜10km</x:v>
      </x:c>
      <x:c r="I58" s="22" t="str">
        <x:v>通常10〜30分</x:v>
      </x:c>
      <x:c r="J58" s="22" t="n">
        <x:v>4</x:v>
      </x:c>
      <x:c r="K58" s="22" t="n">
        <x:v>3</x:v>
      </x:c>
      <x:c r="L58" s="22" t="n">
        <x:v>1</x:v>
      </x:c>
      <x:c r="M58" s="22" t="n">
        <x:v>1</x:v>
      </x:c>
      <x:c r="N58" s="22" t="n">
        <x:v>5</x:v>
      </x:c>
      <x:c r="O58" s="22" t="n">
        <x:v>5</x:v>
      </x:c>
      <x:c r="P58" s="22" t="n">
        <x:v>83</x:v>
      </x:c>
      <x:c r="Q58" s="22" t="n">
        <x:v>84</x:v>
      </x:c>
      <x:c r="R58" s="22" t="n">
        <x:v>60</x:v>
      </x:c>
      <x:c r="S58" s="22" t="n">
        <x:v>59</x:v>
      </x:c>
      <x:c r="T58" s="22" t="n">
        <x:v>86</x:v>
      </x:c>
      <x:c r="U58" s="22" t="n">
        <x:v>56</x:v>
      </x:c>
      <x:c r="V58" s="22" t="n">
        <x:v>90</x:v>
      </x:c>
      <x:c r="W58" s="22" t="n">
        <x:v>78</x:v>
      </x:c>
      <x:c r="X58" s="22" t="n">
        <x:v>76</x:v>
      </x:c>
      <x:c r="Y58" s="22" t="str">
        <x:v>静かな場所／海・港</x:v>
      </x:c>
      <x:c r="Z58" s="22" t="str">
        <x:v>出発前に閉場確認</x:v>
      </x:c>
      <x:c r="AA58" s="22" t="str">
        <x:v>条件が合えば有力</x:v>
      </x:c>
      <x:c r="AB58" s="22" t="str">
        <x:v>羽田空港 第3ターミナル展望デッキ</x:v>
      </x:c>
      <x:c r="AC58" s="22" t="str">
        <x:v>城南島海浜公園／潮風公園</x:v>
      </x:c>
      <x:c r="AD58" s="22" t="n">
        <x:v>30</x:v>
      </x:c>
      <x:c r="AE58" s="22" t="n">
        <x:v>60</x:v>
      </x:c>
      <x:c r="AF58" s="22" t="n">
        <x:v>120</x:v>
      </x:c>
      <x:c r="AG58" s="22" t="n">
        <x:v>4</x:v>
      </x:c>
      <x:c r="AH58" s="22" t="n">
        <x:v>80</x:v>
      </x:c>
      <x:c r="AI58" s="22" t="n">
        <x:v>5</x:v>
      </x:c>
      <x:c r="AJ58" s="22" t="n">
        <x:f>ROUND(MAX(0,MIN(100,IF('条件入力ナビ'!$B$9="飛行機",S58,IF('条件入力ナビ'!$B$9="海・港",T58,IF('条件入力ナビ'!$B$9="工場夜景",U58,IF('条件入力ナビ'!$B$9="静かな場所",V58,IF('条件入力ナビ'!$B$9="Story",AH58,X58)))))*0.30+IF('条件入力ナビ'!$B$7="深夜",Q58,IF('条件入力ナビ'!$B$7="夜",P58,IF('条件入力ナビ'!$B$7="夕方",(P58+W58)/2,W58)))*0.20+IF('条件入力ナビ'!$B$8="雨",R58,IF('条件入力ナビ'!$B$8="小雨",(R58+X58)/2,IF('条件入力ナビ'!$B$8="強風",MAX(0,X58-AI58*8),X58)))*0.15+N58*2+IF('条件入力ナビ'!$B$11="確実性優先",N58*1.6,IF('条件入力ナビ'!$B$11="穴場優先",K58*1.6,(N58+K58)*0.8))+IF(AF58&lt;='条件入力ナビ'!$B$6,12,MAX(-30,-(AF58-'条件入力ナビ'!$B$6)*0.5))+IF('条件入力ナビ'!$B$10="歩きたくない",(6-AG58)*1.2,IF('条件入力ナビ'!$B$10="歩きたい",AG58*1.2,0))+IF('条件入力ナビ'!$B$13="許容",AL58*1.2,IF('条件入力ナビ'!$B$13="路上候補除外",IF(AL58&gt;0,-12,0),0)))))</x:f>
        <x:v>81</x:v>
      </x:c>
      <x:c r="AK58" s="22" t="n">
        <x:f>RANK.EQ(AJ58,$AJ$2:$AJ$94,0)+COUNTIF($AJ$2:AJ58,AJ58)-1</x:f>
        <x:v>3</x:v>
      </x:c>
      <x:c r="AL58" t="n">
        <x:v>0</x:v>
      </x:c>
      <x:c r="AM58" t="str">
        <x:v>-</x:v>
      </x:c>
    </x:row>
    <x:row r="59" ht="36" customHeight="1">
      <x:c r="A59" s="22" t="str">
        <x:v>D231</x:v>
      </x:c>
      <x:c r="B59" s="22" t="str">
        <x:v>野川公園</x:v>
      </x:c>
      <x:c r="C59" s="22" t="str">
        <x:v>東京都調布市・小金井市・三鷹市</x:v>
      </x:c>
      <x:c r="D59" s="22" t="str">
        <x:v>湧水・河川・草地</x:v>
      </x:c>
      <x:c r="E59" s="22" t="str">
        <x:v>国分寺崖線の湧水と野川、広い草地がつながり、都市西部で水と地形を感じる静かなEnding。</x:v>
      </x:c>
      <x:c r="F59" s="22" t="str">
        <x:v>20時以降入庫不可。自然観察園等の施設時間は別。休日は満車になりやすい。</x:v>
      </x:c>
      <x:c r="G59" s="22" t="str">
        <x:v>20〜25km</x:v>
      </x:c>
      <x:c r="H59" s="22" t="str">
        <x:v>概ね20〜25km</x:v>
      </x:c>
      <x:c r="I59" s="22" t="str">
        <x:v>通常40〜70分</x:v>
      </x:c>
      <x:c r="J59" s="22" t="n">
        <x:v>3</x:v>
      </x:c>
      <x:c r="K59" s="22" t="n">
        <x:v>2</x:v>
      </x:c>
      <x:c r="L59" s="22" t="n">
        <x:v>1</x:v>
      </x:c>
      <x:c r="M59" s="22" t="n">
        <x:v>1</x:v>
      </x:c>
      <x:c r="N59" s="22" t="n">
        <x:v>4</x:v>
      </x:c>
      <x:c r="O59" s="22" t="n">
        <x:v>5</x:v>
      </x:c>
      <x:c r="P59" s="22" t="n">
        <x:v>63</x:v>
      </x:c>
      <x:c r="Q59" s="22" t="n">
        <x:v>67</x:v>
      </x:c>
      <x:c r="R59" s="22" t="n">
        <x:v>48</x:v>
      </x:c>
      <x:c r="S59" s="22" t="n">
        <x:v>44</x:v>
      </x:c>
      <x:c r="T59" s="22" t="n">
        <x:v>72</x:v>
      </x:c>
      <x:c r="U59" s="22" t="n">
        <x:v>43</x:v>
      </x:c>
      <x:c r="V59" s="22" t="n">
        <x:v>45</x:v>
      </x:c>
      <x:c r="W59" s="22" t="n">
        <x:v>51</x:v>
      </x:c>
      <x:c r="X59" s="22" t="n">
        <x:v>55</x:v>
      </x:c>
      <x:c r="Y59" s="22" t="str">
        <x:v>海・港／深夜2時間</x:v>
      </x:c>
      <x:c r="Z59" s="22" t="str">
        <x:v>出発前に閉場確認</x:v>
      </x:c>
      <x:c r="AA59" s="22" t="str">
        <x:v>用途限定で有効</x:v>
      </x:c>
      <x:c r="AB59" s="22" t="str">
        <x:v>多摩川浅間神社</x:v>
      </x:c>
      <x:c r="AC59" s="22" t="str">
        <x:v>多摩川六郷橋緑地／多摩川ガス橋緑地</x:v>
      </x:c>
      <x:c r="AD59" s="22" t="n">
        <x:v>70</x:v>
      </x:c>
      <x:c r="AE59" s="22" t="n">
        <x:v>60</x:v>
      </x:c>
      <x:c r="AF59" s="22" t="n">
        <x:v>200</x:v>
      </x:c>
      <x:c r="AG59" s="22" t="n">
        <x:v>3</x:v>
      </x:c>
      <x:c r="AH59" s="22" t="n">
        <x:v>45</x:v>
      </x:c>
      <x:c r="AI59" s="22" t="n">
        <x:v>5</x:v>
      </x:c>
      <x:c r="AJ59" s="22" t="n">
        <x:f>ROUND(MAX(0,MIN(100,IF('条件入力ナビ'!$B$9="飛行機",S59,IF('条件入力ナビ'!$B$9="海・港",T59,IF('条件入力ナビ'!$B$9="工場夜景",U59,IF('条件入力ナビ'!$B$9="静かな場所",V59,IF('条件入力ナビ'!$B$9="Story",AH59,X59)))))*0.30+IF('条件入力ナビ'!$B$7="深夜",Q59,IF('条件入力ナビ'!$B$7="夜",P59,IF('条件入力ナビ'!$B$7="夕方",(P59+W59)/2,W59)))*0.20+IF('条件入力ナビ'!$B$8="雨",R59,IF('条件入力ナビ'!$B$8="小雨",(R59+X59)/2,IF('条件入力ナビ'!$B$8="強風",MAX(0,X59-AI59*8),X59)))*0.15+N59*2+IF('条件入力ナビ'!$B$11="確実性優先",N59*1.6,IF('条件入力ナビ'!$B$11="穴場優先",K59*1.6,(N59+K59)*0.8))+IF(AF59&lt;='条件入力ナビ'!$B$6,12,MAX(-30,-(AF59-'条件入力ナビ'!$B$6)*0.5))+IF('条件入力ナビ'!$B$10="歩きたくない",(6-AG59)*1.2,IF('条件入力ナビ'!$B$10="歩きたい",AG59*1.2,0))+IF('条件入力ナビ'!$B$13="許容",AL59*1.2,IF('条件入力ナビ'!$B$13="路上候補除外",IF(AL59&gt;0,-12,0),0)))))</x:f>
        <x:v>22</x:v>
      </x:c>
      <x:c r="AK59" s="22" t="n">
        <x:f>RANK.EQ(AJ59,$AJ$2:$AJ$94,0)+COUNTIF($AJ$2:AJ59,AJ59)-1</x:f>
        <x:v>84</x:v>
      </x:c>
      <x:c r="AL59" t="n">
        <x:v>0</x:v>
      </x:c>
      <x:c r="AM59" t="str">
        <x:v>-</x:v>
      </x:c>
    </x:row>
    <x:row r="60" ht="36" customHeight="1">
      <x:c r="A60" s="22" t="str">
        <x:v>D241</x:v>
      </x:c>
      <x:c r="B60" s="22" t="str">
        <x:v>大森ふるさとの浜辺公園</x:v>
      </x:c>
      <x:c r="C60" s="22" t="str">
        <x:v>大田区・大森東</x:v>
      </x:c>
      <x:c r="D60" s="22" t="str">
        <x:v>人工海浜・干潟・海苔Story</x:v>
      </x:c>
      <x:c r="E60" s="22" t="str">
        <x:v>蒲田から短時間で、砂浜・干潟・芝生・運河を味わえる。遠出せず『海へ来た感覚』を得られる近距離の主力Ending。</x:v>
      </x:c>
      <x:c r="F60" s="22" t="str">
        <x:v>浜辺は21時閉門。休日は駐車待ちが発生。遊泳・釣り・火気は禁止。</x:v>
      </x:c>
      <x:c r="G60" s="22" t="str">
        <x:v>0〜10km</x:v>
      </x:c>
      <x:c r="H60" s="22" t="str">
        <x:v>蒲田から約4〜7km</x:v>
      </x:c>
      <x:c r="I60" s="22" t="str">
        <x:v>通常15〜25分</x:v>
      </x:c>
      <x:c r="J60" s="22" t="n">
        <x:v>4</x:v>
      </x:c>
      <x:c r="K60" s="22" t="n">
        <x:v>2</x:v>
      </x:c>
      <x:c r="L60" s="22" t="n">
        <x:v>1</x:v>
      </x:c>
      <x:c r="M60" s="22" t="n">
        <x:v>2</x:v>
      </x:c>
      <x:c r="N60" s="22" t="n">
        <x:v>5</x:v>
      </x:c>
      <x:c r="O60" s="22" t="n">
        <x:v>5</x:v>
      </x:c>
      <x:c r="P60" s="22" t="n">
        <x:v>83</x:v>
      </x:c>
      <x:c r="Q60" s="22" t="n">
        <x:v>85</x:v>
      </x:c>
      <x:c r="R60" s="22" t="n">
        <x:v>60</x:v>
      </x:c>
      <x:c r="S60" s="22" t="n">
        <x:v>60</x:v>
      </x:c>
      <x:c r="T60" s="22" t="n">
        <x:v>87</x:v>
      </x:c>
      <x:c r="U60" s="22" t="n">
        <x:v>58</x:v>
      </x:c>
      <x:c r="V60" s="22" t="n">
        <x:v>58</x:v>
      </x:c>
      <x:c r="W60" s="22" t="n">
        <x:v>76</x:v>
      </x:c>
      <x:c r="X60" s="22" t="n">
        <x:v>73</x:v>
      </x:c>
      <x:c r="Y60" s="22" t="str">
        <x:v>海・港／深夜2時間</x:v>
      </x:c>
      <x:c r="Z60" s="22" t="str">
        <x:v>出発前に閉場確認</x:v>
      </x:c>
      <x:c r="AA60" s="22" t="str">
        <x:v>条件が合えば有力</x:v>
      </x:c>
      <x:c r="AB60" s="22" t="str">
        <x:v>平和の森公園</x:v>
      </x:c>
      <x:c r="AC60" s="22" t="str">
        <x:v>平和の森公園／城南島海浜公園</x:v>
      </x:c>
      <x:c r="AD60" s="22" t="n">
        <x:v>25</x:v>
      </x:c>
      <x:c r="AE60" s="22" t="n">
        <x:v>52</x:v>
      </x:c>
      <x:c r="AF60" s="22" t="n">
        <x:v>102</x:v>
      </x:c>
      <x:c r="AG60" s="22" t="n">
        <x:v>3</x:v>
      </x:c>
      <x:c r="AH60" s="22" t="n">
        <x:v>80</x:v>
      </x:c>
      <x:c r="AI60" s="22" t="n">
        <x:v>5</x:v>
      </x:c>
      <x:c r="AJ60" s="22" t="n">
        <x:f>ROUND(MAX(0,MIN(100,IF('条件入力ナビ'!$B$9="飛行機",S60,IF('条件入力ナビ'!$B$9="海・港",T60,IF('条件入力ナビ'!$B$9="工場夜景",U60,IF('条件入力ナビ'!$B$9="静かな場所",V60,IF('条件入力ナビ'!$B$9="Story",AH60,X60)))))*0.30+IF('条件入力ナビ'!$B$7="深夜",Q60,IF('条件入力ナビ'!$B$7="夜",P60,IF('条件入力ナビ'!$B$7="夕方",(P60+W60)/2,W60)))*0.20+IF('条件入力ナビ'!$B$8="雨",R60,IF('条件入力ナビ'!$B$8="小雨",(R60+X60)/2,IF('条件入力ナビ'!$B$8="強風",MAX(0,X60-AI60*8),X60)))*0.15+N60*2+IF('条件入力ナビ'!$B$11="確実性優先",N60*1.6,IF('条件入力ナビ'!$B$11="穴場優先",K60*1.6,(N60+K60)*0.8))+IF(AF60&lt;='条件入力ナビ'!$B$6,12,MAX(-30,-(AF60-'条件入力ナビ'!$B$6)*0.5))+IF('条件入力ナビ'!$B$10="歩きたくない",(6-AG60)*1.2,IF('条件入力ナビ'!$B$10="歩きたい",AG60*1.2,0))+IF('条件入力ナビ'!$B$13="許容",AL60*1.2,IF('条件入力ナビ'!$B$13="路上候補除外",IF(AL60&gt;0,-12,0),0)))))</x:f>
        <x:v>79</x:v>
      </x:c>
      <x:c r="AK60" s="22" t="n">
        <x:f>RANK.EQ(AJ60,$AJ$2:$AJ$94,0)+COUNTIF($AJ$2:AJ60,AJ60)-1</x:f>
        <x:v>4</x:v>
      </x:c>
      <x:c r="AL60" t="n">
        <x:v>0</x:v>
      </x:c>
      <x:c r="AM60" t="str">
        <x:v>-</x:v>
      </x:c>
    </x:row>
    <x:row r="61" ht="36" customHeight="1">
      <x:c r="A61" s="22" t="str">
        <x:v>D242</x:v>
      </x:c>
      <x:c r="B61" s="22" t="str">
        <x:v>平和の森公園</x:v>
      </x:c>
      <x:c r="C61" s="22" t="str">
        <x:v>大田区・平和の森公園</x:v>
      </x:c>
      <x:c r="D61" s="22" t="str">
        <x:v>大規模公園・池・平和Story</x:v>
      </x:c>
      <x:c r="E61" s="22" t="str">
        <x:v>区内最大級の公園で、ひょうたん池、梅、広場、アスレチックを近距離で選べる。浜辺公園とのセット性能が高い。</x:v>
      </x:c>
      <x:c r="F61" s="22" t="str">
        <x:v>施設利用時間は個別。休日は大森ふるさとの浜辺公園と共用で混雑する。</x:v>
      </x:c>
      <x:c r="G61" s="22" t="str">
        <x:v>0〜10km</x:v>
      </x:c>
      <x:c r="H61" s="22" t="str">
        <x:v>蒲田から約4〜7km</x:v>
      </x:c>
      <x:c r="I61" s="22" t="str">
        <x:v>通常15〜25分</x:v>
      </x:c>
      <x:c r="J61" s="22" t="n">
        <x:v>4</x:v>
      </x:c>
      <x:c r="K61" s="22" t="n">
        <x:v>2</x:v>
      </x:c>
      <x:c r="L61" s="22" t="n">
        <x:v>1</x:v>
      </x:c>
      <x:c r="M61" s="22" t="n">
        <x:v>1</x:v>
      </x:c>
      <x:c r="N61" s="22" t="n">
        <x:v>2</x:v>
      </x:c>
      <x:c r="O61" s="22" t="n">
        <x:v>5</x:v>
      </x:c>
      <x:c r="P61" s="22" t="n">
        <x:v>72</x:v>
      </x:c>
      <x:c r="Q61" s="22" t="n">
        <x:v>71</x:v>
      </x:c>
      <x:c r="R61" s="22" t="n">
        <x:v>46</x:v>
      </x:c>
      <x:c r="S61" s="22" t="n">
        <x:v>49</x:v>
      </x:c>
      <x:c r="T61" s="22" t="n">
        <x:v>48</x:v>
      </x:c>
      <x:c r="U61" s="22" t="n">
        <x:v>47</x:v>
      </x:c>
      <x:c r="V61" s="22" t="n">
        <x:v>77</x:v>
      </x:c>
      <x:c r="W61" s="22" t="n">
        <x:v>67</x:v>
      </x:c>
      <x:c r="X61" s="22" t="n">
        <x:v>61</x:v>
      </x:c>
      <x:c r="Y61" s="22" t="str">
        <x:v>静かな場所／平日夜90分</x:v>
      </x:c>
      <x:c r="Z61" s="22" t="str">
        <x:v>出発前に閉場確認</x:v>
      </x:c>
      <x:c r="AA61" s="22" t="str">
        <x:v>用途限定で有効</x:v>
      </x:c>
      <x:c r="AB61" s="22" t="str">
        <x:v>大森ふるさとの浜辺公園</x:v>
      </x:c>
      <x:c r="AC61" s="22" t="str">
        <x:v>大森ふるさとの浜辺公園／都堀公園</x:v>
      </x:c>
      <x:c r="AD61" s="22" t="n">
        <x:v>25</x:v>
      </x:c>
      <x:c r="AE61" s="22" t="n">
        <x:v>60</x:v>
      </x:c>
      <x:c r="AF61" s="22" t="n">
        <x:v>110</x:v>
      </x:c>
      <x:c r="AG61" s="22" t="n">
        <x:v>3</x:v>
      </x:c>
      <x:c r="AH61" s="22" t="n">
        <x:v>80</x:v>
      </x:c>
      <x:c r="AI61" s="22" t="n">
        <x:v>2</x:v>
      </x:c>
      <x:c r="AJ61" s="22" t="n">
        <x:f>ROUND(MAX(0,MIN(100,IF('条件入力ナビ'!$B$9="飛行機",S61,IF('条件入力ナビ'!$B$9="海・港",T61,IF('条件入力ナビ'!$B$9="工場夜景",U61,IF('条件入力ナビ'!$B$9="静かな場所",V61,IF('条件入力ナビ'!$B$9="Story",AH61,X61)))))*0.30+IF('条件入力ナビ'!$B$7="深夜",Q61,IF('条件入力ナビ'!$B$7="夜",P61,IF('条件入力ナビ'!$B$7="夕方",(P61+W61)/2,W61)))*0.20+IF('条件入力ナビ'!$B$8="雨",R61,IF('条件入力ナビ'!$B$8="小雨",(R61+X61)/2,IF('条件入力ナビ'!$B$8="強風",MAX(0,X61-AI61*8),X61)))*0.15+N61*2+IF('条件入力ナビ'!$B$11="確実性優先",N61*1.6,IF('条件入力ナビ'!$B$11="穴場優先",K61*1.6,(N61+K61)*0.8))+IF(AF61&lt;='条件入力ナビ'!$B$6,12,MAX(-30,-(AF61-'条件入力ナビ'!$B$6)*0.5))+IF('条件入力ナビ'!$B$10="歩きたくない",(6-AG61)*1.2,IF('条件入力ナビ'!$B$10="歩きたい",AG61*1.2,0))+IF('条件入力ナビ'!$B$13="許容",AL61*1.2,IF('条件入力ナビ'!$B$13="路上候補除外",IF(AL61&gt;0,-12,0),0)))))</x:f>
        <x:v>61</x:v>
      </x:c>
      <x:c r="AK61" s="22" t="n">
        <x:f>RANK.EQ(AJ61,$AJ$2:$AJ$94,0)+COUNTIF($AJ$2:AJ61,AJ61)-1</x:f>
        <x:v>27</x:v>
      </x:c>
      <x:c r="AL61" t="n">
        <x:v>0</x:v>
      </x:c>
      <x:c r="AM61" t="str">
        <x:v>-</x:v>
      </x:c>
    </x:row>
    <x:row r="62" ht="36" customHeight="1">
      <x:c r="A62" s="22" t="str">
        <x:v>D243</x:v>
      </x:c>
      <x:c r="B62" s="22" t="str">
        <x:v>森ケ崎公園</x:v>
      </x:c>
      <x:c r="C62" s="22" t="str">
        <x:v>大田区・大森南</x:v>
      </x:c>
      <x:c r="D62" s="22" t="str">
        <x:v>屋上公園・飛行機・富士山</x:v>
      </x:c>
      <x:c r="E62" s="22" t="str">
        <x:v>水再生センター屋上という特殊な立地から、羽田空港と富士山方向を望める。近いのに地上から切り離された感覚がある。</x:v>
      </x:c>
      <x:c r="F62" s="22" t="str">
        <x:v>利用時間外は入出庫不可。土日祝は入場待ちが発生しやすく、急ぐ場合は近隣民間駐車場へ切替。</x:v>
      </x:c>
      <x:c r="G62" s="22" t="str">
        <x:v>0〜10km</x:v>
      </x:c>
      <x:c r="H62" s="22" t="str">
        <x:v>蒲田から約5〜8km</x:v>
      </x:c>
      <x:c r="I62" s="22" t="str">
        <x:v>通常15〜30分</x:v>
      </x:c>
      <x:c r="J62" s="22" t="n">
        <x:v>4</x:v>
      </x:c>
      <x:c r="K62" s="22" t="n">
        <x:v>4</x:v>
      </x:c>
      <x:c r="L62" s="22" t="n">
        <x:v>1</x:v>
      </x:c>
      <x:c r="M62" s="22" t="n">
        <x:v>2</x:v>
      </x:c>
      <x:c r="N62" s="22" t="n">
        <x:v>4</x:v>
      </x:c>
      <x:c r="O62" s="22" t="n">
        <x:v>4</x:v>
      </x:c>
      <x:c r="P62" s="22" t="n">
        <x:v>81</x:v>
      </x:c>
      <x:c r="Q62" s="22" t="n">
        <x:v>79</x:v>
      </x:c>
      <x:c r="R62" s="22" t="n">
        <x:v>58</x:v>
      </x:c>
      <x:c r="S62" s="22" t="n">
        <x:v>87</x:v>
      </x:c>
      <x:c r="T62" s="22" t="n">
        <x:v>58</x:v>
      </x:c>
      <x:c r="U62" s="22" t="n">
        <x:v>55</x:v>
      </x:c>
      <x:c r="V62" s="22" t="n">
        <x:v>91</x:v>
      </x:c>
      <x:c r="W62" s="22" t="n">
        <x:v>61</x:v>
      </x:c>
      <x:c r="X62" s="22" t="n">
        <x:v>72</x:v>
      </x:c>
      <x:c r="Y62" s="22" t="str">
        <x:v>静かな場所／飛行機</x:v>
      </x:c>
      <x:c r="Z62" s="22" t="str">
        <x:v>出発前に閉場確認</x:v>
      </x:c>
      <x:c r="AA62" s="22" t="str">
        <x:v>条件が合えば有力</x:v>
      </x:c>
      <x:c r="AB62" s="22" t="str">
        <x:v>HANEDA INNOVATION CITY 足湯スカイデッキ</x:v>
      </x:c>
      <x:c r="AC62" s="22" t="str">
        <x:v>ソラムナード羽田緑地／城南島海浜公園</x:v>
      </x:c>
      <x:c r="AD62" s="22" t="n">
        <x:v>30</x:v>
      </x:c>
      <x:c r="AE62" s="22" t="n">
        <x:v>45</x:v>
      </x:c>
      <x:c r="AF62" s="22" t="n">
        <x:v>105</x:v>
      </x:c>
      <x:c r="AG62" s="22" t="n">
        <x:v>3</x:v>
      </x:c>
      <x:c r="AH62" s="22" t="n">
        <x:v>45</x:v>
      </x:c>
      <x:c r="AI62" s="22" t="n">
        <x:v>5</x:v>
      </x:c>
      <x:c r="AJ62" s="22" t="n">
        <x:f>ROUND(MAX(0,MIN(100,IF('条件入力ナビ'!$B$9="飛行機",S62,IF('条件入力ナビ'!$B$9="海・港",T62,IF('条件入力ナビ'!$B$9="工場夜景",U62,IF('条件入力ナビ'!$B$9="静かな場所",V62,IF('条件入力ナビ'!$B$9="Story",AH62,X62)))))*0.30+IF('条件入力ナビ'!$B$7="深夜",Q62,IF('条件入力ナビ'!$B$7="夜",P62,IF('条件入力ナビ'!$B$7="夕方",(P62+W62)/2,W62)))*0.20+IF('条件入力ナビ'!$B$8="雨",R62,IF('条件入力ナビ'!$B$8="小雨",(R62+X62)/2,IF('条件入力ナビ'!$B$8="強風",MAX(0,X62-AI62*8),X62)))*0.15+N62*2+IF('条件入力ナビ'!$B$11="確実性優先",N62*1.6,IF('条件入力ナビ'!$B$11="穴場優先",K62*1.6,(N62+K62)*0.8))+IF(AF62&lt;='条件入力ナビ'!$B$6,12,MAX(-30,-(AF62-'条件入力ナビ'!$B$6)*0.5))+IF('条件入力ナビ'!$B$10="歩きたくない",(6-AG62)*1.2,IF('条件入力ナビ'!$B$10="歩きたい",AG62*1.2,0))+IF('条件入力ナビ'!$B$13="許容",AL62*1.2,IF('条件入力ナビ'!$B$13="路上候補除外",IF(AL62&gt;0,-12,0),0)))))</x:f>
        <x:v>75</x:v>
      </x:c>
      <x:c r="AK62" s="22" t="n">
        <x:f>RANK.EQ(AJ62,$AJ$2:$AJ$94,0)+COUNTIF($AJ$2:AJ62,AJ62)-1</x:f>
        <x:v>10</x:v>
      </x:c>
      <x:c r="AL62" t="n">
        <x:v>0</x:v>
      </x:c>
      <x:c r="AM62" t="str">
        <x:v>-</x:v>
      </x:c>
    </x:row>
    <x:row r="63" ht="36" customHeight="1">
      <x:c r="A63" s="22" t="str">
        <x:v>D244</x:v>
      </x:c>
      <x:c r="B63" s="22" t="str">
        <x:v>ソラムナード羽田緑地</x:v>
      </x:c>
      <x:c r="C63" s="22" t="str">
        <x:v>大田区・羽田空港</x:v>
      </x:c>
      <x:c r="D63" s="22" t="str">
        <x:v>飛行機・多摩川0km・工場夜景</x:v>
      </x:c>
      <x:c r="E63" s="22" t="str">
        <x:v>多摩川河口、離着陸機、対岸の川崎工場夜景、日の出と夕日を一本の遊歩道で切り替えられる。</x:v>
      </x:c>
      <x:c r="F63" s="22" t="str">
        <x:v>路上駐車禁止。HICなど合法駐車場から徒歩。強風・高潮・増水時は利用を避ける。</x:v>
      </x:c>
      <x:c r="G63" s="22" t="str">
        <x:v>0〜10km</x:v>
      </x:c>
      <x:c r="H63" s="22" t="str">
        <x:v>蒲田から約7〜10km</x:v>
      </x:c>
      <x:c r="I63" s="22" t="str">
        <x:v>通常20〜35分</x:v>
      </x:c>
      <x:c r="J63" s="22" t="n">
        <x:v>5</x:v>
      </x:c>
      <x:c r="K63" s="22" t="n">
        <x:v>5</x:v>
      </x:c>
      <x:c r="L63" s="22" t="n">
        <x:v>1</x:v>
      </x:c>
      <x:c r="M63" s="22" t="n">
        <x:v>2</x:v>
      </x:c>
      <x:c r="N63" s="22" t="n">
        <x:v>1</x:v>
      </x:c>
      <x:c r="O63" s="22" t="n">
        <x:v>5</x:v>
      </x:c>
      <x:c r="P63" s="22" t="n">
        <x:v>82</x:v>
      </x:c>
      <x:c r="Q63" s="22" t="n">
        <x:v>78</x:v>
      </x:c>
      <x:c r="R63" s="22" t="n">
        <x:v>50</x:v>
      </x:c>
      <x:c r="S63" s="22" t="n">
        <x:v>82</x:v>
      </x:c>
      <x:c r="T63" s="22" t="n">
        <x:v>54</x:v>
      </x:c>
      <x:c r="U63" s="22" t="n">
        <x:v>82</x:v>
      </x:c>
      <x:c r="V63" s="22" t="n">
        <x:v>60</x:v>
      </x:c>
      <x:c r="W63" s="22" t="n">
        <x:v>56</x:v>
      </x:c>
      <x:c r="X63" s="22" t="n">
        <x:v>69</x:v>
      </x:c>
      <x:c r="Y63" s="22" t="str">
        <x:v>平日夜90分／飛行機</x:v>
      </x:c>
      <x:c r="Z63" s="22" t="str">
        <x:v>出発前に閉場確認</x:v>
      </x:c>
      <x:c r="AA63" s="22" t="str">
        <x:v>用途限定で有効</x:v>
      </x:c>
      <x:c r="AB63" s="22" t="str">
        <x:v>HANEDA INNOVATION CITY 足湯スカイデッキ</x:v>
      </x:c>
      <x:c r="AC63" s="22" t="str">
        <x:v>羽田空港 第3ターミナル展望デッキ／殿町緑地</x:v>
      </x:c>
      <x:c r="AD63" s="22" t="n">
        <x:v>35</x:v>
      </x:c>
      <x:c r="AE63" s="22" t="n">
        <x:v>52</x:v>
      </x:c>
      <x:c r="AF63" s="22" t="n">
        <x:v>122</x:v>
      </x:c>
      <x:c r="AG63" s="22" t="n">
        <x:v>3</x:v>
      </x:c>
      <x:c r="AH63" s="22" t="n">
        <x:v>45</x:v>
      </x:c>
      <x:c r="AI63" s="22" t="n">
        <x:v>2</x:v>
      </x:c>
      <x:c r="AJ63" s="22" t="n">
        <x:f>ROUND(MAX(0,MIN(100,IF('条件入力ナビ'!$B$9="飛行機",S63,IF('条件入力ナビ'!$B$9="海・港",T63,IF('条件入力ナビ'!$B$9="工場夜景",U63,IF('条件入力ナビ'!$B$9="静かな場所",V63,IF('条件入力ナビ'!$B$9="Story",AH63,X63)))))*0.30+IF('条件入力ナビ'!$B$7="深夜",Q63,IF('条件入力ナビ'!$B$7="夜",P63,IF('条件入力ナビ'!$B$7="夕方",(P63+W63)/2,W63)))*0.20+IF('条件入力ナビ'!$B$8="雨",R63,IF('条件入力ナビ'!$B$8="小雨",(R63+X63)/2,IF('条件入力ナビ'!$B$8="強風",MAX(0,X63-AI63*8),X63)))*0.15+N63*2+IF('条件入力ナビ'!$B$11="確実性優先",N63*1.6,IF('条件入力ナビ'!$B$11="穴場優先",K63*1.6,(N63+K63)*0.8))+IF(AF63&lt;='条件入力ナビ'!$B$6,12,MAX(-30,-(AF63-'条件入力ナビ'!$B$6)*0.5))+IF('条件入力ナビ'!$B$10="歩きたくない",(6-AG63)*1.2,IF('条件入力ナビ'!$B$10="歩きたい",AG63*1.2,0))+IF('条件入力ナビ'!$B$13="許容",AL63*1.2,IF('条件入力ナビ'!$B$13="路上候補除外",IF(AL63&gt;0,-12,0),0)))))</x:f>
        <x:v>50</x:v>
      </x:c>
      <x:c r="AK63" s="22" t="n">
        <x:f>RANK.EQ(AJ63,$AJ$2:$AJ$94,0)+COUNTIF($AJ$2:AJ63,AJ63)-1</x:f>
        <x:v>39</x:v>
      </x:c>
      <x:c r="AL63" t="n">
        <x:v>0</x:v>
      </x:c>
      <x:c r="AM63" t="str">
        <x:v>-</x:v>
      </x:c>
    </x:row>
    <x:row r="64" ht="36" customHeight="1">
      <x:c r="A64" s="22" t="str">
        <x:v>D245</x:v>
      </x:c>
      <x:c r="B64" s="22" t="str">
        <x:v>HANEDA INNOVATION CITY 足湯スカイデッキ</x:v>
      </x:c>
      <x:c r="C64" s="22" t="str">
        <x:v>大田区・天空橋</x:v>
      </x:c>
      <x:c r="D64" s="22" t="str">
        <x:v>足湯・飛行機・夜景</x:v>
      </x:c>
      <x:c r="E64" s="22" t="str">
        <x:v>無料の足湯に浸かりながら飛行機を眺められ、短時間でも『出かけた満足感』が非常に高い。</x:v>
      </x:c>
      <x:c r="F64" s="22" t="str">
        <x:v>貸切利用時は入場不可。食事は禁止。深夜帯は静粛にし、P2は営業時間外出庫不可。</x:v>
      </x:c>
      <x:c r="G64" s="22" t="str">
        <x:v>0〜10km</x:v>
      </x:c>
      <x:c r="H64" s="22" t="str">
        <x:v>蒲田から約6〜9km</x:v>
      </x:c>
      <x:c r="I64" s="22" t="str">
        <x:v>通常15〜30分</x:v>
      </x:c>
      <x:c r="J64" s="22" t="n">
        <x:v>5</x:v>
      </x:c>
      <x:c r="K64" s="22" t="n">
        <x:v>3</x:v>
      </x:c>
      <x:c r="L64" s="22" t="n">
        <x:v>3</x:v>
      </x:c>
      <x:c r="M64" s="22" t="n">
        <x:v>3</x:v>
      </x:c>
      <x:c r="N64" s="22" t="n">
        <x:v>5</x:v>
      </x:c>
      <x:c r="O64" s="22" t="n">
        <x:v>5</x:v>
      </x:c>
      <x:c r="P64" s="22" t="n">
        <x:v>92</x:v>
      </x:c>
      <x:c r="Q64" s="22" t="n">
        <x:v>94</x:v>
      </x:c>
      <x:c r="R64" s="22" t="n">
        <x:v>78</x:v>
      </x:c>
      <x:c r="S64" s="22" t="n">
        <x:v>94</x:v>
      </x:c>
      <x:c r="T64" s="22" t="n">
        <x:v>66</x:v>
      </x:c>
      <x:c r="U64" s="22" t="n">
        <x:v>64</x:v>
      </x:c>
      <x:c r="V64" s="22" t="n">
        <x:v>64</x:v>
      </x:c>
      <x:c r="W64" s="22" t="n">
        <x:v>66</x:v>
      </x:c>
      <x:c r="X64" s="22" t="n">
        <x:v>78</x:v>
      </x:c>
      <x:c r="Y64" s="22" t="str">
        <x:v>深夜2時間／飛行機</x:v>
      </x:c>
      <x:c r="Z64" s="22" t="str">
        <x:v>出発前に閉場確認</x:v>
      </x:c>
      <x:c r="AA64" s="22" t="str">
        <x:v>条件が合えば有力</x:v>
      </x:c>
      <x:c r="AB64" s="22" t="str">
        <x:v>羽田空港 第3ターミナル展望デッキ</x:v>
      </x:c>
      <x:c r="AC64" s="22" t="str">
        <x:v>ソラムナード羽田緑地／森ケ崎公園</x:v>
      </x:c>
      <x:c r="AD64" s="22" t="n">
        <x:v>30</x:v>
      </x:c>
      <x:c r="AE64" s="22" t="n">
        <x:v>40</x:v>
      </x:c>
      <x:c r="AF64" s="22" t="n">
        <x:v>100</x:v>
      </x:c>
      <x:c r="AG64" s="22" t="n">
        <x:v>2</x:v>
      </x:c>
      <x:c r="AH64" s="22" t="n">
        <x:v>45</x:v>
      </x:c>
      <x:c r="AI64" s="22" t="n">
        <x:v>2</x:v>
      </x:c>
      <x:c r="AJ64" s="22" t="n">
        <x:f>ROUND(MAX(0,MIN(100,IF('条件入力ナビ'!$B$9="飛行機",S64,IF('条件入力ナビ'!$B$9="海・港",T64,IF('条件入力ナビ'!$B$9="工場夜景",U64,IF('条件入力ナビ'!$B$9="静かな場所",V64,IF('条件入力ナビ'!$B$9="Story",AH64,X64)))))*0.30+IF('条件入力ナビ'!$B$7="深夜",Q64,IF('条件入力ナビ'!$B$7="夜",P64,IF('条件入力ナビ'!$B$7="夕方",(P64+W64)/2,W64)))*0.20+IF('条件入力ナビ'!$B$8="雨",R64,IF('条件入力ナビ'!$B$8="小雨",(R64+X64)/2,IF('条件入力ナビ'!$B$8="強風",MAX(0,X64-AI64*8),X64)))*0.15+N64*2+IF('条件入力ナビ'!$B$11="確実性優先",N64*1.6,IF('条件入力ナビ'!$B$11="穴場優先",K64*1.6,(N64+K64)*0.8))+IF(AF64&lt;='条件入力ナビ'!$B$6,12,MAX(-30,-(AF64-'条件入力ナビ'!$B$6)*0.5))+IF('条件入力ナビ'!$B$10="歩きたくない",(6-AG64)*1.2,IF('条件入力ナビ'!$B$10="歩きたい",AG64*1.2,0))+IF('条件入力ナビ'!$B$13="許容",AL64*1.2,IF('条件入力ナビ'!$B$13="路上候補除外",IF(AL64&gt;0,-12,0),0)))))</x:f>
        <x:v>84</x:v>
      </x:c>
      <x:c r="AK64" s="22" t="n">
        <x:f>RANK.EQ(AJ64,$AJ$2:$AJ$94,0)+COUNTIF($AJ$2:AJ64,AJ64)-1</x:f>
        <x:v>1</x:v>
      </x:c>
      <x:c r="AL64" t="n">
        <x:v>0</x:v>
      </x:c>
      <x:c r="AM64" t="str">
        <x:v>-</x:v>
      </x:c>
    </x:row>
    <x:row r="65" ht="36" customHeight="1">
      <x:c r="A65" s="22" t="str">
        <x:v>D246</x:v>
      </x:c>
      <x:c r="B65" s="22" t="str">
        <x:v>羽田空港 第1ターミナル展望デッキ</x:v>
      </x:c>
      <x:c r="C65" s="22" t="str">
        <x:v>大田区・羽田空港</x:v>
      </x:c>
      <x:c r="D65" s="22" t="str">
        <x:v>飛行機・国内線・空港</x:v>
      </x:c>
      <x:c r="E65" s="22" t="str">
        <x:v>JAL系の国内線機材や滑走路運用を見ながら、空港飲食と組み合わせられる雨天対応の近距離Ending。</x:v>
      </x:c>
      <x:c r="F65" s="22" t="str">
        <x:v>悪天候・保安上の閉鎖あり。多客期5:30～20:00は駐車場が数時間待ちになる場合がある。</x:v>
      </x:c>
      <x:c r="G65" s="22" t="str">
        <x:v>0〜10km</x:v>
      </x:c>
      <x:c r="H65" s="22" t="str">
        <x:v>蒲田から約9〜13km</x:v>
      </x:c>
      <x:c r="I65" s="22" t="str">
        <x:v>通常20〜40分</x:v>
      </x:c>
      <x:c r="J65" s="22" t="n">
        <x:v>5</x:v>
      </x:c>
      <x:c r="K65" s="22" t="n">
        <x:v>2</x:v>
      </x:c>
      <x:c r="L65" s="22" t="n">
        <x:v>4</x:v>
      </x:c>
      <x:c r="M65" s="22" t="n">
        <x:v>2</x:v>
      </x:c>
      <x:c r="N65" s="22" t="n">
        <x:v>4</x:v>
      </x:c>
      <x:c r="O65" s="22" t="n">
        <x:v>4</x:v>
      </x:c>
      <x:c r="P65" s="22" t="n">
        <x:v>82</x:v>
      </x:c>
      <x:c r="Q65" s="22" t="n">
        <x:v>83</x:v>
      </x:c>
      <x:c r="R65" s="22" t="n">
        <x:v>82</x:v>
      </x:c>
      <x:c r="S65" s="22" t="n">
        <x:v>88</x:v>
      </x:c>
      <x:c r="T65" s="22" t="n">
        <x:v>88</x:v>
      </x:c>
      <x:c r="U65" s="22" t="n">
        <x:v>59</x:v>
      </x:c>
      <x:c r="V65" s="22" t="n">
        <x:v>57</x:v>
      </x:c>
      <x:c r="W65" s="22" t="n">
        <x:v>63</x:v>
      </x:c>
      <x:c r="X65" s="22" t="n">
        <x:v>76</x:v>
      </x:c>
      <x:c r="Y65" s="22" t="str">
        <x:v>飛行機／海・港</x:v>
      </x:c>
      <x:c r="Z65" s="22" t="str">
        <x:v>出発前に閉場確認</x:v>
      </x:c>
      <x:c r="AA65" s="22" t="str">
        <x:v>条件が合えば有力</x:v>
      </x:c>
      <x:c r="AB65" s="22" t="str">
        <x:v>羽田空港 第2ターミナル展望デッキ／FLIGHT DECK TOKYO</x:v>
      </x:c>
      <x:c r="AC65" s="22" t="str">
        <x:v>羽田空港 第3ターミナル展望デッキ／城南島海浜公園</x:v>
      </x:c>
      <x:c r="AD65" s="22" t="n">
        <x:v>40</x:v>
      </x:c>
      <x:c r="AE65" s="22" t="n">
        <x:v>60</x:v>
      </x:c>
      <x:c r="AF65" s="22" t="n">
        <x:v>140</x:v>
      </x:c>
      <x:c r="AG65" s="22" t="n">
        <x:v>3</x:v>
      </x:c>
      <x:c r="AH65" s="22" t="n">
        <x:v>45</x:v>
      </x:c>
      <x:c r="AI65" s="22" t="n">
        <x:v>5</x:v>
      </x:c>
      <x:c r="AJ65" s="22" t="n">
        <x:f>ROUND(MAX(0,MIN(100,IF('条件入力ナビ'!$B$9="飛行機",S65,IF('条件入力ナビ'!$B$9="海・港",T65,IF('条件入力ナビ'!$B$9="工場夜景",U65,IF('条件入力ナビ'!$B$9="静かな場所",V65,IF('条件入力ナビ'!$B$9="Story",AH65,X65)))))*0.30+IF('条件入力ナビ'!$B$7="深夜",Q65,IF('条件入力ナビ'!$B$7="夜",P65,IF('条件入力ナビ'!$B$7="夕方",(P65+W65)/2,W65)))*0.20+IF('条件入力ナビ'!$B$8="雨",R65,IF('条件入力ナビ'!$B$8="小雨",(R65+X65)/2,IF('条件入力ナビ'!$B$8="強風",MAX(0,X65-AI65*8),X65)))*0.15+N65*2+IF('条件入力ナビ'!$B$11="確実性優先",N65*1.6,IF('条件入力ナビ'!$B$11="穴場優先",K65*1.6,(N65+K65)*0.8))+IF(AF65&lt;='条件入力ナビ'!$B$6,12,MAX(-30,-(AF65-'条件入力ナビ'!$B$6)*0.5))+IF('条件入力ナビ'!$B$10="歩きたくない",(6-AG65)*1.2,IF('条件入力ナビ'!$B$10="歩きたい",AG65*1.2,0))+IF('条件入力ナビ'!$B$13="許容",AL65*1.2,IF('条件入力ナビ'!$B$13="路上候補除外",IF(AL65&gt;0,-12,0),0)))))</x:f>
        <x:v>55</x:v>
      </x:c>
      <x:c r="AK65" s="22" t="n">
        <x:f>RANK.EQ(AJ65,$AJ$2:$AJ$94,0)+COUNTIF($AJ$2:AJ65,AJ65)-1</x:f>
        <x:v>30</x:v>
      </x:c>
      <x:c r="AL65" t="n">
        <x:v>0</x:v>
      </x:c>
      <x:c r="AM65" t="str">
        <x:v>-</x:v>
      </x:c>
    </x:row>
    <x:row r="66" ht="36" customHeight="1">
      <x:c r="A66" s="22" t="str">
        <x:v>D247</x:v>
      </x:c>
      <x:c r="B66" s="22" t="str">
        <x:v>羽田空港 第2ターミナル展望デッキ／FLIGHT DECK TOKYO</x:v>
      </x:c>
      <x:c r="C66" s="22" t="str">
        <x:v>大田区・羽田空港</x:v>
      </x:c>
      <x:c r="D66" s="22" t="str">
        <x:v>飛行機・屋内展望・雨天</x:v>
      </x:c>
      <x:c r="E66" s="22" t="str">
        <x:v>屋外デッキと屋内展望フロアを使い分けられ、雨天や強風でも航空機を目的地化しやすい。</x:v>
      </x:c>
      <x:c r="F66" s="22" t="str">
        <x:v>悪天候時は屋外閉鎖。多客期は駐車場混雑。雨天ルートでは屋内FLIGHT DECKを優先。</x:v>
      </x:c>
      <x:c r="G66" s="22" t="str">
        <x:v>0〜10km</x:v>
      </x:c>
      <x:c r="H66" s="22" t="str">
        <x:v>蒲田から約10〜14km</x:v>
      </x:c>
      <x:c r="I66" s="22" t="str">
        <x:v>通常25〜45分</x:v>
      </x:c>
      <x:c r="J66" s="22" t="n">
        <x:v>5</x:v>
      </x:c>
      <x:c r="K66" s="22" t="n">
        <x:v>2</x:v>
      </x:c>
      <x:c r="L66" s="22" t="n">
        <x:v>5</x:v>
      </x:c>
      <x:c r="M66" s="22" t="n">
        <x:v>2</x:v>
      </x:c>
      <x:c r="N66" s="22" t="n">
        <x:v>4</x:v>
      </x:c>
      <x:c r="O66" s="22" t="n">
        <x:v>5</x:v>
      </x:c>
      <x:c r="P66" s="22" t="n">
        <x:v>85</x:v>
      </x:c>
      <x:c r="Q66" s="22" t="n">
        <x:v>87</x:v>
      </x:c>
      <x:c r="R66" s="22" t="n">
        <x:v>84</x:v>
      </x:c>
      <x:c r="S66" s="22" t="n">
        <x:v>88</x:v>
      </x:c>
      <x:c r="T66" s="22" t="n">
        <x:v>60</x:v>
      </x:c>
      <x:c r="U66" s="22" t="n">
        <x:v>59</x:v>
      </x:c>
      <x:c r="V66" s="22" t="n">
        <x:v>57</x:v>
      </x:c>
      <x:c r="W66" s="22" t="n">
        <x:v>63</x:v>
      </x:c>
      <x:c r="X66" s="22" t="n">
        <x:v>74</x:v>
      </x:c>
      <x:c r="Y66" s="22" t="str">
        <x:v>飛行機／深夜2時間</x:v>
      </x:c>
      <x:c r="Z66" s="22" t="str">
        <x:v>出発前に閉場確認</x:v>
      </x:c>
      <x:c r="AA66" s="22" t="str">
        <x:v>条件が合えば有力</x:v>
      </x:c>
      <x:c r="AB66" s="22" t="str">
        <x:v>羽田空港 第1ターミナル展望デッキ</x:v>
      </x:c>
      <x:c r="AC66" s="22" t="str">
        <x:v>羽田空港 第3ターミナル展望デッキ／京浜島つばさ公園</x:v>
      </x:c>
      <x:c r="AD66" s="22" t="n">
        <x:v>45</x:v>
      </x:c>
      <x:c r="AE66" s="22" t="n">
        <x:v>60</x:v>
      </x:c>
      <x:c r="AF66" s="22" t="n">
        <x:v>150</x:v>
      </x:c>
      <x:c r="AG66" s="22" t="n">
        <x:v>3</x:v>
      </x:c>
      <x:c r="AH66" s="22" t="n">
        <x:v>45</x:v>
      </x:c>
      <x:c r="AI66" s="22" t="n">
        <x:v>2</x:v>
      </x:c>
      <x:c r="AJ66" s="22" t="n">
        <x:f>ROUND(MAX(0,MIN(100,IF('条件入力ナビ'!$B$9="飛行機",S66,IF('条件入力ナビ'!$B$9="海・港",T66,IF('条件入力ナビ'!$B$9="工場夜景",U66,IF('条件入力ナビ'!$B$9="静かな場所",V66,IF('条件入力ナビ'!$B$9="Story",AH66,X66)))))*0.30+IF('条件入力ナビ'!$B$7="深夜",Q66,IF('条件入力ナビ'!$B$7="夜",P66,IF('条件入力ナビ'!$B$7="夕方",(P66+W66)/2,W66)))*0.20+IF('条件入力ナビ'!$B$8="雨",R66,IF('条件入力ナビ'!$B$8="小雨",(R66+X66)/2,IF('条件入力ナビ'!$B$8="強風",MAX(0,X66-AI66*8),X66)))*0.15+N66*2+IF('条件入力ナビ'!$B$11="確実性優先",N66*1.6,IF('条件入力ナビ'!$B$11="穴場優先",K66*1.6,(N66+K66)*0.8))+IF(AF66&lt;='条件入力ナビ'!$B$6,12,MAX(-30,-(AF66-'条件入力ナビ'!$B$6)*0.5))+IF('条件入力ナビ'!$B$10="歩きたくない",(6-AG66)*1.2,IF('条件入力ナビ'!$B$10="歩きたい",AG66*1.2,0))+IF('条件入力ナビ'!$B$13="許容",AL66*1.2,IF('条件入力ナビ'!$B$13="路上候補除外",IF(AL66&gt;0,-12,0),0)))))</x:f>
        <x:v>50</x:v>
      </x:c>
      <x:c r="AK66" s="22" t="n">
        <x:f>RANK.EQ(AJ66,$AJ$2:$AJ$94,0)+COUNTIF($AJ$2:AJ66,AJ66)-1</x:f>
        <x:v>40</x:v>
      </x:c>
      <x:c r="AL66" t="n">
        <x:v>0</x:v>
      </x:c>
      <x:c r="AM66" t="str">
        <x:v>-</x:v>
      </x:c>
    </x:row>
    <x:row r="67" ht="36" customHeight="1">
      <x:c r="A67" s="22" t="str">
        <x:v>D248</x:v>
      </x:c>
      <x:c r="B67" s="22" t="str">
        <x:v>池上梅園</x:v>
      </x:c>
      <x:c r="C67" s="22" t="str">
        <x:v>大田区・池上</x:v>
      </x:c>
      <x:c r="D67" s="22" t="str">
        <x:v>日本庭園・梅・茶室Story</x:v>
      </x:c>
      <x:c r="E67" s="22" t="str">
        <x:v>丘陵斜面を使った小さな庭園で、短時間でも季節と静けさを得られる。近距離の昼Endingとして密度が高い。</x:v>
      </x:c>
      <x:c r="F67" s="22" t="str">
        <x:v>梅見頃の2月・3月上旬の土日祝は駐車場利用不可。月曜休園期あり。</x:v>
      </x:c>
      <x:c r="G67" s="22" t="str">
        <x:v>0〜10km</x:v>
      </x:c>
      <x:c r="H67" s="22" t="str">
        <x:v>蒲田から約4〜7km</x:v>
      </x:c>
      <x:c r="I67" s="22" t="str">
        <x:v>通常15〜25分</x:v>
      </x:c>
      <x:c r="J67" s="22" t="n">
        <x:v>1</x:v>
      </x:c>
      <x:c r="K67" s="22" t="n">
        <x:v>4</x:v>
      </x:c>
      <x:c r="L67" s="22" t="n">
        <x:v>2</x:v>
      </x:c>
      <x:c r="M67" s="22" t="n">
        <x:v>1</x:v>
      </x:c>
      <x:c r="N67" s="22" t="n">
        <x:v>2</x:v>
      </x:c>
      <x:c r="O67" s="22" t="n">
        <x:v>1</x:v>
      </x:c>
      <x:c r="P67" s="22" t="n">
        <x:v>49</x:v>
      </x:c>
      <x:c r="Q67" s="22" t="n">
        <x:v>39</x:v>
      </x:c>
      <x:c r="R67" s="22" t="n">
        <x:v>49</x:v>
      </x:c>
      <x:c r="S67" s="22" t="n">
        <x:v>42</x:v>
      </x:c>
      <x:c r="T67" s="22" t="n">
        <x:v>38</x:v>
      </x:c>
      <x:c r="U67" s="22" t="n">
        <x:v>35</x:v>
      </x:c>
      <x:c r="V67" s="22" t="n">
        <x:v>79</x:v>
      </x:c>
      <x:c r="W67" s="22" t="n">
        <x:v>66</x:v>
      </x:c>
      <x:c r="X67" s="22" t="n">
        <x:v>50</x:v>
      </x:c>
      <x:c r="Y67" s="22" t="str">
        <x:v>静かな場所／休日半日</x:v>
      </x:c>
      <x:c r="Z67" s="22" t="str">
        <x:v>出発前に閉場確認</x:v>
      </x:c>
      <x:c r="AA67" s="22" t="str">
        <x:v>用途限定で有効</x:v>
      </x:c>
      <x:c r="AB67" s="22" t="str">
        <x:v>平和の森公園</x:v>
      </x:c>
      <x:c r="AC67" s="22" t="str">
        <x:v>池上本門寺周辺／大森ふるさとの浜辺公園</x:v>
      </x:c>
      <x:c r="AD67" s="22" t="n">
        <x:v>25</x:v>
      </x:c>
      <x:c r="AE67" s="22" t="n">
        <x:v>45</x:v>
      </x:c>
      <x:c r="AF67" s="22" t="n">
        <x:v>95</x:v>
      </x:c>
      <x:c r="AG67" s="22" t="n">
        <x:v>4</x:v>
      </x:c>
      <x:c r="AH67" s="22" t="n">
        <x:v>80</x:v>
      </x:c>
      <x:c r="AI67" s="22" t="n">
        <x:v>2</x:v>
      </x:c>
      <x:c r="AJ67" s="22" t="n">
        <x:f>ROUND(MAX(0,MIN(100,IF('条件入力ナビ'!$B$9="飛行機",S67,IF('条件入力ナビ'!$B$9="海・港",T67,IF('条件入力ナビ'!$B$9="工場夜景",U67,IF('条件入力ナビ'!$B$9="静かな場所",V67,IF('条件入力ナビ'!$B$9="Story",AH67,X67)))))*0.30+IF('条件入力ナビ'!$B$7="深夜",Q67,IF('条件入力ナビ'!$B$7="夜",P67,IF('条件入力ナビ'!$B$7="夕方",(P67+W67)/2,W67)))*0.20+IF('条件入力ナビ'!$B$8="雨",R67,IF('条件入力ナビ'!$B$8="小雨",(R67+X67)/2,IF('条件入力ナビ'!$B$8="強風",MAX(0,X67-AI67*8),X67)))*0.15+N67*2+IF('条件入力ナビ'!$B$11="確実性優先",N67*1.6,IF('条件入力ナビ'!$B$11="穴場優先",K67*1.6,(N67+K67)*0.8))+IF(AF67&lt;='条件入力ナビ'!$B$6,12,MAX(-30,-(AF67-'条件入力ナビ'!$B$6)*0.5))+IF('条件入力ナビ'!$B$10="歩きたくない",(6-AG67)*1.2,IF('条件入力ナビ'!$B$10="歩きたい",AG67*1.2,0))+IF('条件入力ナビ'!$B$13="許容",AL67*1.2,IF('条件入力ナビ'!$B$13="路上候補除外",IF(AL67&gt;0,-12,0),0)))))</x:f>
        <x:v>52</x:v>
      </x:c>
      <x:c r="AK67" s="22" t="n">
        <x:f>RANK.EQ(AJ67,$AJ$2:$AJ$94,0)+COUNTIF($AJ$2:AJ67,AJ67)-1</x:f>
        <x:v>35</x:v>
      </x:c>
      <x:c r="AL67" t="n">
        <x:v>0</x:v>
      </x:c>
      <x:c r="AM67" t="str">
        <x:v>-</x:v>
      </x:c>
    </x:row>
    <x:row r="68" ht="36" customHeight="1">
      <x:c r="A68" s="22" t="str">
        <x:v>D249</x:v>
      </x:c>
      <x:c r="B68" s="22" t="str">
        <x:v>多摩川六郷橋緑地</x:v>
      </x:c>
      <x:c r="C68" s="22" t="str">
        <x:v>大田区・東六郷</x:v>
      </x:c>
      <x:c r="D68" s="22" t="str">
        <x:v>河川敷・橋・広い空</x:v>
      </x:c>
      <x:c r="E68" s="22" t="str">
        <x:v>蒲田から極めて近く、六郷橋と多摩川の広い空を車で気軽に取りに行ける週末型Ending。</x:v>
      </x:c>
      <x:c r="F68" s="22" t="str">
        <x:v>平日は駐車場閉鎖。閉鎖時刻後は出庫不可。台風・増水・イベント時は閉鎖。</x:v>
      </x:c>
      <x:c r="G68" s="22" t="str">
        <x:v>0〜10km</x:v>
      </x:c>
      <x:c r="H68" s="22" t="str">
        <x:v>蒲田から約3〜6km</x:v>
      </x:c>
      <x:c r="I68" s="22" t="str">
        <x:v>通常10〜20分</x:v>
      </x:c>
      <x:c r="J68" s="22" t="n">
        <x:v>2</x:v>
      </x:c>
      <x:c r="K68" s="22" t="n">
        <x:v>4</x:v>
      </x:c>
      <x:c r="L68" s="22" t="n">
        <x:v>1</x:v>
      </x:c>
      <x:c r="M68" s="22" t="n">
        <x:v>3</x:v>
      </x:c>
      <x:c r="N68" s="22" t="n">
        <x:v>4</x:v>
      </x:c>
      <x:c r="O68" s="22" t="n">
        <x:v>2</x:v>
      </x:c>
      <x:c r="P68" s="22" t="n">
        <x:v>67</x:v>
      </x:c>
      <x:c r="Q68" s="22" t="n">
        <x:v>61</x:v>
      </x:c>
      <x:c r="R68" s="22" t="n">
        <x:v>56</x:v>
      </x:c>
      <x:c r="S68" s="22" t="n">
        <x:v>55</x:v>
      </x:c>
      <x:c r="T68" s="22" t="n">
        <x:v>80</x:v>
      </x:c>
      <x:c r="U68" s="22" t="n">
        <x:v>49</x:v>
      </x:c>
      <x:c r="V68" s="22" t="n">
        <x:v>59</x:v>
      </x:c>
      <x:c r="W68" s="22" t="n">
        <x:v>57</x:v>
      </x:c>
      <x:c r="X68" s="22" t="n">
        <x:v>61</x:v>
      </x:c>
      <x:c r="Y68" s="22" t="str">
        <x:v>海・港／平日夜90分</x:v>
      </x:c>
      <x:c r="Z68" s="22" t="str">
        <x:v>出発前に閉場確認</x:v>
      </x:c>
      <x:c r="AA68" s="22" t="str">
        <x:v>用途限定で有効</x:v>
      </x:c>
      <x:c r="AB68" s="22" t="str">
        <x:v>多摩川ガス橋緑地</x:v>
      </x:c>
      <x:c r="AC68" s="22" t="str">
        <x:v>多摩川浅間神社／御幸公園</x:v>
      </x:c>
      <x:c r="AD68" s="22" t="n">
        <x:v>20</x:v>
      </x:c>
      <x:c r="AE68" s="22" t="n">
        <x:v>45</x:v>
      </x:c>
      <x:c r="AF68" s="22" t="n">
        <x:v>85</x:v>
      </x:c>
      <x:c r="AG68" s="22" t="n">
        <x:v>2</x:v>
      </x:c>
      <x:c r="AH68" s="22" t="n">
        <x:v>45</x:v>
      </x:c>
      <x:c r="AI68" s="22" t="n">
        <x:v>5</x:v>
      </x:c>
      <x:c r="AJ68" s="22" t="n">
        <x:f>ROUND(MAX(0,MIN(100,IF('条件入力ナビ'!$B$9="飛行機",S68,IF('条件入力ナビ'!$B$9="海・港",T68,IF('条件入力ナビ'!$B$9="工場夜景",U68,IF('条件入力ナビ'!$B$9="静かな場所",V68,IF('条件入力ナビ'!$B$9="Story",AH68,X68)))))*0.30+IF('条件入力ナビ'!$B$7="深夜",Q68,IF('条件入力ナビ'!$B$7="夜",P68,IF('条件入力ナビ'!$B$7="夕方",(P68+W68)/2,W68)))*0.20+IF('条件入力ナビ'!$B$8="雨",R68,IF('条件入力ナビ'!$B$8="小雨",(R68+X68)/2,IF('条件入力ナビ'!$B$8="強風",MAX(0,X68-AI68*8),X68)))*0.15+N68*2+IF('条件入力ナビ'!$B$11="確実性優先",N68*1.6,IF('条件入力ナビ'!$B$11="穴場優先",K68*1.6,(N68+K68)*0.8))+IF(AF68&lt;='条件入力ナビ'!$B$6,12,MAX(-30,-(AF68-'条件入力ナビ'!$B$6)*0.5))+IF('条件入力ナビ'!$B$10="歩きたくない",(6-AG68)*1.2,IF('条件入力ナビ'!$B$10="歩きたい",AG68*1.2,0))+IF('条件入力ナビ'!$B$13="許容",AL68*1.2,IF('条件入力ナビ'!$B$13="路上候補除外",IF(AL68&gt;0,-12,0),0)))))</x:f>
        <x:v>67</x:v>
      </x:c>
      <x:c r="AK68" s="22" t="n">
        <x:f>RANK.EQ(AJ68,$AJ$2:$AJ$94,0)+COUNTIF($AJ$2:AJ68,AJ68)-1</x:f>
        <x:v>16</x:v>
      </x:c>
      <x:c r="AL68" t="n">
        <x:v>0</x:v>
      </x:c>
      <x:c r="AM68" t="str">
        <x:v>-</x:v>
      </x:c>
    </x:row>
    <x:row r="69" ht="36" customHeight="1">
      <x:c r="A69" s="22" t="str">
        <x:v>D250</x:v>
      </x:c>
      <x:c r="B69" s="22" t="str">
        <x:v>多摩川ガス橋緑地</x:v>
      </x:c>
      <x:c r="C69" s="22" t="str">
        <x:v>大田区・下丸子</x:v>
      </x:c>
      <x:c r="D69" s="22" t="str">
        <x:v>河川敷・橋・芝生</x:v>
      </x:c>
      <x:c r="E69" s="22" t="str">
        <x:v>ガス橋の構造、武蔵小杉方面の空、広い河川敷を近距離で楽しめる。休日の短時間リセットに向く。</x:v>
      </x:c>
      <x:c r="F69" s="22" t="str">
        <x:v>平日は駐車場閉鎖。閉鎖時刻後は出庫不可。増水・台風・イベント時は閉鎖。</x:v>
      </x:c>
      <x:c r="G69" s="22" t="str">
        <x:v>0〜10km</x:v>
      </x:c>
      <x:c r="H69" s="22" t="str">
        <x:v>蒲田から約4〜7km</x:v>
      </x:c>
      <x:c r="I69" s="22" t="str">
        <x:v>通常15〜25分</x:v>
      </x:c>
      <x:c r="J69" s="22" t="n">
        <x:v>2</x:v>
      </x:c>
      <x:c r="K69" s="22" t="n">
        <x:v>4</x:v>
      </x:c>
      <x:c r="L69" s="22" t="n">
        <x:v>1</x:v>
      </x:c>
      <x:c r="M69" s="22" t="n">
        <x:v>3</x:v>
      </x:c>
      <x:c r="N69" s="22" t="n">
        <x:v>2</x:v>
      </x:c>
      <x:c r="O69" s="22" t="n">
        <x:v>2</x:v>
      </x:c>
      <x:c r="P69" s="22" t="n">
        <x:v>61</x:v>
      </x:c>
      <x:c r="Q69" s="22" t="n">
        <x:v>53</x:v>
      </x:c>
      <x:c r="R69" s="22" t="n">
        <x:v>48</x:v>
      </x:c>
      <x:c r="S69" s="22" t="n">
        <x:v>49</x:v>
      </x:c>
      <x:c r="T69" s="22" t="n">
        <x:v>74</x:v>
      </x:c>
      <x:c r="U69" s="22" t="n">
        <x:v>43</x:v>
      </x:c>
      <x:c r="V69" s="22" t="n">
        <x:v>81</x:v>
      </x:c>
      <x:c r="W69" s="22" t="n">
        <x:v>51</x:v>
      </x:c>
      <x:c r="X69" s="22" t="n">
        <x:v>57</x:v>
      </x:c>
      <x:c r="Y69" s="22" t="str">
        <x:v>静かな場所／海・港</x:v>
      </x:c>
      <x:c r="Z69" s="22" t="str">
        <x:v>出発前に閉場確認</x:v>
      </x:c>
      <x:c r="AA69" s="22" t="str">
        <x:v>用途限定で有効</x:v>
      </x:c>
      <x:c r="AB69" s="22" t="str">
        <x:v>多摩川六郷橋緑地</x:v>
      </x:c>
      <x:c r="AC69" s="22" t="str">
        <x:v>多摩川浅間神社／御幸公園</x:v>
      </x:c>
      <x:c r="AD69" s="22" t="n">
        <x:v>25</x:v>
      </x:c>
      <x:c r="AE69" s="22" t="n">
        <x:v>45</x:v>
      </x:c>
      <x:c r="AF69" s="22" t="n">
        <x:v>95</x:v>
      </x:c>
      <x:c r="AG69" s="22" t="n">
        <x:v>2</x:v>
      </x:c>
      <x:c r="AH69" s="22" t="n">
        <x:v>45</x:v>
      </x:c>
      <x:c r="AI69" s="22" t="n">
        <x:v>5</x:v>
      </x:c>
      <x:c r="AJ69" s="22" t="n">
        <x:f>ROUND(MAX(0,MIN(100,IF('条件入力ナビ'!$B$9="飛行機",S69,IF('条件入力ナビ'!$B$9="海・港",T69,IF('条件入力ナビ'!$B$9="工場夜景",U69,IF('条件入力ナビ'!$B$9="静かな場所",V69,IF('条件入力ナビ'!$B$9="Story",AH69,X69)))))*0.30+IF('条件入力ナビ'!$B$7="深夜",Q69,IF('条件入力ナビ'!$B$7="夜",P69,IF('条件入力ナビ'!$B$7="夕方",(P69+W69)/2,W69)))*0.20+IF('条件入力ナビ'!$B$8="雨",R69,IF('条件入力ナビ'!$B$8="小雨",(R69+X69)/2,IF('条件入力ナビ'!$B$8="強風",MAX(0,X69-AI69*8),X69)))*0.15+N69*2+IF('条件入力ナビ'!$B$11="確実性優先",N69*1.6,IF('条件入力ナビ'!$B$11="穴場優先",K69*1.6,(N69+K69)*0.8))+IF(AF69&lt;='条件入力ナビ'!$B$6,12,MAX(-30,-(AF69-'条件入力ナビ'!$B$6)*0.5))+IF('条件入力ナビ'!$B$10="歩きたくない",(6-AG69)*1.2,IF('条件入力ナビ'!$B$10="歩きたい",AG69*1.2,0))+IF('条件入力ナビ'!$B$13="許容",AL69*1.2,IF('条件入力ナビ'!$B$13="路上候補除外",IF(AL69&gt;0,-12,0),0)))))</x:f>
        <x:v>57</x:v>
      </x:c>
      <x:c r="AK69" s="22" t="n">
        <x:f>RANK.EQ(AJ69,$AJ$2:$AJ$94,0)+COUNTIF($AJ$2:AJ69,AJ69)-1</x:f>
        <x:v>29</x:v>
      </x:c>
      <x:c r="AL69" t="n">
        <x:v>0</x:v>
      </x:c>
      <x:c r="AM69" t="str">
        <x:v>-</x:v>
      </x:c>
    </x:row>
    <x:row r="70" ht="36" customHeight="1">
      <x:c r="A70" s="22" t="str">
        <x:v>D251</x:v>
      </x:c>
      <x:c r="B70" s="22" t="str">
        <x:v>お台場海浜公園</x:v>
      </x:c>
      <x:c r="C70" s="22" t="str">
        <x:v>港区・台場</x:v>
      </x:c>
      <x:c r="D70" s="22" t="str">
        <x:v>海浜・第三台場・都市夜景</x:v>
      </x:c>
      <x:c r="E70" s="22" t="str">
        <x:v>レインボーブリッジ、砂浜、第三台場、都心夜景が一つにまとまり、近距離でも王道の到達感を得られる。</x:v>
      </x:c>
      <x:c r="F70" s="22" t="str">
        <x:v>大規模イベント時は駐車場閉鎖・交通規制あり。北口のみ24時間最大料金設定。</x:v>
      </x:c>
      <x:c r="G70" s="22" t="str">
        <x:v>10〜20km</x:v>
      </x:c>
      <x:c r="H70" s="22" t="str">
        <x:v>蒲田から約12〜18km</x:v>
      </x:c>
      <x:c r="I70" s="22" t="str">
        <x:v>通常25〜45分</x:v>
      </x:c>
      <x:c r="J70" s="22" t="n">
        <x:v>5</x:v>
      </x:c>
      <x:c r="K70" s="22" t="n">
        <x:v>1</x:v>
      </x:c>
      <x:c r="L70" s="22" t="n">
        <x:v>2</x:v>
      </x:c>
      <x:c r="M70" s="22" t="n">
        <x:v>3</x:v>
      </x:c>
      <x:c r="N70" s="22" t="n">
        <x:v>5</x:v>
      </x:c>
      <x:c r="O70" s="22" t="n">
        <x:v>5</x:v>
      </x:c>
      <x:c r="P70" s="22" t="n">
        <x:v>83</x:v>
      </x:c>
      <x:c r="Q70" s="22" t="n">
        <x:v>89</x:v>
      </x:c>
      <x:c r="R70" s="22" t="n">
        <x:v>64</x:v>
      </x:c>
      <x:c r="S70" s="22" t="n">
        <x:v>60</x:v>
      </x:c>
      <x:c r="T70" s="22" t="n">
        <x:v>89</x:v>
      </x:c>
      <x:c r="U70" s="22" t="n">
        <x:v>61</x:v>
      </x:c>
      <x:c r="V70" s="22" t="n">
        <x:v>52</x:v>
      </x:c>
      <x:c r="W70" s="22" t="n">
        <x:v>71</x:v>
      </x:c>
      <x:c r="X70" s="22" t="n">
        <x:v>73</x:v>
      </x:c>
      <x:c r="Y70" s="22" t="str">
        <x:v>深夜2時間／海・港</x:v>
      </x:c>
      <x:c r="Z70" s="22" t="str">
        <x:v>出発前に閉場確認</x:v>
      </x:c>
      <x:c r="AA70" s="22" t="str">
        <x:v>条件が合えば有力</x:v>
      </x:c>
      <x:c r="AB70" s="22" t="str">
        <x:v>潮風公園</x:v>
      </x:c>
      <x:c r="AC70" s="22" t="str">
        <x:v>晴海ふ頭公園／豊洲ぐるり公園</x:v>
      </x:c>
      <x:c r="AD70" s="22" t="n">
        <x:v>45</x:v>
      </x:c>
      <x:c r="AE70" s="22" t="n">
        <x:v>68</x:v>
      </x:c>
      <x:c r="AF70" s="22" t="n">
        <x:v>158</x:v>
      </x:c>
      <x:c r="AG70" s="22" t="n">
        <x:v>2</x:v>
      </x:c>
      <x:c r="AH70" s="22" t="n">
        <x:v>45</x:v>
      </x:c>
      <x:c r="AI70" s="22" t="n">
        <x:v>5</x:v>
      </x:c>
      <x:c r="AJ70" s="22" t="n">
        <x:f>ROUND(MAX(0,MIN(100,IF('条件入力ナビ'!$B$9="飛行機",S70,IF('条件入力ナビ'!$B$9="海・港",T70,IF('条件入力ナビ'!$B$9="工場夜景",U70,IF('条件入力ナビ'!$B$9="静かな場所",V70,IF('条件入力ナビ'!$B$9="Story",AH70,X70)))))*0.30+IF('条件入力ナビ'!$B$7="深夜",Q70,IF('条件入力ナビ'!$B$7="夜",P70,IF('条件入力ナビ'!$B$7="夕方",(P70+W70)/2,W70)))*0.20+IF('条件入力ナビ'!$B$8="雨",R70,IF('条件入力ナビ'!$B$8="小雨",(R70+X70)/2,IF('条件入力ナビ'!$B$8="強風",MAX(0,X70-AI70*8),X70)))*0.15+N70*2+IF('条件入力ナビ'!$B$11="確実性優先",N70*1.6,IF('条件入力ナビ'!$B$11="穴場優先",K70*1.6,(N70+K70)*0.8))+IF(AF70&lt;='条件入力ナビ'!$B$6,12,MAX(-30,-(AF70-'条件入力ナビ'!$B$6)*0.5))+IF('条件入力ナビ'!$B$10="歩きたくない",(6-AG70)*1.2,IF('条件入力ナビ'!$B$10="歩きたい",AG70*1.2,0))+IF('条件入力ナビ'!$B$13="許容",AL70*1.2,IF('条件入力ナビ'!$B$13="路上候補除外",IF(AL70&gt;0,-12,0),0)))))</x:f>
        <x:v>48</x:v>
      </x:c>
      <x:c r="AK70" s="22" t="n">
        <x:f>RANK.EQ(AJ70,$AJ$2:$AJ$94,0)+COUNTIF($AJ$2:AJ70,AJ70)-1</x:f>
        <x:v>42</x:v>
      </x:c>
      <x:c r="AL70" t="n">
        <x:v>0</x:v>
      </x:c>
      <x:c r="AM70" t="str">
        <x:v>-</x:v>
      </x:c>
    </x:row>
    <x:row r="71" ht="36" customHeight="1">
      <x:c r="A71" s="22" t="str">
        <x:v>D252</x:v>
      </x:c>
      <x:c r="B71" s="22" t="str">
        <x:v>豊洲市場 屋上緑化広場</x:v>
      </x:c>
      <x:c r="C71" s="22" t="str">
        <x:v>江東区・豊洲</x:v>
      </x:c>
      <x:c r="D71" s="22" t="str">
        <x:v>屋上芝生・市場・湾岸展望</x:v>
      </x:c>
      <x:c r="E71" s="22" t="str">
        <x:v>市場建築の屋上に広い芝生と東京湾の眺望があり、食・産業・夜景を一地点でつなげられる。</x:v>
      </x:c>
      <x:c r="F71" s="22" t="str">
        <x:v>市場内駐車場は関係者専用。周辺道路は駐停車禁止。雨天時は芝生が滑りやすい。</x:v>
      </x:c>
      <x:c r="G71" s="22" t="str">
        <x:v>10〜20km</x:v>
      </x:c>
      <x:c r="H71" s="22" t="str">
        <x:v>蒲田から約16〜22km</x:v>
      </x:c>
      <x:c r="I71" s="22" t="str">
        <x:v>通常30〜55分</x:v>
      </x:c>
      <x:c r="J71" s="22" t="n">
        <x:v>5</x:v>
      </x:c>
      <x:c r="K71" s="22" t="n">
        <x:v>3</x:v>
      </x:c>
      <x:c r="L71" s="22" t="n">
        <x:v>2</x:v>
      </x:c>
      <x:c r="M71" s="22" t="n">
        <x:v>1</x:v>
      </x:c>
      <x:c r="N71" s="22" t="n">
        <x:v>1</x:v>
      </x:c>
      <x:c r="O71" s="22" t="n">
        <x:v>5</x:v>
      </x:c>
      <x:c r="P71" s="22" t="n">
        <x:v>71</x:v>
      </x:c>
      <x:c r="Q71" s="22" t="n">
        <x:v>71</x:v>
      </x:c>
      <x:c r="R71" s="22" t="n">
        <x:v>48</x:v>
      </x:c>
      <x:c r="S71" s="22" t="n">
        <x:v>46</x:v>
      </x:c>
      <x:c r="T71" s="22" t="n">
        <x:v>47</x:v>
      </x:c>
      <x:c r="U71" s="22" t="n">
        <x:v>45</x:v>
      </x:c>
      <x:c r="V71" s="22" t="n">
        <x:v>76</x:v>
      </x:c>
      <x:c r="W71" s="22" t="n">
        <x:v>51</x:v>
      </x:c>
      <x:c r="X71" s="22" t="n">
        <x:v>58</x:v>
      </x:c>
      <x:c r="Y71" s="22" t="str">
        <x:v>静かな場所／平日夜90分</x:v>
      </x:c>
      <x:c r="Z71" s="22" t="str">
        <x:v>出発前に閉場確認</x:v>
      </x:c>
      <x:c r="AA71" s="22" t="str">
        <x:v>用途限定で有効</x:v>
      </x:c>
      <x:c r="AB71" s="22" t="str">
        <x:v>豊洲ぐるり公園</x:v>
      </x:c>
      <x:c r="AC71" s="22" t="str">
        <x:v>晴海ふ頭公園／お台場海浜公園</x:v>
      </x:c>
      <x:c r="AD71" s="22" t="n">
        <x:v>55</x:v>
      </x:c>
      <x:c r="AE71" s="22" t="n">
        <x:v>52</x:v>
      </x:c>
      <x:c r="AF71" s="22" t="n">
        <x:v>162</x:v>
      </x:c>
      <x:c r="AG71" s="22" t="n">
        <x:v>3</x:v>
      </x:c>
      <x:c r="AH71" s="22" t="n">
        <x:v>45</x:v>
      </x:c>
      <x:c r="AI71" s="22" t="n">
        <x:v>5</x:v>
      </x:c>
      <x:c r="AJ71" s="22" t="n">
        <x:f>ROUND(MAX(0,MIN(100,IF('条件入力ナビ'!$B$9="飛行機",S71,IF('条件入力ナビ'!$B$9="海・港",T71,IF('条件入力ナビ'!$B$9="工場夜景",U71,IF('条件入力ナビ'!$B$9="静かな場所",V71,IF('条件入力ナビ'!$B$9="Story",AH71,X71)))))*0.30+IF('条件入力ナビ'!$B$7="深夜",Q71,IF('条件入力ナビ'!$B$7="夜",P71,IF('条件入力ナビ'!$B$7="夕方",(P71+W71)/2,W71)))*0.20+IF('条件入力ナビ'!$B$8="雨",R71,IF('条件入力ナビ'!$B$8="小雨",(R71+X71)/2,IF('条件入力ナビ'!$B$8="強風",MAX(0,X71-AI71*8),X71)))*0.15+N71*2+IF('条件入力ナビ'!$B$11="確実性優先",N71*1.6,IF('条件入力ナビ'!$B$11="穴場優先",K71*1.6,(N71+K71)*0.8))+IF(AF71&lt;='条件入力ナビ'!$B$6,12,MAX(-30,-(AF71-'条件入力ナビ'!$B$6)*0.5))+IF('条件入力ナビ'!$B$10="歩きたくない",(6-AG71)*1.2,IF('条件入力ナビ'!$B$10="歩きたい",AG71*1.2,0))+IF('条件入力ナビ'!$B$13="許容",AL71*1.2,IF('条件入力ナビ'!$B$13="路上候補除外",IF(AL71&gt;0,-12,0),0)))))</x:f>
        <x:v>23</x:v>
      </x:c>
      <x:c r="AK71" s="22" t="n">
        <x:f>RANK.EQ(AJ71,$AJ$2:$AJ$94,0)+COUNTIF($AJ$2:AJ71,AJ71)-1</x:f>
        <x:v>82</x:v>
      </x:c>
      <x:c r="AL71" t="n">
        <x:v>0</x:v>
      </x:c>
      <x:c r="AM71" t="str">
        <x:v>-</x:v>
      </x:c>
    </x:row>
    <x:row r="72">
      <x:c r="A72" s="22" t="str">
        <x:v>D253</x:v>
      </x:c>
      <x:c r="B72" s="22" t="str">
        <x:v>平和島公園</x:v>
      </x:c>
      <x:c r="C72" s="22" t="str">
        <x:v>大田区・平和島</x:v>
      </x:c>
      <x:c r="D72" s="22" t="str">
        <x:v>総合公園・防災・24時間駐車</x:v>
      </x:c>
      <x:c r="E72" s="22" t="str">
        <x:v>蒲田から近く、80台の24時間駐車場がある。遠出する気力がない夜でも、緑・広場・水施設で短時間のリセット先になる。</x:v>
      </x:c>
      <x:c r="F72" s="22" t="str">
        <x:v>休日は入庫待ちが長くなる場合がある。公園利用以外の駐車は禁止。夜間は住宅・スポーツ利用者へ配慮。</x:v>
      </x:c>
      <x:c r="G72" s="22" t="str">
        <x:v>0〜10km</x:v>
      </x:c>
      <x:c r="H72" s="22" t="str">
        <x:v>蒲田から約4〜7km</x:v>
      </x:c>
      <x:c r="I72" s="22" t="str">
        <x:v>通常15〜25分</x:v>
      </x:c>
      <x:c r="J72" s="22" t="n">
        <x:v>4</x:v>
      </x:c>
      <x:c r="K72" s="22" t="n">
        <x:v>3</x:v>
      </x:c>
      <x:c r="L72" s="22" t="n">
        <x:v>1</x:v>
      </x:c>
      <x:c r="M72" s="22" t="n">
        <x:v>2</x:v>
      </x:c>
      <x:c r="N72" s="22" t="n">
        <x:v>5</x:v>
      </x:c>
      <x:c r="O72" s="22" t="n">
        <x:v>5</x:v>
      </x:c>
      <x:c r="P72" s="22" t="n">
        <x:v>85</x:v>
      </x:c>
      <x:c r="Q72" s="22" t="n">
        <x:v>86</x:v>
      </x:c>
      <x:c r="R72" s="22" t="n">
        <x:v>62</x:v>
      </x:c>
      <x:c r="S72" s="22" t="n">
        <x:v>61</x:v>
      </x:c>
      <x:c r="T72" s="22" t="n">
        <x:v>60</x:v>
      </x:c>
      <x:c r="U72" s="22" t="n">
        <x:v>58</x:v>
      </x:c>
      <x:c r="V72" s="22" t="n">
        <x:v>90</x:v>
      </x:c>
      <x:c r="W72" s="22" t="n">
        <x:v>62</x:v>
      </x:c>
      <x:c r="X72" s="22" t="n">
        <x:v>71</x:v>
      </x:c>
      <x:c r="Y72" s="22" t="str">
        <x:v>静かな場所／深夜2時間</x:v>
      </x:c>
      <x:c r="Z72" s="22" t="str">
        <x:v>出発前に閉場確認</x:v>
      </x:c>
      <x:c r="AA72" s="22" t="str">
        <x:v>用途限定で有効</x:v>
      </x:c>
      <x:c r="AB72" s="22" t="str">
        <x:v>平和の森公園</x:v>
      </x:c>
      <x:c r="AC72" s="22" t="str">
        <x:v>しながわ区民公園／大森ふるさとの浜辺公園</x:v>
      </x:c>
      <x:c r="AD72" s="22" t="n">
        <x:v>25</x:v>
      </x:c>
      <x:c r="AE72" s="22" t="n">
        <x:v>35</x:v>
      </x:c>
      <x:c r="AF72" s="22" t="n">
        <x:v>85</x:v>
      </x:c>
      <x:c r="AG72" s="22" t="n">
        <x:v>3</x:v>
      </x:c>
      <x:c r="AH72" s="22" t="n">
        <x:v>45</x:v>
      </x:c>
      <x:c r="AI72" s="22" t="n">
        <x:v>2</x:v>
      </x:c>
      <x:c r="AJ72" s="22" t="n">
        <x:f>ROUND(MAX(0,MIN(100,IF('条件入力ナビ'!$B$9="飛行機",S72,IF('条件入力ナビ'!$B$9="海・港",T72,IF('条件入力ナビ'!$B$9="工場夜景",U72,IF('条件入力ナビ'!$B$9="静かな場所",V72,IF('条件入力ナビ'!$B$9="Story",AH72,X72)))))*0.30+IF('条件入力ナビ'!$B$7="深夜",Q72,IF('条件入力ナビ'!$B$7="夜",P72,IF('条件入力ナビ'!$B$7="夕方",(P72+W72)/2,W72)))*0.20+IF('条件入力ナビ'!$B$8="雨",R72,IF('条件入力ナビ'!$B$8="小雨",(R72+X72)/2,IF('条件入力ナビ'!$B$8="強風",MAX(0,X72-AI72*8),X72)))*0.15+N72*2+IF('条件入力ナビ'!$B$11="確実性優先",N72*1.6,IF('条件入力ナビ'!$B$11="穴場優先",K72*1.6,(N72+K72)*0.8))+IF(AF72&lt;='条件入力ナビ'!$B$6,12,MAX(-30,-(AF72-'条件入力ナビ'!$B$6)*0.5))+IF('条件入力ナビ'!$B$10="歩きたくない",(6-AG72)*1.2,IF('条件入力ナビ'!$B$10="歩きたい",AG72*1.2,0))+IF('条件入力ナビ'!$B$13="許容",AL72*1.2,IF('条件入力ナビ'!$B$13="路上候補除外",IF(AL72&gt;0,-12,0),0)))))</x:f>
        <x:v>79</x:v>
      </x:c>
      <x:c r="AK72" s="22" t="n">
        <x:f>RANK.EQ(AJ72,$AJ$2:$AJ$94,0)+COUNTIF($AJ$2:AJ72,AJ72)-1</x:f>
        <x:v>5</x:v>
      </x:c>
      <x:c r="AL72" t="n">
        <x:v>0</x:v>
      </x:c>
      <x:c r="AM72" t="str">
        <x:v>-</x:v>
      </x:c>
    </x:row>
    <x:row r="73">
      <x:c r="A73" s="22" t="str">
        <x:v>D254</x:v>
      </x:c>
      <x:c r="B73" s="22" t="str">
        <x:v>しながわ区民公園</x:v>
      </x:c>
      <x:c r="C73" s="22" t="str">
        <x:v>品川区・勝島</x:v>
      </x:c>
      <x:c r="D73" s="22" t="str">
        <x:v>人工湖・松並木・防災公園</x:v>
      </x:c>
      <x:c r="E73" s="22" t="str">
        <x:v>人工湖『勝島の海』、松並木、広場がまとまり、大森海岸からすぐに水と緑へ切り替えられる近距離の昼～夕方候補。</x:v>
      </x:c>
      <x:c r="F73" s="22" t="str">
        <x:v>犬の入園不可。休日・水族館営業日は混雑。20時30分閉園のため夜遅くは使わない。</x:v>
      </x:c>
      <x:c r="G73" s="22" t="str">
        <x:v>0〜10km</x:v>
      </x:c>
      <x:c r="H73" s="22" t="str">
        <x:v>蒲田から約6〜9km</x:v>
      </x:c>
      <x:c r="I73" s="22" t="str">
        <x:v>通常15〜30分</x:v>
      </x:c>
      <x:c r="J73" s="22" t="n">
        <x:v>3</x:v>
      </x:c>
      <x:c r="K73" s="22" t="n">
        <x:v>2</x:v>
      </x:c>
      <x:c r="L73" s="22" t="n">
        <x:v>1</x:v>
      </x:c>
      <x:c r="M73" s="22" t="n">
        <x:v>1</x:v>
      </x:c>
      <x:c r="N73" s="22" t="n">
        <x:v>4</x:v>
      </x:c>
      <x:c r="O73" s="22" t="n">
        <x:v>3</x:v>
      </x:c>
      <x:c r="P73" s="22" t="n">
        <x:v>67</x:v>
      </x:c>
      <x:c r="Q73" s="22" t="n">
        <x:v>65</x:v>
      </x:c>
      <x:c r="R73" s="22" t="n">
        <x:v>50</x:v>
      </x:c>
      <x:c r="S73" s="22" t="n">
        <x:v>52</x:v>
      </x:c>
      <x:c r="T73" s="22" t="n">
        <x:v>78</x:v>
      </x:c>
      <x:c r="U73" s="22" t="n">
        <x:v>49</x:v>
      </x:c>
      <x:c r="V73" s="22" t="n">
        <x:v>81</x:v>
      </x:c>
      <x:c r="W73" s="22" t="n">
        <x:v>55</x:v>
      </x:c>
      <x:c r="X73" s="22" t="n">
        <x:v>62</x:v>
      </x:c>
      <x:c r="Y73" s="22" t="str">
        <x:v>静かな場所／海・港</x:v>
      </x:c>
      <x:c r="Z73" s="22" t="str">
        <x:v>出発前に閉場確認</x:v>
      </x:c>
      <x:c r="AA73" s="22" t="str">
        <x:v>用途限定で有効</x:v>
      </x:c>
      <x:c r="AB73" s="22" t="str">
        <x:v>平和島公園</x:v>
      </x:c>
      <x:c r="AC73" s="22" t="str">
        <x:v>大井ふ頭中央海浜公園／大森ふるさとの浜辺公園</x:v>
      </x:c>
      <x:c r="AD73" s="22" t="n">
        <x:v>30</x:v>
      </x:c>
      <x:c r="AE73" s="22" t="n">
        <x:v>52</x:v>
      </x:c>
      <x:c r="AF73" s="22" t="n">
        <x:v>112</x:v>
      </x:c>
      <x:c r="AG73" s="22" t="n">
        <x:v>3</x:v>
      </x:c>
      <x:c r="AH73" s="22" t="n">
        <x:v>45</x:v>
      </x:c>
      <x:c r="AI73" s="22" t="n">
        <x:v>2</x:v>
      </x:c>
      <x:c r="AJ73" s="22" t="n">
        <x:f>ROUND(MAX(0,MIN(100,IF('条件入力ナビ'!$B$9="飛行機",S73,IF('条件入力ナビ'!$B$9="海・港",T73,IF('条件入力ナビ'!$B$9="工場夜景",U73,IF('条件入力ナビ'!$B$9="静かな場所",V73,IF('条件入力ナビ'!$B$9="Story",AH73,X73)))))*0.30+IF('条件入力ナビ'!$B$7="深夜",Q73,IF('条件入力ナビ'!$B$7="夜",P73,IF('条件入力ナビ'!$B$7="夕方",(P73+W73)/2,W73)))*0.20+IF('条件入力ナビ'!$B$8="雨",R73,IF('条件入力ナビ'!$B$8="小雨",(R73+X73)/2,IF('条件入力ナビ'!$B$8="強風",MAX(0,X73-AI73*8),X73)))*0.15+N73*2+IF('条件入力ナビ'!$B$11="確実性優先",N73*1.6,IF('条件入力ナビ'!$B$11="穴場優先",K73*1.6,(N73+K73)*0.8))+IF(AF73&lt;='条件入力ナビ'!$B$6,12,MAX(-30,-(AF73-'条件入力ナビ'!$B$6)*0.5))+IF('条件入力ナビ'!$B$10="歩きたくない",(6-AG73)*1.2,IF('条件入力ナビ'!$B$10="歩きたい",AG73*1.2,0))+IF('条件入力ナビ'!$B$13="許容",AL73*1.2,IF('条件入力ナビ'!$B$13="路上候補除外",IF(AL73&gt;0,-12,0),0)))))</x:f>
        <x:v>68</x:v>
      </x:c>
      <x:c r="AK73" s="22" t="n">
        <x:f>RANK.EQ(AJ73,$AJ$2:$AJ$94,0)+COUNTIF($AJ$2:AJ73,AJ73)-1</x:f>
        <x:v>14</x:v>
      </x:c>
      <x:c r="AL73" t="n">
        <x:v>0</x:v>
      </x:c>
      <x:c r="AM73" t="str">
        <x:v>-</x:v>
      </x:c>
    </x:row>
    <x:row r="74">
      <x:c r="A74" s="22" t="str">
        <x:v>D255</x:v>
      </x:c>
      <x:c r="B74" s="22" t="str">
        <x:v>大井ふ頭中央海浜公園</x:v>
      </x:c>
      <x:c r="C74" s="22" t="str">
        <x:v>品川区・八潮／大田区・東海</x:v>
      </x:c>
      <x:c r="D74" s="22" t="str">
        <x:v>運河・干潟・スポーツ・産業景観</x:v>
      </x:c>
      <x:c r="E74" s="22" t="str">
        <x:v>スポーツの森となぎさの森を使い分けられ、京浜運河、人工なぎさ、物流地帯の景観を近距離で回収できる。</x:v>
      </x:c>
      <x:c r="F74" s="22" t="str">
        <x:v>第1駐車場は2027年3月下旬予定まで閉鎖。自然観察路の立入制限や大会開催を当日確認。夜は明るい範囲のみ利用。</x:v>
      </x:c>
      <x:c r="G74" s="22" t="str">
        <x:v>0〜10km</x:v>
      </x:c>
      <x:c r="H74" s="22" t="str">
        <x:v>蒲田から約8〜12km</x:v>
      </x:c>
      <x:c r="I74" s="22" t="str">
        <x:v>通常20〜35分</x:v>
      </x:c>
      <x:c r="J74" s="22" t="n">
        <x:v>4</x:v>
      </x:c>
      <x:c r="K74" s="22" t="n">
        <x:v>3</x:v>
      </x:c>
      <x:c r="L74" s="22" t="n">
        <x:v>1</x:v>
      </x:c>
      <x:c r="M74" s="22" t="n">
        <x:v>2</x:v>
      </x:c>
      <x:c r="N74" s="22" t="n">
        <x:v>2</x:v>
      </x:c>
      <x:c r="O74" s="22" t="n">
        <x:v>5</x:v>
      </x:c>
      <x:c r="P74" s="22" t="n">
        <x:v>76</x:v>
      </x:c>
      <x:c r="Q74" s="22" t="n">
        <x:v>74</x:v>
      </x:c>
      <x:c r="R74" s="22" t="n">
        <x:v>50</x:v>
      </x:c>
      <x:c r="S74" s="22" t="n">
        <x:v>52</x:v>
      </x:c>
      <x:c r="T74" s="22" t="n">
        <x:v>79</x:v>
      </x:c>
      <x:c r="U74" s="22" t="n">
        <x:v>49</x:v>
      </x:c>
      <x:c r="V74" s="22" t="n">
        <x:v>53</x:v>
      </x:c>
      <x:c r="W74" s="22" t="n">
        <x:v>69</x:v>
      </x:c>
      <x:c r="X74" s="22" t="n">
        <x:v>65</x:v>
      </x:c>
      <x:c r="Y74" s="22" t="str">
        <x:v>海・港／平日夜90分</x:v>
      </x:c>
      <x:c r="Z74" s="22" t="str">
        <x:v>出発前に閉場確認</x:v>
      </x:c>
      <x:c r="AA74" s="22" t="str">
        <x:v>用途限定で有効</x:v>
      </x:c>
      <x:c r="AB74" s="22" t="str">
        <x:v>東京港野鳥公園</x:v>
      </x:c>
      <x:c r="AC74" s="22" t="str">
        <x:v>しながわ区民公園／平和島公園</x:v>
      </x:c>
      <x:c r="AD74" s="22" t="n">
        <x:v>35</x:v>
      </x:c>
      <x:c r="AE74" s="22" t="n">
        <x:v>60</x:v>
      </x:c>
      <x:c r="AF74" s="22" t="n">
        <x:v>130</x:v>
      </x:c>
      <x:c r="AG74" s="22" t="n">
        <x:v>3</x:v>
      </x:c>
      <x:c r="AH74" s="22" t="n">
        <x:v>80</x:v>
      </x:c>
      <x:c r="AI74" s="22" t="n">
        <x:v>5</x:v>
      </x:c>
      <x:c r="AJ74" s="22" t="n">
        <x:f>ROUND(MAX(0,MIN(100,IF('条件入力ナビ'!$B$9="飛行機",S74,IF('条件入力ナビ'!$B$9="海・港",T74,IF('条件入力ナビ'!$B$9="工場夜景",U74,IF('条件入力ナビ'!$B$9="静かな場所",V74,IF('条件入力ナビ'!$B$9="Story",AH74,X74)))))*0.30+IF('条件入力ナビ'!$B$7="深夜",Q74,IF('条件入力ナビ'!$B$7="夜",P74,IF('条件入力ナビ'!$B$7="夕方",(P74+W74)/2,W74)))*0.20+IF('条件入力ナビ'!$B$8="雨",R74,IF('条件入力ナビ'!$B$8="小雨",(R74+X74)/2,IF('条件入力ナビ'!$B$8="強風",MAX(0,X74-AI74*8),X74)))*0.15+N74*2+IF('条件入力ナビ'!$B$11="確実性優先",N74*1.6,IF('条件入力ナビ'!$B$11="穴場優先",K74*1.6,(N74+K74)*0.8))+IF(AF74&lt;='条件入力ナビ'!$B$6,12,MAX(-30,-(AF74-'条件入力ナビ'!$B$6)*0.5))+IF('条件入力ナビ'!$B$10="歩きたくない",(6-AG74)*1.2,IF('条件入力ナビ'!$B$10="歩きたい",AG74*1.2,0))+IF('条件入力ナビ'!$B$13="許容",AL74*1.2,IF('条件入力ナビ'!$B$13="路上候補除外",IF(AL74&gt;0,-12,0),0)))))</x:f>
        <x:v>47</x:v>
      </x:c>
      <x:c r="AK74" s="22" t="n">
        <x:f>RANK.EQ(AJ74,$AJ$2:$AJ$94,0)+COUNTIF($AJ$2:AJ74,AJ74)-1</x:f>
        <x:v>43</x:v>
      </x:c>
      <x:c r="AL74" t="n">
        <x:v>0</x:v>
      </x:c>
      <x:c r="AM74" t="str">
        <x:v>-</x:v>
      </x:c>
    </x:row>
    <x:row r="75">
      <x:c r="A75" s="22" t="str">
        <x:v>D256</x:v>
      </x:c>
      <x:c r="B75" s="22" t="str">
        <x:v>ちどり公園</x:v>
      </x:c>
      <x:c r="C75" s="22" t="str">
        <x:v>川崎市川崎区・千鳥町</x:v>
      </x:c>
      <x:c r="D75" s="22" t="str">
        <x:v>川崎港・運河・小展望台</x:v>
      </x:c>
      <x:c r="E75" s="22" t="str">
        <x:v>高さ約7mの展望台から京浜運河、船、東扇島を眺められ、工場夜景へ入る前の昼間導入地点として機能する。</x:v>
      </x:c>
      <x:c r="F75" s="22" t="str">
        <x:v>車利用は18時まで。30台程度で満車時は待たない。釣り禁止。工場敷地・岸壁へ入らない。</x:v>
      </x:c>
      <x:c r="G75" s="22" t="str">
        <x:v>10〜20km</x:v>
      </x:c>
      <x:c r="H75" s="22" t="str">
        <x:v>蒲田から約12〜17km</x:v>
      </x:c>
      <x:c r="I75" s="22" t="str">
        <x:v>通常30〜50分</x:v>
      </x:c>
      <x:c r="J75" s="22" t="n">
        <x:v>2</x:v>
      </x:c>
      <x:c r="K75" s="22" t="n">
        <x:v>4</x:v>
      </x:c>
      <x:c r="L75" s="22" t="n">
        <x:v>1</x:v>
      </x:c>
      <x:c r="M75" s="22" t="n">
        <x:v>2</x:v>
      </x:c>
      <x:c r="N75" s="22" t="n">
        <x:v>4</x:v>
      </x:c>
      <x:c r="O75" s="22" t="n">
        <x:v>5</x:v>
      </x:c>
      <x:c r="P75" s="22" t="n">
        <x:v>69</x:v>
      </x:c>
      <x:c r="Q75" s="22" t="n">
        <x:v>68</x:v>
      </x:c>
      <x:c r="R75" s="22" t="n">
        <x:v>57</x:v>
      </x:c>
      <x:c r="S75" s="22" t="n">
        <x:v>49</x:v>
      </x:c>
      <x:c r="T75" s="22" t="n">
        <x:v>75</x:v>
      </x:c>
      <x:c r="U75" s="22" t="n">
        <x:v>44</x:v>
      </x:c>
      <x:c r="V75" s="22" t="n">
        <x:v>55</x:v>
      </x:c>
      <x:c r="W75" s="22" t="n">
        <x:v>55</x:v>
      </x:c>
      <x:c r="X75" s="22" t="n">
        <x:v>60</x:v>
      </x:c>
      <x:c r="Y75" s="22" t="str">
        <x:v>海・港／平日夜90分</x:v>
      </x:c>
      <x:c r="Z75" s="22" t="str">
        <x:v>出発前に閉場確認</x:v>
      </x:c>
      <x:c r="AA75" s="22" t="str">
        <x:v>用途限定で有効</x:v>
      </x:c>
      <x:c r="AB75" s="22" t="str">
        <x:v>川崎マリエン</x:v>
      </x:c>
      <x:c r="AC75" s="22" t="str">
        <x:v>東扇島中公園／富士見公園</x:v>
      </x:c>
      <x:c r="AD75" s="22" t="n">
        <x:v>50</x:v>
      </x:c>
      <x:c r="AE75" s="22" t="n">
        <x:v>32</x:v>
      </x:c>
      <x:c r="AF75" s="22" t="n">
        <x:v>132</x:v>
      </x:c>
      <x:c r="AG75" s="22" t="n">
        <x:v>3</x:v>
      </x:c>
      <x:c r="AH75" s="22" t="n">
        <x:v>45</x:v>
      </x:c>
      <x:c r="AI75" s="22" t="n">
        <x:v>5</x:v>
      </x:c>
      <x:c r="AJ75" s="22" t="n">
        <x:f>ROUND(MAX(0,MIN(100,IF('条件入力ナビ'!$B$9="飛行機",S75,IF('条件入力ナビ'!$B$9="海・港",T75,IF('条件入力ナビ'!$B$9="工場夜景",U75,IF('条件入力ナビ'!$B$9="静かな場所",V75,IF('条件入力ナビ'!$B$9="Story",AH75,X75)))))*0.30+IF('条件入力ナビ'!$B$7="深夜",Q75,IF('条件入力ナビ'!$B$7="夜",P75,IF('条件入力ナビ'!$B$7="夕方",(P75+W75)/2,W75)))*0.20+IF('条件入力ナビ'!$B$8="雨",R75,IF('条件入力ナビ'!$B$8="小雨",(R75+X75)/2,IF('条件入力ナビ'!$B$8="強風",MAX(0,X75-AI75*8),X75)))*0.15+N75*2+IF('条件入力ナビ'!$B$11="確実性優先",N75*1.6,IF('条件入力ナビ'!$B$11="穴場優先",K75*1.6,(N75+K75)*0.8))+IF(AF75&lt;='条件入力ナビ'!$B$6,12,MAX(-30,-(AF75-'条件入力ナビ'!$B$6)*0.5))+IF('条件入力ナビ'!$B$10="歩きたくない",(6-AG75)*1.2,IF('条件入力ナビ'!$B$10="歩きたい",AG75*1.2,0))+IF('条件入力ナビ'!$B$13="許容",AL75*1.2,IF('条件入力ナビ'!$B$13="路上候補除外",IF(AL75&gt;0,-12,0),0)))))</x:f>
        <x:v>49</x:v>
      </x:c>
      <x:c r="AK75" s="22" t="n">
        <x:f>RANK.EQ(AJ75,$AJ$2:$AJ$94,0)+COUNTIF($AJ$2:AJ75,AJ75)-1</x:f>
        <x:v>41</x:v>
      </x:c>
      <x:c r="AL75" t="n">
        <x:v>0</x:v>
      </x:c>
      <x:c r="AM75" t="str">
        <x:v>-</x:v>
      </x:c>
    </x:row>
    <x:row r="76">
      <x:c r="A76" s="22" t="str">
        <x:v>D257</x:v>
      </x:c>
      <x:c r="B76" s="22" t="str">
        <x:v>東扇島中公園</x:v>
      </x:c>
      <x:c r="C76" s="22" t="str">
        <x:v>川崎市川崎区・東扇島</x:v>
      </x:c>
      <x:c r="D76" s="22" t="str">
        <x:v>芝生・港湾休憩・共有駐車</x:v>
      </x:c>
      <x:c r="E76" s="22" t="str">
        <x:v>川崎マリエンに隣接し、芝生・港湾の空・休憩を短時間で取り込める。マリエンと1回の駐車で組み合わせられる。</x:v>
      </x:c>
      <x:c r="F76" s="22" t="str">
        <x:v>深夜は駐車場の入出場制限を確認。公園単独で再駐車せず、川崎マリエンとの徒歩連結を基本とする。</x:v>
      </x:c>
      <x:c r="G76" s="22" t="str">
        <x:v>10〜20km</x:v>
      </x:c>
      <x:c r="H76" s="22" t="str">
        <x:v>蒲田から約16〜21km</x:v>
      </x:c>
      <x:c r="I76" s="22" t="str">
        <x:v>通常35〜55分</x:v>
      </x:c>
      <x:c r="J76" s="22" t="n">
        <x:v>4</x:v>
      </x:c>
      <x:c r="K76" s="22" t="n">
        <x:v>4</x:v>
      </x:c>
      <x:c r="L76" s="22" t="n">
        <x:v>1</x:v>
      </x:c>
      <x:c r="M76" s="22" t="n">
        <x:v>2</x:v>
      </x:c>
      <x:c r="N76" s="22" t="n">
        <x:v>4</x:v>
      </x:c>
      <x:c r="O76" s="22" t="n">
        <x:v>5</x:v>
      </x:c>
      <x:c r="P76" s="22" t="n">
        <x:v>79</x:v>
      </x:c>
      <x:c r="Q76" s="22" t="n">
        <x:v>80</x:v>
      </x:c>
      <x:c r="R76" s="22" t="n">
        <x:v>57</x:v>
      </x:c>
      <x:c r="S76" s="22" t="n">
        <x:v>55</x:v>
      </x:c>
      <x:c r="T76" s="22" t="n">
        <x:v>83</x:v>
      </x:c>
      <x:c r="U76" s="22" t="n">
        <x:v>84</x:v>
      </x:c>
      <x:c r="V76" s="22" t="n">
        <x:v>87</x:v>
      </x:c>
      <x:c r="W76" s="22" t="n">
        <x:v>59</x:v>
      </x:c>
      <x:c r="X76" s="22" t="n">
        <x:v>73</x:v>
      </x:c>
      <x:c r="Y76" s="22" t="str">
        <x:v>静かな場所／工場夜景</x:v>
      </x:c>
      <x:c r="Z76" s="22" t="str">
        <x:v>出発前に閉場確認</x:v>
      </x:c>
      <x:c r="AA76" s="22" t="str">
        <x:v>条件が合えば有力</x:v>
      </x:c>
      <x:c r="AB76" s="22" t="str">
        <x:v>川崎マリエン</x:v>
      </x:c>
      <x:c r="AC76" s="22" t="str">
        <x:v>東扇島西公園／ちどり公園</x:v>
      </x:c>
      <x:c r="AD76" s="22" t="n">
        <x:v>55</x:v>
      </x:c>
      <x:c r="AE76" s="22" t="n">
        <x:v>30</x:v>
      </x:c>
      <x:c r="AF76" s="22" t="n">
        <x:v>140</x:v>
      </x:c>
      <x:c r="AG76" s="22" t="n">
        <x:v>3</x:v>
      </x:c>
      <x:c r="AH76" s="22" t="n">
        <x:v>45</x:v>
      </x:c>
      <x:c r="AI76" s="22" t="n">
        <x:v>5</x:v>
      </x:c>
      <x:c r="AJ76" s="22" t="n">
        <x:f>ROUND(MAX(0,MIN(100,IF('条件入力ナビ'!$B$9="飛行機",S76,IF('条件入力ナビ'!$B$9="海・港",T76,IF('条件入力ナビ'!$B$9="工場夜景",U76,IF('条件入力ナビ'!$B$9="静かな場所",V76,IF('条件入力ナビ'!$B$9="Story",AH76,X76)))))*0.30+IF('条件入力ナビ'!$B$7="深夜",Q76,IF('条件入力ナビ'!$B$7="夜",P76,IF('条件入力ナビ'!$B$7="夕方",(P76+W76)/2,W76)))*0.20+IF('条件入力ナビ'!$B$8="雨",R76,IF('条件入力ナビ'!$B$8="小雨",(R76+X76)/2,IF('条件入力ナビ'!$B$8="強風",MAX(0,X76-AI76*8),X76)))*0.15+N76*2+IF('条件入力ナビ'!$B$11="確実性優先",N76*1.6,IF('条件入力ナビ'!$B$11="穴場優先",K76*1.6,(N76+K76)*0.8))+IF(AF76&lt;='条件入力ナビ'!$B$6,12,MAX(-30,-(AF76-'条件入力ナビ'!$B$6)*0.5))+IF('条件入力ナビ'!$B$10="歩きたくない",(6-AG76)*1.2,IF('条件入力ナビ'!$B$10="歩きたい",AG76*1.2,0))+IF('条件入力ナビ'!$B$13="許容",AL76*1.2,IF('条件入力ナビ'!$B$13="路上候補除外",IF(AL76&gt;0,-12,0),0)))))</x:f>
        <x:v>53</x:v>
      </x:c>
      <x:c r="AK76" s="22" t="n">
        <x:f>RANK.EQ(AJ76,$AJ$2:$AJ$94,0)+COUNTIF($AJ$2:AJ76,AJ76)-1</x:f>
        <x:v>33</x:v>
      </x:c>
      <x:c r="AL76" t="n">
        <x:v>0</x:v>
      </x:c>
      <x:c r="AM76" t="str">
        <x:v>-</x:v>
      </x:c>
    </x:row>
    <x:row r="77">
      <x:c r="A77" s="22" t="str">
        <x:v>D258</x:v>
      </x:c>
      <x:c r="B77" s="22" t="str">
        <x:v>横浜市高齢者保養研修施設 ふれーゆ</x:v>
      </x:c>
      <x:c r="C77" s="22" t="str">
        <x:v>横浜市鶴見区・末広町</x:v>
      </x:c>
      <x:c r="D77" s="22" t="str">
        <x:v>大浴場・プール・横浜港展望・雨天</x:v>
      </x:c>
      <x:c r="E77" s="22" t="str">
        <x:v>大浴場やプールで天候に左右されず滞在でき、大窓からベイブリッジ、鶴見つばさ橋、横浜港を望める。</x:v>
      </x:c>
      <x:c r="F77" s="22" t="str">
        <x:v>毎月第2火曜休館（7・8月を除く）。駐車場の最終入庫は閉館1時間前。施設点検による長期休館を確認。</x:v>
      </x:c>
      <x:c r="G77" s="22" t="str">
        <x:v>10〜20km</x:v>
      </x:c>
      <x:c r="H77" s="22" t="str">
        <x:v>蒲田から約15〜20km</x:v>
      </x:c>
      <x:c r="I77" s="22" t="str">
        <x:v>通常35〜55分</x:v>
      </x:c>
      <x:c r="J77" s="22" t="n">
        <x:v>2</x:v>
      </x:c>
      <x:c r="K77" s="22" t="n">
        <x:v>4</x:v>
      </x:c>
      <x:c r="L77" s="22" t="n">
        <x:v>5</x:v>
      </x:c>
      <x:c r="M77" s="22" t="n">
        <x:v>3</x:v>
      </x:c>
      <x:c r="N77" s="22" t="n">
        <x:v>4</x:v>
      </x:c>
      <x:c r="O77" s="22" t="n">
        <x:v>3</x:v>
      </x:c>
      <x:c r="P77" s="22" t="n">
        <x:v>65</x:v>
      </x:c>
      <x:c r="Q77" s="22" t="n">
        <x:v>62</x:v>
      </x:c>
      <x:c r="R77" s="22" t="n">
        <x:v>83</x:v>
      </x:c>
      <x:c r="S77" s="22" t="n">
        <x:v>51</x:v>
      </x:c>
      <x:c r="T77" s="22" t="n">
        <x:v>77</x:v>
      </x:c>
      <x:c r="U77" s="22" t="n">
        <x:v>46</x:v>
      </x:c>
      <x:c r="V77" s="22" t="n">
        <x:v>55</x:v>
      </x:c>
      <x:c r="W77" s="22" t="n">
        <x:v>71</x:v>
      </x:c>
      <x:c r="X77" s="22" t="n">
        <x:v>64</x:v>
      </x:c>
      <x:c r="Y77" s="22" t="str">
        <x:v>雨天／海・港</x:v>
      </x:c>
      <x:c r="Z77" s="22" t="str">
        <x:v>出発前に閉場確認</x:v>
      </x:c>
      <x:c r="AA77" s="22" t="str">
        <x:v>用途限定で有効</x:v>
      </x:c>
      <x:c r="AB77" s="22" t="str">
        <x:v>横浜港大さん橋</x:v>
      </x:c>
      <x:c r="AC77" s="22" t="str">
        <x:v>ちどり公園／横浜港シンボルタワー</x:v>
      </x:c>
      <x:c r="AD77" s="22" t="n">
        <x:v>55</x:v>
      </x:c>
      <x:c r="AE77" s="22" t="n">
        <x:v>105</x:v>
      </x:c>
      <x:c r="AF77" s="22" t="n">
        <x:v>215</x:v>
      </x:c>
      <x:c r="AG77" s="22" t="n">
        <x:v>2</x:v>
      </x:c>
      <x:c r="AH77" s="22" t="n">
        <x:v>45</x:v>
      </x:c>
      <x:c r="AI77" s="22" t="n">
        <x:v>5</x:v>
      </x:c>
      <x:c r="AJ77" s="22" t="n">
        <x:f>ROUND(MAX(0,MIN(100,IF('条件入力ナビ'!$B$9="飛行機",S77,IF('条件入力ナビ'!$B$9="海・港",T77,IF('条件入力ナビ'!$B$9="工場夜景",U77,IF('条件入力ナビ'!$B$9="静かな場所",V77,IF('条件入力ナビ'!$B$9="Story",AH77,X77)))))*0.30+IF('条件入力ナビ'!$B$7="深夜",Q77,IF('条件入力ナビ'!$B$7="夜",P77,IF('条件入力ナビ'!$B$7="夕方",(P77+W77)/2,W77)))*0.20+IF('条件入力ナビ'!$B$8="雨",R77,IF('条件入力ナビ'!$B$8="小雨",(R77+X77)/2,IF('条件入力ナビ'!$B$8="強風",MAX(0,X77-AI77*8),X77)))*0.15+N77*2+IF('条件入力ナビ'!$B$11="確実性優先",N77*1.6,IF('条件入力ナビ'!$B$11="穴場優先",K77*1.6,(N77+K77)*0.8))+IF(AF77&lt;='条件入力ナビ'!$B$6,12,MAX(-30,-(AF77-'条件入力ナビ'!$B$6)*0.5))+IF('条件入力ナビ'!$B$10="歩きたくない",(6-AG77)*1.2,IF('条件入力ナビ'!$B$10="歩きたい",AG77*1.2,0))+IF('条件入力ナビ'!$B$13="許容",AL77*1.2,IF('条件入力ナビ'!$B$13="路上候補除外",IF(AL77&gt;0,-12,0),0)))))</x:f>
        <x:v>26</x:v>
      </x:c>
      <x:c r="AK77" s="22" t="n">
        <x:f>RANK.EQ(AJ77,$AJ$2:$AJ$94,0)+COUNTIF($AJ$2:AJ77,AJ77)-1</x:f>
        <x:v>74</x:v>
      </x:c>
      <x:c r="AL77" t="n">
        <x:v>0</x:v>
      </x:c>
      <x:c r="AM77" t="str">
        <x:v>-</x:v>
      </x:c>
    </x:row>
    <x:row r="78">
      <x:c r="A78" s="22" t="str">
        <x:v>D259</x:v>
      </x:c>
      <x:c r="B78" s="22" t="str">
        <x:v>大森 海苔のふるさと館</x:v>
      </x:c>
      <x:c r="C78" s="22" t="str">
        <x:v>大田区・平和の森公園</x:v>
      </x:c>
      <x:c r="D78" s="22" t="str">
        <x:v>産業遺産・海苔・博物館Story</x:v>
      </x:c>
      <x:c r="E78" s="22" t="str">
        <x:v>大森の海苔養殖と加工の歴史を、実物資料と復元展示で短時間に理解できる。大森海岸ルートの物語密度を一気に上げる経由地。</x:v>
      </x:c>
      <x:c r="F78" s="22" t="str">
        <x:v>第3月曜（祝日の場合は翌日）と年末年始は休館。駐車場混雑時は大森ふるさとの浜辺公園側へ切替。</x:v>
      </x:c>
      <x:c r="G78" s="22" t="str">
        <x:v>0〜10km</x:v>
      </x:c>
      <x:c r="H78" s="22" t="str">
        <x:v>蒲田から約4〜7km</x:v>
      </x:c>
      <x:c r="I78" s="22" t="str">
        <x:v>通常15〜25分</x:v>
      </x:c>
      <x:c r="J78" s="22" t="n">
        <x:v>1</x:v>
      </x:c>
      <x:c r="K78" s="22" t="n">
        <x:v>4</x:v>
      </x:c>
      <x:c r="L78" s="22" t="n">
        <x:v>5</x:v>
      </x:c>
      <x:c r="M78" s="22" t="n">
        <x:v>1</x:v>
      </x:c>
      <x:c r="N78" s="22" t="n">
        <x:v>4</x:v>
      </x:c>
      <x:c r="O78" s="22" t="n">
        <x:v>2</x:v>
      </x:c>
      <x:c r="P78" s="22" t="n">
        <x:v>58</x:v>
      </x:c>
      <x:c r="Q78" s="22" t="n">
        <x:v>51</x:v>
      </x:c>
      <x:c r="R78" s="22" t="n">
        <x:v>80</x:v>
      </x:c>
      <x:c r="S78" s="22" t="n">
        <x:v>48</x:v>
      </x:c>
      <x:c r="T78" s="22" t="n">
        <x:v>72</x:v>
      </x:c>
      <x:c r="U78" s="22" t="n">
        <x:v>41</x:v>
      </x:c>
      <x:c r="V78" s="22" t="n">
        <x:v>57</x:v>
      </x:c>
      <x:c r="W78" s="22" t="n">
        <x:v>87</x:v>
      </x:c>
      <x:c r="X78" s="22" t="n">
        <x:v>63</x:v>
      </x:c>
      <x:c r="Y78" s="22" t="str">
        <x:v>休日半日／雨天</x:v>
      </x:c>
      <x:c r="Z78" s="22" t="str">
        <x:v>出発前に閉場確認</x:v>
      </x:c>
      <x:c r="AA78" s="22" t="str">
        <x:v>用途限定で有効</x:v>
      </x:c>
      <x:c r="AB78" s="22" t="str">
        <x:v>大田区立郷土博物館</x:v>
      </x:c>
      <x:c r="AC78" s="22" t="str">
        <x:v>大森ふるさとの浜辺公園／平和の森公園</x:v>
      </x:c>
      <x:c r="AD78" s="22" t="n">
        <x:v>25</x:v>
      </x:c>
      <x:c r="AE78" s="22" t="n">
        <x:v>68</x:v>
      </x:c>
      <x:c r="AF78" s="22" t="n">
        <x:v>118</x:v>
      </x:c>
      <x:c r="AG78" s="22" t="n">
        <x:v>3</x:v>
      </x:c>
      <x:c r="AH78" s="22" t="n">
        <x:v>80</x:v>
      </x:c>
      <x:c r="AI78" s="22" t="n">
        <x:v>5</x:v>
      </x:c>
      <x:c r="AJ78" s="22" t="n">
        <x:f>ROUND(MAX(0,MIN(100,IF('条件入力ナビ'!$B$9="飛行機",S78,IF('条件入力ナビ'!$B$9="海・港",T78,IF('条件入力ナビ'!$B$9="工場夜景",U78,IF('条件入力ナビ'!$B$9="静かな場所",V78,IF('条件入力ナビ'!$B$9="Story",AH78,X78)))))*0.30+IF('条件入力ナビ'!$B$7="深夜",Q78,IF('条件入力ナビ'!$B$7="夜",P78,IF('条件入力ナビ'!$B$7="夕方",(P78+W78)/2,W78)))*0.20+IF('条件入力ナビ'!$B$8="雨",R78,IF('条件入力ナビ'!$B$8="小雨",(R78+X78)/2,IF('条件入力ナビ'!$B$8="強風",MAX(0,X78-AI78*8),X78)))*0.15+N78*2+IF('条件入力ナビ'!$B$11="確実性優先",N78*1.6,IF('条件入力ナビ'!$B$11="穴場優先",K78*1.6,(N78+K78)*0.8))+IF(AF78&lt;='条件入力ナビ'!$B$6,12,MAX(-30,-(AF78-'条件入力ナビ'!$B$6)*0.5))+IF('条件入力ナビ'!$B$10="歩きたくない",(6-AG78)*1.2,IF('条件入力ナビ'!$B$10="歩きたい",AG78*1.2,0))+IF('条件入力ナビ'!$B$13="許容",AL78*1.2,IF('条件入力ナビ'!$B$13="路上候補除外",IF(AL78&gt;0,-12,0),0)))))</x:f>
        <x:v>66</x:v>
      </x:c>
      <x:c r="AK78" s="22" t="n">
        <x:f>RANK.EQ(AJ78,$AJ$2:$AJ$94,0)+COUNTIF($AJ$2:AJ78,AJ78)-1</x:f>
        <x:v>18</x:v>
      </x:c>
      <x:c r="AL78" t="n">
        <x:v>0</x:v>
      </x:c>
      <x:c r="AM78" t="str">
        <x:v>-</x:v>
      </x:c>
    </x:row>
    <x:row r="79">
      <x:c r="A79" s="22" t="str">
        <x:v>D260</x:v>
      </x:c>
      <x:c r="B79" s="22" t="str">
        <x:v>萩中公園</x:v>
      </x:c>
      <x:c r="C79" s="22" t="str">
        <x:v>大田区・萩中</x:v>
      </x:c>
      <x:c r="D79" s="22" t="str">
        <x:v>交通公園・SL・プール・家族Story</x:v>
      </x:c>
      <x:c r="E79" s="22" t="str">
        <x:v>蒸気機関車や路面電車、交通公園、屋内外プールがまとまり、飛行機以外の羽田周辺Storyを作れる近距離の大型公園。</x:v>
      </x:c>
      <x:c r="F79" s="22" t="str">
        <x:v>夜間は公園・駐車のみ成立し、保存車両・交通公園・遊具Storyは17時までが主力。土日祝は駐車場混雑。プール利用者専用駐車場ではない。</x:v>
      </x:c>
      <x:c r="G79" s="22" t="str">
        <x:v>0〜10km</x:v>
      </x:c>
      <x:c r="H79" s="22" t="str">
        <x:v>蒲田から約3〜6km</x:v>
      </x:c>
      <x:c r="I79" s="22" t="str">
        <x:v>通常10〜20分</x:v>
      </x:c>
      <x:c r="J79" s="22" t="n">
        <x:v>4</x:v>
      </x:c>
      <x:c r="K79" s="22" t="n">
        <x:v>3</x:v>
      </x:c>
      <x:c r="L79" s="22" t="n">
        <x:v>3</x:v>
      </x:c>
      <x:c r="M79" s="22" t="n">
        <x:v>2</x:v>
      </x:c>
      <x:c r="N79" s="22" t="n">
        <x:v>2</x:v>
      </x:c>
      <x:c r="O79" s="22" t="n">
        <x:v>5</x:v>
      </x:c>
      <x:c r="P79" s="22" t="n">
        <x:v>76</x:v>
      </x:c>
      <x:c r="Q79" s="22" t="n">
        <x:v>74</x:v>
      </x:c>
      <x:c r="R79" s="22" t="n">
        <x:v>64</x:v>
      </x:c>
      <x:c r="S79" s="22" t="n">
        <x:v>52</x:v>
      </x:c>
      <x:c r="T79" s="22" t="n">
        <x:v>51</x:v>
      </x:c>
      <x:c r="U79" s="22" t="n">
        <x:v>49</x:v>
      </x:c>
      <x:c r="V79" s="22" t="n">
        <x:v>81</x:v>
      </x:c>
      <x:c r="W79" s="22" t="n">
        <x:v>71</x:v>
      </x:c>
      <x:c r="X79" s="22" t="n">
        <x:v>66</x:v>
      </x:c>
      <x:c r="Y79" s="22" t="str">
        <x:v>静かな場所／平日夜90分</x:v>
      </x:c>
      <x:c r="Z79" s="22" t="str">
        <x:v>出発前に閉場確認</x:v>
      </x:c>
      <x:c r="AA79" s="22" t="str">
        <x:v>用途限定で有効</x:v>
      </x:c>
      <x:c r="AB79" s="22" t="str">
        <x:v>東糀谷防災公園</x:v>
      </x:c>
      <x:c r="AC79" s="22" t="str">
        <x:v>HANEDA INNOVATION CITY 足湯スカイデッキ／穴守稲荷神社</x:v>
      </x:c>
      <x:c r="AD79" s="22" t="n">
        <x:v>20</x:v>
      </x:c>
      <x:c r="AE79" s="22" t="n">
        <x:v>75</x:v>
      </x:c>
      <x:c r="AF79" s="22" t="n">
        <x:v>115</x:v>
      </x:c>
      <x:c r="AG79" s="22" t="n">
        <x:v>3</x:v>
      </x:c>
      <x:c r="AH79" s="22" t="n">
        <x:v>80</x:v>
      </x:c>
      <x:c r="AI79" s="22" t="n">
        <x:v>2</x:v>
      </x:c>
      <x:c r="AJ79" s="22" t="n">
        <x:f>ROUND(MAX(0,MIN(100,IF('条件入力ナビ'!$B$9="飛行機",S79,IF('条件入力ナビ'!$B$9="海・港",T79,IF('条件入力ナビ'!$B$9="工場夜景",U79,IF('条件入力ナビ'!$B$9="静かな場所",V79,IF('条件入力ナビ'!$B$9="Story",AH79,X79)))))*0.30+IF('条件入力ナビ'!$B$7="深夜",Q79,IF('条件入力ナビ'!$B$7="夜",P79,IF('条件入力ナビ'!$B$7="夕方",(P79+W79)/2,W79)))*0.20+IF('条件入力ナビ'!$B$8="雨",R79,IF('条件入力ナビ'!$B$8="小雨",(R79+X79)/2,IF('条件入力ナビ'!$B$8="強風",MAX(0,X79-AI79*8),X79)))*0.15+N79*2+IF('条件入力ナビ'!$B$11="確実性優先",N79*1.6,IF('条件入力ナビ'!$B$11="穴場優先",K79*1.6,(N79+K79)*0.8))+IF(AF79&lt;='条件入力ナビ'!$B$6,12,MAX(-30,-(AF79-'条件入力ナビ'!$B$6)*0.5))+IF('条件入力ナビ'!$B$10="歩きたくない",(6-AG79)*1.2,IF('条件入力ナビ'!$B$10="歩きたい",AG79*1.2,0))+IF('条件入力ナビ'!$B$13="許容",AL79*1.2,IF('条件入力ナビ'!$B$13="路上候補除外",IF(AL79&gt;0,-12,0),0)))))</x:f>
        <x:v>64</x:v>
      </x:c>
      <x:c r="AK79" s="22" t="n">
        <x:f>RANK.EQ(AJ79,$AJ$2:$AJ$94,0)+COUNTIF($AJ$2:AJ79,AJ79)-1</x:f>
        <x:v>23</x:v>
      </x:c>
      <x:c r="AL79" t="n">
        <x:v>0</x:v>
      </x:c>
      <x:c r="AM79" t="str">
        <x:v>-</x:v>
      </x:c>
    </x:row>
    <x:row r="80">
      <x:c r="A80" s="22" t="str">
        <x:v>D261</x:v>
      </x:c>
      <x:c r="B80" s="22" t="str">
        <x:v>大田区立郷土博物館</x:v>
      </x:c>
      <x:c r="C80" s="22" t="str">
        <x:v>大田区・南馬込</x:v>
      </x:c>
      <x:c r="D80" s="22" t="str">
        <x:v>郷土史・考古・民俗・雨天</x:v>
      </x:c>
      <x:c r="E80" s="22" t="str">
        <x:v>大田区の地形、古墳、馬込文士村、海苔産業まで横断できる。Project CruiseのStory Layerを補強する雨天向け拠点。</x:v>
      </x:c>
      <x:c r="F80" s="22" t="str">
        <x:v>月曜・年末年始等休館。2026年11月30日～2027年3月31日は改修休館予定。駐車台数が少ないため満車時は周辺民間駐車場へ。</x:v>
      </x:c>
      <x:c r="G80" s="22" t="str">
        <x:v>0〜10km</x:v>
      </x:c>
      <x:c r="H80" s="22" t="str">
        <x:v>蒲田から約5〜8km</x:v>
      </x:c>
      <x:c r="I80" s="22" t="str">
        <x:v>通常15〜30分</x:v>
      </x:c>
      <x:c r="J80" s="22" t="n">
        <x:v>1</x:v>
      </x:c>
      <x:c r="K80" s="22" t="n">
        <x:v>4</x:v>
      </x:c>
      <x:c r="L80" s="22" t="n">
        <x:v>5</x:v>
      </x:c>
      <x:c r="M80" s="22" t="n">
        <x:v>1</x:v>
      </x:c>
      <x:c r="N80" s="22" t="n">
        <x:v>2</x:v>
      </x:c>
      <x:c r="O80" s="22" t="n">
        <x:v>1</x:v>
      </x:c>
      <x:c r="P80" s="22" t="n">
        <x:v>49</x:v>
      </x:c>
      <x:c r="Q80" s="22" t="n">
        <x:v>39</x:v>
      </x:c>
      <x:c r="R80" s="22" t="n">
        <x:v>70</x:v>
      </x:c>
      <x:c r="S80" s="22" t="n">
        <x:v>42</x:v>
      </x:c>
      <x:c r="T80" s="22" t="n">
        <x:v>38</x:v>
      </x:c>
      <x:c r="U80" s="22" t="n">
        <x:v>35</x:v>
      </x:c>
      <x:c r="V80" s="22" t="n">
        <x:v>51</x:v>
      </x:c>
      <x:c r="W80" s="22" t="n">
        <x:v>81</x:v>
      </x:c>
      <x:c r="X80" s="22" t="n">
        <x:v>52</x:v>
      </x:c>
      <x:c r="Y80" s="22" t="str">
        <x:v>休日半日／雨天</x:v>
      </x:c>
      <x:c r="Z80" s="22" t="str">
        <x:v>出発前に閉場確認</x:v>
      </x:c>
      <x:c r="AA80" s="22" t="str">
        <x:v>用途限定で有効</x:v>
      </x:c>
      <x:c r="AB80" s="22" t="str">
        <x:v>品川歴史館</x:v>
      </x:c>
      <x:c r="AC80" s="22" t="str">
        <x:v>池上梅園／大森 海苔のふるさと館</x:v>
      </x:c>
      <x:c r="AD80" s="22" t="n">
        <x:v>30</x:v>
      </x:c>
      <x:c r="AE80" s="22" t="n">
        <x:v>68</x:v>
      </x:c>
      <x:c r="AF80" s="22" t="n">
        <x:v>128</x:v>
      </x:c>
      <x:c r="AG80" s="22" t="n">
        <x:v>3</x:v>
      </x:c>
      <x:c r="AH80" s="22" t="n">
        <x:v>80</x:v>
      </x:c>
      <x:c r="AI80" s="22" t="n">
        <x:v>2</x:v>
      </x:c>
      <x:c r="AJ80" s="22" t="n">
        <x:f>ROUND(MAX(0,MIN(100,IF('条件入力ナビ'!$B$9="飛行機",S80,IF('条件入力ナビ'!$B$9="海・港",T80,IF('条件入力ナビ'!$B$9="工場夜景",U80,IF('条件入力ナビ'!$B$9="静かな場所",V80,IF('条件入力ナビ'!$B$9="Story",AH80,X80)))))*0.30+IF('条件入力ナビ'!$B$7="深夜",Q80,IF('条件入力ナビ'!$B$7="夜",P80,IF('条件入力ナビ'!$B$7="夕方",(P80+W80)/2,W80)))*0.20+IF('条件入力ナビ'!$B$8="雨",R80,IF('条件入力ナビ'!$B$8="小雨",(R80+X80)/2,IF('条件入力ナビ'!$B$8="強風",MAX(0,X80-AI80*8),X80)))*0.15+N80*2+IF('条件入力ナビ'!$B$11="確実性優先",N80*1.6,IF('条件入力ナビ'!$B$11="穴場優先",K80*1.6,(N80+K80)*0.8))+IF(AF80&lt;='条件入力ナビ'!$B$6,12,MAX(-30,-(AF80-'条件入力ナビ'!$B$6)*0.5))+IF('条件入力ナビ'!$B$10="歩きたくない",(6-AG80)*1.2,IF('条件入力ナビ'!$B$10="歩きたい",AG80*1.2,0))+IF('条件入力ナビ'!$B$13="許容",AL80*1.2,IF('条件入力ナビ'!$B$13="路上候補除外",IF(AL80&gt;0,-12,0),0)))))</x:f>
        <x:v>36</x:v>
      </x:c>
      <x:c r="AK80" s="22" t="n">
        <x:f>RANK.EQ(AJ80,$AJ$2:$AJ$94,0)+COUNTIF($AJ$2:AJ80,AJ80)-1</x:f>
        <x:v>54</x:v>
      </x:c>
      <x:c r="AL80" t="n">
        <x:v>0</x:v>
      </x:c>
      <x:c r="AM80" t="str">
        <x:v>-</x:v>
      </x:c>
    </x:row>
    <x:row r="81">
      <x:c r="A81" s="22" t="str">
        <x:v>D262</x:v>
      </x:c>
      <x:c r="B81" s="22" t="str">
        <x:v>昭和島二丁目公園</x:v>
      </x:c>
      <x:c r="C81" s="22" t="str">
        <x:v>大田区・昭和島</x:v>
      </x:c>
      <x:c r="D81" s="22" t="str">
        <x:v>工業島・運河・スポーツ・行き止まり</x:v>
      </x:c>
      <x:c r="E81" s="22" t="str">
        <x:v>工業専用島の奥まで走る到達感があり、運河、モノレール、工場の気配を近距離で味わえる。羽田系とは違う産業景観の終点。</x:v>
      </x:c>
      <x:c r="F81" s="22" t="str">
        <x:v>年末年始休場。競技利用・工事で混雑する場合あり。工場敷地や岸壁へ入らない。閉場後は出庫不可。</x:v>
      </x:c>
      <x:c r="G81" s="22" t="str">
        <x:v>0〜10km</x:v>
      </x:c>
      <x:c r="H81" s="22" t="str">
        <x:v>蒲田から約7〜10km</x:v>
      </x:c>
      <x:c r="I81" s="22" t="str">
        <x:v>通常20〜35分</x:v>
      </x:c>
      <x:c r="J81" s="22" t="n">
        <x:v>4</x:v>
      </x:c>
      <x:c r="K81" s="22" t="n">
        <x:v>5</x:v>
      </x:c>
      <x:c r="L81" s="22" t="n">
        <x:v>1</x:v>
      </x:c>
      <x:c r="M81" s="22" t="n">
        <x:v>3</x:v>
      </x:c>
      <x:c r="N81" s="22" t="n">
        <x:v>2</x:v>
      </x:c>
      <x:c r="O81" s="22" t="n">
        <x:v>4</x:v>
      </x:c>
      <x:c r="P81" s="22" t="n">
        <x:v>79</x:v>
      </x:c>
      <x:c r="Q81" s="22" t="n">
        <x:v>74</x:v>
      </x:c>
      <x:c r="R81" s="22" t="n">
        <x:v>54</x:v>
      </x:c>
      <x:c r="S81" s="22" t="n">
        <x:v>56</x:v>
      </x:c>
      <x:c r="T81" s="22" t="n">
        <x:v>83</x:v>
      </x:c>
      <x:c r="U81" s="22" t="n">
        <x:v>83</x:v>
      </x:c>
      <x:c r="V81" s="22" t="n">
        <x:v>61</x:v>
      </x:c>
      <x:c r="W81" s="22" t="n">
        <x:v>57</x:v>
      </x:c>
      <x:c r="X81" s="22" t="n">
        <x:v>69</x:v>
      </x:c>
      <x:c r="Y81" s="22" t="str">
        <x:v>海・港／工場夜景</x:v>
      </x:c>
      <x:c r="Z81" s="22" t="str">
        <x:v>出発前に閉場確認</x:v>
      </x:c>
      <x:c r="AA81" s="22" t="str">
        <x:v>用途限定で有効</x:v>
      </x:c>
      <x:c r="AB81" s="22" t="str">
        <x:v>京浜島つばさ公園</x:v>
      </x:c>
      <x:c r="AC81" s="22" t="str">
        <x:v>大森 海苔のふるさと館／大井ふ頭中央海浜公園</x:v>
      </x:c>
      <x:c r="AD81" s="22" t="n">
        <x:v>35</x:v>
      </x:c>
      <x:c r="AE81" s="22" t="n">
        <x:v>35</x:v>
      </x:c>
      <x:c r="AF81" s="22" t="n">
        <x:v>105</x:v>
      </x:c>
      <x:c r="AG81" s="22" t="n">
        <x:v>2</x:v>
      </x:c>
      <x:c r="AH81" s="22" t="n">
        <x:v>45</x:v>
      </x:c>
      <x:c r="AI81" s="22" t="n">
        <x:v>5</x:v>
      </x:c>
      <x:c r="AJ81" s="22" t="n">
        <x:f>ROUND(MAX(0,MIN(100,IF('条件入力ナビ'!$B$9="飛行機",S81,IF('条件入力ナビ'!$B$9="海・港",T81,IF('条件入力ナビ'!$B$9="工場夜景",U81,IF('条件入力ナビ'!$B$9="静かな場所",V81,IF('条件入力ナビ'!$B$9="Story",AH81,X81)))))*0.30+IF('条件入力ナビ'!$B$7="深夜",Q81,IF('条件入力ナビ'!$B$7="夜",P81,IF('条件入力ナビ'!$B$7="夕方",(P81+W81)/2,W81)))*0.20+IF('条件入力ナビ'!$B$8="雨",R81,IF('条件入力ナビ'!$B$8="小雨",(R81+X81)/2,IF('条件入力ナビ'!$B$8="強風",MAX(0,X81-AI81*8),X81)))*0.15+N81*2+IF('条件入力ナビ'!$B$11="確実性優先",N81*1.6,IF('条件入力ナビ'!$B$11="穴場優先",K81*1.6,(N81+K81)*0.8))+IF(AF81&lt;='条件入力ナビ'!$B$6,12,MAX(-30,-(AF81-'条件入力ナビ'!$B$6)*0.5))+IF('条件入力ナビ'!$B$10="歩きたくない",(6-AG81)*1.2,IF('条件入力ナビ'!$B$10="歩きたい",AG81*1.2,0))+IF('条件入力ナビ'!$B$13="許容",AL81*1.2,IF('条件入力ナビ'!$B$13="路上候補除外",IF(AL81&gt;0,-12,0),0)))))</x:f>
        <x:v>66</x:v>
      </x:c>
      <x:c r="AK81" s="22" t="n">
        <x:f>RANK.EQ(AJ81,$AJ$2:$AJ$94,0)+COUNTIF($AJ$2:AJ81,AJ81)-1</x:f>
        <x:v>19</x:v>
      </x:c>
      <x:c r="AL81" t="n">
        <x:v>0</x:v>
      </x:c>
      <x:c r="AM81" t="str">
        <x:v>-</x:v>
      </x:c>
    </x:row>
    <x:row r="82">
      <x:c r="A82" s="22" t="str">
        <x:v>D263</x:v>
      </x:c>
      <x:c r="B82" s="22" t="str">
        <x:v>東糀谷防災公園</x:v>
      </x:c>
      <x:c r="C82" s="22" t="str">
        <x:v>大田区・東糀谷</x:v>
      </x:c>
      <x:c r="D82" s="22" t="str">
        <x:v>防災公園・ビオトープ・都市インフラ</x:v>
      </x:c>
      <x:c r="E82" s="22" t="str">
        <x:v>24時間駐車できる小規模防災公園で、羽田周辺の短時間経由地として使いやすい。防災設備とビオトープという明確なStoryがある。</x:v>
      </x:c>
      <x:c r="F82" s="22" t="str">
        <x:v>駐車枠は合計10台だが一般枠は9台。満車時は待たずに萩中公園またはHICへ切替。災害時は防災拠点として一般利用制限の可能性あり。</x:v>
      </x:c>
      <x:c r="G82" s="22" t="str">
        <x:v>0〜10km</x:v>
      </x:c>
      <x:c r="H82" s="22" t="str">
        <x:v>蒲田から約4〜7km</x:v>
      </x:c>
      <x:c r="I82" s="22" t="str">
        <x:v>通常15〜25分</x:v>
      </x:c>
      <x:c r="J82" s="22" t="n">
        <x:v>4</x:v>
      </x:c>
      <x:c r="K82" s="22" t="n">
        <x:v>5</x:v>
      </x:c>
      <x:c r="L82" s="22" t="n">
        <x:v>1</x:v>
      </x:c>
      <x:c r="M82" s="22" t="n">
        <x:v>3</x:v>
      </x:c>
      <x:c r="N82" s="22" t="n">
        <x:v>2</x:v>
      </x:c>
      <x:c r="O82" s="22" t="n">
        <x:v>5</x:v>
      </x:c>
      <x:c r="P82" s="22" t="n">
        <x:v>82</x:v>
      </x:c>
      <x:c r="Q82" s="22" t="n">
        <x:v>78</x:v>
      </x:c>
      <x:c r="R82" s="22" t="n">
        <x:v>56</x:v>
      </x:c>
      <x:c r="S82" s="22" t="n">
        <x:v>56</x:v>
      </x:c>
      <x:c r="T82" s="22" t="n">
        <x:v>55</x:v>
      </x:c>
      <x:c r="U82" s="22" t="n">
        <x:v>51</x:v>
      </x:c>
      <x:c r="V82" s="22" t="n">
        <x:v>89</x:v>
      </x:c>
      <x:c r="W82" s="22" t="n">
        <x:v>57</x:v>
      </x:c>
      <x:c r="X82" s="22" t="n">
        <x:v>66</x:v>
      </x:c>
      <x:c r="Y82" s="22" t="str">
        <x:v>静かな場所／平日夜90分</x:v>
      </x:c>
      <x:c r="Z82" s="22" t="str">
        <x:v>出発前に閉場確認</x:v>
      </x:c>
      <x:c r="AA82" s="22" t="str">
        <x:v>用途限定で有効</x:v>
      </x:c>
      <x:c r="AB82" s="22" t="str">
        <x:v>萩中公園</x:v>
      </x:c>
      <x:c r="AC82" s="22" t="str">
        <x:v>HANEDA INNOVATION CITY 足湯スカイデッキ／森ケ崎公園</x:v>
      </x:c>
      <x:c r="AD82" s="22" t="n">
        <x:v>25</x:v>
      </x:c>
      <x:c r="AE82" s="22" t="n">
        <x:v>25</x:v>
      </x:c>
      <x:c r="AF82" s="22" t="n">
        <x:v>75</x:v>
      </x:c>
      <x:c r="AG82" s="22" t="n">
        <x:v>2</x:v>
      </x:c>
      <x:c r="AH82" s="22" t="n">
        <x:v>45</x:v>
      </x:c>
      <x:c r="AI82" s="22" t="n">
        <x:v>2</x:v>
      </x:c>
      <x:c r="AJ82" s="22" t="n">
        <x:f>ROUND(MAX(0,MIN(100,IF('条件入力ナビ'!$B$9="飛行機",S82,IF('条件入力ナビ'!$B$9="海・港",T82,IF('条件入力ナビ'!$B$9="工場夜景",U82,IF('条件入力ナビ'!$B$9="静かな場所",V82,IF('条件入力ナビ'!$B$9="Story",AH82,X82)))))*0.30+IF('条件入力ナビ'!$B$7="深夜",Q82,IF('条件入力ナビ'!$B$7="夜",P82,IF('条件入力ナビ'!$B$7="夕方",(P82+W82)/2,W82)))*0.20+IF('条件入力ナビ'!$B$8="雨",R82,IF('条件入力ナビ'!$B$8="小雨",(R82+X82)/2,IF('条件入力ナビ'!$B$8="強風",MAX(0,X82-AI82*8),X82)))*0.15+N82*2+IF('条件入力ナビ'!$B$11="確実性優先",N82*1.6,IF('条件入力ナビ'!$B$11="穴場優先",K82*1.6,(N82+K82)*0.8))+IF(AF82&lt;='条件入力ナビ'!$B$6,12,MAX(-30,-(AF82-'条件入力ナビ'!$B$6)*0.5))+IF('条件入力ナビ'!$B$10="歩きたくない",(6-AG82)*1.2,IF('条件入力ナビ'!$B$10="歩きたい",AG82*1.2,0))+IF('条件入力ナビ'!$B$13="許容",AL82*1.2,IF('条件入力ナビ'!$B$13="路上候補除外",IF(AL82&gt;0,-12,0),0)))))</x:f>
        <x:v>65</x:v>
      </x:c>
      <x:c r="AK82" s="22" t="n">
        <x:f>RANK.EQ(AJ82,$AJ$2:$AJ$94,0)+COUNTIF($AJ$2:AJ82,AJ82)-1</x:f>
        <x:v>21</x:v>
      </x:c>
      <x:c r="AL82" t="n">
        <x:v>0</x:v>
      </x:c>
      <x:c r="AM82" t="str">
        <x:v>-</x:v>
      </x:c>
    </x:row>
    <x:row r="83">
      <x:c r="A83" s="22" t="str">
        <x:v>D264</x:v>
      </x:c>
      <x:c r="B83" s="22" t="str">
        <x:v>品川区立 品川歴史館</x:v>
      </x:c>
      <x:c r="C83" s="22" t="str">
        <x:v>品川区・大井</x:v>
      </x:c>
      <x:c r="D83" s="22" t="str">
        <x:v>東海道・大森貝塚・地域史・雨天</x:v>
      </x:c>
      <x:c r="E83" s="22" t="str">
        <x:v>東海道品川宿、大森貝塚、品川の地形と産業を一館で理解できる。大田区から近い雨天Story経由地として優秀。</x:v>
      </x:c>
      <x:c r="F83" s="22" t="str">
        <x:v>月曜・年末年始休館。駐車は3台のみで館利用者限定。満車時は大井町・大森周辺の時間貸し駐車場へ切替。</x:v>
      </x:c>
      <x:c r="G83" s="22" t="str">
        <x:v>0〜10km</x:v>
      </x:c>
      <x:c r="H83" s="22" t="str">
        <x:v>蒲田から約6〜9km</x:v>
      </x:c>
      <x:c r="I83" s="22" t="str">
        <x:v>通常15〜30分</x:v>
      </x:c>
      <x:c r="J83" s="22" t="n">
        <x:v>1</x:v>
      </x:c>
      <x:c r="K83" s="22" t="n">
        <x:v>4</x:v>
      </x:c>
      <x:c r="L83" s="22" t="n">
        <x:v>5</x:v>
      </x:c>
      <x:c r="M83" s="22" t="n">
        <x:v>1</x:v>
      </x:c>
      <x:c r="N83" s="22" t="n">
        <x:v>2</x:v>
      </x:c>
      <x:c r="O83" s="22" t="n">
        <x:v>1</x:v>
      </x:c>
      <x:c r="P83" s="22" t="n">
        <x:v>49</x:v>
      </x:c>
      <x:c r="Q83" s="22" t="n">
        <x:v>39</x:v>
      </x:c>
      <x:c r="R83" s="22" t="n">
        <x:v>70</x:v>
      </x:c>
      <x:c r="S83" s="22" t="n">
        <x:v>42</x:v>
      </x:c>
      <x:c r="T83" s="22" t="n">
        <x:v>66</x:v>
      </x:c>
      <x:c r="U83" s="22" t="n">
        <x:v>35</x:v>
      </x:c>
      <x:c r="V83" s="22" t="n">
        <x:v>51</x:v>
      </x:c>
      <x:c r="W83" s="22" t="n">
        <x:v>65</x:v>
      </x:c>
      <x:c r="X83" s="22" t="n">
        <x:v>52</x:v>
      </x:c>
      <x:c r="Y83" s="22" t="str">
        <x:v>雨天／海・港</x:v>
      </x:c>
      <x:c r="Z83" s="22" t="str">
        <x:v>出発前に閉場確認</x:v>
      </x:c>
      <x:c r="AA83" s="22" t="str">
        <x:v>用途限定で有効</x:v>
      </x:c>
      <x:c r="AB83" s="22" t="str">
        <x:v>大田区立郷土博物館</x:v>
      </x:c>
      <x:c r="AC83" s="22" t="str">
        <x:v>しながわ区民公園／大井競馬場</x:v>
      </x:c>
      <x:c r="AD83" s="22" t="n">
        <x:v>30</x:v>
      </x:c>
      <x:c r="AE83" s="22" t="n">
        <x:v>68</x:v>
      </x:c>
      <x:c r="AF83" s="22" t="n">
        <x:v>128</x:v>
      </x:c>
      <x:c r="AG83" s="22" t="n">
        <x:v>3</x:v>
      </x:c>
      <x:c r="AH83" s="22" t="n">
        <x:v>45</x:v>
      </x:c>
      <x:c r="AI83" s="22" t="n">
        <x:v>5</x:v>
      </x:c>
      <x:c r="AJ83" s="22" t="n">
        <x:f>ROUND(MAX(0,MIN(100,IF('条件入力ナビ'!$B$9="飛行機",S83,IF('条件入力ナビ'!$B$9="海・港",T83,IF('条件入力ナビ'!$B$9="工場夜景",U83,IF('条件入力ナビ'!$B$9="静かな場所",V83,IF('条件入力ナビ'!$B$9="Story",AH83,X83)))))*0.30+IF('条件入力ナビ'!$B$7="深夜",Q83,IF('条件入力ナビ'!$B$7="夜",P83,IF('条件入力ナビ'!$B$7="夕方",(P83+W83)/2,W83)))*0.20+IF('条件入力ナビ'!$B$8="雨",R83,IF('条件入力ナビ'!$B$8="小雨",(R83+X83)/2,IF('条件入力ナビ'!$B$8="強風",MAX(0,X83-AI83*8),X83)))*0.15+N83*2+IF('条件入力ナビ'!$B$11="確実性優先",N83*1.6,IF('条件入力ナビ'!$B$11="穴場優先",K83*1.6,(N83+K83)*0.8))+IF(AF83&lt;='条件入力ナビ'!$B$6,12,MAX(-30,-(AF83-'条件入力ナビ'!$B$6)*0.5))+IF('条件入力ナビ'!$B$10="歩きたくない",(6-AG83)*1.2,IF('条件入力ナビ'!$B$10="歩きたい",AG83*1.2,0))+IF('条件入力ナビ'!$B$13="許容",AL83*1.2,IF('条件入力ナビ'!$B$13="路上候補除外",IF(AL83&gt;0,-12,0),0)))))</x:f>
        <x:v>36</x:v>
      </x:c>
      <x:c r="AK83" s="22" t="n">
        <x:f>RANK.EQ(AJ83,$AJ$2:$AJ$94,0)+COUNTIF($AJ$2:AJ83,AJ83)-1</x:f>
        <x:v>55</x:v>
      </x:c>
      <x:c r="AL83" t="n">
        <x:v>0</x:v>
      </x:c>
      <x:c r="AM83" t="str">
        <x:v>-</x:v>
      </x:c>
    </x:row>
    <x:row r="84">
      <x:c r="A84" s="22" t="str">
        <x:v>D265</x:v>
      </x:c>
      <x:c r="B84" s="22" t="str">
        <x:v>天王洲公園</x:v>
      </x:c>
      <x:c r="C84" s="22" t="str">
        <x:v>品川区・東品川</x:v>
      </x:c>
      <x:c r="D84" s="22" t="str">
        <x:v>運河・倉庫街・スポーツ・アート街区</x:v>
      </x:c>
      <x:c r="E84" s="22" t="str">
        <x:v>天王洲運河と倉庫街再生の空気を味わえ、都心湾岸へ入る前の短時間経由地として使える。夜は橋・運河・高層建築の対比が出る。</x:v>
      </x:c>
      <x:c r="F84" s="22" t="str">
        <x:v>イベント・大会日は駐車混雑。運河沿いは強風時に体感が悪化。アート施設や店舗の営業時間は個別確認。</x:v>
      </x:c>
      <x:c r="G84" s="22" t="str">
        <x:v>10〜20km</x:v>
      </x:c>
      <x:c r="H84" s="22" t="str">
        <x:v>蒲田から約10〜14km</x:v>
      </x:c>
      <x:c r="I84" s="22" t="str">
        <x:v>通常25〜40分</x:v>
      </x:c>
      <x:c r="J84" s="22" t="n">
        <x:v>4</x:v>
      </x:c>
      <x:c r="K84" s="22" t="n">
        <x:v>3</x:v>
      </x:c>
      <x:c r="L84" s="22" t="n">
        <x:v>2</x:v>
      </x:c>
      <x:c r="M84" s="22" t="n">
        <x:v>2</x:v>
      </x:c>
      <x:c r="N84" s="22" t="n">
        <x:v>4</x:v>
      </x:c>
      <x:c r="O84" s="22" t="n">
        <x:v>5</x:v>
      </x:c>
      <x:c r="P84" s="22" t="n">
        <x:v>77</x:v>
      </x:c>
      <x:c r="Q84" s="22" t="n">
        <x:v>79</x:v>
      </x:c>
      <x:c r="R84" s="22" t="n">
        <x:v>62</x:v>
      </x:c>
      <x:c r="S84" s="22" t="n">
        <x:v>54</x:v>
      </x:c>
      <x:c r="T84" s="22" t="n">
        <x:v>82</x:v>
      </x:c>
      <x:c r="U84" s="22" t="n">
        <x:v>52</x:v>
      </x:c>
      <x:c r="V84" s="22" t="n">
        <x:v>55</x:v>
      </x:c>
      <x:c r="W84" s="22" t="n">
        <x:v>58</x:v>
      </x:c>
      <x:c r="X84" s="22" t="n">
        <x:v>66</x:v>
      </x:c>
      <x:c r="Y84" s="22" t="str">
        <x:v>海・港／深夜2時間</x:v>
      </x:c>
      <x:c r="Z84" s="22" t="str">
        <x:v>出発前に閉場確認</x:v>
      </x:c>
      <x:c r="AA84" s="22" t="str">
        <x:v>用途限定で有効</x:v>
      </x:c>
      <x:c r="AB84" s="22" t="str">
        <x:v>東品川海上公園</x:v>
      </x:c>
      <x:c r="AC84" s="22" t="str">
        <x:v>品川シーズンテラス／八潮北公園</x:v>
      </x:c>
      <x:c r="AD84" s="22" t="n">
        <x:v>40</x:v>
      </x:c>
      <x:c r="AE84" s="22" t="n">
        <x:v>40</x:v>
      </x:c>
      <x:c r="AF84" s="22" t="n">
        <x:v>120</x:v>
      </x:c>
      <x:c r="AG84" s="22" t="n">
        <x:v>3</x:v>
      </x:c>
      <x:c r="AH84" s="22" t="n">
        <x:v>45</x:v>
      </x:c>
      <x:c r="AI84" s="22" t="n">
        <x:v>5</x:v>
      </x:c>
      <x:c r="AJ84" s="22" t="n">
        <x:f>ROUND(MAX(0,MIN(100,IF('条件入力ナビ'!$B$9="飛行機",S84,IF('条件入力ナビ'!$B$9="海・港",T84,IF('条件入力ナビ'!$B$9="工場夜景",U84,IF('条件入力ナビ'!$B$9="静かな場所",V84,IF('条件入力ナビ'!$B$9="Story",AH84,X84)))))*0.30+IF('条件入力ナビ'!$B$7="深夜",Q84,IF('条件入力ナビ'!$B$7="夜",P84,IF('条件入力ナビ'!$B$7="夕方",(P84+W84)/2,W84)))*0.20+IF('条件入力ナビ'!$B$8="雨",R84,IF('条件入力ナビ'!$B$8="小雨",(R84+X84)/2,IF('条件入力ナビ'!$B$8="強風",MAX(0,X84-AI84*8),X84)))*0.15+N84*2+IF('条件入力ナビ'!$B$11="確実性優先",N84*1.6,IF('条件入力ナビ'!$B$11="穴場優先",K84*1.6,(N84+K84)*0.8))+IF(AF84&lt;='条件入力ナビ'!$B$6,12,MAX(-30,-(AF84-'条件入力ナビ'!$B$6)*0.5))+IF('条件入力ナビ'!$B$10="歩きたくない",(6-AG84)*1.2,IF('条件入力ナビ'!$B$10="歩きたい",AG84*1.2,0))+IF('条件入力ナビ'!$B$13="許容",AL84*1.2,IF('条件入力ナビ'!$B$13="路上候補除外",IF(AL84&gt;0,-12,0),0)))))</x:f>
        <x:v>72</x:v>
      </x:c>
      <x:c r="AK84" s="22" t="n">
        <x:f>RANK.EQ(AJ84,$AJ$2:$AJ$94,0)+COUNTIF($AJ$2:AJ84,AJ84)-1</x:f>
        <x:v>11</x:v>
      </x:c>
      <x:c r="AL84" t="n">
        <x:v>3</x:v>
      </x:c>
      <x:c r="AM84" t="str">
        <x:v>B</x:v>
      </x:c>
    </x:row>
    <x:row r="85">
      <x:c r="A85" s="22" t="str">
        <x:v>D266</x:v>
      </x:c>
      <x:c r="B85" s="22" t="str">
        <x:v>八潮北公園</x:v>
      </x:c>
      <x:c r="C85" s="22" t="str">
        <x:v>品川区・八潮</x:v>
      </x:c>
      <x:c r="D85" s="22" t="str">
        <x:v>スケート・湾岸高架・工業景観</x:v>
      </x:c>
      <x:c r="E85" s="22" t="str">
        <x:v>首都高と物流街区の下でスケート施設や運動施設が成立する、東京湾岸らしい都市インフラ型の穴場経由地。</x:v>
      </x:c>
      <x:c r="F85" s="22" t="str">
        <x:v>スケート場・球技利用で混雑。施設休場日と大会予定を確認。夜間は利用範囲と照明区域を守る。</x:v>
      </x:c>
      <x:c r="G85" s="22" t="str">
        <x:v>10〜20km</x:v>
      </x:c>
      <x:c r="H85" s="22" t="str">
        <x:v>蒲田から約9〜13km</x:v>
      </x:c>
      <x:c r="I85" s="22" t="str">
        <x:v>通常20〜40分</x:v>
      </x:c>
      <x:c r="J85" s="22" t="n">
        <x:v>4</x:v>
      </x:c>
      <x:c r="K85" s="22" t="n">
        <x:v>5</x:v>
      </x:c>
      <x:c r="L85" s="22" t="n">
        <x:v>1</x:v>
      </x:c>
      <x:c r="M85" s="22" t="n">
        <x:v>3</x:v>
      </x:c>
      <x:c r="N85" s="22" t="n">
        <x:v>4</x:v>
      </x:c>
      <x:c r="O85" s="22" t="n">
        <x:v>3</x:v>
      </x:c>
      <x:c r="P85" s="22" t="n">
        <x:v>77</x:v>
      </x:c>
      <x:c r="Q85" s="22" t="n">
        <x:v>75</x:v>
      </x:c>
      <x:c r="R85" s="22" t="n">
        <x:v>57</x:v>
      </x:c>
      <x:c r="S85" s="22" t="n">
        <x:v>58</x:v>
      </x:c>
      <x:c r="T85" s="22" t="n">
        <x:v>58</x:v>
      </x:c>
      <x:c r="U85" s="22" t="n">
        <x:v>86</x:v>
      </x:c>
      <x:c r="V85" s="22" t="n">
        <x:v>63</x:v>
      </x:c>
      <x:c r="W85" s="22" t="n">
        <x:v>61</x:v>
      </x:c>
      <x:c r="X85" s="22" t="n">
        <x:v>67</x:v>
      </x:c>
      <x:c r="Y85" s="22" t="str">
        <x:v>工場夜景／平日夜90分</x:v>
      </x:c>
      <x:c r="Z85" s="22" t="str">
        <x:v>出発前に閉場確認</x:v>
      </x:c>
      <x:c r="AA85" s="22" t="str">
        <x:v>用途限定で有効</x:v>
      </x:c>
      <x:c r="AB85" s="22" t="str">
        <x:v>大井ふ頭中央海浜公園</x:v>
      </x:c>
      <x:c r="AC85" s="22" t="str">
        <x:v>天王洲公園／品川シーズンテラス</x:v>
      </x:c>
      <x:c r="AD85" s="22" t="n">
        <x:v>40</x:v>
      </x:c>
      <x:c r="AE85" s="22" t="n">
        <x:v>35</x:v>
      </x:c>
      <x:c r="AF85" s="22" t="n">
        <x:v>115</x:v>
      </x:c>
      <x:c r="AG85" s="22" t="n">
        <x:v>2</x:v>
      </x:c>
      <x:c r="AH85" s="22" t="n">
        <x:v>45</x:v>
      </x:c>
      <x:c r="AI85" s="22" t="n">
        <x:v>2</x:v>
      </x:c>
      <x:c r="AJ85" s="22" t="n">
        <x:f>ROUND(MAX(0,MIN(100,IF('条件入力ナビ'!$B$9="飛行機",S85,IF('条件入力ナビ'!$B$9="海・港",T85,IF('条件入力ナビ'!$B$9="工場夜景",U85,IF('条件入力ナビ'!$B$9="静かな場所",V85,IF('条件入力ナビ'!$B$9="Story",AH85,X85)))))*0.30+IF('条件入力ナビ'!$B$7="深夜",Q85,IF('条件入力ナビ'!$B$7="夜",P85,IF('条件入力ナビ'!$B$7="夕方",(P85+W85)/2,W85)))*0.20+IF('条件入力ナビ'!$B$8="雨",R85,IF('条件入力ナビ'!$B$8="小雨",(R85+X85)/2,IF('条件入力ナビ'!$B$8="強風",MAX(0,X85-AI85*8),X85)))*0.15+N85*2+IF('条件入力ナビ'!$B$11="確実性優先",N85*1.6,IF('条件入力ナビ'!$B$11="穴場優先",K85*1.6,(N85+K85)*0.8))+IF(AF85&lt;='条件入力ナビ'!$B$6,12,MAX(-30,-(AF85-'条件入力ナビ'!$B$6)*0.5))+IF('条件入力ナビ'!$B$10="歩きたくない",(6-AG85)*1.2,IF('条件入力ナビ'!$B$10="歩きたい",AG85*1.2,0))+IF('条件入力ナビ'!$B$13="許容",AL85*1.2,IF('条件入力ナビ'!$B$13="路上候補除外",IF(AL85&gt;0,-12,0),0)))))</x:f>
        <x:v>72</x:v>
      </x:c>
      <x:c r="AK85" s="22" t="n">
        <x:f>RANK.EQ(AJ85,$AJ$2:$AJ$94,0)+COUNTIF($AJ$2:AJ85,AJ85)-1</x:f>
        <x:v>12</x:v>
      </x:c>
      <x:c r="AL85" t="n">
        <x:v>0</x:v>
      </x:c>
      <x:c r="AM85" t="str">
        <x:v>-</x:v>
      </x:c>
    </x:row>
    <x:row r="86">
      <x:c r="A86" s="22" t="str">
        <x:v>D267</x:v>
      </x:c>
      <x:c r="B86" s="22" t="str">
        <x:v>東京シティ競馬 大井競馬場</x:v>
      </x:c>
      <x:c r="C86" s="22" t="str">
        <x:v>品川区・勝島</x:v>
      </x:c>
      <x:c r="D86" s="22" t="str">
        <x:v>ナイター競馬・照明・昭和娯楽Story</x:v>
      </x:c>
      <x:c r="E86" s="22" t="str">
        <x:v>照明、歓声、厩舎文化、運河沿いの巨大施設が一体となる。開催日は単なる観光地ではない強い夜の最終目的地になる。</x:v>
      </x:c>
      <x:c r="F86" s="22" t="str">
        <x:v>非開催日は目的地として成立しにくい。繁忙日は完全予約制や料金変更あり。飲酒運転厳禁。</x:v>
      </x:c>
      <x:c r="G86" s="22" t="str">
        <x:v>0〜10km</x:v>
      </x:c>
      <x:c r="H86" s="22" t="str">
        <x:v>蒲田から約7〜10km</x:v>
      </x:c>
      <x:c r="I86" s="22" t="str">
        <x:v>通常20〜35分</x:v>
      </x:c>
      <x:c r="J86" s="22" t="n">
        <x:v>5</x:v>
      </x:c>
      <x:c r="K86" s="22" t="n">
        <x:v>2</x:v>
      </x:c>
      <x:c r="L86" s="22" t="n">
        <x:v>3</x:v>
      </x:c>
      <x:c r="M86" s="22" t="n">
        <x:v>2</x:v>
      </x:c>
      <x:c r="N86" s="22" t="n">
        <x:v>4</x:v>
      </x:c>
      <x:c r="O86" s="22" t="n">
        <x:v>1</x:v>
      </x:c>
      <x:c r="P86" s="22" t="n">
        <x:v>73</x:v>
      </x:c>
      <x:c r="Q86" s="22" t="n">
        <x:v>71</x:v>
      </x:c>
      <x:c r="R86" s="22" t="n">
        <x:v>62</x:v>
      </x:c>
      <x:c r="S86" s="22" t="n">
        <x:v>60</x:v>
      </x:c>
      <x:c r="T86" s="22" t="n">
        <x:v>60</x:v>
      </x:c>
      <x:c r="U86" s="22" t="n">
        <x:v>59</x:v>
      </x:c>
      <x:c r="V86" s="22" t="n">
        <x:v>57</x:v>
      </x:c>
      <x:c r="W86" s="22" t="n">
        <x:v>89</x:v>
      </x:c>
      <x:c r="X86" s="22" t="n">
        <x:v>68</x:v>
      </x:c>
      <x:c r="Y86" s="22" t="str">
        <x:v>休日半日／平日夜90分</x:v>
      </x:c>
      <x:c r="Z86" s="22" t="str">
        <x:v>出発前に閉場確認</x:v>
      </x:c>
      <x:c r="AA86" s="22" t="str">
        <x:v>用途限定で有効</x:v>
      </x:c>
      <x:c r="AB86" s="22" t="str">
        <x:v>しながわ区民公園</x:v>
      </x:c>
      <x:c r="AC86" s="22" t="str">
        <x:v>品川歴史館／大井ふ頭中央海浜公園</x:v>
      </x:c>
      <x:c r="AD86" s="22" t="n">
        <x:v>35</x:v>
      </x:c>
      <x:c r="AE86" s="22" t="n">
        <x:v>135</x:v>
      </x:c>
      <x:c r="AF86" s="22" t="n">
        <x:v>205</x:v>
      </x:c>
      <x:c r="AG86" s="22" t="n">
        <x:v>3</x:v>
      </x:c>
      <x:c r="AH86" s="22" t="n">
        <x:v>80</x:v>
      </x:c>
      <x:c r="AI86" s="22" t="n">
        <x:v>2</x:v>
      </x:c>
      <x:c r="AJ86" s="22" t="n">
        <x:f>ROUND(MAX(0,MIN(100,IF('条件入力ナビ'!$B$9="飛行機",S86,IF('条件入力ナビ'!$B$9="海・港",T86,IF('条件入力ナビ'!$B$9="工場夜景",U86,IF('条件入力ナビ'!$B$9="静かな場所",V86,IF('条件入力ナビ'!$B$9="Story",AH86,X86)))))*0.30+IF('条件入力ナビ'!$B$7="深夜",Q86,IF('条件入力ナビ'!$B$7="夜",P86,IF('条件入力ナビ'!$B$7="夕方",(P86+W86)/2,W86)))*0.20+IF('条件入力ナビ'!$B$8="雨",R86,IF('条件入力ナビ'!$B$8="小雨",(R86+X86)/2,IF('条件入力ナビ'!$B$8="強風",MAX(0,X86-AI86*8),X86)))*0.15+N86*2+IF('条件入力ナビ'!$B$11="確実性優先",N86*1.6,IF('条件入力ナビ'!$B$11="穴場優先",K86*1.6,(N86+K86)*0.8))+IF(AF86&lt;='条件入力ナビ'!$B$6,12,MAX(-30,-(AF86-'条件入力ナビ'!$B$6)*0.5))+IF('条件入力ナビ'!$B$10="歩きたくない",(6-AG86)*1.2,IF('条件入力ナビ'!$B$10="歩きたい",AG86*1.2,0))+IF('条件入力ナビ'!$B$13="許容",AL86*1.2,IF('条件入力ナビ'!$B$13="路上候補除外",IF(AL86&gt;0,-12,0),0)))))</x:f>
        <x:v>30</x:v>
      </x:c>
      <x:c r="AK86" s="22" t="n">
        <x:f>RANK.EQ(AJ86,$AJ$2:$AJ$94,0)+COUNTIF($AJ$2:AJ86,AJ86)-1</x:f>
        <x:v>66</x:v>
      </x:c>
      <x:c r="AL86" t="n">
        <x:v>0</x:v>
      </x:c>
      <x:c r="AM86" t="str">
        <x:v>-</x:v>
      </x:c>
    </x:row>
    <x:row r="87">
      <x:c r="A87" s="22" t="str">
        <x:v>D268</x:v>
      </x:c>
      <x:c r="B87" s="22" t="str">
        <x:v>東京タワー</x:v>
      </x:c>
      <x:c r="C87" s="22" t="str">
        <x:v>港区・芝公園</x:v>
      </x:c>
      <x:c r="D87" s="22" t="str">
        <x:v>展望・建築・放送塔Story・夜景</x:v>
      </x:c>
      <x:c r="E87" s="22" t="str">
        <x:v>大田区から1時間以内で、東京の象徴的建築と360度夜景を確実に回収できる。王道だが最終目的地力は非常に高い。</x:v>
      </x:c>
      <x:c r="F87" s="22" t="str">
        <x:v>地下駐車場は2026年6月1日以降、営業見合わせ中。地上駐車場満車時は近隣駐車場へ。最終入場22:30を過ぎたら外観鑑賞ルートへ変更。</x:v>
      </x:c>
      <x:c r="G87" s="22" t="str">
        <x:v>10〜20km</x:v>
      </x:c>
      <x:c r="H87" s="22" t="str">
        <x:v>蒲田から約13〜17km</x:v>
      </x:c>
      <x:c r="I87" s="22" t="str">
        <x:v>通常30〜50分</x:v>
      </x:c>
      <x:c r="J87" s="22" t="n">
        <x:v>5</x:v>
      </x:c>
      <x:c r="K87" s="22" t="n">
        <x:v>1</x:v>
      </x:c>
      <x:c r="L87" s="22" t="n">
        <x:v>5</x:v>
      </x:c>
      <x:c r="M87" s="22" t="n">
        <x:v>2</x:v>
      </x:c>
      <x:c r="N87" s="22" t="n">
        <x:v>4</x:v>
      </x:c>
      <x:c r="O87" s="22" t="n">
        <x:v>5</x:v>
      </x:c>
      <x:c r="P87" s="22" t="n">
        <x:v>78</x:v>
      </x:c>
      <x:c r="Q87" s="22" t="n">
        <x:v>83</x:v>
      </x:c>
      <x:c r="R87" s="22" t="n">
        <x:v>79</x:v>
      </x:c>
      <x:c r="S87" s="22" t="n">
        <x:v>55</x:v>
      </x:c>
      <x:c r="T87" s="22" t="n">
        <x:v>56</x:v>
      </x:c>
      <x:c r="U87" s="22" t="n">
        <x:v>56</x:v>
      </x:c>
      <x:c r="V87" s="22" t="n">
        <x:v>49</x:v>
      </x:c>
      <x:c r="W87" s="22" t="n">
        <x:v>75</x:v>
      </x:c>
      <x:c r="X87" s="22" t="n">
        <x:v>68</x:v>
      </x:c>
      <x:c r="Y87" s="22" t="str">
        <x:v>深夜2時間／雨天</x:v>
      </x:c>
      <x:c r="Z87" s="22" t="str">
        <x:v>出発前に閉場確認</x:v>
      </x:c>
      <x:c r="AA87" s="22" t="str">
        <x:v>用途限定で有効</x:v>
      </x:c>
      <x:c r="AB87" s="22" t="str">
        <x:v>東京都庁展望室</x:v>
      </x:c>
      <x:c r="AC87" s="22" t="str">
        <x:v>品川シーズンテラス／東京ミッドタウン</x:v>
      </x:c>
      <x:c r="AD87" s="22" t="n">
        <x:v>50</x:v>
      </x:c>
      <x:c r="AE87" s="22" t="n">
        <x:v>90</x:v>
      </x:c>
      <x:c r="AF87" s="22" t="n">
        <x:v>190</x:v>
      </x:c>
      <x:c r="AG87" s="22" t="n">
        <x:v>3</x:v>
      </x:c>
      <x:c r="AH87" s="22" t="n">
        <x:v>80</x:v>
      </x:c>
      <x:c r="AI87" s="22" t="n">
        <x:v>2</x:v>
      </x:c>
      <x:c r="AJ87" s="22" t="n">
        <x:f>ROUND(MAX(0,MIN(100,IF('条件入力ナビ'!$B$9="飛行機",S87,IF('条件入力ナビ'!$B$9="海・港",T87,IF('条件入力ナビ'!$B$9="工場夜景",U87,IF('条件入力ナビ'!$B$9="静かな場所",V87,IF('条件入力ナビ'!$B$9="Story",AH87,X87)))))*0.30+IF('条件入力ナビ'!$B$7="深夜",Q87,IF('条件入力ナビ'!$B$7="夜",P87,IF('条件入力ナビ'!$B$7="夕方",(P87+W87)/2,W87)))*0.20+IF('条件入力ナビ'!$B$8="雨",R87,IF('条件入力ナビ'!$B$8="小雨",(R87+X87)/2,IF('条件入力ナビ'!$B$8="強風",MAX(0,X87-AI87*8),X87)))*0.15+N87*2+IF('条件入力ナビ'!$B$11="確実性優先",N87*1.6,IF('条件入力ナビ'!$B$11="穴場優先",K87*1.6,(N87+K87)*0.8))+IF(AF87&lt;='条件入力ナビ'!$B$6,12,MAX(-30,-(AF87-'条件入力ナビ'!$B$6)*0.5))+IF('条件入力ナビ'!$B$10="歩きたくない",(6-AG87)*1.2,IF('条件入力ナビ'!$B$10="歩きたい",AG87*1.2,0))+IF('条件入力ナビ'!$B$13="許容",AL87*1.2,IF('条件入力ナビ'!$B$13="路上候補除外",IF(AL87&gt;0,-12,0),0)))))</x:f>
        <x:v>31</x:v>
      </x:c>
      <x:c r="AK87" s="22" t="n">
        <x:f>RANK.EQ(AJ87,$AJ$2:$AJ$94,0)+COUNTIF($AJ$2:AJ87,AJ87)-1</x:f>
        <x:v>62</x:v>
      </x:c>
      <x:c r="AL87" t="n">
        <x:v>5</x:v>
      </x:c>
      <x:c r="AM87" t="str">
        <x:v>A</x:v>
      </x:c>
    </x:row>
    <x:row r="88">
      <x:c r="A88" s="22" t="str">
        <x:v>D269</x:v>
      </x:c>
      <x:c r="B88" s="22" t="str">
        <x:v>東京ミッドタウン／ミッドタウン・ガーデン</x:v>
      </x:c>
      <x:c r="C88" s="22" t="str">
        <x:v>港区・赤坂</x:v>
      </x:c>
      <x:c r="D88" s="22" t="str">
        <x:v>現代建築・庭園・美術・雨天</x:v>
      </x:c>
      <x:c r="E88" s="22" t="str">
        <x:v>地下駐車から建築、庭園、美術館、飲食へ切り替えられ、天候と時間に合わせて滞在内容を調整しやすい。</x:v>
      </x:c>
      <x:c r="F88" s="22" t="str">
        <x:v>イベント設営や季節催事で庭園動線が変わる。美術館・店舗の休館日を個別確認。</x:v>
      </x:c>
      <x:c r="G88" s="22" t="str">
        <x:v>10〜20km</x:v>
      </x:c>
      <x:c r="H88" s="22" t="str">
        <x:v>蒲田から約15〜19km</x:v>
      </x:c>
      <x:c r="I88" s="22" t="str">
        <x:v>通常35〜55分</x:v>
      </x:c>
      <x:c r="J88" s="22" t="n">
        <x:v>5</x:v>
      </x:c>
      <x:c r="K88" s="22" t="n">
        <x:v>1</x:v>
      </x:c>
      <x:c r="L88" s="22" t="n">
        <x:v>5</x:v>
      </x:c>
      <x:c r="M88" s="22" t="n">
        <x:v>2</x:v>
      </x:c>
      <x:c r="N88" s="22" t="n">
        <x:v>5</x:v>
      </x:c>
      <x:c r="O88" s="22" t="n">
        <x:v>5</x:v>
      </x:c>
      <x:c r="P88" s="22" t="n">
        <x:v>81</x:v>
      </x:c>
      <x:c r="Q88" s="22" t="n">
        <x:v>87</x:v>
      </x:c>
      <x:c r="R88" s="22" t="n">
        <x:v>83</x:v>
      </x:c>
      <x:c r="S88" s="22" t="n">
        <x:v>58</x:v>
      </x:c>
      <x:c r="T88" s="22" t="n">
        <x:v>59</x:v>
      </x:c>
      <x:c r="U88" s="22" t="n">
        <x:v>59</x:v>
      </x:c>
      <x:c r="V88" s="22" t="n">
        <x:v>80</x:v>
      </x:c>
      <x:c r="W88" s="22" t="n">
        <x:v>90</x:v>
      </x:c>
      <x:c r="X88" s="22" t="n">
        <x:v>76</x:v>
      </x:c>
      <x:c r="Y88" s="22" t="str">
        <x:v>休日半日／深夜2時間</x:v>
      </x:c>
      <x:c r="Z88" s="22" t="str">
        <x:v>出発前に閉場確認</x:v>
      </x:c>
      <x:c r="AA88" s="22" t="str">
        <x:v>条件が合えば有力</x:v>
      </x:c>
      <x:c r="AB88" s="22" t="str">
        <x:v>六本木ヒルズ 東京シティビュー</x:v>
      </x:c>
      <x:c r="AC88" s="22" t="str">
        <x:v>東京タワー／有栖川宮記念公園</x:v>
      </x:c>
      <x:c r="AD88" s="22" t="n">
        <x:v>55</x:v>
      </x:c>
      <x:c r="AE88" s="22" t="n">
        <x:v>105</x:v>
      </x:c>
      <x:c r="AF88" s="22" t="n">
        <x:v>215</x:v>
      </x:c>
      <x:c r="AG88" s="22" t="n">
        <x:v>4</x:v>
      </x:c>
      <x:c r="AH88" s="22" t="n">
        <x:v>80</x:v>
      </x:c>
      <x:c r="AI88" s="22" t="n">
        <x:v>2</x:v>
      </x:c>
      <x:c r="AJ88" s="22" t="n">
        <x:f>ROUND(MAX(0,MIN(100,IF('条件入力ナビ'!$B$9="飛行機",S88,IF('条件入力ナビ'!$B$9="海・港",T88,IF('条件入力ナビ'!$B$9="工場夜景",U88,IF('条件入力ナビ'!$B$9="静かな場所",V88,IF('条件入力ナビ'!$B$9="Story",AH88,X88)))))*0.30+IF('条件入力ナビ'!$B$7="深夜",Q88,IF('条件入力ナビ'!$B$7="夜",P88,IF('条件入力ナビ'!$B$7="夕方",(P88+W88)/2,W88)))*0.20+IF('条件入力ナビ'!$B$8="雨",R88,IF('条件入力ナビ'!$B$8="小雨",(R88+X88)/2,IF('条件入力ナビ'!$B$8="強風",MAX(0,X88-AI88*8),X88)))*0.15+N88*2+IF('条件入力ナビ'!$B$11="確実性優先",N88*1.6,IF('条件入力ナビ'!$B$11="穴場優先",K88*1.6,(N88+K88)*0.8))+IF(AF88&lt;='条件入力ナビ'!$B$6,12,MAX(-30,-(AF88-'条件入力ナビ'!$B$6)*0.5))+IF('条件入力ナビ'!$B$10="歩きたくない",(6-AG88)*1.2,IF('条件入力ナビ'!$B$10="歩きたい",AG88*1.2,0))+IF('条件入力ナビ'!$B$13="許容",AL88*1.2,IF('条件入力ナビ'!$B$13="路上候補除外",IF(AL88&gt;0,-12,0),0)))))</x:f>
        <x:v>38</x:v>
      </x:c>
      <x:c r="AK88" s="22" t="n">
        <x:f>RANK.EQ(AJ88,$AJ$2:$AJ$94,0)+COUNTIF($AJ$2:AJ88,AJ88)-1</x:f>
        <x:v>52</x:v>
      </x:c>
      <x:c r="AL88" t="n">
        <x:v>0</x:v>
      </x:c>
      <x:c r="AM88" t="str">
        <x:v>-</x:v>
      </x:c>
    </x:row>
    <x:row r="89">
      <x:c r="A89" s="22" t="str">
        <x:v>D270</x:v>
      </x:c>
      <x:c r="B89" s="22" t="str">
        <x:v>六本木ヒルズ 東京シティビュー</x:v>
      </x:c>
      <x:c r="C89" s="22" t="str">
        <x:v>港区・六本木</x:v>
      </x:c>
      <x:c r="D89" s="22" t="str">
        <x:v>高層展望・現代都市・美術</x:v>
      </x:c>
      <x:c r="E89" s="22" t="str">
        <x:v>52階から東京タワーと都心を正面に見る構図が強く、建築・展望・美術を一体化した夜の最終目的地になる。</x:v>
      </x:c>
      <x:c r="F89" s="22" t="str">
        <x:v>2026年7月29日現在は休館中。8月1日再開予定。企画展切替・貸切で営業時間変更あり。</x:v>
      </x:c>
      <x:c r="G89" s="22" t="str">
        <x:v>10〜20km</x:v>
      </x:c>
      <x:c r="H89" s="22" t="str">
        <x:v>蒲田から約15〜19km</x:v>
      </x:c>
      <x:c r="I89" s="22" t="str">
        <x:v>通常35〜60分</x:v>
      </x:c>
      <x:c r="J89" s="22" t="n">
        <x:v>5</x:v>
      </x:c>
      <x:c r="K89" s="22" t="n">
        <x:v>1</x:v>
      </x:c>
      <x:c r="L89" s="22" t="n">
        <x:v>5</x:v>
      </x:c>
      <x:c r="M89" s="22" t="n">
        <x:v>1</x:v>
      </x:c>
      <x:c r="N89" s="22" t="n">
        <x:v>5</x:v>
      </x:c>
      <x:c r="O89" s="22" t="n">
        <x:v>4</x:v>
      </x:c>
      <x:c r="P89" s="22" t="n">
        <x:v>76</x:v>
      </x:c>
      <x:c r="Q89" s="22" t="n">
        <x:v>81</x:v>
      </x:c>
      <x:c r="R89" s="22" t="n">
        <x:v>79</x:v>
      </x:c>
      <x:c r="S89" s="22" t="n">
        <x:v>56</x:v>
      </x:c>
      <x:c r="T89" s="22" t="n">
        <x:v>57</x:v>
      </x:c>
      <x:c r="U89" s="22" t="n">
        <x:v>57</x:v>
      </x:c>
      <x:c r="V89" s="22" t="n">
        <x:v>52</x:v>
      </x:c>
      <x:c r="W89" s="22" t="n">
        <x:v>62</x:v>
      </x:c>
      <x:c r="X89" s="22" t="n">
        <x:v>66</x:v>
      </x:c>
      <x:c r="Y89" s="22" t="str">
        <x:v>深夜2時間／雨天</x:v>
      </x:c>
      <x:c r="Z89" s="22" t="str">
        <x:v>出発前に閉場確認</x:v>
      </x:c>
      <x:c r="AA89" s="22" t="str">
        <x:v>用途限定で有効</x:v>
      </x:c>
      <x:c r="AB89" s="22" t="str">
        <x:v>東京タワー</x:v>
      </x:c>
      <x:c r="AC89" s="22" t="str">
        <x:v>東京ミッドタウン／東京都庁展望室</x:v>
      </x:c>
      <x:c r="AD89" s="22" t="n">
        <x:v>60</x:v>
      </x:c>
      <x:c r="AE89" s="22" t="n">
        <x:v>90</x:v>
      </x:c>
      <x:c r="AF89" s="22" t="n">
        <x:v>210</x:v>
      </x:c>
      <x:c r="AG89" s="22" t="n">
        <x:v>3</x:v>
      </x:c>
      <x:c r="AH89" s="22" t="n">
        <x:v>45</x:v>
      </x:c>
      <x:c r="AI89" s="22" t="n">
        <x:v>2</x:v>
      </x:c>
      <x:c r="AJ89" s="22" t="n">
        <x:f>ROUND(MAX(0,MIN(100,IF('条件入力ナビ'!$B$9="飛行機",S89,IF('条件入力ナビ'!$B$9="海・港",T89,IF('条件入力ナビ'!$B$9="工場夜景",U89,IF('条件入力ナビ'!$B$9="静かな場所",V89,IF('条件入力ナビ'!$B$9="Story",AH89,X89)))))*0.30+IF('条件入力ナビ'!$B$7="深夜",Q89,IF('条件入力ナビ'!$B$7="夜",P89,IF('条件入力ナビ'!$B$7="夕方",(P89+W89)/2,W89)))*0.20+IF('条件入力ナビ'!$B$8="雨",R89,IF('条件入力ナビ'!$B$8="小雨",(R89+X89)/2,IF('条件入力ナビ'!$B$8="強風",MAX(0,X89-AI89*8),X89)))*0.15+N89*2+IF('条件入力ナビ'!$B$11="確実性優先",N89*1.6,IF('条件入力ナビ'!$B$11="穴場優先",K89*1.6,(N89+K89)*0.8))+IF(AF89&lt;='条件入力ナビ'!$B$6,12,MAX(-30,-(AF89-'条件入力ナビ'!$B$6)*0.5))+IF('条件入力ナビ'!$B$10="歩きたくない",(6-AG89)*1.2,IF('条件入力ナビ'!$B$10="歩きたい",AG89*1.2,0))+IF('条件入力ナビ'!$B$13="許容",AL89*1.2,IF('条件入力ナビ'!$B$13="路上候補除外",IF(AL89&gt;0,-12,0),0)))))</x:f>
        <x:v>33</x:v>
      </x:c>
      <x:c r="AK89" s="22" t="n">
        <x:f>RANK.EQ(AJ89,$AJ$2:$AJ$94,0)+COUNTIF($AJ$2:AJ89,AJ89)-1</x:f>
        <x:v>59</x:v>
      </x:c>
      <x:c r="AL89" t="n">
        <x:v>0</x:v>
      </x:c>
      <x:c r="AM89" t="str">
        <x:v>-</x:v>
      </x:c>
    </x:row>
    <x:row r="90">
      <x:c r="A90" s="22" t="str">
        <x:v>D271</x:v>
      </x:c>
      <x:c r="B90" s="22" t="str">
        <x:v>品川シーズンテラス／芝浦中央公園</x:v>
      </x:c>
      <x:c r="C90" s="22" t="str">
        <x:v>港区・港南</x:v>
      </x:c>
      <x:c r="D90" s="22" t="str">
        <x:v>水再生センター・屋上緑地・高層建築</x:v>
      </x:c>
      <x:c r="E90" s="22" t="str">
        <x:v>水再生センター上部の広大な緑地と高層オフィスを同時に体験でき、都市インフラStoryが強い。品川・港区ルートの接続点。</x:v>
      </x:c>
      <x:c r="F90" s="22" t="str">
        <x:v>イベント時は芝生・水景施設が制限される場合あり。23時以降は入出庫不可。オフィス利用者への配慮。</x:v>
      </x:c>
      <x:c r="G90" s="22" t="str">
        <x:v>10〜20km</x:v>
      </x:c>
      <x:c r="H90" s="22" t="str">
        <x:v>蒲田から約11〜15km</x:v>
      </x:c>
      <x:c r="I90" s="22" t="str">
        <x:v>通常25〜45分</x:v>
      </x:c>
      <x:c r="J90" s="22" t="n">
        <x:v>4</x:v>
      </x:c>
      <x:c r="K90" s="22" t="n">
        <x:v>4</x:v>
      </x:c>
      <x:c r="L90" s="22" t="n">
        <x:v>3</x:v>
      </x:c>
      <x:c r="M90" s="22" t="n">
        <x:v>2</x:v>
      </x:c>
      <x:c r="N90" s="22" t="n">
        <x:v>2</x:v>
      </x:c>
      <x:c r="O90" s="22" t="n">
        <x:v>5</x:v>
      </x:c>
      <x:c r="P90" s="22" t="n">
        <x:v>73</x:v>
      </x:c>
      <x:c r="Q90" s="22" t="n">
        <x:v>72</x:v>
      </x:c>
      <x:c r="R90" s="22" t="n">
        <x:v>63</x:v>
      </x:c>
      <x:c r="S90" s="22" t="n">
        <x:v>49</x:v>
      </x:c>
      <x:c r="T90" s="22" t="n">
        <x:v>49</x:v>
      </x:c>
      <x:c r="U90" s="22" t="n">
        <x:v>46</x:v>
      </x:c>
      <x:c r="V90" s="22" t="n">
        <x:v>53</x:v>
      </x:c>
      <x:c r="W90" s="22" t="n">
        <x:v>71</x:v>
      </x:c>
      <x:c r="X90" s="22" t="n">
        <x:v>61</x:v>
      </x:c>
      <x:c r="Y90" s="22" t="str">
        <x:v>平日夜90分／深夜2時間</x:v>
      </x:c>
      <x:c r="Z90" s="22" t="str">
        <x:v>出発前に閉場確認</x:v>
      </x:c>
      <x:c r="AA90" s="22" t="str">
        <x:v>用途限定で有効</x:v>
      </x:c>
      <x:c r="AB90" s="22" t="str">
        <x:v>森ケ崎公園</x:v>
      </x:c>
      <x:c r="AC90" s="22" t="str">
        <x:v>天王洲公園／東京タワー</x:v>
      </x:c>
      <x:c r="AD90" s="22" t="n">
        <x:v>45</x:v>
      </x:c>
      <x:c r="AE90" s="22" t="n">
        <x:v>60</x:v>
      </x:c>
      <x:c r="AF90" s="22" t="n">
        <x:v>150</x:v>
      </x:c>
      <x:c r="AG90" s="22" t="n">
        <x:v>3</x:v>
      </x:c>
      <x:c r="AH90" s="22" t="n">
        <x:v>80</x:v>
      </x:c>
      <x:c r="AI90" s="22" t="n">
        <x:v>5</x:v>
      </x:c>
      <x:c r="AJ90" s="22" t="n">
        <x:f>ROUND(MAX(0,MIN(100,IF('条件入力ナビ'!$B$9="飛行機",S90,IF('条件入力ナビ'!$B$9="海・港",T90,IF('条件入力ナビ'!$B$9="工場夜景",U90,IF('条件入力ナビ'!$B$9="静かな場所",V90,IF('条件入力ナビ'!$B$9="Story",AH90,X90)))))*0.30+IF('条件入力ナビ'!$B$7="深夜",Q90,IF('条件入力ナビ'!$B$7="夜",P90,IF('条件入力ナビ'!$B$7="夕方",(P90+W90)/2,W90)))*0.20+IF('条件入力ナビ'!$B$8="雨",R90,IF('条件入力ナビ'!$B$8="小雨",(R90+X90)/2,IF('条件入力ナビ'!$B$8="強風",MAX(0,X90-AI90*8),X90)))*0.15+N90*2+IF('条件入力ナビ'!$B$11="確実性優先",N90*1.6,IF('条件入力ナビ'!$B$11="穴場優先",K90*1.6,(N90+K90)*0.8))+IF(AF90&lt;='条件入力ナビ'!$B$6,12,MAX(-30,-(AF90-'条件入力ナビ'!$B$6)*0.5))+IF('条件入力ナビ'!$B$10="歩きたくない",(6-AG90)*1.2,IF('条件入力ナビ'!$B$10="歩きたい",AG90*1.2,0))+IF('条件入力ナビ'!$B$13="許容",AL90*1.2,IF('条件入力ナビ'!$B$13="路上候補除外",IF(AL90&gt;0,-12,0),0)))))</x:f>
        <x:v>34</x:v>
      </x:c>
      <x:c r="AK90" s="22" t="n">
        <x:f>RANK.EQ(AJ90,$AJ$2:$AJ$94,0)+COUNTIF($AJ$2:AJ90,AJ90)-1</x:f>
        <x:v>57</x:v>
      </x:c>
      <x:c r="AL90" t="n">
        <x:v>3</x:v>
      </x:c>
      <x:c r="AM90" t="str">
        <x:v>B</x:v>
      </x:c>
    </x:row>
    <x:row r="91">
      <x:c r="A91" s="22" t="str">
        <x:v>D272</x:v>
      </x:c>
      <x:c r="B91" s="22" t="str">
        <x:v>東京都庁展望室</x:v>
      </x:c>
      <x:c r="C91" s="22" t="str">
        <x:v>新宿区・西新宿</x:v>
      </x:c>
      <x:c r="D91" s="22" t="str">
        <x:v>無料展望・超高層建築・都市夜景</x:v>
      </x:c>
      <x:c r="E91" s="22" t="str">
        <x:v>無料で高層夜景を得られ、西新宿の建築群そのものがStoryになる。大田区からの都市ドライブの明確な終点。</x:v>
      </x:c>
      <x:c r="F91" s="22" t="str">
        <x:v>22:00を過ぎると出庫不可。都庁通り入口8:30、公園通り入口8:00、入庫締切21:30。展望室休室・入場待ちを確認。</x:v>
      </x:c>
      <x:c r="G91" s="22" t="str">
        <x:v>10〜20km</x:v>
      </x:c>
      <x:c r="H91" s="22" t="str">
        <x:v>蒲田から約18〜23km</x:v>
      </x:c>
      <x:c r="I91" s="22" t="str">
        <x:v>通常40〜65分</x:v>
      </x:c>
      <x:c r="J91" s="22" t="n">
        <x:v>5</x:v>
      </x:c>
      <x:c r="K91" s="22" t="n">
        <x:v>2</x:v>
      </x:c>
      <x:c r="L91" s="22" t="n">
        <x:v>5</x:v>
      </x:c>
      <x:c r="M91" s="22" t="n">
        <x:v>1</x:v>
      </x:c>
      <x:c r="N91" s="22" t="n">
        <x:v>4</x:v>
      </x:c>
      <x:c r="O91" s="22" t="n">
        <x:v>4</x:v>
      </x:c>
      <x:c r="P91" s="22" t="n">
        <x:v>75</x:v>
      </x:c>
      <x:c r="Q91" s="22" t="n">
        <x:v>78</x:v>
      </x:c>
      <x:c r="R91" s="22" t="n">
        <x:v>77</x:v>
      </x:c>
      <x:c r="S91" s="22" t="n">
        <x:v>54</x:v>
      </x:c>
      <x:c r="T91" s="22" t="n">
        <x:v>55</x:v>
      </x:c>
      <x:c r="U91" s="22" t="n">
        <x:v>54</x:v>
      </x:c>
      <x:c r="V91" s="22" t="n">
        <x:v>53</x:v>
      </x:c>
      <x:c r="W91" s="22" t="n">
        <x:v>89</x:v>
      </x:c>
      <x:c r="X91" s="22" t="n">
        <x:v>69</x:v>
      </x:c>
      <x:c r="Y91" s="22" t="str">
        <x:v>休日半日／深夜2時間</x:v>
      </x:c>
      <x:c r="Z91" s="22" t="str">
        <x:v>出発前に閉場確認</x:v>
      </x:c>
      <x:c r="AA91" s="22" t="str">
        <x:v>用途限定で有効</x:v>
      </x:c>
      <x:c r="AB91" s="22" t="str">
        <x:v>東京タワー</x:v>
      </x:c>
      <x:c r="AC91" s="22" t="str">
        <x:v>新宿NSビル／新宿御苑</x:v>
      </x:c>
      <x:c r="AD91" s="22" t="n">
        <x:v>65</x:v>
      </x:c>
      <x:c r="AE91" s="22" t="n">
        <x:v>68</x:v>
      </x:c>
      <x:c r="AF91" s="22" t="n">
        <x:v>198</x:v>
      </x:c>
      <x:c r="AG91" s="22" t="n">
        <x:v>3</x:v>
      </x:c>
      <x:c r="AH91" s="22" t="n">
        <x:v>80</x:v>
      </x:c>
      <x:c r="AI91" s="22" t="n">
        <x:v>2</x:v>
      </x:c>
      <x:c r="AJ91" s="22" t="n">
        <x:f>ROUND(MAX(0,MIN(100,IF('条件入力ナビ'!$B$9="飛行機",S91,IF('条件入力ナビ'!$B$9="海・港",T91,IF('条件入力ナビ'!$B$9="工場夜景",U91,IF('条件入力ナビ'!$B$9="静かな場所",V91,IF('条件入力ナビ'!$B$9="Story",AH91,X91)))))*0.30+IF('条件入力ナビ'!$B$7="深夜",Q91,IF('条件入力ナビ'!$B$7="夜",P91,IF('条件入力ナビ'!$B$7="夕方",(P91+W91)/2,W91)))*0.20+IF('条件入力ナビ'!$B$8="雨",R91,IF('条件入力ナビ'!$B$8="小雨",(R91+X91)/2,IF('条件入力ナビ'!$B$8="強風",MAX(0,X91-AI91*8),X91)))*0.15+N91*2+IF('条件入力ナビ'!$B$11="確実性優先",N91*1.6,IF('条件入力ナビ'!$B$11="穴場優先",K91*1.6,(N91+K91)*0.8))+IF(AF91&lt;='条件入力ナビ'!$B$6,12,MAX(-30,-(AF91-'条件入力ナビ'!$B$6)*0.5))+IF('条件入力ナビ'!$B$10="歩きたくない",(6-AG91)*1.2,IF('条件入力ナビ'!$B$10="歩きたい",AG91*1.2,0))+IF('条件入力ナビ'!$B$13="許容",AL91*1.2,IF('条件入力ナビ'!$B$13="路上候補除外",IF(AL91&gt;0,-12,0),0)))))</x:f>
        <x:v>30</x:v>
      </x:c>
      <x:c r="AK91" s="22" t="n">
        <x:f>RANK.EQ(AJ91,$AJ$2:$AJ$94,0)+COUNTIF($AJ$2:AJ91,AJ91)-1</x:f>
        <x:v>67</x:v>
      </x:c>
      <x:c r="AL91" t="n">
        <x:v>3</x:v>
      </x:c>
      <x:c r="AM91" t="str">
        <x:v>B</x:v>
      </x:c>
    </x:row>
    <x:row r="92">
      <x:c r="A92" s="22" t="str">
        <x:v>D273</x:v>
      </x:c>
      <x:c r="B92" s="22" t="str">
        <x:v>新宿御苑</x:v>
      </x:c>
      <x:c r="C92" s="22" t="str">
        <x:v>新宿区・内藤町</x:v>
      </x:c>
      <x:c r="D92" s="22" t="str">
        <x:v>庭園・温室・都市の静けさ・Story</x:v>
      </x:c>
      <x:c r="E92" s="22" t="str">
        <x:v>日本庭園、風景式庭園、温室を大都市中心部で体験でき、休日半日の最終目的地として密度が高い。</x:v>
      </x:c>
      <x:c r="F92" s="22" t="str">
        <x:v>開園時間は季節変動。酒類持込・遊具等の規制あり。花見期は駐車混雑と入場制限を想定。</x:v>
      </x:c>
      <x:c r="G92" s="22" t="str">
        <x:v>10〜20km</x:v>
      </x:c>
      <x:c r="H92" s="22" t="str">
        <x:v>蒲田から約17〜22km</x:v>
      </x:c>
      <x:c r="I92" s="22" t="str">
        <x:v>通常40〜65分</x:v>
      </x:c>
      <x:c r="J92" s="22" t="n">
        <x:v>1</x:v>
      </x:c>
      <x:c r="K92" s="22" t="n">
        <x:v>1</x:v>
      </x:c>
      <x:c r="L92" s="22" t="n">
        <x:v>4</x:v>
      </x:c>
      <x:c r="M92" s="22" t="n">
        <x:v>1</x:v>
      </x:c>
      <x:c r="N92" s="22" t="n">
        <x:v>4</x:v>
      </x:c>
      <x:c r="O92" s="22" t="n">
        <x:v>5</x:v>
      </x:c>
      <x:c r="P92" s="22" t="n">
        <x:v>56</x:v>
      </x:c>
      <x:c r="Q92" s="22" t="n">
        <x:v>57</x:v>
      </x:c>
      <x:c r="R92" s="22" t="n">
        <x:v>70</x:v>
      </x:c>
      <x:c r="S92" s="22" t="n">
        <x:v>41</x:v>
      </x:c>
      <x:c r="T92" s="22" t="n">
        <x:v>38</x:v>
      </x:c>
      <x:c r="U92" s="22" t="n">
        <x:v>38</x:v>
      </x:c>
      <x:c r="V92" s="22" t="n">
        <x:v>69</x:v>
      </x:c>
      <x:c r="W92" s="22" t="n">
        <x:v>78</x:v>
      </x:c>
      <x:c r="X92" s="22" t="n">
        <x:v>57</x:v>
      </x:c>
      <x:c r="Y92" s="22" t="str">
        <x:v>休日半日／雨天</x:v>
      </x:c>
      <x:c r="Z92" s="22" t="str">
        <x:v>出発前に閉場確認</x:v>
      </x:c>
      <x:c r="AA92" s="22" t="str">
        <x:v>用途限定で有効</x:v>
      </x:c>
      <x:c r="AB92" s="22" t="str">
        <x:v>明治神宮外苑 聖徳記念絵画館</x:v>
      </x:c>
      <x:c r="AC92" s="22" t="str">
        <x:v>東京都庁展望室／新宿NSビル</x:v>
      </x:c>
      <x:c r="AD92" s="22" t="n">
        <x:v>65</x:v>
      </x:c>
      <x:c r="AE92" s="22" t="n">
        <x:v>135</x:v>
      </x:c>
      <x:c r="AF92" s="22" t="n">
        <x:v>265</x:v>
      </x:c>
      <x:c r="AG92" s="22" t="n">
        <x:v>4</x:v>
      </x:c>
      <x:c r="AH92" s="22" t="n">
        <x:v>80</x:v>
      </x:c>
      <x:c r="AI92" s="22" t="n">
        <x:v>2</x:v>
      </x:c>
      <x:c r="AJ92" s="22" t="n">
        <x:f>ROUND(MAX(0,MIN(100,IF('条件入力ナビ'!$B$9="飛行機",S92,IF('条件入力ナビ'!$B$9="海・港",T92,IF('条件入力ナビ'!$B$9="工場夜景",U92,IF('条件入力ナビ'!$B$9="静かな場所",V92,IF('条件入力ナビ'!$B$9="Story",AH92,X92)))))*0.30+IF('条件入力ナビ'!$B$7="深夜",Q92,IF('条件入力ナビ'!$B$7="夜",P92,IF('条件入力ナビ'!$B$7="夕方",(P92+W92)/2,W92)))*0.20+IF('条件入力ナビ'!$B$8="雨",R92,IF('条件入力ナビ'!$B$8="小雨",(R92+X92)/2,IF('条件入力ナビ'!$B$8="強風",MAX(0,X92-AI92*8),X92)))*0.15+N92*2+IF('条件入力ナビ'!$B$11="確実性優先",N92*1.6,IF('条件入力ナビ'!$B$11="穴場優先",K92*1.6,(N92+K92)*0.8))+IF(AF92&lt;='条件入力ナビ'!$B$6,12,MAX(-30,-(AF92-'条件入力ナビ'!$B$6)*0.5))+IF('条件入力ナビ'!$B$10="歩きたくない",(6-AG92)*1.2,IF('条件入力ナビ'!$B$10="歩きたい",AG92*1.2,0))+IF('条件入力ナビ'!$B$13="許容",AL92*1.2,IF('条件入力ナビ'!$B$13="路上候補除外",IF(AL92&gt;0,-12,0),0)))))</x:f>
        <x:v>21</x:v>
      </x:c>
      <x:c r="AK92" s="22" t="n">
        <x:f>RANK.EQ(AJ92,$AJ$2:$AJ$94,0)+COUNTIF($AJ$2:AJ92,AJ92)-1</x:f>
        <x:v>86</x:v>
      </x:c>
      <x:c r="AL92" t="n">
        <x:v>5</x:v>
      </x:c>
      <x:c r="AM92" t="str">
        <x:v>A</x:v>
      </x:c>
    </x:row>
    <x:row r="93">
      <x:c r="A93" s="22" t="str">
        <x:v>D274</x:v>
      </x:c>
      <x:c r="B93" s="22" t="str">
        <x:v>明治神宮外苑 聖徳記念絵画館</x:v>
      </x:c>
      <x:c r="C93" s="22" t="str">
        <x:v>新宿区・霞ヶ丘町</x:v>
      </x:c>
      <x:c r="D93" s="22" t="str">
        <x:v>近代建築・絵画・明治史Story</x:v>
      </x:c>
      <x:c r="E93" s="22" t="str">
        <x:v>重厚な石造建築と明治史を描く大壁画群があり、庭園・建築・歴史を一度に回収できる昼の経由地。</x:v>
      </x:c>
      <x:c r="F93" s="22" t="str">
        <x:v>日曜・祝日の交通規制、イベント・スポーツ開催による駐車制限を確認。保存修理工事中は通常396台から約100台減少。</x:v>
      </x:c>
      <x:c r="G93" s="22" t="str">
        <x:v>10〜20km</x:v>
      </x:c>
      <x:c r="H93" s="22" t="str">
        <x:v>蒲田から約16〜21km</x:v>
      </x:c>
      <x:c r="I93" s="22" t="str">
        <x:v>通常35〜60分</x:v>
      </x:c>
      <x:c r="J93" s="22" t="n">
        <x:v>2</x:v>
      </x:c>
      <x:c r="K93" s="22" t="n">
        <x:v>3</x:v>
      </x:c>
      <x:c r="L93" s="22" t="n">
        <x:v>4</x:v>
      </x:c>
      <x:c r="M93" s="22" t="n">
        <x:v>1</x:v>
      </x:c>
      <x:c r="N93" s="22" t="n">
        <x:v>2</x:v>
      </x:c>
      <x:c r="O93" s="22" t="n">
        <x:v>1</x:v>
      </x:c>
      <x:c r="P93" s="22" t="n">
        <x:v>47</x:v>
      </x:c>
      <x:c r="Q93" s="22" t="n">
        <x:v>41</x:v>
      </x:c>
      <x:c r="R93" s="22" t="n">
        <x:v>58</x:v>
      </x:c>
      <x:c r="S93" s="22" t="n">
        <x:v>40</x:v>
      </x:c>
      <x:c r="T93" s="22" t="n">
        <x:v>38</x:v>
      </x:c>
      <x:c r="U93" s="22" t="n">
        <x:v>36</x:v>
      </x:c>
      <x:c r="V93" s="22" t="n">
        <x:v>45</x:v>
      </x:c>
      <x:c r="W93" s="22" t="n">
        <x:v>78</x:v>
      </x:c>
      <x:c r="X93" s="22" t="n">
        <x:v>49</x:v>
      </x:c>
      <x:c r="Y93" s="22" t="str">
        <x:v>休日半日／雨天</x:v>
      </x:c>
      <x:c r="Z93" s="22" t="str">
        <x:v>出発前に閉場確認</x:v>
      </x:c>
      <x:c r="AA93" s="22" t="str">
        <x:v>用途限定で有効</x:v>
      </x:c>
      <x:c r="AB93" s="22" t="str">
        <x:v>新宿御苑</x:v>
      </x:c>
      <x:c r="AC93" s="22" t="str">
        <x:v>東京都庁展望室／東京ミッドタウン</x:v>
      </x:c>
      <x:c r="AD93" s="22" t="n">
        <x:v>60</x:v>
      </x:c>
      <x:c r="AE93" s="22" t="n">
        <x:v>68</x:v>
      </x:c>
      <x:c r="AF93" s="22" t="n">
        <x:v>188</x:v>
      </x:c>
      <x:c r="AG93" s="22" t="n">
        <x:v>3</x:v>
      </x:c>
      <x:c r="AH93" s="22" t="n">
        <x:v>80</x:v>
      </x:c>
      <x:c r="AI93" s="22" t="n">
        <x:v>2</x:v>
      </x:c>
      <x:c r="AJ93" s="22" t="n">
        <x:f>ROUND(MAX(0,MIN(100,IF('条件入力ナビ'!$B$9="飛行機",S93,IF('条件入力ナビ'!$B$9="海・港",T93,IF('条件入力ナビ'!$B$9="工場夜景",U93,IF('条件入力ナビ'!$B$9="静かな場所",V93,IF('条件入力ナビ'!$B$9="Story",AH93,X93)))))*0.30+IF('条件入力ナビ'!$B$7="深夜",Q93,IF('条件入力ナビ'!$B$7="夜",P93,IF('条件入力ナビ'!$B$7="夕方",(P93+W93)/2,W93)))*0.20+IF('条件入力ナビ'!$B$8="雨",R93,IF('条件入力ナビ'!$B$8="小雨",(R93+X93)/2,IF('条件入力ナビ'!$B$8="強風",MAX(0,X93-AI93*8),X93)))*0.15+N93*2+IF('条件入力ナビ'!$B$11="確実性優先",N93*1.6,IF('条件入力ナビ'!$B$11="穴場優先",K93*1.6,(N93+K93)*0.8))+IF(AF93&lt;='条件入力ナビ'!$B$6,12,MAX(-30,-(AF93-'条件入力ナビ'!$B$6)*0.5))+IF('条件入力ナビ'!$B$10="歩きたくない",(6-AG93)*1.2,IF('条件入力ナビ'!$B$10="歩きたい",AG93*1.2,0))+IF('条件入力ナビ'!$B$13="許容",AL93*1.2,IF('条件入力ナビ'!$B$13="路上候補除外",IF(AL93&gt;0,-12,0),0)))))</x:f>
        <x:v>9</x:v>
      </x:c>
      <x:c r="AK93" s="22" t="n">
        <x:f>RANK.EQ(AJ93,$AJ$2:$AJ$94,0)+COUNTIF($AJ$2:AJ93,AJ93)-1</x:f>
        <x:v>93</x:v>
      </x:c>
      <x:c r="AL93" t="n">
        <x:v>0</x:v>
      </x:c>
      <x:c r="AM93" t="str">
        <x:v>-</x:v>
      </x:c>
    </x:row>
    <x:row r="94">
      <x:c r="A94" s="22" t="str">
        <x:v>D275</x:v>
      </x:c>
      <x:c r="B94" s="22" t="str">
        <x:v>新宿NSビル アトリウム・大時計</x:v>
      </x:c>
      <x:c r="C94" s="22" t="str">
        <x:v>新宿区・西新宿</x:v>
      </x:c>
      <x:c r="D94" s="22" t="str">
        <x:v>巨大吹抜け・大時計・超高層建築・雨天</x:v>
      </x:c>
      <x:c r="E94" s="22" t="str">
        <x:v>巨大アトリウムと大時計を短時間で見られ、雨天でも西新宿の超高層建築体験を作れる。都庁前の実用的な経由地。</x:v>
      </x:c>
      <x:c r="F94" s="22" t="str">
        <x:v>イベント・テナント営業時間を確認。深夜はアトリウム立入範囲が限定される場合あり。</x:v>
      </x:c>
      <x:c r="G94" s="22" t="str">
        <x:v>10〜20km</x:v>
      </x:c>
      <x:c r="H94" s="22" t="str">
        <x:v>蒲田から約18〜23km</x:v>
      </x:c>
      <x:c r="I94" s="22" t="str">
        <x:v>通常40〜65分</x:v>
      </x:c>
      <x:c r="J94" s="22" t="n">
        <x:v>4</x:v>
      </x:c>
      <x:c r="K94" s="22" t="n">
        <x:v>3</x:v>
      </x:c>
      <x:c r="L94" s="22" t="n">
        <x:v>5</x:v>
      </x:c>
      <x:c r="M94" s="22" t="n">
        <x:v>2</x:v>
      </x:c>
      <x:c r="N94" s="22" t="n">
        <x:v>2</x:v>
      </x:c>
      <x:c r="O94" s="22" t="n">
        <x:v>5</x:v>
      </x:c>
      <x:c r="P94" s="22" t="n">
        <x:v>71</x:v>
      </x:c>
      <x:c r="Q94" s="22" t="n">
        <x:v>71</x:v>
      </x:c>
      <x:c r="R94" s="22" t="n">
        <x:v>75</x:v>
      </x:c>
      <x:c r="S94" s="22" t="n">
        <x:v>48</x:v>
      </x:c>
      <x:c r="T94" s="22" t="n">
        <x:v>48</x:v>
      </x:c>
      <x:c r="U94" s="22" t="n">
        <x:v>46</x:v>
      </x:c>
      <x:c r="V94" s="22" t="n">
        <x:v>49</x:v>
      </x:c>
      <x:c r="W94" s="22" t="n">
        <x:v>71</x:v>
      </x:c>
      <x:c r="X94" s="22" t="n">
        <x:v>61</x:v>
      </x:c>
      <x:c r="Y94" s="22" t="str">
        <x:v>雨天／平日夜90分</x:v>
      </x:c>
      <x:c r="Z94" s="22" t="str">
        <x:v>出発前に閉場確認</x:v>
      </x:c>
      <x:c r="AA94" s="22" t="str">
        <x:v>用途限定で有効</x:v>
      </x:c>
      <x:c r="AB94" s="22" t="str">
        <x:v>東京都庁展望室</x:v>
      </x:c>
      <x:c r="AC94" s="22" t="str">
        <x:v>新宿御苑／聖徳記念絵画館</x:v>
      </x:c>
      <x:c r="AD94" s="22" t="n">
        <x:v>65</x:v>
      </x:c>
      <x:c r="AE94" s="22" t="n">
        <x:v>52</x:v>
      </x:c>
      <x:c r="AF94" s="22" t="n">
        <x:v>182</x:v>
      </x:c>
      <x:c r="AG94" s="22" t="n">
        <x:v>3</x:v>
      </x:c>
      <x:c r="AH94" s="22" t="n">
        <x:v>80</x:v>
      </x:c>
      <x:c r="AI94" s="22" t="n">
        <x:v>2</x:v>
      </x:c>
      <x:c r="AJ94" s="22" t="n">
        <x:f>ROUND(MAX(0,MIN(100,IF('条件入力ナビ'!$B$9="飛行機",S94,IF('条件入力ナビ'!$B$9="海・港",T94,IF('条件入力ナビ'!$B$9="工場夜景",U94,IF('条件入力ナビ'!$B$9="静かな場所",V94,IF('条件入力ナビ'!$B$9="Story",AH94,X94)))))*0.30+IF('条件入力ナビ'!$B$7="深夜",Q94,IF('条件入力ナビ'!$B$7="夜",P94,IF('条件入力ナビ'!$B$7="夕方",(P94+W94)/2,W94)))*0.20+IF('条件入力ナビ'!$B$8="雨",R94,IF('条件入力ナビ'!$B$8="小雨",(R94+X94)/2,IF('条件入力ナビ'!$B$8="強風",MAX(0,X94-AI94*8),X94)))*0.15+N94*2+IF('条件入力ナビ'!$B$11="確実性優先",N94*1.6,IF('条件入力ナビ'!$B$11="穴場優先",K94*1.6,(N94+K94)*0.8))+IF(AF94&lt;='条件入力ナビ'!$B$6,12,MAX(-30,-(AF94-'条件入力ナビ'!$B$6)*0.5))+IF('条件入力ナビ'!$B$10="歩きたくない",(6-AG94)*1.2,IF('条件入力ナビ'!$B$10="歩きたい",AG94*1.2,0))+IF('条件入力ナビ'!$B$13="許容",AL94*1.2,IF('条件入力ナビ'!$B$13="路上候補除外",IF(AL94&gt;0,-12,0),0)))))</x:f>
        <x:v>19</x:v>
      </x:c>
      <x:c r="AK94" s="22" t="n">
        <x:f>RANK.EQ(AJ94,$AJ$2:$AJ$94,0)+COUNTIF($AJ$2:AJ94,AJ94)-1</x:f>
        <x:v>89</x:v>
      </x:c>
      <x:c r="AL94" t="n">
        <x:v>3</x:v>
      </x:c>
      <x:c r="AM94" t="str">
        <x:v>B</x:v>
      </x:c>
    </x:row>
  </x:sheetData>
  <x:conditionalFormatting sqref="AJ2:AJ71">
    <x:cfRule type="colorScale" priority="1">
      <x:colorScale>
        <x:cfvo type="min"/>
        <x:cfvo type="percentile" val="50"/>
        <x:cfvo type="max"/>
        <x:color rgb="FFFEE2E2"/>
        <x:color rgb="FFFEF3C7"/>
        <x:color rgb="FFDCFCE7"/>
      </x:colorScale>
    </x:cfRule>
  </x:conditionalFormatting>
  <x:conditionalFormatting sqref="AL2:AL94">
    <x:cfRule type="dataBar" priority="2">
      <x:dataBar>
        <x:cfvo type="min"/>
        <x:cfvo type="max"/>
        <x:color rgb="FF0F9ED5"/>
      </x:dataBar>
      <x:extLst>
        <x:ext xmlns:x14="http://schemas.microsoft.com/office/spreadsheetml/2009/9/main" uri="{B025F937-C7B1-47D3-B67F-A62EFF666E3E}">
          <x14:id>{119EBC4A-E53D-AEA5-04DB-F1AB7C3FD255}</x14:id>
        </x:ext>
      </x:extLst>
    </x:cfRule>
  </x:conditionalFormatting>
  <x:pageMargins left="0.7" right="0.7" top="0.75" bottom="0.75" header="0.3" footer="0.3"/>
  <x:tableParts count="1">
    <x:tablePart xmlns:r="http://schemas.openxmlformats.org/officeDocument/2006/relationships" r:id="Rfb8aa4f9d0f84232"/>
  </x:tableParts>
  <x:extLst>
    <x:ext xmlns:x14="http://schemas.microsoft.com/office/spreadsheetml/2009/9/main" xmlns:xm="http://schemas.microsoft.com/office/excel/2006/main" uri="{78C0D931-6437-407d-A8EE-F0AAD7539E65}">
      <x14:conditionalFormattings>
        <x14:conditionalFormatting>
          <x14:cfRule type="dataBar" priority="2" id="{119EBC4A-E53D-AEA5-04DB-F1AB7C3FD255}">
            <x14:dataBar gradient="1">
              <x14:cfvo type="min"/>
              <x14:cfvo type="max"/>
              <x14:fillColor rgb="FF0F9ED5"/>
            </x14:dataBar>
          </x14:cfRule>
          <xm:sqref>AL2:AL94</xm:sqref>
        </x14:conditionalFormatting>
      </x14:conditionalFormattings>
    </x:ext>
  </x:extLst>
</x:worksheet>
</file>

<file path=xl/worksheets/sheet22.xml><?xml version="1.0" encoding="utf-8"?>
<x:worksheet xmlns:x="http://schemas.openxmlformats.org/spreadsheetml/2006/main">
  <x:sheetFormatPr defaultRowHeight="15"/>
  <x:cols>
    <x:col min="1" max="1" width="10" hidden="0" customWidth="1"/>
    <x:col min="2" max="2" width="28" hidden="0" customWidth="1"/>
    <x:col min="3" max="3" width="24" hidden="0" customWidth="1"/>
    <x:col min="4" max="4" width="24" hidden="0" customWidth="1"/>
    <x:col min="5" max="5" width="24" hidden="0" customWidth="1"/>
    <x:col min="6" max="6" width="24" hidden="0" customWidth="1"/>
    <x:col min="7" max="7" width="28" hidden="0" customWidth="1"/>
    <x:col min="8" max="8" width="16" hidden="0" customWidth="1"/>
    <x:col min="9" max="9" width="10" hidden="0" customWidth="1"/>
    <x:col min="10" max="10" width="12" hidden="0" customWidth="1"/>
    <x:col min="11" max="11" width="12"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2" hidden="0" customWidth="1"/>
    <x:col min="19" max="19" width="11" hidden="0" customWidth="1"/>
    <x:col min="20" max="20" width="12" hidden="0" customWidth="1"/>
    <x:col min="21" max="21" width="44" hidden="0" customWidth="1"/>
    <x:col min="22" max="22" width="13" hidden="0" customWidth="1"/>
    <x:col min="23" max="23" width="10" hidden="0" customWidth="1"/>
    <x:col min="24" max="24" width="10" hidden="0" customWidth="1"/>
    <x:col min="25" max="25" width="12" hidden="0" customWidth="1"/>
    <x:col min="26" max="26" width="8" hidden="0" customWidth="1"/>
  </x:cols>
  <x:sheetData>
    <x:row r="1">
      <x:c r="A1" s="407" t="str">
        <x:v>ルートID</x:v>
      </x:c>
      <x:c r="B1" s="407" t="str">
        <x:v>タイトル</x:v>
      </x:c>
      <x:c r="C1" s="407" t="str">
        <x:v>テーマ</x:v>
      </x:c>
      <x:c r="D1" s="407" t="str">
        <x:v>経由地1</x:v>
      </x:c>
      <x:c r="E1" s="407" t="str">
        <x:v>経由地2</x:v>
      </x:c>
      <x:c r="F1" s="407" t="str">
        <x:v>経由地3</x:v>
      </x:c>
      <x:c r="G1" s="407" t="str">
        <x:v>最終目的地</x:v>
      </x:c>
      <x:c r="H1" s="407" t="str">
        <x:v>想定総時間</x:v>
      </x:c>
      <x:c r="I1" s="407" t="str">
        <x:v>夜間適性</x:v>
      </x:c>
      <x:c r="J1" s="407" t="str">
        <x:v>実現確実性</x:v>
      </x:c>
      <x:c r="K1" s="407" t="str">
        <x:v>所要上限分</x:v>
      </x:c>
      <x:c r="L1" s="407" t="str">
        <x:v>平日夜90分</x:v>
      </x:c>
      <x:c r="M1" s="407" t="str">
        <x:v>深夜2時間</x:v>
      </x:c>
      <x:c r="N1" s="407" t="str">
        <x:v>雨天</x:v>
      </x:c>
      <x:c r="O1" s="407" t="str">
        <x:v>飛行機</x:v>
      </x:c>
      <x:c r="P1" s="407" t="str">
        <x:v>海・港</x:v>
      </x:c>
      <x:c r="Q1" s="407" t="str">
        <x:v>工場夜景</x:v>
      </x:c>
      <x:c r="R1" s="407" t="str">
        <x:v>静かな場所</x:v>
      </x:c>
      <x:c r="S1" s="407" t="str">
        <x:v>休日半日</x:v>
      </x:c>
      <x:c r="T1" s="407" t="str">
        <x:v>ルート総合</x:v>
      </x:c>
      <x:c r="U1" s="407" t="str">
        <x:v>注意事項</x:v>
      </x:c>
      <x:c r="V1" s="407" t="str">
        <x:v>高速区分</x:v>
      </x:c>
      <x:c r="W1" s="407" t="str">
        <x:v>強風リスク</x:v>
      </x:c>
      <x:c r="X1" s="407" t="str">
        <x:v>Story点</x:v>
      </x:c>
      <x:c r="Y1" s="407" t="str">
        <x:v>カスタムスコア</x:v>
      </x:c>
      <x:c r="Z1" s="407" t="str">
        <x:v>順位</x:v>
      </x:c>
      <x:c r="AA1" s="407" t="str">
        <x:v>最短分</x:v>
      </x:c>
      <x:c r="AB1" s="407" t="str">
        <x:v>中央値分</x:v>
      </x:c>
      <x:c r="AC1" s="407" t="str">
        <x:v>最長分</x:v>
      </x:c>
      <x:c r="AD1" s="407" t="str">
        <x:v>立寄数</x:v>
      </x:c>
      <x:c r="AE1" s="407" t="str">
        <x:v>Hard Gate地点</x:v>
      </x:c>
      <x:c r="AF1" s="407" t="str">
        <x:v>Hard Gate時刻</x:v>
      </x:c>
      <x:c r="AG1" s="407" t="str">
        <x:v>Hard Gate位置</x:v>
      </x:c>
      <x:c r="AH1" s="407" t="str">
        <x:v>最低駐車確実性</x:v>
      </x:c>
      <x:c r="AI1" s="407" t="str">
        <x:v>強風リスク補助</x:v>
      </x:c>
      <x:c r="AJ1" s="407" t="str">
        <x:v>Plan B最終地点</x:v>
      </x:c>
      <x:c r="AK1" s="407" t="str">
        <x:v>実現性スコア</x:v>
      </x:c>
      <x:c r="AL1" s="407" t="str">
        <x:v>経由地品質</x:v>
      </x:c>
      <x:c r="AM1" s="407" t="str">
        <x:v>ルート区分</x:v>
      </x:c>
      <x:c r="AN1" s="407" t="str">
        <x:v>改善状態</x:v>
      </x:c>
      <x:c r="AO1" s="407" t="str">
        <x:v>経由地多様性</x:v>
      </x:c>
      <x:c r="AP1" s="407" t="str">
        <x:v>使用過多ペナルティ</x:v>
      </x:c>
      <x:c r="AQ1" s="407" t="str">
        <x:v>ルート系統</x:v>
      </x:c>
      <x:c r="AR1" s="407" t="str">
        <x:v>走行演出</x:v>
      </x:c>
    </x:row>
    <x:row r="2" ht="38" customHeight="1">
      <x:c r="A2" s="22" t="str">
        <x:v>R001</x:v>
      </x:c>
      <x:c r="B2" s="22" t="str">
        <x:v>羽田・航空機ショート</x:v>
      </x:c>
      <x:c r="C2" s="22" t="str">
        <x:v>足湯／空港展望／飛行機</x:v>
      </x:c>
      <x:c r="D2" s="22" t="str">
        <x:v>HANEDA INNOVATION CITY 足湯スカイデッキ</x:v>
      </x:c>
      <x:c r="E2" s="22" t="str">
        <x:v>羽田空港 第3ターミナル展望デッキ</x:v>
      </x:c>
      <x:c r="F2" s="22"/>
      <x:c r="G2" s="22" t="str">
        <x:v>京浜島つばさ公園</x:v>
      </x:c>
      <x:c r="H2" s="22" t="str">
        <x:v>85～120分</x:v>
      </x:c>
      <x:c r="I2" s="22" t="n">
        <x:v>5</x:v>
      </x:c>
      <x:c r="J2" s="22" t="n">
        <x:v>4</x:v>
      </x:c>
      <x:c r="K2" s="22" t="n">
        <x:v>120</x:v>
      </x:c>
      <x:c r="L2" s="22" t="n">
        <x:v>79</x:v>
      </x:c>
      <x:c r="M2" s="22" t="n">
        <x:v>81</x:v>
      </x:c>
      <x:c r="N2" s="22" t="n">
        <x:v>83</x:v>
      </x:c>
      <x:c r="O2" s="22" t="n">
        <x:v>85</x:v>
      </x:c>
      <x:c r="P2" s="22" t="n">
        <x:v>85</x:v>
      </x:c>
      <x:c r="Q2" s="22" t="n">
        <x:v>57</x:v>
      </x:c>
      <x:c r="R2" s="22" t="n">
        <x:v>50</x:v>
      </x:c>
      <x:c r="S2" s="22" t="n">
        <x:v>60</x:v>
      </x:c>
      <x:c r="T2" s="22" t="n">
        <x:v>72</x:v>
      </x:c>
      <x:c r="U2" s="22" t="str">
        <x:v>HIC P1で足湯を短時間利用し、T3を経て京浜島へ。京浜島満車時はT3で終了。</x:v>
      </x:c>
      <x:c r="V2" s="22" t="str">
        <x:v>一般道向き</x:v>
      </x:c>
      <x:c r="W2" s="22" t="n">
        <x:v>5</x:v>
      </x:c>
      <x:c r="X2" s="22" t="n">
        <x:v>35</x:v>
      </x:c>
      <x:c r="Y2" s="22" t="n">
        <x:f>ROUND(MAX(0,MIN(100,IF('条件入力ナビ'!$B$9="飛行機",O2,IF('条件入力ナビ'!$B$9="海・港",P2,IF('条件入力ナビ'!$B$9="工場夜景",Q2,IF('条件入力ナビ'!$B$9="静かな場所",R2,IF('条件入力ナビ'!$B$9="Story",X2,T2)))))*0.25+IF('条件入力ナビ'!$B$7="深夜",M2,IF('条件入力ナビ'!$B$7="夜",L2,IF('条件入力ナビ'!$B$7="夕方",(L2+S2)/2,S2)))*0.18+IF('条件入力ナビ'!$B$8="雨",N2,IF('条件入力ナビ'!$B$8="小雨",(N2+T2)/2,IF('条件入力ナビ'!$B$8="強風",MAX(0,T2-W2*8),T2)))*0.12+T2*0.10+AK2*0.10+AL2*0.10+AO2*0.15+IF(K2&lt;='条件入力ナビ'!$B$6,5,MAX(-30,-(K2-'条件入力ナビ'!$B$6)*0.45))-AP2*0.30+IF('条件入力ナビ'!$B$12="高速も楽しむ",IF(V2="高速向き",5,-3),IF('条件入力ナビ'!$B$12="一般道中心",IF(V2="一般道向き",4,-7),0)))))</x:f>
        <x:v>67</x:v>
      </x:c>
      <x:c r="Z2" s="22" t="n">
        <x:f>RANK.EQ(Y2,$Y$2:$Y$46,0)+COUNTIF($Y$2:Y2,Y2)-1</x:f>
        <x:v>11</x:v>
      </x:c>
      <x:c r="AA2" s="22" t="n">
        <x:v>85</x:v>
      </x:c>
      <x:c r="AB2" s="22" t="n">
        <x:v>102</x:v>
      </x:c>
      <x:c r="AC2" s="22" t="n">
        <x:v>120</x:v>
      </x:c>
      <x:c r="AD2" s="22" t="n">
        <x:v>3</x:v>
      </x:c>
      <x:c r="AE2" s="22" t="str">
        <x:v>HANEDA INNOVATION CITY 足湯スカイデッキ</x:v>
      </x:c>
      <x:c r="AF2" s="277" t="n">
        <x:v>0.9791666666666666</x:v>
      </x:c>
      <x:c r="AG2" s="22" t="n">
        <x:v>1</x:v>
      </x:c>
      <x:c r="AH2" s="22" t="n">
        <x:v>4</x:v>
      </x:c>
      <x:c r="AI2" s="22" t="n">
        <x:v>5</x:v>
      </x:c>
      <x:c r="AJ2" s="22" t="str">
        <x:v>城南島海浜公園</x:v>
      </x:c>
      <x:c r="AK2" s="22" t="n">
        <x:v>72</x:v>
      </x:c>
      <x:c r="AL2" s="22" t="n">
        <x:v>80</x:v>
      </x:c>
      <x:c r="AM2" s="22" t="str">
        <x:v>通常</x:v>
      </x:c>
      <x:c r="AN2" s="22" t="str">
        <x:v>差替え済</x:v>
      </x:c>
      <x:c r="AO2" s="22" t="n">
        <x:v>49</x:v>
      </x:c>
      <x:c r="AP2" s="22" t="n">
        <x:v>30</x:v>
      </x:c>
      <x:c r="AQ2" s="22" t="str">
        <x:v>羽田・航空</x:v>
      </x:c>
      <x:c r="AR2" s="22"/>
    </x:row>
    <x:row r="3" ht="38" customHeight="1">
      <x:c r="A3" s="22" t="str">
        <x:v>R002</x:v>
      </x:c>
      <x:c r="B3" s="22" t="str">
        <x:v>大森海岸から飛行機へ</x:v>
      </x:c>
      <x:c r="C3" s="22" t="str">
        <x:v>海苔Story／飛行機／海</x:v>
      </x:c>
      <x:c r="D3" s="22" t="str">
        <x:v>大森ふるさとの浜辺公園</x:v>
      </x:c>
      <x:c r="E3" s="22" t="str">
        <x:v>京浜島つばさ公園</x:v>
      </x:c>
      <x:c r="F3" s="22"/>
      <x:c r="G3" s="22" t="str">
        <x:v>城南島海浜公園</x:v>
      </x:c>
      <x:c r="H3" s="22" t="str">
        <x:v>90～130分</x:v>
      </x:c>
      <x:c r="I3" s="22" t="n">
        <x:v>4</x:v>
      </x:c>
      <x:c r="J3" s="22" t="n">
        <x:v>4</x:v>
      </x:c>
      <x:c r="K3" s="22" t="n">
        <x:v>130</x:v>
      </x:c>
      <x:c r="L3" s="22" t="n">
        <x:v>77</x:v>
      </x:c>
      <x:c r="M3" s="22" t="n">
        <x:v>77</x:v>
      </x:c>
      <x:c r="N3" s="22" t="n">
        <x:v>61</x:v>
      </x:c>
      <x:c r="O3" s="22" t="n">
        <x:v>84</x:v>
      </x:c>
      <x:c r="P3" s="22" t="n">
        <x:v>84</x:v>
      </x:c>
      <x:c r="Q3" s="22" t="n">
        <x:v>56</x:v>
      </x:c>
      <x:c r="R3" s="22" t="n">
        <x:v>61</x:v>
      </x:c>
      <x:c r="S3" s="22" t="n">
        <x:v>80</x:v>
      </x:c>
      <x:c r="T3" s="22" t="n">
        <x:v>72</x:v>
      </x:c>
      <x:c r="U3" s="22" t="str">
        <x:v>浜辺エリアと城南島駐車場は21時まで。20時以降は大森を省略し、京浜島→城南島へ短縮。</x:v>
      </x:c>
      <x:c r="V3" s="22" t="str">
        <x:v>一般道向き</x:v>
      </x:c>
      <x:c r="W3" s="22" t="n">
        <x:v>5</x:v>
      </x:c>
      <x:c r="X3" s="22" t="n">
        <x:v>70</x:v>
      </x:c>
      <x:c r="Y3" s="22" t="n">
        <x:f>ROUND(MAX(0,MIN(100,IF('条件入力ナビ'!$B$9="飛行機",O3,IF('条件入力ナビ'!$B$9="海・港",P3,IF('条件入力ナビ'!$B$9="工場夜景",Q3,IF('条件入力ナビ'!$B$9="静かな場所",R3,IF('条件入力ナビ'!$B$9="Story",X3,T3)))))*0.25+IF('条件入力ナビ'!$B$7="深夜",M3,IF('条件入力ナビ'!$B$7="夜",L3,IF('条件入力ナビ'!$B$7="夕方",(L3+S3)/2,S3)))*0.18+IF('条件入力ナビ'!$B$8="雨",N3,IF('条件入力ナビ'!$B$8="小雨",(N3+T3)/2,IF('条件入力ナビ'!$B$8="強風",MAX(0,T3-W3*8),T3)))*0.12+T3*0.10+AK3*0.10+AL3*0.10+AO3*0.15+IF(K3&lt;='条件入力ナビ'!$B$6,5,MAX(-30,-(K3-'条件入力ナビ'!$B$6)*0.45))-AP3*0.30+IF('条件入力ナビ'!$B$12="高速も楽しむ",IF(V3="高速向き",5,-3),IF('条件入力ナビ'!$B$12="一般道中心",IF(V3="一般道向き",4,-7),0)))))</x:f>
        <x:v>63</x:v>
      </x:c>
      <x:c r="Z3" s="22" t="n">
        <x:f>RANK.EQ(Y3,$Y$2:$Y$46,0)+COUNTIF($Y$2:Y3,Y3)-1</x:f>
        <x:v>17</x:v>
      </x:c>
      <x:c r="AA3" s="22" t="n">
        <x:v>90</x:v>
      </x:c>
      <x:c r="AB3" s="22" t="n">
        <x:v>110</x:v>
      </x:c>
      <x:c r="AC3" s="22" t="n">
        <x:v>130</x:v>
      </x:c>
      <x:c r="AD3" s="22" t="n">
        <x:v>3</x:v>
      </x:c>
      <x:c r="AE3" s="22" t="str">
        <x:v>大森ふるさとの浜辺公園</x:v>
      </x:c>
      <x:c r="AF3" s="277" t="n">
        <x:v>0.875</x:v>
      </x:c>
      <x:c r="AG3" s="22" t="n">
        <x:v>1</x:v>
      </x:c>
      <x:c r="AH3" s="22" t="n">
        <x:v>4</x:v>
      </x:c>
      <x:c r="AI3" s="22" t="n">
        <x:v>5</x:v>
      </x:c>
      <x:c r="AJ3" s="22" t="str">
        <x:v>城南島海浜公園</x:v>
      </x:c>
      <x:c r="AK3" s="22" t="n">
        <x:v>76</x:v>
      </x:c>
      <x:c r="AL3" s="22" t="n">
        <x:v>79</x:v>
      </x:c>
      <x:c r="AM3" s="22" t="str">
        <x:v>通常</x:v>
      </x:c>
      <x:c r="AN3" s="22" t="str">
        <x:v>差替え済</x:v>
      </x:c>
      <x:c r="AO3" s="22" t="n">
        <x:v>67</x:v>
      </x:c>
      <x:c r="AP3" s="22" t="n">
        <x:v>18</x:v>
      </x:c>
      <x:c r="AQ3" s="22" t="str">
        <x:v>羽田・航空</x:v>
      </x:c>
      <x:c r="AR3" s="22"/>
    </x:row>
    <x:row r="4" ht="38" customHeight="1">
      <x:c r="A4" s="22" t="str">
        <x:v>R003</x:v>
      </x:c>
      <x:c r="B4" s="22" t="str">
        <x:v>東京港最奥ナイト</x:v>
      </x:c>
      <x:c r="C4" s="22" t="str">
        <x:v>港／行き止まり／都市夜景</x:v>
      </x:c>
      <x:c r="D4" s="22" t="str">
        <x:v>晴海ふ頭公園</x:v>
      </x:c>
      <x:c r="E4" s="22" t="str">
        <x:v>豊洲ぐるり公園</x:v>
      </x:c>
      <x:c r="F4" s="22"/>
      <x:c r="G4" s="22" t="str">
        <x:v>暁ふ頭公園</x:v>
      </x:c>
      <x:c r="H4" s="22" t="str">
        <x:v>120～160分</x:v>
      </x:c>
      <x:c r="I4" s="22" t="n">
        <x:v>5</x:v>
      </x:c>
      <x:c r="J4" s="22" t="n">
        <x:v>4</x:v>
      </x:c>
      <x:c r="K4" s="22" t="n">
        <x:v>160</x:v>
      </x:c>
      <x:c r="L4" s="22" t="n">
        <x:v>81</x:v>
      </x:c>
      <x:c r="M4" s="22" t="n">
        <x:v>84</x:v>
      </x:c>
      <x:c r="N4" s="22" t="n">
        <x:v>64</x:v>
      </x:c>
      <x:c r="O4" s="22" t="n">
        <x:v>62</x:v>
      </x:c>
      <x:c r="P4" s="22" t="n">
        <x:v>88</x:v>
      </x:c>
      <x:c r="Q4" s="22" t="n">
        <x:v>63</x:v>
      </x:c>
      <x:c r="R4" s="22" t="n">
        <x:v>54</x:v>
      </x:c>
      <x:c r="S4" s="22" t="n">
        <x:v>56</x:v>
      </x:c>
      <x:c r="T4" s="22" t="n">
        <x:v>69</x:v>
      </x:c>
      <x:c r="U4" s="22" t="str">
        <x:v>強風時は暁ふ頭を潮風公園へ変更。</x:v>
      </x:c>
      <x:c r="V4" s="22" t="str">
        <x:v>一般道向き</x:v>
      </x:c>
      <x:c r="W4" s="22" t="n">
        <x:v>5</x:v>
      </x:c>
      <x:c r="X4" s="22" t="n">
        <x:v>35</x:v>
      </x:c>
      <x:c r="Y4" s="22" t="n">
        <x:f>ROUND(MAX(0,MIN(100,IF('条件入力ナビ'!$B$9="飛行機",O4,IF('条件入力ナビ'!$B$9="海・港",P4,IF('条件入力ナビ'!$B$9="工場夜景",Q4,IF('条件入力ナビ'!$B$9="静かな場所",R4,IF('条件入力ナビ'!$B$9="Story",X4,T4)))))*0.25+IF('条件入力ナビ'!$B$7="深夜",M4,IF('条件入力ナビ'!$B$7="夜",L4,IF('条件入力ナビ'!$B$7="夕方",(L4+S4)/2,S4)))*0.18+IF('条件入力ナビ'!$B$8="雨",N4,IF('条件入力ナビ'!$B$8="小雨",(N4+T4)/2,IF('条件入力ナビ'!$B$8="強風",MAX(0,T4-W4*8),T4)))*0.12+T4*0.10+AK4*0.10+AL4*0.10+AO4*0.15+IF(K4&lt;='条件入力ナビ'!$B$6,5,MAX(-30,-(K4-'条件入力ナビ'!$B$6)*0.45))-AP4*0.30+IF('条件入力ナビ'!$B$12="高速も楽しむ",IF(V4="高速向き",5,-3),IF('条件入力ナビ'!$B$12="一般道中心",IF(V4="一般道向き",4,-7),0)))))</x:f>
        <x:v>57</x:v>
      </x:c>
      <x:c r="Z4" s="22" t="n">
        <x:f>RANK.EQ(Y4,$Y$2:$Y$46,0)+COUNTIF($Y$2:Y4,Y4)-1</x:f>
        <x:v>20</x:v>
      </x:c>
      <x:c r="AA4" s="22" t="n">
        <x:v>120</x:v>
      </x:c>
      <x:c r="AB4" s="22" t="n">
        <x:v>140</x:v>
      </x:c>
      <x:c r="AC4" s="22" t="n">
        <x:v>160</x:v>
      </x:c>
      <x:c r="AD4" s="22" t="n">
        <x:v>3</x:v>
      </x:c>
      <x:c r="AE4" s="22" t="str"/>
      <x:c r="AF4" s="277"/>
      <x:c r="AG4" s="22"/>
      <x:c r="AH4" s="22" t="n">
        <x:v>4</x:v>
      </x:c>
      <x:c r="AI4" s="22" t="n">
        <x:v>5</x:v>
      </x:c>
      <x:c r="AJ4" s="22" t="str">
        <x:v>城南島海浜公園</x:v>
      </x:c>
      <x:c r="AK4" s="22" t="n">
        <x:v>80</x:v>
      </x:c>
      <x:c r="AL4" s="22" t="n">
        <x:v>77</x:v>
      </x:c>
      <x:c r="AM4" s="22" t="str">
        <x:v>通常</x:v>
      </x:c>
      <x:c r="AN4" s="22" t="str">
        <x:v>維持</x:v>
      </x:c>
      <x:c r="AO4" s="22" t="n">
        <x:v>85</x:v>
      </x:c>
      <x:c r="AP4" s="22" t="n">
        <x:v>0</x:v>
      </x:c>
      <x:c r="AQ4" s="22" t="str">
        <x:v>東京港・水辺</x:v>
      </x:c>
      <x:c r="AR4" s="22"/>
    </x:row>
    <x:row r="5" ht="38" customHeight="1">
      <x:c r="A5" s="22" t="str">
        <x:v>R004</x:v>
      </x:c>
      <x:c r="B5" s="22" t="str">
        <x:v>ゲートブリッジ夜景ショート</x:v>
      </x:c>
      <x:c r="C5" s="22" t="str">
        <x:v>都市夜景／橋の走行演出／海</x:v>
      </x:c>
      <x:c r="D5" s="22" t="str">
        <x:v>潮風公園</x:v>
      </x:c>
      <x:c r="E5" s="22" t="str">
        <x:v>東京ゲートブリッジ</x:v>
      </x:c>
      <x:c r="F5" s="22"/>
      <x:c r="G5" s="22" t="str">
        <x:v>若洲海浜公園</x:v>
      </x:c>
      <x:c r="H5" s="22" t="str">
        <x:v>105～145分</x:v>
      </x:c>
      <x:c r="I5" s="22" t="n">
        <x:v>5</x:v>
      </x:c>
      <x:c r="J5" s="22" t="n">
        <x:v>4</x:v>
      </x:c>
      <x:c r="K5" s="22" t="n">
        <x:v>145</x:v>
      </x:c>
      <x:c r="L5" s="22" t="n">
        <x:v>78</x:v>
      </x:c>
      <x:c r="M5" s="22" t="n">
        <x:v>82</x:v>
      </x:c>
      <x:c r="N5" s="22" t="n">
        <x:v>62</x:v>
      </x:c>
      <x:c r="O5" s="22" t="n">
        <x:v>60</x:v>
      </x:c>
      <x:c r="P5" s="22" t="n">
        <x:v>86</x:v>
      </x:c>
      <x:c r="Q5" s="22" t="n">
        <x:v>61</x:v>
      </x:c>
      <x:c r="R5" s="22" t="n">
        <x:v>51</x:v>
      </x:c>
      <x:c r="S5" s="22" t="n">
        <x:v>54</x:v>
      </x:c>
      <x:c r="T5" s="22" t="n">
        <x:v>67</x:v>
      </x:c>
      <x:c r="U5" s="22" t="str">
        <x:v>東京ゲートブリッジは停車せず走行演出として通過。若洲駐車場は6:00～22:00で、一部工事情報を当日確認。</x:v>
      </x:c>
      <x:c r="V5" s="22" t="str">
        <x:v>一般道向き</x:v>
      </x:c>
      <x:c r="W5" s="22" t="n">
        <x:v>5</x:v>
      </x:c>
      <x:c r="X5" s="22" t="n">
        <x:v>35</x:v>
      </x:c>
      <x:c r="Y5" s="22" t="n">
        <x:f>ROUND(MAX(0,MIN(100,IF('条件入力ナビ'!$B$9="飛行機",O5,IF('条件入力ナビ'!$B$9="海・港",P5,IF('条件入力ナビ'!$B$9="工場夜景",Q5,IF('条件入力ナビ'!$B$9="静かな場所",R5,IF('条件入力ナビ'!$B$9="Story",X5,T5)))))*0.25+IF('条件入力ナビ'!$B$7="深夜",M5,IF('条件入力ナビ'!$B$7="夜",L5,IF('条件入力ナビ'!$B$7="夕方",(L5+S5)/2,S5)))*0.18+IF('条件入力ナビ'!$B$8="雨",N5,IF('条件入力ナビ'!$B$8="小雨",(N5+T5)/2,IF('条件入力ナビ'!$B$8="強風",MAX(0,T5-W5*8),T5)))*0.12+T5*0.10+AK5*0.10+AL5*0.10+AO5*0.15+IF(K5&lt;='条件入力ナビ'!$B$6,5,MAX(-30,-(K5-'条件入力ナビ'!$B$6)*0.45))-AP5*0.30+IF('条件入力ナビ'!$B$12="高速も楽しむ",IF(V5="高速向き",5,-3),IF('条件入力ナビ'!$B$12="一般道中心",IF(V5="一般道向き",4,-7),0)))))</x:f>
        <x:v>60</x:v>
      </x:c>
      <x:c r="Z5" s="22" t="n">
        <x:f>RANK.EQ(Y5,$Y$2:$Y$46,0)+COUNTIF($Y$2:Y5,Y5)-1</x:f>
        <x:v>19</x:v>
      </x:c>
      <x:c r="AA5" s="22" t="n">
        <x:v>105</x:v>
      </x:c>
      <x:c r="AB5" s="22" t="n">
        <x:v>125</x:v>
      </x:c>
      <x:c r="AC5" s="22" t="n">
        <x:v>145</x:v>
      </x:c>
      <x:c r="AD5" s="22" t="n">
        <x:v>3</x:v>
      </x:c>
      <x:c r="AE5" s="22" t="str">
        <x:v>若洲海浜公園</x:v>
      </x:c>
      <x:c r="AF5" s="277" t="n">
        <x:v>0.9166666666666666</x:v>
      </x:c>
      <x:c r="AG5" s="22" t="n">
        <x:v>3</x:v>
      </x:c>
      <x:c r="AH5" s="22" t="n">
        <x:v>4</x:v>
      </x:c>
      <x:c r="AI5" s="22" t="n">
        <x:v>5</x:v>
      </x:c>
      <x:c r="AJ5" s="22" t="str">
        <x:v>城南島海浜公園</x:v>
      </x:c>
      <x:c r="AK5" s="22" t="n">
        <x:v>77</x:v>
      </x:c>
      <x:c r="AL5" s="22" t="n">
        <x:v>80</x:v>
      </x:c>
      <x:c r="AM5" s="22" t="str">
        <x:v>走行演出あり</x:v>
      </x:c>
      <x:c r="AN5" s="22" t="str">
        <x:v>差替え済</x:v>
      </x:c>
      <x:c r="AO5" s="22" t="n">
        <x:v>68</x:v>
      </x:c>
      <x:c r="AP5" s="22" t="n">
        <x:v>0</x:v>
      </x:c>
      <x:c r="AQ5" s="22" t="str">
        <x:v>東京港・水辺</x:v>
      </x:c>
      <x:c r="AR5" s="22" t="str">
        <x:v>東京ゲートブリッジを停車せず通過</x:v>
      </x:c>
    </x:row>
    <x:row r="6" ht="38" customHeight="1">
      <x:c r="A6" s="22" t="str">
        <x:v>R005</x:v>
      </x:c>
      <x:c r="B6" s="22" t="str">
        <x:v>東京港・環境再生ライン</x:v>
      </x:c>
      <x:c r="C6" s="22" t="str">
        <x:v>湿地／埋立地再生／橋景観</x:v>
      </x:c>
      <x:c r="D6" s="22" t="str">
        <x:v>東京港野鳥公園</x:v>
      </x:c>
      <x:c r="E6" s="22" t="str">
        <x:v>海の森公園</x:v>
      </x:c>
      <x:c r="F6" s="22"/>
      <x:c r="G6" s="22" t="str">
        <x:v>若洲海浜公園</x:v>
      </x:c>
      <x:c r="H6" s="22" t="str">
        <x:v>150～210分</x:v>
      </x:c>
      <x:c r="I6" s="22" t="n">
        <x:v>1</x:v>
      </x:c>
      <x:c r="J6" s="22" t="n">
        <x:v>4</x:v>
      </x:c>
      <x:c r="K6" s="22" t="n">
        <x:v>210</x:v>
      </x:c>
      <x:c r="L6" s="22" t="n">
        <x:v>57</x:v>
      </x:c>
      <x:c r="M6" s="22" t="n">
        <x:v>55</x:v>
      </x:c>
      <x:c r="N6" s="22" t="n">
        <x:v>52</x:v>
      </x:c>
      <x:c r="O6" s="22" t="n">
        <x:v>48</x:v>
      </x:c>
      <x:c r="P6" s="22" t="n">
        <x:v>48</x:v>
      </x:c>
      <x:c r="Q6" s="22" t="n">
        <x:v>47</x:v>
      </x:c>
      <x:c r="R6" s="22" t="n">
        <x:v>51</x:v>
      </x:c>
      <x:c r="S6" s="22" t="n">
        <x:v>45</x:v>
      </x:c>
      <x:c r="T6" s="22" t="n">
        <x:v>50</x:v>
      </x:c>
      <x:c r="U6" s="22" t="str">
        <x:v>昼専用。野鳥公園と海の森は17時まで。若洲駐車場は22時までだが、工事による一部利用休止を確認。</x:v>
      </x:c>
      <x:c r="V6" s="22" t="str">
        <x:v>一般道向き</x:v>
      </x:c>
      <x:c r="W6" s="22" t="n">
        <x:v>2</x:v>
      </x:c>
      <x:c r="X6" s="22" t="n">
        <x:v>35</x:v>
      </x:c>
      <x:c r="Y6" s="22" t="n">
        <x:f>ROUND(MAX(0,MIN(100,IF('条件入力ナビ'!$B$9="飛行機",O6,IF('条件入力ナビ'!$B$9="海・港",P6,IF('条件入力ナビ'!$B$9="工場夜景",Q6,IF('条件入力ナビ'!$B$9="静かな場所",R6,IF('条件入力ナビ'!$B$9="Story",X6,T6)))))*0.25+IF('条件入力ナビ'!$B$7="深夜",M6,IF('条件入力ナビ'!$B$7="夜",L6,IF('条件入力ナビ'!$B$7="夕方",(L6+S6)/2,S6)))*0.18+IF('条件入力ナビ'!$B$8="雨",N6,IF('条件入力ナビ'!$B$8="小雨",(N6+T6)/2,IF('条件入力ナビ'!$B$8="強風",MAX(0,T6-W6*8),T6)))*0.12+T6*0.10+AK6*0.10+AL6*0.10+AO6*0.15+IF(K6&lt;='条件入力ナビ'!$B$6,5,MAX(-30,-(K6-'条件入力ナビ'!$B$6)*0.45))-AP6*0.30+IF('条件入力ナビ'!$B$12="高速も楽しむ",IF(V6="高速向き",5,-3),IF('条件入力ナビ'!$B$12="一般道中心",IF(V6="一般道向き",4,-7),0)))))</x:f>
        <x:v>32</x:v>
      </x:c>
      <x:c r="Z6" s="22" t="n">
        <x:f>RANK.EQ(Y6,$Y$2:$Y$46,0)+COUNTIF($Y$2:Y6,Y6)-1</x:f>
        <x:v>45</x:v>
      </x:c>
      <x:c r="AA6" s="22" t="n">
        <x:v>150</x:v>
      </x:c>
      <x:c r="AB6" s="22" t="n">
        <x:v>180</x:v>
      </x:c>
      <x:c r="AC6" s="22" t="n">
        <x:v>210</x:v>
      </x:c>
      <x:c r="AD6" s="22" t="n">
        <x:v>3</x:v>
      </x:c>
      <x:c r="AE6" s="22" t="str">
        <x:v>東京港野鳥公園</x:v>
      </x:c>
      <x:c r="AF6" s="277" t="n">
        <x:v>0.7083333333333334</x:v>
      </x:c>
      <x:c r="AG6" s="22" t="n">
        <x:v>1</x:v>
      </x:c>
      <x:c r="AH6" s="22" t="n">
        <x:v>4</x:v>
      </x:c>
      <x:c r="AI6" s="22" t="n">
        <x:v>2</x:v>
      </x:c>
      <x:c r="AJ6" s="22" t="str">
        <x:v>城南島海浜公園</x:v>
      </x:c>
      <x:c r="AK6" s="22" t="n">
        <x:v>80</x:v>
      </x:c>
      <x:c r="AL6" s="22" t="n">
        <x:v>80</x:v>
      </x:c>
      <x:c r="AM6" s="22" t="str">
        <x:v>昼専用</x:v>
      </x:c>
      <x:c r="AN6" s="22" t="str">
        <x:v>差替え済</x:v>
      </x:c>
      <x:c r="AO6" s="22" t="n">
        <x:v>79</x:v>
      </x:c>
      <x:c r="AP6" s="22" t="n">
        <x:v>0</x:v>
      </x:c>
      <x:c r="AQ6" s="22" t="str">
        <x:v>東京港・水辺</x:v>
      </x:c>
      <x:c r="AR6" s="22"/>
    </x:row>
    <x:row r="7" ht="38" customHeight="1">
      <x:c r="A7" s="22" t="str">
        <x:v>R006</x:v>
      </x:c>
      <x:c r="B7" s="22" t="str">
        <x:v>京浜島から東扇島西端へ</x:v>
      </x:c>
      <x:c r="C7" s="22" t="str">
        <x:v>飛行機／高所展望／港の行き止まり</x:v>
      </x:c>
      <x:c r="D7" s="22" t="str">
        <x:v>京浜島つばさ公園</x:v>
      </x:c>
      <x:c r="E7" s="22" t="str">
        <x:v>川崎マリエン</x:v>
      </x:c>
      <x:c r="F7" s="22"/>
      <x:c r="G7" s="22" t="str">
        <x:v>東扇島西公園</x:v>
      </x:c>
      <x:c r="H7" s="22" t="str">
        <x:v>120～170分</x:v>
      </x:c>
      <x:c r="I7" s="22" t="n">
        <x:v>5</x:v>
      </x:c>
      <x:c r="J7" s="22" t="n">
        <x:v>4</x:v>
      </x:c>
      <x:c r="K7" s="22" t="n">
        <x:v>170</x:v>
      </x:c>
      <x:c r="L7" s="22" t="n">
        <x:v>77</x:v>
      </x:c>
      <x:c r="M7" s="22" t="n">
        <x:v>81</x:v>
      </x:c>
      <x:c r="N7" s="22" t="n">
        <x:v>61</x:v>
      </x:c>
      <x:c r="O7" s="22" t="n">
        <x:v>85</x:v>
      </x:c>
      <x:c r="P7" s="22" t="n">
        <x:v>85</x:v>
      </x:c>
      <x:c r="Q7" s="22" t="n">
        <x:v>60</x:v>
      </x:c>
      <x:c r="R7" s="22" t="n">
        <x:v>51</x:v>
      </x:c>
      <x:c r="S7" s="22" t="n">
        <x:v>60</x:v>
      </x:c>
      <x:c r="T7" s="22" t="n">
        <x:v>70</x:v>
      </x:c>
      <x:c r="U7" s="22" t="str">
        <x:v>川崎マリエン展望室は21時まで。遅れた場合はマリエンを省略し、24時間利用可能な東扇島西公園へ直行。</x:v>
      </x:c>
      <x:c r="V7" s="22" t="str">
        <x:v>一般道向き</x:v>
      </x:c>
      <x:c r="W7" s="22" t="n">
        <x:v>5</x:v>
      </x:c>
      <x:c r="X7" s="22" t="n">
        <x:v>35</x:v>
      </x:c>
      <x:c r="Y7" s="22" t="n">
        <x:f>ROUND(MAX(0,MIN(100,IF('条件入力ナビ'!$B$9="飛行機",O7,IF('条件入力ナビ'!$B$9="海・港",P7,IF('条件入力ナビ'!$B$9="工場夜景",Q7,IF('条件入力ナビ'!$B$9="静かな場所",R7,IF('条件入力ナビ'!$B$9="Story",X7,T7)))))*0.25+IF('条件入力ナビ'!$B$7="深夜",M7,IF('条件入力ナビ'!$B$7="夜",L7,IF('条件入力ナビ'!$B$7="夕方",(L7+S7)/2,S7)))*0.18+IF('条件入力ナビ'!$B$8="雨",N7,IF('条件入力ナビ'!$B$8="小雨",(N7+T7)/2,IF('条件入力ナビ'!$B$8="強風",MAX(0,T7-W7*8),T7)))*0.12+T7*0.10+AK7*0.10+AL7*0.10+AO7*0.15+IF(K7&lt;='条件入力ナビ'!$B$6,5,MAX(-30,-(K7-'条件入力ナビ'!$B$6)*0.45))-AP7*0.30+IF('条件入力ナビ'!$B$12="高速も楽しむ",IF(V7="高速向き",5,-3),IF('条件入力ナビ'!$B$12="一般道中心",IF(V7="一般道向き",4,-7),0)))))</x:f>
        <x:v>47</x:v>
      </x:c>
      <x:c r="Z7" s="22" t="n">
        <x:f>RANK.EQ(Y7,$Y$2:$Y$46,0)+COUNTIF($Y$2:Y7,Y7)-1</x:f>
        <x:v>28</x:v>
      </x:c>
      <x:c r="AA7" s="22" t="n">
        <x:v>120</x:v>
      </x:c>
      <x:c r="AB7" s="22" t="n">
        <x:v>145</x:v>
      </x:c>
      <x:c r="AC7" s="22" t="n">
        <x:v>170</x:v>
      </x:c>
      <x:c r="AD7" s="22" t="n">
        <x:v>3</x:v>
      </x:c>
      <x:c r="AE7" s="22" t="str">
        <x:v>川崎マリエン</x:v>
      </x:c>
      <x:c r="AF7" s="277" t="n">
        <x:v>0.875</x:v>
      </x:c>
      <x:c r="AG7" s="22" t="n">
        <x:v>2</x:v>
      </x:c>
      <x:c r="AH7" s="22" t="n">
        <x:v>4</x:v>
      </x:c>
      <x:c r="AI7" s="22" t="n">
        <x:v>5</x:v>
      </x:c>
      <x:c r="AJ7" s="22" t="str">
        <x:v>城南島海浜公園</x:v>
      </x:c>
      <x:c r="AK7" s="22" t="n">
        <x:v>75</x:v>
      </x:c>
      <x:c r="AL7" s="22" t="n">
        <x:v>75</x:v>
      </x:c>
      <x:c r="AM7" s="22" t="str">
        <x:v>通常</x:v>
      </x:c>
      <x:c r="AN7" s="22" t="str">
        <x:v>差替え済</x:v>
      </x:c>
      <x:c r="AO7" s="22" t="n">
        <x:v>70</x:v>
      </x:c>
      <x:c r="AP7" s="22" t="n">
        <x:v>9</x:v>
      </x:c>
      <x:c r="AQ7" s="22" t="str">
        <x:v>羽田・航空</x:v>
      </x:c>
      <x:c r="AR7" s="22"/>
    </x:row>
    <x:row r="8" ht="38" customHeight="1">
      <x:c r="A8" s="22" t="str">
        <x:v>R008</x:v>
      </x:c>
      <x:c r="B8" s="22" t="str">
        <x:v>本牧ふ頭の行き止まり</x:v>
      </x:c>
      <x:c r="C8" s="22" t="str">
        <x:v>横浜港／ふ頭／船</x:v>
      </x:c>
      <x:c r="D8" s="22" t="str">
        <x:v>横浜港大さん橋</x:v>
      </x:c>
      <x:c r="E8" s="22" t="str">
        <x:v>本牧山頂公園</x:v>
      </x:c>
      <x:c r="F8" s="22"/>
      <x:c r="G8" s="22" t="str">
        <x:v>横浜港シンボルタワー</x:v>
      </x:c>
      <x:c r="H8" s="22" t="str">
        <x:v>150～200分</x:v>
      </x:c>
      <x:c r="I8" s="22" t="n">
        <x:v>3</x:v>
      </x:c>
      <x:c r="J8" s="22" t="n">
        <x:v>4</x:v>
      </x:c>
      <x:c r="K8" s="22" t="n">
        <x:v>200</x:v>
      </x:c>
      <x:c r="L8" s="22" t="n">
        <x:v>64</x:v>
      </x:c>
      <x:c r="M8" s="22" t="n">
        <x:v>66</x:v>
      </x:c>
      <x:c r="N8" s="22" t="n">
        <x:v>55</x:v>
      </x:c>
      <x:c r="O8" s="22" t="n">
        <x:v>52</x:v>
      </x:c>
      <x:c r="P8" s="22" t="n">
        <x:v>77</x:v>
      </x:c>
      <x:c r="Q8" s="22" t="n">
        <x:v>52</x:v>
      </x:c>
      <x:c r="R8" s="22" t="n">
        <x:v>49</x:v>
      </x:c>
      <x:c r="S8" s="22" t="n">
        <x:v>52</x:v>
      </x:c>
      <x:c r="T8" s="22" t="n">
        <x:v>58</x:v>
      </x:c>
      <x:c r="U8" s="22" t="str">
        <x:v>季節別閉場時間に合わせる夕方専用。</x:v>
      </x:c>
      <x:c r="V8" s="22" t="str">
        <x:v>一般道向き</x:v>
      </x:c>
      <x:c r="W8" s="22" t="n">
        <x:v>5</x:v>
      </x:c>
      <x:c r="X8" s="22" t="n">
        <x:v>35</x:v>
      </x:c>
      <x:c r="Y8" s="22" t="n">
        <x:f>ROUND(MAX(0,MIN(100,IF('条件入力ナビ'!$B$9="飛行機",O8,IF('条件入力ナビ'!$B$9="海・港",P8,IF('条件入力ナビ'!$B$9="工場夜景",Q8,IF('条件入力ナビ'!$B$9="静かな場所",R8,IF('条件入力ナビ'!$B$9="Story",X8,T8)))))*0.25+IF('条件入力ナビ'!$B$7="深夜",M8,IF('条件入力ナビ'!$B$7="夜",L8,IF('条件入力ナビ'!$B$7="夕方",(L8+S8)/2,S8)))*0.18+IF('条件入力ナビ'!$B$8="雨",N8,IF('条件入力ナビ'!$B$8="小雨",(N8+T8)/2,IF('条件入力ナビ'!$B$8="強風",MAX(0,T8-W8*8),T8)))*0.12+T8*0.10+AK8*0.10+AL8*0.10+AO8*0.15+IF(K8&lt;='条件入力ナビ'!$B$6,5,MAX(-30,-(K8-'条件入力ナビ'!$B$6)*0.45))-AP8*0.30+IF('条件入力ナビ'!$B$12="高速も楽しむ",IF(V8="高速向き",5,-3),IF('条件入力ナビ'!$B$12="一般道中心",IF(V8="一般道向き",4,-7),0)))))</x:f>
        <x:v>33</x:v>
      </x:c>
      <x:c r="Z8" s="22" t="n">
        <x:f>RANK.EQ(Y8,$Y$2:$Y$46,0)+COUNTIF($Y$2:Y8,Y8)-1</x:f>
        <x:v>43</x:v>
      </x:c>
      <x:c r="AA8" s="22" t="n">
        <x:v>150</x:v>
      </x:c>
      <x:c r="AB8" s="22" t="n">
        <x:v>175</x:v>
      </x:c>
      <x:c r="AC8" s="22" t="n">
        <x:v>200</x:v>
      </x:c>
      <x:c r="AD8" s="22" t="n">
        <x:v>3</x:v>
      </x:c>
      <x:c r="AE8" s="22" t="str"/>
      <x:c r="AF8" s="277"/>
      <x:c r="AG8" s="22"/>
      <x:c r="AH8" s="22" t="n">
        <x:v>4</x:v>
      </x:c>
      <x:c r="AI8" s="22" t="n">
        <x:v>5</x:v>
      </x:c>
      <x:c r="AJ8" s="22" t="str">
        <x:v>城南島海浜公園</x:v>
      </x:c>
      <x:c r="AK8" s="22" t="n">
        <x:v>76</x:v>
      </x:c>
      <x:c r="AL8" s="22" t="n">
        <x:v>78</x:v>
      </x:c>
      <x:c r="AM8" s="22" t="str">
        <x:v>通常</x:v>
      </x:c>
      <x:c r="AN8" s="22" t="str">
        <x:v>維持</x:v>
      </x:c>
      <x:c r="AO8" s="22" t="n">
        <x:v>68</x:v>
      </x:c>
      <x:c r="AP8" s="22" t="n">
        <x:v>3</x:v>
      </x:c>
      <x:c r="AQ8" s="22" t="str">
        <x:v>東京港・水辺</x:v>
      </x:c>
      <x:c r="AR8" s="22"/>
    </x:row>
    <x:row r="9" ht="38" customHeight="1">
      <x:c r="A9" s="22" t="str">
        <x:v>R009</x:v>
      </x:c>
      <x:c r="B9" s="22" t="str">
        <x:v>金沢シーサイド</x:v>
      </x:c>
      <x:c r="C9" s="22" t="str">
        <x:v>人工海浜／島／静けさ</x:v>
      </x:c>
      <x:c r="D9" s="22" t="str">
        <x:v>本牧山頂公園</x:v>
      </x:c>
      <x:c r="E9" s="22" t="str">
        <x:v>海の公園</x:v>
      </x:c>
      <x:c r="F9" s="22"/>
      <x:c r="G9" s="22" t="str">
        <x:v>野島公園</x:v>
      </x:c>
      <x:c r="H9" s="22" t="str">
        <x:v>170～220分</x:v>
      </x:c>
      <x:c r="I9" s="22" t="n">
        <x:v>4</x:v>
      </x:c>
      <x:c r="J9" s="22" t="n">
        <x:v>4</x:v>
      </x:c>
      <x:c r="K9" s="22" t="n">
        <x:v>220</x:v>
      </x:c>
      <x:c r="L9" s="22" t="n">
        <x:v>70</x:v>
      </x:c>
      <x:c r="M9" s="22" t="n">
        <x:v>74</x:v>
      </x:c>
      <x:c r="N9" s="22" t="n">
        <x:v>58</x:v>
      </x:c>
      <x:c r="O9" s="22" t="n">
        <x:v>56</x:v>
      </x:c>
      <x:c r="P9" s="22" t="n">
        <x:v>81</x:v>
      </x:c>
      <x:c r="Q9" s="22" t="n">
        <x:v>58</x:v>
      </x:c>
      <x:c r="R9" s="22" t="n">
        <x:v>75</x:v>
      </x:c>
      <x:c r="S9" s="22" t="n">
        <x:v>60</x:v>
      </x:c>
      <x:c r="T9" s="22" t="n">
        <x:v>66</x:v>
      </x:c>
      <x:c r="U9" s="22" t="str">
        <x:v>野島公園23時閉鎖。潮干狩り期は避ける。</x:v>
      </x:c>
      <x:c r="V9" s="22" t="str">
        <x:v>一般道向き</x:v>
      </x:c>
      <x:c r="W9" s="22" t="n">
        <x:v>5</x:v>
      </x:c>
      <x:c r="X9" s="22" t="n">
        <x:v>35</x:v>
      </x:c>
      <x:c r="Y9" s="22" t="n">
        <x:f>ROUND(MAX(0,MIN(100,IF('条件入力ナビ'!$B$9="飛行機",O9,IF('条件入力ナビ'!$B$9="海・港",P9,IF('条件入力ナビ'!$B$9="工場夜景",Q9,IF('条件入力ナビ'!$B$9="静かな場所",R9,IF('条件入力ナビ'!$B$9="Story",X9,T9)))))*0.25+IF('条件入力ナビ'!$B$7="深夜",M9,IF('条件入力ナビ'!$B$7="夜",L9,IF('条件入力ナビ'!$B$7="夕方",(L9+S9)/2,S9)))*0.18+IF('条件入力ナビ'!$B$8="雨",N9,IF('条件入力ナビ'!$B$8="小雨",(N9+T9)/2,IF('条件入力ナビ'!$B$8="強風",MAX(0,T9-W9*8),T9)))*0.12+T9*0.10+AK9*0.10+AL9*0.10+AO9*0.15+IF(K9&lt;='条件入力ナビ'!$B$6,5,MAX(-30,-(K9-'条件入力ナビ'!$B$6)*0.45))-AP9*0.30+IF('条件入力ナビ'!$B$12="高速も楽しむ",IF(V9="高速向き",5,-3),IF('条件入力ナビ'!$B$12="一般道中心",IF(V9="一般道向き",4,-7),0)))))</x:f>
        <x:v>40</x:v>
      </x:c>
      <x:c r="Z9" s="22" t="n">
        <x:f>RANK.EQ(Y9,$Y$2:$Y$46,0)+COUNTIF($Y$2:Y9,Y9)-1</x:f>
        <x:v>37</x:v>
      </x:c>
      <x:c r="AA9" s="22" t="n">
        <x:v>170</x:v>
      </x:c>
      <x:c r="AB9" s="22" t="n">
        <x:v>195</x:v>
      </x:c>
      <x:c r="AC9" s="22" t="n">
        <x:v>220</x:v>
      </x:c>
      <x:c r="AD9" s="22" t="n">
        <x:v>3</x:v>
      </x:c>
      <x:c r="AE9" s="22" t="str">
        <x:v>海の公園</x:v>
      </x:c>
      <x:c r="AF9" s="277" t="n">
        <x:v>0.9166666666666666</x:v>
      </x:c>
      <x:c r="AG9" s="22" t="n">
        <x:v>2</x:v>
      </x:c>
      <x:c r="AH9" s="22" t="n">
        <x:v>4</x:v>
      </x:c>
      <x:c r="AI9" s="22" t="n">
        <x:v>5</x:v>
      </x:c>
      <x:c r="AJ9" s="22" t="str">
        <x:v>城南島海浜公園</x:v>
      </x:c>
      <x:c r="AK9" s="22" t="n">
        <x:v>77</x:v>
      </x:c>
      <x:c r="AL9" s="22" t="n">
        <x:v>77</x:v>
      </x:c>
      <x:c r="AM9" s="22" t="str">
        <x:v>通常</x:v>
      </x:c>
      <x:c r="AN9" s="22" t="str">
        <x:v>維持</x:v>
      </x:c>
      <x:c r="AO9" s="22" t="n">
        <x:v>76</x:v>
      </x:c>
      <x:c r="AP9" s="22" t="n">
        <x:v>3</x:v>
      </x:c>
      <x:c r="AQ9" s="22" t="str">
        <x:v>東京港・水辺</x:v>
      </x:c>
      <x:c r="AR9" s="22"/>
    </x:row>
    <x:row r="10" ht="38" customHeight="1">
      <x:c r="A10" s="22" t="str">
        <x:v>R025</x:v>
      </x:c>
      <x:c r="B10" s="22" t="str">
        <x:v>首都高ミニマム・ナイト</x:v>
      </x:c>
      <x:c r="C10" s="22" t="str">
        <x:v>PA／近距離／高架</x:v>
      </x:c>
      <x:c r="D10" s="22" t="str">
        <x:v>平和島PA（上り）</x:v>
      </x:c>
      <x:c r="E10" s="22" t="str">
        <x:v>芝浦PA</x:v>
      </x:c>
      <x:c r="F10" s="22"/>
      <x:c r="G10" s="22" t="str">
        <x:v>辰巳第一PA</x:v>
      </x:c>
      <x:c r="H10" s="22" t="str">
        <x:v>75～110分</x:v>
      </x:c>
      <x:c r="I10" s="22" t="n">
        <x:v>5</x:v>
      </x:c>
      <x:c r="J10" s="22" t="n">
        <x:v>4</x:v>
      </x:c>
      <x:c r="K10" s="22" t="n">
        <x:v>110</x:v>
      </x:c>
      <x:c r="L10" s="22" t="n">
        <x:v>87</x:v>
      </x:c>
      <x:c r="M10" s="22" t="n">
        <x:v>87</x:v>
      </x:c>
      <x:c r="N10" s="22" t="n">
        <x:v>66</x:v>
      </x:c>
      <x:c r="O10" s="22" t="n">
        <x:v>65</x:v>
      </x:c>
      <x:c r="P10" s="22" t="n">
        <x:v>65</x:v>
      </x:c>
      <x:c r="Q10" s="22" t="n">
        <x:v>62</x:v>
      </x:c>
      <x:c r="R10" s="22" t="n">
        <x:v>56</x:v>
      </x:c>
      <x:c r="S10" s="22" t="n">
        <x:v>50</x:v>
      </x:c>
      <x:c r="T10" s="22" t="n">
        <x:v>67</x:v>
      </x:c>
      <x:c r="U10" s="22" t="str">
        <x:v>各PAの臨時閉鎖確認。短時間休憩だけに限定。</x:v>
      </x:c>
      <x:c r="V10" s="22" t="str">
        <x:v>高速向き</x:v>
      </x:c>
      <x:c r="W10" s="22" t="n">
        <x:v>2</x:v>
      </x:c>
      <x:c r="X10" s="22" t="n">
        <x:v>35</x:v>
      </x:c>
      <x:c r="Y10" s="22" t="n">
        <x:f>ROUND(MAX(0,MIN(100,IF('条件入力ナビ'!$B$9="飛行機",O10,IF('条件入力ナビ'!$B$9="海・港",P10,IF('条件入力ナビ'!$B$9="工場夜景",Q10,IF('条件入力ナビ'!$B$9="静かな場所",R10,IF('条件入力ナビ'!$B$9="Story",X10,T10)))))*0.25+IF('条件入力ナビ'!$B$7="深夜",M10,IF('条件入力ナビ'!$B$7="夜",L10,IF('条件入力ナビ'!$B$7="夕方",(L10+S10)/2,S10)))*0.18+IF('条件入力ナビ'!$B$8="雨",N10,IF('条件入力ナビ'!$B$8="小雨",(N10+T10)/2,IF('条件入力ナビ'!$B$8="強風",MAX(0,T10-W10*8),T10)))*0.12+T10*0.10+AK10*0.10+AL10*0.10+AO10*0.15+IF(K10&lt;='条件入力ナビ'!$B$6,5,MAX(-30,-(K10-'条件入力ナビ'!$B$6)*0.45))-AP10*0.30+IF('条件入力ナビ'!$B$12="高速も楽しむ",IF(V10="高速向き",5,-3),IF('条件入力ナビ'!$B$12="一般道中心",IF(V10="一般道向き",4,-7),0)))))</x:f>
        <x:v>79</x:v>
      </x:c>
      <x:c r="Z10" s="22" t="n">
        <x:f>RANK.EQ(Y10,$Y$2:$Y$46,0)+COUNTIF($Y$2:Y10,Y10)-1</x:f>
        <x:v>2</x:v>
      </x:c>
      <x:c r="AA10" s="22" t="n">
        <x:v>75</x:v>
      </x:c>
      <x:c r="AB10" s="22" t="n">
        <x:v>92</x:v>
      </x:c>
      <x:c r="AC10" s="22" t="n">
        <x:v>110</x:v>
      </x:c>
      <x:c r="AD10" s="22" t="n">
        <x:v>3</x:v>
      </x:c>
      <x:c r="AE10" s="22" t="str"/>
      <x:c r="AF10" s="277"/>
      <x:c r="AG10" s="22"/>
      <x:c r="AH10" s="22" t="n">
        <x:v>4</x:v>
      </x:c>
      <x:c r="AI10" s="22" t="n">
        <x:v>2</x:v>
      </x:c>
      <x:c r="AJ10" s="22" t="str">
        <x:v>羽田空港 第3ターミナル展望デッキ</x:v>
      </x:c>
      <x:c r="AK10" s="22" t="n">
        <x:v>78</x:v>
      </x:c>
      <x:c r="AL10" s="22" t="n">
        <x:v>81</x:v>
      </x:c>
      <x:c r="AM10" s="22" t="str">
        <x:v>高速方向制約</x:v>
      </x:c>
      <x:c r="AN10" s="22" t="str">
        <x:v>維持</x:v>
      </x:c>
      <x:c r="AO10" s="22" t="n">
        <x:v>71</x:v>
      </x:c>
      <x:c r="AP10" s="22" t="n">
        <x:v>0</x:v>
      </x:c>
      <x:c r="AQ10" s="22" t="str">
        <x:v>PA・高速</x:v>
      </x:c>
      <x:c r="AR10" s="22"/>
    </x:row>
    <x:row r="11" ht="38" customHeight="1">
      <x:c r="A11" s="22" t="str">
        <x:v>R037</x:v>
      </x:c>
      <x:c r="B11" s="22" t="str">
        <x:v>東東京・水辺ナイト</x:v>
      </x:c>
      <x:c r="C11" s="22" t="str">
        <x:v>都市公園／河川／夜間</x:v>
      </x:c>
      <x:c r="D11" s="22" t="str">
        <x:v>木場公園</x:v>
      </x:c>
      <x:c r="E11" s="22" t="str">
        <x:v>大島小松川公園</x:v>
      </x:c>
      <x:c r="F11" s="22"/>
      <x:c r="G11" s="22" t="str">
        <x:v>篠崎公園</x:v>
      </x:c>
      <x:c r="H11" s="22" t="str">
        <x:v>150～210分</x:v>
      </x:c>
      <x:c r="I11" s="22" t="n">
        <x:v>4</x:v>
      </x:c>
      <x:c r="J11" s="22" t="n">
        <x:v>4</x:v>
      </x:c>
      <x:c r="K11" s="22" t="n">
        <x:v>210</x:v>
      </x:c>
      <x:c r="L11" s="22" t="n">
        <x:v>72</x:v>
      </x:c>
      <x:c r="M11" s="22" t="n">
        <x:v>76</x:v>
      </x:c>
      <x:c r="N11" s="22" t="n">
        <x:v>60</x:v>
      </x:c>
      <x:c r="O11" s="22" t="n">
        <x:v>58</x:v>
      </x:c>
      <x:c r="P11" s="22" t="n">
        <x:v>83</x:v>
      </x:c>
      <x:c r="Q11" s="22" t="n">
        <x:v>60</x:v>
      </x:c>
      <x:c r="R11" s="22" t="n">
        <x:v>77</x:v>
      </x:c>
      <x:c r="S11" s="22" t="n">
        <x:v>62</x:v>
      </x:c>
      <x:c r="T11" s="22" t="n">
        <x:v>68</x:v>
      </x:c>
      <x:c r="U11" s="22" t="str">
        <x:v>24時間駐車場をつなぐ夜間用。木場公園の重複採用は湾岸から東東京へ切り替える休憩点として有効。</x:v>
      </x:c>
      <x:c r="V11" s="22" t="str">
        <x:v>一般道向き</x:v>
      </x:c>
      <x:c r="W11" s="22" t="n">
        <x:v>5</x:v>
      </x:c>
      <x:c r="X11" s="22" t="n">
        <x:v>35</x:v>
      </x:c>
      <x:c r="Y11" s="22" t="n">
        <x:f>ROUND(MAX(0,MIN(100,IF('条件入力ナビ'!$B$9="飛行機",O11,IF('条件入力ナビ'!$B$9="海・港",P11,IF('条件入力ナビ'!$B$9="工場夜景",Q11,IF('条件入力ナビ'!$B$9="静かな場所",R11,IF('条件入力ナビ'!$B$9="Story",X11,T11)))))*0.25+IF('条件入力ナビ'!$B$7="深夜",M11,IF('条件入力ナビ'!$B$7="夜",L11,IF('条件入力ナビ'!$B$7="夕方",(L11+S11)/2,S11)))*0.18+IF('条件入力ナビ'!$B$8="雨",N11,IF('条件入力ナビ'!$B$8="小雨",(N11+T11)/2,IF('条件入力ナビ'!$B$8="強風",MAX(0,T11-W11*8),T11)))*0.12+T11*0.10+AK11*0.10+AL11*0.10+AO11*0.15+IF(K11&lt;='条件入力ナビ'!$B$6,5,MAX(-30,-(K11-'条件入力ナビ'!$B$6)*0.45))-AP11*0.30+IF('条件入力ナビ'!$B$12="高速も楽しむ",IF(V11="高速向き",5,-3),IF('条件入力ナビ'!$B$12="一般道中心",IF(V11="一般道向き",4,-7),0)))))</x:f>
        <x:v>44</x:v>
      </x:c>
      <x:c r="Z11" s="22" t="n">
        <x:f>RANK.EQ(Y11,$Y$2:$Y$46,0)+COUNTIF($Y$2:Y11,Y11)-1</x:f>
        <x:v>32</x:v>
      </x:c>
      <x:c r="AA11" s="22" t="n">
        <x:v>150</x:v>
      </x:c>
      <x:c r="AB11" s="22" t="n">
        <x:v>180</x:v>
      </x:c>
      <x:c r="AC11" s="22" t="n">
        <x:v>210</x:v>
      </x:c>
      <x:c r="AD11" s="22" t="n">
        <x:v>3</x:v>
      </x:c>
      <x:c r="AE11" s="22" t="str"/>
      <x:c r="AF11" s="277"/>
      <x:c r="AG11" s="22"/>
      <x:c r="AH11" s="22" t="n">
        <x:v>4</x:v>
      </x:c>
      <x:c r="AI11" s="22" t="n">
        <x:v>5</x:v>
      </x:c>
      <x:c r="AJ11" s="22" t="str">
        <x:v>多摩川浅間神社</x:v>
      </x:c>
      <x:c r="AK11" s="22" t="n">
        <x:v>84</x:v>
      </x:c>
      <x:c r="AL11" s="22" t="n">
        <x:v>87</x:v>
      </x:c>
      <x:c r="AM11" s="22" t="str">
        <x:v>通常</x:v>
      </x:c>
      <x:c r="AN11" s="22" t="str">
        <x:v>維持</x:v>
      </x:c>
      <x:c r="AO11" s="22" t="n">
        <x:v>79</x:v>
      </x:c>
      <x:c r="AP11" s="22" t="n">
        <x:v>0</x:v>
      </x:c>
      <x:c r="AQ11" s="22" t="str">
        <x:v>河川・多摩川</x:v>
      </x:c>
      <x:c r="AR11" s="22"/>
    </x:row>
    <x:row r="12" ht="38" customHeight="1">
      <x:c r="A12" s="22" t="str">
        <x:v>R048</x:v>
      </x:c>
      <x:c r="B12" s="22" t="str">
        <x:v>東側・確実な休憩ルート</x:v>
      </x:c>
      <x:c r="C12" s="22" t="str">
        <x:v>公園／道の駅／夜間</x:v>
      </x:c>
      <x:c r="D12" s="22" t="str">
        <x:v>木場公園</x:v>
      </x:c>
      <x:c r="E12" s="22" t="str">
        <x:v>大島小松川公園</x:v>
      </x:c>
      <x:c r="F12" s="22"/>
      <x:c r="G12" s="22" t="str">
        <x:v>道の駅 いちかわ</x:v>
      </x:c>
      <x:c r="H12" s="22" t="str">
        <x:v>140～200分</x:v>
      </x:c>
      <x:c r="I12" s="22" t="n">
        <x:v>4</x:v>
      </x:c>
      <x:c r="J12" s="22" t="n">
        <x:v>4</x:v>
      </x:c>
      <x:c r="K12" s="22" t="n">
        <x:v>200</x:v>
      </x:c>
      <x:c r="L12" s="22" t="n">
        <x:v>74</x:v>
      </x:c>
      <x:c r="M12" s="22" t="n">
        <x:v>77</x:v>
      </x:c>
      <x:c r="N12" s="22" t="n">
        <x:v>61</x:v>
      </x:c>
      <x:c r="O12" s="22" t="n">
        <x:v>59</x:v>
      </x:c>
      <x:c r="P12" s="22" t="n">
        <x:v>59</x:v>
      </x:c>
      <x:c r="Q12" s="22" t="n">
        <x:v>61</x:v>
      </x:c>
      <x:c r="R12" s="22" t="n">
        <x:v>78</x:v>
      </x:c>
      <x:c r="S12" s="22" t="n">
        <x:v>55</x:v>
      </x:c>
      <x:c r="T12" s="22" t="n">
        <x:v>66</x:v>
      </x:c>
      <x:c r="U12" s="22" t="str">
        <x:v>木場・大島小松川の重複は、都心から外環方面へ段階的に休息を入れるため。</x:v>
      </x:c>
      <x:c r="V12" s="22" t="str">
        <x:v>一般道向き</x:v>
      </x:c>
      <x:c r="W12" s="22" t="n">
        <x:v>2</x:v>
      </x:c>
      <x:c r="X12" s="22" t="n">
        <x:v>35</x:v>
      </x:c>
      <x:c r="Y12" s="22" t="n">
        <x:f>ROUND(MAX(0,MIN(100,IF('条件入力ナビ'!$B$9="飛行機",O12,IF('条件入力ナビ'!$B$9="海・港",P12,IF('条件入力ナビ'!$B$9="工場夜景",Q12,IF('条件入力ナビ'!$B$9="静かな場所",R12,IF('条件入力ナビ'!$B$9="Story",X12,T12)))))*0.25+IF('条件入力ナビ'!$B$7="深夜",M12,IF('条件入力ナビ'!$B$7="夜",L12,IF('条件入力ナビ'!$B$7="夕方",(L12+S12)/2,S12)))*0.18+IF('条件入力ナビ'!$B$8="雨",N12,IF('条件入力ナビ'!$B$8="小雨",(N12+T12)/2,IF('条件入力ナビ'!$B$8="強風",MAX(0,T12-W12*8),T12)))*0.12+T12*0.10+AK12*0.10+AL12*0.10+AO12*0.15+IF(K12&lt;='条件入力ナビ'!$B$6,5,MAX(-30,-(K12-'条件入力ナビ'!$B$6)*0.45))-AP12*0.30+IF('条件入力ナビ'!$B$12="高速も楽しむ",IF(V12="高速向き",5,-3),IF('条件入力ナビ'!$B$12="一般道中心",IF(V12="一般道向き",4,-7),0)))))</x:f>
        <x:v>45</x:v>
      </x:c>
      <x:c r="Z12" s="22" t="n">
        <x:f>RANK.EQ(Y12,$Y$2:$Y$46,0)+COUNTIF($Y$2:Y12,Y12)-1</x:f>
        <x:v>31</x:v>
      </x:c>
      <x:c r="AA12" s="22" t="n">
        <x:v>140</x:v>
      </x:c>
      <x:c r="AB12" s="22" t="n">
        <x:v>170</x:v>
      </x:c>
      <x:c r="AC12" s="22" t="n">
        <x:v>200</x:v>
      </x:c>
      <x:c r="AD12" s="22" t="n">
        <x:v>3</x:v>
      </x:c>
      <x:c r="AE12" s="22" t="str"/>
      <x:c r="AF12" s="277"/>
      <x:c r="AG12" s="22"/>
      <x:c r="AH12" s="22" t="n">
        <x:v>4</x:v>
      </x:c>
      <x:c r="AI12" s="22" t="n">
        <x:v>2</x:v>
      </x:c>
      <x:c r="AJ12" s="22" t="str">
        <x:v>羽田空港 第3ターミナル展望デッキ</x:v>
      </x:c>
      <x:c r="AK12" s="22" t="n">
        <x:v>85</x:v>
      </x:c>
      <x:c r="AL12" s="22" t="n">
        <x:v>85</x:v>
      </x:c>
      <x:c r="AM12" s="22" t="str">
        <x:v>通常</x:v>
      </x:c>
      <x:c r="AN12" s="22" t="str">
        <x:v>維持</x:v>
      </x:c>
      <x:c r="AO12" s="22" t="n">
        <x:v>88</x:v>
      </x:c>
      <x:c r="AP12" s="22" t="n">
        <x:v>0</x:v>
      </x:c>
      <x:c r="AQ12" s="22" t="str">
        <x:v>都市公園・休憩</x:v>
      </x:c>
      <x:c r="AR12" s="22"/>
    </x:row>
    <x:row r="13" ht="38" customHeight="1">
      <x:c r="A13" s="22" t="str">
        <x:v>R049</x:v>
      </x:c>
      <x:c r="B13" s="22" t="str">
        <x:v>羽田河口から川崎港へ</x:v>
      </x:c>
      <x:c r="C13" s="22" t="str">
        <x:v>足湯／河口／工場夜景</x:v>
      </x:c>
      <x:c r="D13" s="22" t="str">
        <x:v>HANEDA INNOVATION CITY 足湯スカイデッキ</x:v>
      </x:c>
      <x:c r="E13" s="22" t="str">
        <x:v>ソラムナード羽田緑地</x:v>
      </x:c>
      <x:c r="F13" s="22"/>
      <x:c r="G13" s="22" t="str">
        <x:v>川崎マリエン</x:v>
      </x:c>
      <x:c r="H13" s="22" t="str">
        <x:v>90～135分</x:v>
      </x:c>
      <x:c r="I13" s="22" t="n">
        <x:v>5</x:v>
      </x:c>
      <x:c r="J13" s="22" t="n">
        <x:v>4</x:v>
      </x:c>
      <x:c r="K13" s="22" t="n">
        <x:v>135</x:v>
      </x:c>
      <x:c r="L13" s="22" t="n">
        <x:v>81</x:v>
      </x:c>
      <x:c r="M13" s="22" t="n">
        <x:v>83</x:v>
      </x:c>
      <x:c r="N13" s="22" t="n">
        <x:v>63</x:v>
      </x:c>
      <x:c r="O13" s="22" t="n">
        <x:v>61</x:v>
      </x:c>
      <x:c r="P13" s="22" t="n">
        <x:v>62</x:v>
      </x:c>
      <x:c r="Q13" s="22" t="n">
        <x:v>88</x:v>
      </x:c>
      <x:c r="R13" s="22" t="n">
        <x:v>52</x:v>
      </x:c>
      <x:c r="S13" s="22" t="n">
        <x:v>47</x:v>
      </x:c>
      <x:c r="T13" s="22" t="n">
        <x:v>67</x:v>
      </x:c>
      <x:c r="U13" s="22" t="str">
        <x:v>HIC P1に駐車し、足湯とソラムナードは徒歩連結。川崎マリエン展望室は21時まで。</x:v>
      </x:c>
      <x:c r="V13" s="22" t="str">
        <x:v>一般道向き</x:v>
      </x:c>
      <x:c r="W13" s="22" t="n">
        <x:v>2</x:v>
      </x:c>
      <x:c r="X13" s="22" t="n">
        <x:v>35</x:v>
      </x:c>
      <x:c r="Y13" s="22" t="n">
        <x:f>ROUND(MAX(0,MIN(100,IF('条件入力ナビ'!$B$9="飛行機",O13,IF('条件入力ナビ'!$B$9="海・港",P13,IF('条件入力ナビ'!$B$9="工場夜景",Q13,IF('条件入力ナビ'!$B$9="静かな場所",R13,IF('条件入力ナビ'!$B$9="Story",X13,T13)))))*0.25+IF('条件入力ナビ'!$B$7="深夜",M13,IF('条件入力ナビ'!$B$7="夜",L13,IF('条件入力ナビ'!$B$7="夕方",(L13+S13)/2,S13)))*0.18+IF('条件入力ナビ'!$B$8="雨",N13,IF('条件入力ナビ'!$B$8="小雨",(N13+T13)/2,IF('条件入力ナビ'!$B$8="強風",MAX(0,T13-W13*8),T13)))*0.12+T13*0.10+AK13*0.10+AL13*0.10+AO13*0.15+IF(K13&lt;='条件入力ナビ'!$B$6,5,MAX(-30,-(K13-'条件入力ナビ'!$B$6)*0.45))-AP13*0.30+IF('条件入力ナビ'!$B$12="高速も楽しむ",IF(V13="高速向き",5,-3),IF('条件入力ナビ'!$B$12="一般道中心",IF(V13="一般道向き",4,-7),0)))))</x:f>
        <x:v>57</x:v>
      </x:c>
      <x:c r="Z13" s="22" t="n">
        <x:f>RANK.EQ(Y13,$Y$2:$Y$46,0)+COUNTIF($Y$2:Y13,Y13)-1</x:f>
        <x:v>21</x:v>
      </x:c>
      <x:c r="AA13" s="22" t="n">
        <x:v>90</x:v>
      </x:c>
      <x:c r="AB13" s="22" t="n">
        <x:v>112</x:v>
      </x:c>
      <x:c r="AC13" s="22" t="n">
        <x:v>135</x:v>
      </x:c>
      <x:c r="AD13" s="22" t="n">
        <x:v>3</x:v>
      </x:c>
      <x:c r="AE13" s="22" t="str">
        <x:v>川崎マリエン</x:v>
      </x:c>
      <x:c r="AF13" s="277" t="n">
        <x:v>0.875</x:v>
      </x:c>
      <x:c r="AG13" s="22" t="n">
        <x:v>3</x:v>
      </x:c>
      <x:c r="AH13" s="22" t="n">
        <x:v>4</x:v>
      </x:c>
      <x:c r="AI13" s="22" t="n">
        <x:v>2</x:v>
      </x:c>
      <x:c r="AJ13" s="22" t="str">
        <x:v>川崎マリエン</x:v>
      </x:c>
      <x:c r="AK13" s="22" t="n">
        <x:v>76</x:v>
      </x:c>
      <x:c r="AL13" s="22" t="n">
        <x:v>83</x:v>
      </x:c>
      <x:c r="AM13" s="22" t="str">
        <x:v>通常</x:v>
      </x:c>
      <x:c r="AN13" s="22" t="str">
        <x:v>差替え済</x:v>
      </x:c>
      <x:c r="AO13" s="22" t="n">
        <x:v>58</x:v>
      </x:c>
      <x:c r="AP13" s="22" t="n">
        <x:v>24</x:v>
      </x:c>
      <x:c r="AQ13" s="22" t="str">
        <x:v>川崎・工場夜景</x:v>
      </x:c>
      <x:c r="AR13" s="22"/>
    </x:row>
    <x:row r="14" ht="38" customHeight="1">
      <x:c r="A14" s="22" t="str">
        <x:v>R050</x:v>
      </x:c>
      <x:c r="B14" s="22" t="str">
        <x:v>鶴見から生田へ丘陵公園線</x:v>
      </x:c>
      <x:c r="C14" s="22" t="str">
        <x:v>池／森林／高台展望</x:v>
      </x:c>
      <x:c r="D14" s="22" t="str">
        <x:v>県立三ツ池公園</x:v>
      </x:c>
      <x:c r="E14" s="22" t="str">
        <x:v>県立東高根森林公園</x:v>
      </x:c>
      <x:c r="F14" s="22"/>
      <x:c r="G14" s="22" t="str">
        <x:v>生田緑地・枡形山展望台</x:v>
      </x:c>
      <x:c r="H14" s="22" t="str">
        <x:v>150～210分</x:v>
      </x:c>
      <x:c r="I14" s="22" t="n">
        <x:v>2</x:v>
      </x:c>
      <x:c r="J14" s="22" t="n">
        <x:v>4</x:v>
      </x:c>
      <x:c r="K14" s="22" t="n">
        <x:v>210</x:v>
      </x:c>
      <x:c r="L14" s="22" t="n">
        <x:v>60</x:v>
      </x:c>
      <x:c r="M14" s="22" t="n">
        <x:v>60</x:v>
      </x:c>
      <x:c r="N14" s="22" t="n">
        <x:v>53</x:v>
      </x:c>
      <x:c r="O14" s="22" t="n">
        <x:v>49</x:v>
      </x:c>
      <x:c r="P14" s="22" t="n">
        <x:v>49</x:v>
      </x:c>
      <x:c r="Q14" s="22" t="n">
        <x:v>49</x:v>
      </x:c>
      <x:c r="R14" s="22" t="n">
        <x:v>74</x:v>
      </x:c>
      <x:c r="S14" s="22" t="n">
        <x:v>52</x:v>
      </x:c>
      <x:c r="T14" s="22" t="n">
        <x:v>56</x:v>
      </x:c>
      <x:c r="U14" s="22" t="str">
        <x:v>昼～夕方専用。東高根森林公園は19時まで。枡形山展望台は日没前の到着を推奨。</x:v>
      </x:c>
      <x:c r="V14" s="22" t="str">
        <x:v>一般道向き</x:v>
      </x:c>
      <x:c r="W14" s="22" t="n">
        <x:v>5</x:v>
      </x:c>
      <x:c r="X14" s="22" t="n">
        <x:v>35</x:v>
      </x:c>
      <x:c r="Y14" s="22" t="n">
        <x:f>ROUND(MAX(0,MIN(100,IF('条件入力ナビ'!$B$9="飛行機",O14,IF('条件入力ナビ'!$B$9="海・港",P14,IF('条件入力ナビ'!$B$9="工場夜景",Q14,IF('条件入力ナビ'!$B$9="静かな場所",R14,IF('条件入力ナビ'!$B$9="Story",X14,T14)))))*0.25+IF('条件入力ナビ'!$B$7="深夜",M14,IF('条件入力ナビ'!$B$7="夜",L14,IF('条件入力ナビ'!$B$7="夕方",(L14+S14)/2,S14)))*0.18+IF('条件入力ナビ'!$B$8="雨",N14,IF('条件入力ナビ'!$B$8="小雨",(N14+T14)/2,IF('条件入力ナビ'!$B$8="強風",MAX(0,T14-W14*8),T14)))*0.12+T14*0.10+AK14*0.10+AL14*0.10+AO14*0.15+IF(K14&lt;='条件入力ナビ'!$B$6,5,MAX(-30,-(K14-'条件入力ナビ'!$B$6)*0.45))-AP14*0.30+IF('条件入力ナビ'!$B$12="高速も楽しむ",IF(V14="高速向き",5,-3),IF('条件入力ナビ'!$B$12="一般道中心",IF(V14="一般道向き",4,-7),0)))))</x:f>
        <x:v>33</x:v>
      </x:c>
      <x:c r="Z14" s="22" t="n">
        <x:f>RANK.EQ(Y14,$Y$2:$Y$46,0)+COUNTIF($Y$2:Y14,Y14)-1</x:f>
        <x:v>44</x:v>
      </x:c>
      <x:c r="AA14" s="22" t="n">
        <x:v>150</x:v>
      </x:c>
      <x:c r="AB14" s="22" t="n">
        <x:v>180</x:v>
      </x:c>
      <x:c r="AC14" s="22" t="n">
        <x:v>210</x:v>
      </x:c>
      <x:c r="AD14" s="22" t="n">
        <x:v>3</x:v>
      </x:c>
      <x:c r="AE14" s="22" t="str">
        <x:v>県立東高根森林公園</x:v>
      </x:c>
      <x:c r="AF14" s="277" t="n">
        <x:v>0.7916666666666666</x:v>
      </x:c>
      <x:c r="AG14" s="22" t="n">
        <x:v>2</x:v>
      </x:c>
      <x:c r="AH14" s="22" t="n">
        <x:v>4</x:v>
      </x:c>
      <x:c r="AI14" s="22" t="n">
        <x:v>5</x:v>
      </x:c>
      <x:c r="AJ14" s="22" t="str">
        <x:v>羽田空港 第3ターミナル展望デッキ</x:v>
      </x:c>
      <x:c r="AK14" s="22" t="n">
        <x:v>76</x:v>
      </x:c>
      <x:c r="AL14" s="22" t="n">
        <x:v>77</x:v>
      </x:c>
      <x:c r="AM14" s="22" t="str">
        <x:v>昼専用</x:v>
      </x:c>
      <x:c r="AN14" s="22" t="str">
        <x:v>差替え済</x:v>
      </x:c>
      <x:c r="AO14" s="22" t="n">
        <x:v>71</x:v>
      </x:c>
      <x:c r="AP14" s="22" t="n">
        <x:v>0</x:v>
      </x:c>
      <x:c r="AQ14" s="22" t="str">
        <x:v>森林・高台</x:v>
      </x:c>
      <x:c r="AR14" s="22"/>
    </x:row>
    <x:row r="15" ht="38" customHeight="1">
      <x:c r="A15" s="22" t="str">
        <x:v>R055</x:v>
      </x:c>
      <x:c r="B15" s="22" t="str">
        <x:v>鶴見・川崎近距離回復</x:v>
      </x:c>
      <x:c r="C15" s="22" t="str">
        <x:v>池／都市公園／河川</x:v>
      </x:c>
      <x:c r="D15" s="22" t="str">
        <x:v>県立三ツ池公園</x:v>
      </x:c>
      <x:c r="E15" s="22" t="str">
        <x:v>富士見公園</x:v>
      </x:c>
      <x:c r="F15" s="22"/>
      <x:c r="G15" s="22" t="str">
        <x:v>御幸公園</x:v>
      </x:c>
      <x:c r="H15" s="22" t="str">
        <x:v>120～170分</x:v>
      </x:c>
      <x:c r="I15" s="22" t="n">
        <x:v>3</x:v>
      </x:c>
      <x:c r="J15" s="22" t="n">
        <x:v>4</x:v>
      </x:c>
      <x:c r="K15" s="22" t="n">
        <x:v>170</x:v>
      </x:c>
      <x:c r="L15" s="22" t="n">
        <x:v>70</x:v>
      </x:c>
      <x:c r="M15" s="22" t="n">
        <x:v>70</x:v>
      </x:c>
      <x:c r="N15" s="22" t="n">
        <x:v>57</x:v>
      </x:c>
      <x:c r="O15" s="22" t="n">
        <x:v>55</x:v>
      </x:c>
      <x:c r="P15" s="22" t="n">
        <x:v>80</x:v>
      </x:c>
      <x:c r="Q15" s="22" t="n">
        <x:v>54</x:v>
      </x:c>
      <x:c r="R15" s="22" t="n">
        <x:v>77</x:v>
      </x:c>
      <x:c r="S15" s="22" t="n">
        <x:v>62</x:v>
      </x:c>
      <x:c r="T15" s="22" t="n">
        <x:v>66</x:v>
      </x:c>
      <x:c r="U15" s="22" t="str">
        <x:v>三ツ池公園駐車場閉鎖時刻を確認。</x:v>
      </x:c>
      <x:c r="V15" s="22" t="str">
        <x:v>一般道向き</x:v>
      </x:c>
      <x:c r="W15" s="22" t="n">
        <x:v>5</x:v>
      </x:c>
      <x:c r="X15" s="22" t="n">
        <x:v>35</x:v>
      </x:c>
      <x:c r="Y15" s="22" t="n">
        <x:f>ROUND(MAX(0,MIN(100,IF('条件入力ナビ'!$B$9="飛行機",O15,IF('条件入力ナビ'!$B$9="海・港",P15,IF('条件入力ナビ'!$B$9="工場夜景",Q15,IF('条件入力ナビ'!$B$9="静かな場所",R15,IF('条件入力ナビ'!$B$9="Story",X15,T15)))))*0.25+IF('条件入力ナビ'!$B$7="深夜",M15,IF('条件入力ナビ'!$B$7="夜",L15,IF('条件入力ナビ'!$B$7="夕方",(L15+S15)/2,S15)))*0.18+IF('条件入力ナビ'!$B$8="雨",N15,IF('条件入力ナビ'!$B$8="小雨",(N15+T15)/2,IF('条件入力ナビ'!$B$8="強風",MAX(0,T15-W15*8),T15)))*0.12+T15*0.10+AK15*0.10+AL15*0.10+AO15*0.15+IF(K15&lt;='条件入力ナビ'!$B$6,5,MAX(-30,-(K15-'条件入力ナビ'!$B$6)*0.45))-AP15*0.30+IF('条件入力ナビ'!$B$12="高速も楽しむ",IF(V15="高速向き",5,-3),IF('条件入力ナビ'!$B$12="一般道中心",IF(V15="一般道向き",4,-7),0)))))</x:f>
        <x:v>48</x:v>
      </x:c>
      <x:c r="Z15" s="22" t="n">
        <x:f>RANK.EQ(Y15,$Y$2:$Y$46,0)+COUNTIF($Y$2:Y15,Y15)-1</x:f>
        <x:v>26</x:v>
      </x:c>
      <x:c r="AA15" s="22" t="n">
        <x:v>120</x:v>
      </x:c>
      <x:c r="AB15" s="22" t="n">
        <x:v>145</x:v>
      </x:c>
      <x:c r="AC15" s="22" t="n">
        <x:v>170</x:v>
      </x:c>
      <x:c r="AD15" s="22" t="n">
        <x:v>3</x:v>
      </x:c>
      <x:c r="AE15" s="22" t="str"/>
      <x:c r="AF15" s="277"/>
      <x:c r="AG15" s="22"/>
      <x:c r="AH15" s="22" t="n">
        <x:v>4</x:v>
      </x:c>
      <x:c r="AI15" s="22" t="n">
        <x:v>5</x:v>
      </x:c>
      <x:c r="AJ15" s="22" t="str">
        <x:v>多摩川浅間神社</x:v>
      </x:c>
      <x:c r="AK15" s="22" t="n">
        <x:v>76</x:v>
      </x:c>
      <x:c r="AL15" s="22" t="n">
        <x:v>73</x:v>
      </x:c>
      <x:c r="AM15" s="22" t="str">
        <x:v>通常</x:v>
      </x:c>
      <x:c r="AN15" s="22" t="str">
        <x:v>維持</x:v>
      </x:c>
      <x:c r="AO15" s="22" t="n">
        <x:v>79</x:v>
      </x:c>
      <x:c r="AP15" s="22" t="n">
        <x:v>0</x:v>
      </x:c>
      <x:c r="AQ15" s="22" t="str">
        <x:v>河川・多摩川</x:v>
      </x:c>
      <x:c r="AR15" s="22"/>
    </x:row>
    <x:row r="16" ht="38" customHeight="1">
      <x:c r="A16" s="22" t="str">
        <x:v>R056</x:v>
      </x:c>
      <x:c r="B16" s="22" t="str">
        <x:v>鶴見から本牧・港の三景</x:v>
      </x:c>
      <x:c r="C16" s="22" t="str">
        <x:v>雨天港湾展望／都市港／行き止まり</x:v>
      </x:c>
      <x:c r="D16" s="22" t="str">
        <x:v>横浜市高齢者保養研修施設 ふれーゆ</x:v>
      </x:c>
      <x:c r="E16" s="22" t="str">
        <x:v>横浜港大さん橋</x:v>
      </x:c>
      <x:c r="F16" s="22"/>
      <x:c r="G16" s="22" t="str">
        <x:v>横浜港シンボルタワー</x:v>
      </x:c>
      <x:c r="H16" s="22" t="str">
        <x:v>170～240分</x:v>
      </x:c>
      <x:c r="I16" s="22" t="n">
        <x:v>2</x:v>
      </x:c>
      <x:c r="J16" s="22" t="n">
        <x:v>4</x:v>
      </x:c>
      <x:c r="K16" s="22" t="n">
        <x:v>240</x:v>
      </x:c>
      <x:c r="L16" s="22" t="n">
        <x:v>67</x:v>
      </x:c>
      <x:c r="M16" s="22" t="n">
        <x:v>67</x:v>
      </x:c>
      <x:c r="N16" s="22" t="n">
        <x:v>81</x:v>
      </x:c>
      <x:c r="O16" s="22" t="n">
        <x:v>55</x:v>
      </x:c>
      <x:c r="P16" s="22" t="n">
        <x:v>80</x:v>
      </x:c>
      <x:c r="Q16" s="22" t="n">
        <x:v>83</x:v>
      </x:c>
      <x:c r="R16" s="22" t="n">
        <x:v>56</x:v>
      </x:c>
      <x:c r="S16" s="22" t="n">
        <x:v>57</x:v>
      </x:c>
      <x:c r="T16" s="22" t="n">
        <x:v>68</x:v>
      </x:c>
      <x:c r="U16" s="22" t="str">
        <x:v>昼～夕方専用。ふれーゆの最終入庫とシンボルタワーの季節閉場を優先。雨天時はふれーゆ滞在を長くする。</x:v>
      </x:c>
      <x:c r="V16" s="22" t="str">
        <x:v>一般道向き</x:v>
      </x:c>
      <x:c r="W16" s="22" t="n">
        <x:v>5</x:v>
      </x:c>
      <x:c r="X16" s="22" t="n">
        <x:v>35</x:v>
      </x:c>
      <x:c r="Y16" s="22" t="n">
        <x:f>ROUND(MAX(0,MIN(100,IF('条件入力ナビ'!$B$9="飛行機",O16,IF('条件入力ナビ'!$B$9="海・港",P16,IF('条件入力ナビ'!$B$9="工場夜景",Q16,IF('条件入力ナビ'!$B$9="静かな場所",R16,IF('条件入力ナビ'!$B$9="Story",X16,T16)))))*0.25+IF('条件入力ナビ'!$B$7="深夜",M16,IF('条件入力ナビ'!$B$7="夜",L16,IF('条件入力ナビ'!$B$7="夕方",(L16+S16)/2,S16)))*0.18+IF('条件入力ナビ'!$B$8="雨",N16,IF('条件入力ナビ'!$B$8="小雨",(N16+T16)/2,IF('条件入力ナビ'!$B$8="強風",MAX(0,T16-W16*8),T16)))*0.12+T16*0.10+AK16*0.10+AL16*0.10+AO16*0.15+IF(K16&lt;='条件入力ナビ'!$B$6,5,MAX(-30,-(K16-'条件入力ナビ'!$B$6)*0.45))-AP16*0.30+IF('条件入力ナビ'!$B$12="高速も楽しむ",IF(V16="高速向き",5,-3),IF('条件入力ナビ'!$B$12="一般道中心",IF(V16="一般道向き",4,-7),0)))))</x:f>
        <x:v>46</x:v>
      </x:c>
      <x:c r="Z16" s="22" t="n">
        <x:f>RANK.EQ(Y16,$Y$2:$Y$46,0)+COUNTIF($Y$2:Y16,Y16)-1</x:f>
        <x:v>30</x:v>
      </x:c>
      <x:c r="AA16" s="22" t="n">
        <x:v>170</x:v>
      </x:c>
      <x:c r="AB16" s="22" t="n">
        <x:v>205</x:v>
      </x:c>
      <x:c r="AC16" s="22" t="n">
        <x:v>240</x:v>
      </x:c>
      <x:c r="AD16" s="22" t="n">
        <x:v>3</x:v>
      </x:c>
      <x:c r="AE16" s="22" t="str">
        <x:v>横浜市高齢者保養研修施設 ふれーゆ</x:v>
      </x:c>
      <x:c r="AF16" s="277" t="n">
        <x:v>0.75</x:v>
      </x:c>
      <x:c r="AG16" s="22" t="n">
        <x:v>1</x:v>
      </x:c>
      <x:c r="AH16" s="22" t="n">
        <x:v>4</x:v>
      </x:c>
      <x:c r="AI16" s="22" t="n">
        <x:v>5</x:v>
      </x:c>
      <x:c r="AJ16" s="22" t="str">
        <x:v>城南島海浜公園</x:v>
      </x:c>
      <x:c r="AK16" s="22" t="n">
        <x:v>90</x:v>
      </x:c>
      <x:c r="AL16" s="22" t="n">
        <x:v>91</x:v>
      </x:c>
      <x:c r="AM16" s="22" t="str">
        <x:v>昼～夕方専用</x:v>
      </x:c>
      <x:c r="AN16" s="22" t="str">
        <x:v>差替え済</x:v>
      </x:c>
      <x:c r="AO16" s="22" t="n">
        <x:v>94</x:v>
      </x:c>
      <x:c r="AP16" s="22" t="n">
        <x:v>0</x:v>
      </x:c>
      <x:c r="AQ16" s="22" t="str">
        <x:v>横浜港・丘陵</x:v>
      </x:c>
      <x:c r="AR16" s="22"/>
    </x:row>
    <x:row r="17" ht="38" customHeight="1">
      <x:c r="A17" s="22" t="str">
        <x:v>R059</x:v>
      </x:c>
      <x:c r="B17" s="22" t="str">
        <x:v>川崎港・運河から高所へ</x:v>
      </x:c>
      <x:c r="C17" s="22" t="str">
        <x:v>運河／芝生休憩／高所港湾展望</x:v>
      </x:c>
      <x:c r="D17" s="22" t="str">
        <x:v>ちどり公園</x:v>
      </x:c>
      <x:c r="E17" s="22" t="str">
        <x:v>東扇島中公園</x:v>
      </x:c>
      <x:c r="F17" s="22"/>
      <x:c r="G17" s="22" t="str">
        <x:v>川崎マリエン</x:v>
      </x:c>
      <x:c r="H17" s="22" t="str">
        <x:v>110～160分</x:v>
      </x:c>
      <x:c r="I17" s="22" t="n">
        <x:v>3</x:v>
      </x:c>
      <x:c r="J17" s="22" t="n">
        <x:v>4</x:v>
      </x:c>
      <x:c r="K17" s="22" t="n">
        <x:v>160</x:v>
      </x:c>
      <x:c r="L17" s="22" t="n">
        <x:v>76</x:v>
      </x:c>
      <x:c r="M17" s="22" t="n">
        <x:v>76</x:v>
      </x:c>
      <x:c r="N17" s="22" t="n">
        <x:v>63</x:v>
      </x:c>
      <x:c r="O17" s="22" t="n">
        <x:v>60</x:v>
      </x:c>
      <x:c r="P17" s="22" t="n">
        <x:v>85</x:v>
      </x:c>
      <x:c r="Q17" s="22" t="n">
        <x:v>88</x:v>
      </x:c>
      <x:c r="R17" s="22" t="n">
        <x:v>58</x:v>
      </x:c>
      <x:c r="S17" s="22" t="n">
        <x:v>59</x:v>
      </x:c>
      <x:c r="T17" s="22" t="n">
        <x:v>71</x:v>
      </x:c>
      <x:c r="U17" s="22" t="str">
        <x:v>ちどり公園の駐車場は18時まで。東扇島中公園と川崎マリエンは1回駐車で徒歩連結。</x:v>
      </x:c>
      <x:c r="V17" s="22" t="str">
        <x:v>一般道向き</x:v>
      </x:c>
      <x:c r="W17" s="22" t="n">
        <x:v>5</x:v>
      </x:c>
      <x:c r="X17" s="22" t="n">
        <x:v>35</x:v>
      </x:c>
      <x:c r="Y17" s="22" t="n">
        <x:f>ROUND(MAX(0,MIN(100,IF('条件入力ナビ'!$B$9="飛行機",O17,IF('条件入力ナビ'!$B$9="海・港",P17,IF('条件入力ナビ'!$B$9="工場夜景",Q17,IF('条件入力ナビ'!$B$9="静かな場所",R17,IF('条件入力ナビ'!$B$9="Story",X17,T17)))))*0.25+IF('条件入力ナビ'!$B$7="深夜",M17,IF('条件入力ナビ'!$B$7="夜",L17,IF('条件入力ナビ'!$B$7="夕方",(L17+S17)/2,S17)))*0.18+IF('条件入力ナビ'!$B$8="雨",N17,IF('条件入力ナビ'!$B$8="小雨",(N17+T17)/2,IF('条件入力ナビ'!$B$8="強風",MAX(0,T17-W17*8),T17)))*0.12+T17*0.10+AK17*0.10+AL17*0.10+AO17*0.15+IF(K17&lt;='条件入力ナビ'!$B$6,5,MAX(-30,-(K17-'条件入力ナビ'!$B$6)*0.45))-AP17*0.30+IF('条件入力ナビ'!$B$12="高速も楽しむ",IF(V17="高速向き",5,-3),IF('条件入力ナビ'!$B$12="一般道中心",IF(V17="一般道向き",4,-7),0)))))</x:f>
        <x:v>62</x:v>
      </x:c>
      <x:c r="Z17" s="22" t="n">
        <x:f>RANK.EQ(Y17,$Y$2:$Y$46,0)+COUNTIF($Y$2:Y17,Y17)-1</x:f>
        <x:v>18</x:v>
      </x:c>
      <x:c r="AA17" s="22" t="n">
        <x:v>110</x:v>
      </x:c>
      <x:c r="AB17" s="22" t="n">
        <x:v>135</x:v>
      </x:c>
      <x:c r="AC17" s="22" t="n">
        <x:v>160</x:v>
      </x:c>
      <x:c r="AD17" s="22" t="n">
        <x:v>3</x:v>
      </x:c>
      <x:c r="AE17" s="22" t="str">
        <x:v>ちどり公園</x:v>
      </x:c>
      <x:c r="AF17" s="277" t="n">
        <x:v>0.75</x:v>
      </x:c>
      <x:c r="AG17" s="22" t="n">
        <x:v>1</x:v>
      </x:c>
      <x:c r="AH17" s="22" t="n">
        <x:v>4</x:v>
      </x:c>
      <x:c r="AI17" s="22" t="n">
        <x:v>5</x:v>
      </x:c>
      <x:c r="AJ17" s="22" t="str">
        <x:v>川崎マリエン</x:v>
      </x:c>
      <x:c r="AK17" s="22" t="n">
        <x:v>91</x:v>
      </x:c>
      <x:c r="AL17" s="22" t="n">
        <x:v>94</x:v>
      </x:c>
      <x:c r="AM17" s="22" t="str">
        <x:v>昼～夕方専用</x:v>
      </x:c>
      <x:c r="AN17" s="22" t="str">
        <x:v>差替え済</x:v>
      </x:c>
      <x:c r="AO17" s="22" t="n">
        <x:v>93</x:v>
      </x:c>
      <x:c r="AP17" s="22" t="n">
        <x:v>0</x:v>
      </x:c>
      <x:c r="AQ17" s="22" t="str">
        <x:v>川崎・工場夜景</x:v>
      </x:c>
      <x:c r="AR17" s="22"/>
    </x:row>
    <x:row r="18" ht="38" customHeight="1">
      <x:c r="A18" s="22" t="str">
        <x:v>R073</x:v>
      </x:c>
      <x:c r="B18" s="22" t="str">
        <x:v>調布航空ナイト</x:v>
      </x:c>
      <x:c r="C18" s="22" t="str">
        <x:v>飛行機／航空史／24時間駐車</x:v>
      </x:c>
      <x:c r="D18" s="22" t="str">
        <x:v>武蔵野の森公園</x:v>
      </x:c>
      <x:c r="E18" s="22" t="str">
        <x:v>府中の森公園</x:v>
      </x:c>
      <x:c r="F18" s="22"/>
      <x:c r="G18" s="22" t="str">
        <x:v>桜ヶ丘公園 ゆうひの丘</x:v>
      </x:c>
      <x:c r="H18" s="22" t="str">
        <x:v>160～220分</x:v>
      </x:c>
      <x:c r="I18" s="22" t="n">
        <x:v>4</x:v>
      </x:c>
      <x:c r="J18" s="22" t="n">
        <x:v>4</x:v>
      </x:c>
      <x:c r="K18" s="22" t="n">
        <x:v>220</x:v>
      </x:c>
      <x:c r="L18" s="22" t="n">
        <x:v>74</x:v>
      </x:c>
      <x:c r="M18" s="22" t="n">
        <x:v>77</x:v>
      </x:c>
      <x:c r="N18" s="22" t="n">
        <x:v>61</x:v>
      </x:c>
      <x:c r="O18" s="22" t="n">
        <x:v>84</x:v>
      </x:c>
      <x:c r="P18" s="22" t="n">
        <x:v>59</x:v>
      </x:c>
      <x:c r="Q18" s="22" t="n">
        <x:v>61</x:v>
      </x:c>
      <x:c r="R18" s="22" t="n">
        <x:v>54</x:v>
      </x:c>
      <x:c r="S18" s="22" t="n">
        <x:v>53</x:v>
      </x:c>
      <x:c r="T18" s="22" t="n">
        <x:v>65</x:v>
      </x:c>
      <x:c r="U18" s="22" t="str">
        <x:v>武蔵野の森・府中の森は駐車場24時間。北南プロムナードは16:30閉鎖、ゆうひの丘は20時閉鎖。</x:v>
      </x:c>
      <x:c r="V18" s="22" t="str">
        <x:v>一般道向き</x:v>
      </x:c>
      <x:c r="W18" s="22" t="n">
        <x:v>2</x:v>
      </x:c>
      <x:c r="X18" s="22" t="n">
        <x:v>35</x:v>
      </x:c>
      <x:c r="Y18" s="22" t="n">
        <x:f>ROUND(MAX(0,MIN(100,IF('条件入力ナビ'!$B$9="飛行機",O18,IF('条件入力ナビ'!$B$9="海・港",P18,IF('条件入力ナビ'!$B$9="工場夜景",Q18,IF('条件入力ナビ'!$B$9="静かな場所",R18,IF('条件入力ナビ'!$B$9="Story",X18,T18)))))*0.25+IF('条件入力ナビ'!$B$7="深夜",M18,IF('条件入力ナビ'!$B$7="夜",L18,IF('条件入力ナビ'!$B$7="夕方",(L18+S18)/2,S18)))*0.18+IF('条件入力ナビ'!$B$8="雨",N18,IF('条件入力ナビ'!$B$8="小雨",(N18+T18)/2,IF('条件入力ナビ'!$B$8="強風",MAX(0,T18-W18*8),T18)))*0.12+T18*0.10+AK18*0.10+AL18*0.10+AO18*0.15+IF(K18&lt;='条件入力ナビ'!$B$6,5,MAX(-30,-(K18-'条件入力ナビ'!$B$6)*0.45))-AP18*0.30+IF('条件入力ナビ'!$B$12="高速も楽しむ",IF(V18="高速向き",5,-3),IF('条件入力ナビ'!$B$12="一般道中心",IF(V18="一般道向き",4,-7),0)))))</x:f>
        <x:v>44</x:v>
      </x:c>
      <x:c r="Z18" s="22" t="n">
        <x:f>RANK.EQ(Y18,$Y$2:$Y$46,0)+COUNTIF($Y$2:Y18,Y18)-1</x:f>
        <x:v>33</x:v>
      </x:c>
      <x:c r="AA18" s="22" t="n">
        <x:v>160</x:v>
      </x:c>
      <x:c r="AB18" s="22" t="n">
        <x:v>190</x:v>
      </x:c>
      <x:c r="AC18" s="22" t="n">
        <x:v>220</x:v>
      </x:c>
      <x:c r="AD18" s="22" t="n">
        <x:v>3</x:v>
      </x:c>
      <x:c r="AE18" s="22" t="str">
        <x:v>武蔵野の森公園</x:v>
      </x:c>
      <x:c r="AF18" s="277" t="n">
        <x:v>0.6875</x:v>
      </x:c>
      <x:c r="AG18" s="22" t="n">
        <x:v>1</x:v>
      </x:c>
      <x:c r="AH18" s="22" t="n">
        <x:v>4</x:v>
      </x:c>
      <x:c r="AI18" s="22" t="n">
        <x:v>2</x:v>
      </x:c>
      <x:c r="AJ18" s="22" t="str">
        <x:v>羽田空港 第3ターミナル展望デッキ</x:v>
      </x:c>
      <x:c r="AK18" s="22" t="n">
        <x:v>84</x:v>
      </x:c>
      <x:c r="AL18" s="22" t="n">
        <x:v>82</x:v>
      </x:c>
      <x:c r="AM18" s="22" t="str">
        <x:v>通常</x:v>
      </x:c>
      <x:c r="AN18" s="22" t="str">
        <x:v>維持</x:v>
      </x:c>
      <x:c r="AO18" s="22" t="n">
        <x:v>91</x:v>
      </x:c>
      <x:c r="AP18" s="22" t="n">
        <x:v>0</x:v>
      </x:c>
      <x:c r="AQ18" s="22" t="str">
        <x:v>羽田・航空</x:v>
      </x:c>
      <x:c r="AR18" s="22"/>
    </x:row>
    <x:row r="19" ht="38" customHeight="1">
      <x:c r="A19" s="22" t="str">
        <x:v>R080</x:v>
      </x:c>
      <x:c r="B19" s="22" t="str">
        <x:v>深大寺から調布飛行場へ</x:v>
      </x:c>
      <x:c r="C19" s="22" t="str">
        <x:v>寺社Story／植物／飛行場</x:v>
      </x:c>
      <x:c r="D19" s="22" t="str">
        <x:v>神代植物公園・深大寺</x:v>
      </x:c>
      <x:c r="E19" s="22" t="str">
        <x:v>武蔵野の森公園</x:v>
      </x:c>
      <x:c r="F19" s="22"/>
      <x:c r="G19" s="22" t="str">
        <x:v>府中の森公園</x:v>
      </x:c>
      <x:c r="H19" s="22" t="str">
        <x:v>145～200分</x:v>
      </x:c>
      <x:c r="I19" s="22" t="n">
        <x:v>2</x:v>
      </x:c>
      <x:c r="J19" s="22" t="n">
        <x:v>4</x:v>
      </x:c>
      <x:c r="K19" s="22" t="n">
        <x:v>200</x:v>
      </x:c>
      <x:c r="L19" s="22" t="n">
        <x:v>66</x:v>
      </x:c>
      <x:c r="M19" s="22" t="n">
        <x:v>65</x:v>
      </x:c>
      <x:c r="N19" s="22" t="n">
        <x:v>57</x:v>
      </x:c>
      <x:c r="O19" s="22" t="n">
        <x:v>54</x:v>
      </x:c>
      <x:c r="P19" s="22" t="n">
        <x:v>54</x:v>
      </x:c>
      <x:c r="Q19" s="22" t="n">
        <x:v>54</x:v>
      </x:c>
      <x:c r="R19" s="22" t="n">
        <x:v>63</x:v>
      </x:c>
      <x:c r="S19" s="22" t="n">
        <x:v>66</x:v>
      </x:c>
      <x:c r="T19" s="22" t="n">
        <x:v>60</x:v>
      </x:c>
      <x:c r="U19" s="22" t="str">
        <x:v>昼～夕方専用。植物園閉園後は深大寺門前のみとし、武蔵野の森公園ではプロムナード16:30閉鎖に注意。</x:v>
      </x:c>
      <x:c r="V19" s="22" t="str">
        <x:v>一般道向き</x:v>
      </x:c>
      <x:c r="W19" s="22" t="n">
        <x:v>2</x:v>
      </x:c>
      <x:c r="X19" s="22" t="n">
        <x:v>70</x:v>
      </x:c>
      <x:c r="Y19" s="22" t="n">
        <x:f>ROUND(MAX(0,MIN(100,IF('条件入力ナビ'!$B$9="飛行機",O19,IF('条件入力ナビ'!$B$9="海・港",P19,IF('条件入力ナビ'!$B$9="工場夜景",Q19,IF('条件入力ナビ'!$B$9="静かな場所",R19,IF('条件入力ナビ'!$B$9="Story",X19,T19)))))*0.25+IF('条件入力ナビ'!$B$7="深夜",M19,IF('条件入力ナビ'!$B$7="夜",L19,IF('条件入力ナビ'!$B$7="夕方",(L19+S19)/2,S19)))*0.18+IF('条件入力ナビ'!$B$8="雨",N19,IF('条件入力ナビ'!$B$8="小雨",(N19+T19)/2,IF('条件入力ナビ'!$B$8="強風",MAX(0,T19-W19*8),T19)))*0.12+T19*0.10+AK19*0.10+AL19*0.10+AO19*0.15+IF(K19&lt;='条件入力ナビ'!$B$6,5,MAX(-30,-(K19-'条件入力ナビ'!$B$6)*0.45))-AP19*0.30+IF('条件入力ナビ'!$B$12="高速も楽しむ",IF(V19="高速向き",5,-3),IF('条件入力ナビ'!$B$12="一般道中心",IF(V19="一般道向き",4,-7),0)))))</x:f>
        <x:v>41</x:v>
      </x:c>
      <x:c r="Z19" s="22" t="n">
        <x:f>RANK.EQ(Y19,$Y$2:$Y$46,0)+COUNTIF($Y$2:Y19,Y19)-1</x:f>
        <x:v>36</x:v>
      </x:c>
      <x:c r="AA19" s="22" t="n">
        <x:v>145</x:v>
      </x:c>
      <x:c r="AB19" s="22" t="n">
        <x:v>172</x:v>
      </x:c>
      <x:c r="AC19" s="22" t="n">
        <x:v>200</x:v>
      </x:c>
      <x:c r="AD19" s="22" t="n">
        <x:v>3</x:v>
      </x:c>
      <x:c r="AE19" s="22" t="str">
        <x:v>武蔵野の森公園</x:v>
      </x:c>
      <x:c r="AF19" s="277" t="n">
        <x:v>0.6875</x:v>
      </x:c>
      <x:c r="AG19" s="22" t="n">
        <x:v>2</x:v>
      </x:c>
      <x:c r="AH19" s="22" t="n">
        <x:v>4</x:v>
      </x:c>
      <x:c r="AI19" s="22" t="n">
        <x:v>2</x:v>
      </x:c>
      <x:c r="AJ19" s="22" t="str">
        <x:v>羽田空港 第3ターミナル展望デッキ</x:v>
      </x:c>
      <x:c r="AK19" s="22" t="n">
        <x:v>87</x:v>
      </x:c>
      <x:c r="AL19" s="22" t="n">
        <x:v>88</x:v>
      </x:c>
      <x:c r="AM19" s="22" t="str">
        <x:v>昼専用</x:v>
      </x:c>
      <x:c r="AN19" s="22" t="str">
        <x:v>差替え済</x:v>
      </x:c>
      <x:c r="AO19" s="22" t="n">
        <x:v>91</x:v>
      </x:c>
      <x:c r="AP19" s="22" t="n">
        <x:v>0</x:v>
      </x:c>
      <x:c r="AQ19" s="22" t="str">
        <x:v>羽田・航空</x:v>
      </x:c>
      <x:c r="AR19" s="22"/>
    </x:row>
    <x:row r="20" ht="38" customHeight="1">
      <x:c r="A20" s="22" t="str">
        <x:v>R089</x:v>
      </x:c>
      <x:c r="B20" s="22" t="str">
        <x:v>根岸湾工業景観</x:v>
      </x:c>
      <x:c r="C20" s="22" t="str">
        <x:v>工業湾岸／高台／港</x:v>
      </x:c>
      <x:c r="D20" s="22" t="str">
        <x:v>磯子海づり施設</x:v>
      </x:c>
      <x:c r="E20" s="22" t="str">
        <x:v>本牧山頂公園</x:v>
      </x:c>
      <x:c r="F20" s="22"/>
      <x:c r="G20" s="22" t="str">
        <x:v>横浜港シンボルタワー</x:v>
      </x:c>
      <x:c r="H20" s="22" t="str">
        <x:v>160～220分</x:v>
      </x:c>
      <x:c r="I20" s="22" t="n">
        <x:v>3</x:v>
      </x:c>
      <x:c r="J20" s="22" t="n">
        <x:v>4</x:v>
      </x:c>
      <x:c r="K20" s="22" t="n">
        <x:v>220</x:v>
      </x:c>
      <x:c r="L20" s="22" t="n">
        <x:v>64</x:v>
      </x:c>
      <x:c r="M20" s="22" t="n">
        <x:v>66</x:v>
      </x:c>
      <x:c r="N20" s="22" t="n">
        <x:v>55</x:v>
      </x:c>
      <x:c r="O20" s="22" t="n">
        <x:v>52</x:v>
      </x:c>
      <x:c r="P20" s="22" t="n">
        <x:v>77</x:v>
      </x:c>
      <x:c r="Q20" s="22" t="n">
        <x:v>81</x:v>
      </x:c>
      <x:c r="R20" s="22" t="n">
        <x:v>49</x:v>
      </x:c>
      <x:c r="S20" s="22" t="n">
        <x:v>52</x:v>
      </x:c>
      <x:c r="T20" s="22" t="n">
        <x:v>62</x:v>
      </x:c>
      <x:c r="U20" s="22" t="str">
        <x:v>各施設の閉場時刻を確認。工場岸壁・私道へ入らない。</x:v>
      </x:c>
      <x:c r="V20" s="22" t="str">
        <x:v>一般道向き</x:v>
      </x:c>
      <x:c r="W20" s="22" t="n">
        <x:v>5</x:v>
      </x:c>
      <x:c r="X20" s="22" t="n">
        <x:v>35</x:v>
      </x:c>
      <x:c r="Y20" s="22" t="n">
        <x:f>ROUND(MAX(0,MIN(100,IF('条件入力ナビ'!$B$9="飛行機",O20,IF('条件入力ナビ'!$B$9="海・港",P20,IF('条件入力ナビ'!$B$9="工場夜景",Q20,IF('条件入力ナビ'!$B$9="静かな場所",R20,IF('条件入力ナビ'!$B$9="Story",X20,T20)))))*0.25+IF('条件入力ナビ'!$B$7="深夜",M20,IF('条件入力ナビ'!$B$7="夜",L20,IF('条件入力ナビ'!$B$7="夕方",(L20+S20)/2,S20)))*0.18+IF('条件入力ナビ'!$B$8="雨",N20,IF('条件入力ナビ'!$B$8="小雨",(N20+T20)/2,IF('条件入力ナビ'!$B$8="強風",MAX(0,T20-W20*8),T20)))*0.12+T20*0.10+AK20*0.10+AL20*0.10+AO20*0.15+IF(K20&lt;='条件入力ナビ'!$B$6,5,MAX(-30,-(K20-'条件入力ナビ'!$B$6)*0.45))-AP20*0.30+IF('条件入力ナビ'!$B$12="高速も楽しむ",IF(V20="高速向き",5,-3),IF('条件入力ナビ'!$B$12="一般道中心",IF(V20="一般道向き",4,-7),0)))))</x:f>
        <x:v>36</x:v>
      </x:c>
      <x:c r="Z20" s="22" t="n">
        <x:f>RANK.EQ(Y20,$Y$2:$Y$46,0)+COUNTIF($Y$2:Y20,Y20)-1</x:f>
        <x:v>40</x:v>
      </x:c>
      <x:c r="AA20" s="22" t="n">
        <x:v>160</x:v>
      </x:c>
      <x:c r="AB20" s="22" t="n">
        <x:v>190</x:v>
      </x:c>
      <x:c r="AC20" s="22" t="n">
        <x:v>220</x:v>
      </x:c>
      <x:c r="AD20" s="22" t="n">
        <x:v>3</x:v>
      </x:c>
      <x:c r="AE20" s="22" t="str">
        <x:v>磯子海づり施設</x:v>
      </x:c>
      <x:c r="AF20" s="277" t="n">
        <x:v>0.7916666666666666</x:v>
      </x:c>
      <x:c r="AG20" s="22" t="n">
        <x:v>1</x:v>
      </x:c>
      <x:c r="AH20" s="22" t="n">
        <x:v>4</x:v>
      </x:c>
      <x:c r="AI20" s="22" t="n">
        <x:v>5</x:v>
      </x:c>
      <x:c r="AJ20" s="22" t="str">
        <x:v>城南島海浜公園</x:v>
      </x:c>
      <x:c r="AK20" s="22" t="n">
        <x:v>78</x:v>
      </x:c>
      <x:c r="AL20" s="22" t="n">
        <x:v>81</x:v>
      </x:c>
      <x:c r="AM20" s="22" t="str">
        <x:v>通常</x:v>
      </x:c>
      <x:c r="AN20" s="22" t="str">
        <x:v>維持</x:v>
      </x:c>
      <x:c r="AO20" s="22" t="n">
        <x:v>68</x:v>
      </x:c>
      <x:c r="AP20" s="22" t="n">
        <x:v>3</x:v>
      </x:c>
      <x:c r="AQ20" s="22" t="str">
        <x:v>川崎・工場夜景</x:v>
      </x:c>
      <x:c r="AR20" s="22"/>
    </x:row>
    <x:row r="21" ht="38" customHeight="1">
      <x:c r="A21" s="22" t="str">
        <x:v>R093</x:v>
      </x:c>
      <x:c r="B21" s="22" t="str">
        <x:v>東京北東24時間公園線</x:v>
      </x:c>
      <x:c r="C21" s="22" t="str">
        <x:v>遺跡／池／夜間</x:v>
      </x:c>
      <x:c r="D21" s="22" t="str">
        <x:v>城北中央公園</x:v>
      </x:c>
      <x:c r="E21" s="22" t="str">
        <x:v>舎人公園</x:v>
      </x:c>
      <x:c r="F21" s="22"/>
      <x:c r="G21" s="22" t="str">
        <x:v>東綾瀬公園</x:v>
      </x:c>
      <x:c r="H21" s="22" t="str">
        <x:v>150～210分</x:v>
      </x:c>
      <x:c r="I21" s="22" t="n">
        <x:v>4</x:v>
      </x:c>
      <x:c r="J21" s="22" t="n">
        <x:v>4</x:v>
      </x:c>
      <x:c r="K21" s="22" t="n">
        <x:v>210</x:v>
      </x:c>
      <x:c r="L21" s="22" t="n">
        <x:v>71</x:v>
      </x:c>
      <x:c r="M21" s="22" t="n">
        <x:v>74</x:v>
      </x:c>
      <x:c r="N21" s="22" t="n">
        <x:v>59</x:v>
      </x:c>
      <x:c r="O21" s="22" t="n">
        <x:v>56</x:v>
      </x:c>
      <x:c r="P21" s="22" t="n">
        <x:v>57</x:v>
      </x:c>
      <x:c r="Q21" s="22" t="n">
        <x:v>58</x:v>
      </x:c>
      <x:c r="R21" s="22" t="n">
        <x:v>51</x:v>
      </x:c>
      <x:c r="S21" s="22" t="n">
        <x:v>45</x:v>
      </x:c>
      <x:c r="T21" s="22" t="n">
        <x:v>59</x:v>
      </x:c>
      <x:c r="U21" s="22" t="str">
        <x:v>住宅地への騒音配慮。イベント時の満車は次地点へ進む。</x:v>
      </x:c>
      <x:c r="V21" s="22" t="str">
        <x:v>一般道向き</x:v>
      </x:c>
      <x:c r="W21" s="22" t="n">
        <x:v>2</x:v>
      </x:c>
      <x:c r="X21" s="22" t="n">
        <x:v>35</x:v>
      </x:c>
      <x:c r="Y21" s="22" t="n">
        <x:f>ROUND(MAX(0,MIN(100,IF('条件入力ナビ'!$B$9="飛行機",O21,IF('条件入力ナビ'!$B$9="海・港",P21,IF('条件入力ナビ'!$B$9="工場夜景",Q21,IF('条件入力ナビ'!$B$9="静かな場所",R21,IF('条件入力ナビ'!$B$9="Story",X21,T21)))))*0.25+IF('条件入力ナビ'!$B$7="深夜",M21,IF('条件入力ナビ'!$B$7="夜",L21,IF('条件入力ナビ'!$B$7="夕方",(L21+S21)/2,S21)))*0.18+IF('条件入力ナビ'!$B$8="雨",N21,IF('条件入力ナビ'!$B$8="小雨",(N21+T21)/2,IF('条件入力ナビ'!$B$8="強風",MAX(0,T21-W21*8),T21)))*0.12+T21*0.10+AK21*0.10+AL21*0.10+AO21*0.15+IF(K21&lt;='条件入力ナビ'!$B$6,5,MAX(-30,-(K21-'条件入力ナビ'!$B$6)*0.45))-AP21*0.30+IF('条件入力ナビ'!$B$12="高速も楽しむ",IF(V21="高速向き",5,-3),IF('条件入力ナビ'!$B$12="一般道中心",IF(V21="一般道向き",4,-7),0)))))</x:f>
        <x:v>38</x:v>
      </x:c>
      <x:c r="Z21" s="22" t="n">
        <x:f>RANK.EQ(Y21,$Y$2:$Y$46,0)+COUNTIF($Y$2:Y21,Y21)-1</x:f>
        <x:v>38</x:v>
      </x:c>
      <x:c r="AA21" s="22" t="n">
        <x:v>150</x:v>
      </x:c>
      <x:c r="AB21" s="22" t="n">
        <x:v>180</x:v>
      </x:c>
      <x:c r="AC21" s="22" t="n">
        <x:v>210</x:v>
      </x:c>
      <x:c r="AD21" s="22" t="n">
        <x:v>3</x:v>
      </x:c>
      <x:c r="AE21" s="22" t="str"/>
      <x:c r="AF21" s="277"/>
      <x:c r="AG21" s="22"/>
      <x:c r="AH21" s="22" t="n">
        <x:v>4</x:v>
      </x:c>
      <x:c r="AI21" s="22" t="n">
        <x:v>2</x:v>
      </x:c>
      <x:c r="AJ21" s="22" t="str">
        <x:v>平和の森公園</x:v>
      </x:c>
      <x:c r="AK21" s="22" t="n">
        <x:v>79</x:v>
      </x:c>
      <x:c r="AL21" s="22" t="n">
        <x:v>78</x:v>
      </x:c>
      <x:c r="AM21" s="22" t="str">
        <x:v>通常</x:v>
      </x:c>
      <x:c r="AN21" s="22" t="str">
        <x:v>維持</x:v>
      </x:c>
      <x:c r="AO21" s="22" t="n">
        <x:v>79</x:v>
      </x:c>
      <x:c r="AP21" s="22" t="n">
        <x:v>0</x:v>
      </x:c>
      <x:c r="AQ21" s="22" t="str">
        <x:v>Story・文化</x:v>
      </x:c>
      <x:c r="AR21" s="22"/>
    </x:row>
    <x:row r="22" ht="38" customHeight="1">
      <x:c r="A22" s="22" t="str">
        <x:v>R097</x:v>
      </x:c>
      <x:c r="B22" s="22" t="str">
        <x:v>浦安ベイ・24時間海辺線</x:v>
      </x:c>
      <x:c r="C22" s="22" t="str">
        <x:v>海／芝生／都市夜景</x:v>
      </x:c>
      <x:c r="D22" s="22" t="str">
        <x:v>高洲海浜公園</x:v>
      </x:c>
      <x:c r="E22" s="22" t="str">
        <x:v>浦安市総合公園</x:v>
      </x:c>
      <x:c r="F22" s="22" t="str">
        <x:v>葛西臨海公園</x:v>
      </x:c>
      <x:c r="G22" s="22" t="str">
        <x:v>潮風公園</x:v>
      </x:c>
      <x:c r="H22" s="22" t="str">
        <x:v>150～220分</x:v>
      </x:c>
      <x:c r="I22" s="22" t="n">
        <x:v>5</x:v>
      </x:c>
      <x:c r="J22" s="22" t="n">
        <x:v>4</x:v>
      </x:c>
      <x:c r="K22" s="22" t="n">
        <x:v>220</x:v>
      </x:c>
      <x:c r="L22" s="22" t="n">
        <x:v>77</x:v>
      </x:c>
      <x:c r="M22" s="22" t="n">
        <x:v>82</x:v>
      </x:c>
      <x:c r="N22" s="22" t="n">
        <x:v>63</x:v>
      </x:c>
      <x:c r="O22" s="22" t="n">
        <x:v>61</x:v>
      </x:c>
      <x:c r="P22" s="22" t="n">
        <x:v>86</x:v>
      </x:c>
      <x:c r="Q22" s="22" t="n">
        <x:v>64</x:v>
      </x:c>
      <x:c r="R22" s="22" t="n">
        <x:v>52</x:v>
      </x:c>
      <x:c r="S22" s="22" t="n">
        <x:v>54</x:v>
      </x:c>
      <x:c r="T22" s="22" t="n">
        <x:v>67</x:v>
      </x:c>
      <x:c r="U22" s="22" t="str">
        <x:v>高洲と浦安総合は終日駐車可能。海風が強い日は各地点の滞在を短縮。</x:v>
      </x:c>
      <x:c r="V22" s="22" t="str">
        <x:v>一般道向き</x:v>
      </x:c>
      <x:c r="W22" s="22" t="n">
        <x:v>5</x:v>
      </x:c>
      <x:c r="X22" s="22" t="n">
        <x:v>35</x:v>
      </x:c>
      <x:c r="Y22" s="22" t="n">
        <x:f>ROUND(MAX(0,MIN(100,IF('条件入力ナビ'!$B$9="飛行機",O22,IF('条件入力ナビ'!$B$9="海・港",P22,IF('条件入力ナビ'!$B$9="工場夜景",Q22,IF('条件入力ナビ'!$B$9="静かな場所",R22,IF('条件入力ナビ'!$B$9="Story",X22,T22)))))*0.25+IF('条件入力ナビ'!$B$7="深夜",M22,IF('条件入力ナビ'!$B$7="夜",L22,IF('条件入力ナビ'!$B$7="夕方",(L22+S22)/2,S22)))*0.18+IF('条件入力ナビ'!$B$8="雨",N22,IF('条件入力ナビ'!$B$8="小雨",(N22+T22)/2,IF('条件入力ナビ'!$B$8="強風",MAX(0,T22-W22*8),T22)))*0.12+T22*0.10+AK22*0.10+AL22*0.10+AO22*0.15+IF(K22&lt;='条件入力ナビ'!$B$6,5,MAX(-30,-(K22-'条件入力ナビ'!$B$6)*0.45))-AP22*0.30+IF('条件入力ナビ'!$B$12="高速も楽しむ",IF(V22="高速向き",5,-3),IF('条件入力ナビ'!$B$12="一般道中心",IF(V22="一般道向き",4,-7),0)))))</x:f>
        <x:v>44</x:v>
      </x:c>
      <x:c r="Z22" s="22" t="n">
        <x:f>RANK.EQ(Y22,$Y$2:$Y$46,0)+COUNTIF($Y$2:Y22,Y22)-1</x:f>
        <x:v>34</x:v>
      </x:c>
      <x:c r="AA22" s="22" t="n">
        <x:v>150</x:v>
      </x:c>
      <x:c r="AB22" s="22" t="n">
        <x:v>185</x:v>
      </x:c>
      <x:c r="AC22" s="22" t="n">
        <x:v>220</x:v>
      </x:c>
      <x:c r="AD22" s="22" t="n">
        <x:v>4</x:v>
      </x:c>
      <x:c r="AE22" s="22" t="str"/>
      <x:c r="AF22" s="277"/>
      <x:c r="AG22" s="22"/>
      <x:c r="AH22" s="22" t="n">
        <x:v>4</x:v>
      </x:c>
      <x:c r="AI22" s="22" t="n">
        <x:v>5</x:v>
      </x:c>
      <x:c r="AJ22" s="22" t="str">
        <x:v>城南島海浜公園</x:v>
      </x:c>
      <x:c r="AK22" s="22" t="n">
        <x:v>84</x:v>
      </x:c>
      <x:c r="AL22" s="22" t="n">
        <x:v>88</x:v>
      </x:c>
      <x:c r="AM22" s="22" t="str">
        <x:v>通常</x:v>
      </x:c>
      <x:c r="AN22" s="22" t="str">
        <x:v>維持</x:v>
      </x:c>
      <x:c r="AO22" s="22" t="n">
        <x:v>77</x:v>
      </x:c>
      <x:c r="AP22" s="22" t="n">
        <x:v>0</x:v>
      </x:c>
      <x:c r="AQ22" s="22" t="str">
        <x:v>東京港・水辺</x:v>
      </x:c>
      <x:c r="AR22" s="22"/>
    </x:row>
    <x:row r="23" ht="38" customHeight="1">
      <x:c r="A23" s="22" t="str">
        <x:v>R113</x:v>
      </x:c>
      <x:c r="B23" s="22" t="str">
        <x:v>川崎丘陵・古代と現代</x:v>
      </x:c>
      <x:c r="C23" s="22" t="str">
        <x:v>遺跡／森林／展望</x:v>
      </x:c>
      <x:c r="D23" s="22" t="str">
        <x:v>県立東高根森林公園</x:v>
      </x:c>
      <x:c r="E23" s="22" t="str">
        <x:v>生田緑地・枡形山展望台</x:v>
      </x:c>
      <x:c r="F23" s="22"/>
      <x:c r="G23" s="22" t="str">
        <x:v>夢見ヶ崎動物公園</x:v>
      </x:c>
      <x:c r="H23" s="22" t="str">
        <x:v>150～220分</x:v>
      </x:c>
      <x:c r="I23" s="22" t="n">
        <x:v>3</x:v>
      </x:c>
      <x:c r="J23" s="22" t="n">
        <x:v>4</x:v>
      </x:c>
      <x:c r="K23" s="22" t="n">
        <x:v>220</x:v>
      </x:c>
      <x:c r="L23" s="22" t="n">
        <x:v>64</x:v>
      </x:c>
      <x:c r="M23" s="22" t="n">
        <x:v>66</x:v>
      </x:c>
      <x:c r="N23" s="22" t="n">
        <x:v>54</x:v>
      </x:c>
      <x:c r="O23" s="22" t="n">
        <x:v>52</x:v>
      </x:c>
      <x:c r="P23" s="22" t="n">
        <x:v>52</x:v>
      </x:c>
      <x:c r="Q23" s="22" t="n">
        <x:v>52</x:v>
      </x:c>
      <x:c r="R23" s="22" t="n">
        <x:v>74</x:v>
      </x:c>
      <x:c r="S23" s="22" t="n">
        <x:v>51</x:v>
      </x:c>
      <x:c r="T23" s="22" t="n">
        <x:v>58</x:v>
      </x:c>
      <x:c r="U23" s="22" t="str">
        <x:v>東高根19時閉場。日没前に枡形山へ上がり、最後は近距離夜景。</x:v>
      </x:c>
      <x:c r="V23" s="22" t="str">
        <x:v>一般道向き</x:v>
      </x:c>
      <x:c r="W23" s="22" t="n">
        <x:v>2</x:v>
      </x:c>
      <x:c r="X23" s="22" t="n">
        <x:v>35</x:v>
      </x:c>
      <x:c r="Y23" s="22" t="n">
        <x:f>ROUND(MAX(0,MIN(100,IF('条件入力ナビ'!$B$9="飛行機",O23,IF('条件入力ナビ'!$B$9="海・港",P23,IF('条件入力ナビ'!$B$9="工場夜景",Q23,IF('条件入力ナビ'!$B$9="静かな場所",R23,IF('条件入力ナビ'!$B$9="Story",X23,T23)))))*0.25+IF('条件入力ナビ'!$B$7="深夜",M23,IF('条件入力ナビ'!$B$7="夜",L23,IF('条件入力ナビ'!$B$7="夕方",(L23+S23)/2,S23)))*0.18+IF('条件入力ナビ'!$B$8="雨",N23,IF('条件入力ナビ'!$B$8="小雨",(N23+T23)/2,IF('条件入力ナビ'!$B$8="強風",MAX(0,T23-W23*8),T23)))*0.12+T23*0.10+AK23*0.10+AL23*0.10+AO23*0.15+IF(K23&lt;='条件入力ナビ'!$B$6,5,MAX(-30,-(K23-'条件入力ナビ'!$B$6)*0.45))-AP23*0.30+IF('条件入力ナビ'!$B$12="高速も楽しむ",IF(V23="高速向き",5,-3),IF('条件入力ナビ'!$B$12="一般道中心",IF(V23="一般道向き",4,-7),0)))))</x:f>
        <x:v>34</x:v>
      </x:c>
      <x:c r="Z23" s="22" t="n">
        <x:f>RANK.EQ(Y23,$Y$2:$Y$46,0)+COUNTIF($Y$2:Y23,Y23)-1</x:f>
        <x:v>42</x:v>
      </x:c>
      <x:c r="AA23" s="22" t="n">
        <x:v>150</x:v>
      </x:c>
      <x:c r="AB23" s="22" t="n">
        <x:v>185</x:v>
      </x:c>
      <x:c r="AC23" s="22" t="n">
        <x:v>220</x:v>
      </x:c>
      <x:c r="AD23" s="22" t="n">
        <x:v>3</x:v>
      </x:c>
      <x:c r="AE23" s="22" t="str">
        <x:v>県立東高根森林公園</x:v>
      </x:c>
      <x:c r="AF23" s="277" t="n">
        <x:v>0.7916666666666666</x:v>
      </x:c>
      <x:c r="AG23" s="22" t="n">
        <x:v>1</x:v>
      </x:c>
      <x:c r="AH23" s="22" t="n">
        <x:v>4</x:v>
      </x:c>
      <x:c r="AI23" s="22" t="n">
        <x:v>2</x:v>
      </x:c>
      <x:c r="AJ23" s="22" t="str">
        <x:v>平和の森公園</x:v>
      </x:c>
      <x:c r="AK23" s="22" t="n">
        <x:v>74</x:v>
      </x:c>
      <x:c r="AL23" s="22" t="n">
        <x:v>74</x:v>
      </x:c>
      <x:c r="AM23" s="22" t="str">
        <x:v>通常</x:v>
      </x:c>
      <x:c r="AN23" s="22" t="str">
        <x:v>維持</x:v>
      </x:c>
      <x:c r="AO23" s="22" t="n">
        <x:v>71</x:v>
      </x:c>
      <x:c r="AP23" s="22" t="n">
        <x:v>0</x:v>
      </x:c>
      <x:c r="AQ23" s="22" t="str">
        <x:v>森林・高台</x:v>
      </x:c>
      <x:c r="AR23" s="22"/>
    </x:row>
    <x:row r="24" ht="38" customHeight="1">
      <x:c r="A24" s="22" t="str">
        <x:v>R119</x:v>
      </x:c>
      <x:c r="B24" s="22" t="str">
        <x:v>横浜・庭園と丘陵三層</x:v>
      </x:c>
      <x:c r="C24" s="22" t="str">
        <x:v>日本庭園／競馬場跡／丘陵</x:v>
      </x:c>
      <x:c r="D24" s="22" t="str">
        <x:v>三溪園</x:v>
      </x:c>
      <x:c r="E24" s="22" t="str">
        <x:v>根岸森林公園</x:v>
      </x:c>
      <x:c r="F24" s="22"/>
      <x:c r="G24" s="22" t="str">
        <x:v>金沢自然公園</x:v>
      </x:c>
      <x:c r="H24" s="22" t="str">
        <x:v>180～250分</x:v>
      </x:c>
      <x:c r="I24" s="22" t="n">
        <x:v>1</x:v>
      </x:c>
      <x:c r="J24" s="22" t="n">
        <x:v>4</x:v>
      </x:c>
      <x:c r="K24" s="22" t="n">
        <x:v>250</x:v>
      </x:c>
      <x:c r="L24" s="22" t="n">
        <x:v>60</x:v>
      </x:c>
      <x:c r="M24" s="22" t="n">
        <x:v>58</x:v>
      </x:c>
      <x:c r="N24" s="22" t="n">
        <x:v>54</x:v>
      </x:c>
      <x:c r="O24" s="22" t="n">
        <x:v>50</x:v>
      </x:c>
      <x:c r="P24" s="22" t="n">
        <x:v>50</x:v>
      </x:c>
      <x:c r="Q24" s="22" t="n">
        <x:v>49</x:v>
      </x:c>
      <x:c r="R24" s="22" t="n">
        <x:v>78</x:v>
      </x:c>
      <x:c r="S24" s="22" t="n">
        <x:v>55</x:v>
      </x:c>
      <x:c r="T24" s="22" t="n">
        <x:v>57</x:v>
      </x:c>
      <x:c r="U24" s="22" t="str">
        <x:v>午前開始の昼専用。三溪園の最終入園16:30と金沢自然公園の入庫締切を優先。</x:v>
      </x:c>
      <x:c r="V24" s="22" t="str">
        <x:v>一般道向き</x:v>
      </x:c>
      <x:c r="W24" s="22" t="n">
        <x:v>2</x:v>
      </x:c>
      <x:c r="X24" s="22" t="n">
        <x:v>35</x:v>
      </x:c>
      <x:c r="Y24" s="22" t="n">
        <x:f>ROUND(MAX(0,MIN(100,IF('条件入力ナビ'!$B$9="飛行機",O24,IF('条件入力ナビ'!$B$9="海・港",P24,IF('条件入力ナビ'!$B$9="工場夜景",Q24,IF('条件入力ナビ'!$B$9="静かな場所",R24,IF('条件入力ナビ'!$B$9="Story",X24,T24)))))*0.25+IF('条件入力ナビ'!$B$7="深夜",M24,IF('条件入力ナビ'!$B$7="夜",L24,IF('条件入力ナビ'!$B$7="夕方",(L24+S24)/2,S24)))*0.18+IF('条件入力ナビ'!$B$8="雨",N24,IF('条件入力ナビ'!$B$8="小雨",(N24+T24)/2,IF('条件入力ナビ'!$B$8="強風",MAX(0,T24-W24*8),T24)))*0.12+T24*0.10+AK24*0.10+AL24*0.10+AO24*0.15+IF(K24&lt;='条件入力ナビ'!$B$6,5,MAX(-30,-(K24-'条件入力ナビ'!$B$6)*0.45))-AP24*0.30+IF('条件入力ナビ'!$B$12="高速も楽しむ",IF(V24="高速向き",5,-3),IF('条件入力ナビ'!$B$12="一般道中心",IF(V24="一般道向き",4,-7),0)))))</x:f>
        <x:v>38</x:v>
      </x:c>
      <x:c r="Z24" s="22" t="n">
        <x:f>RANK.EQ(Y24,$Y$2:$Y$46,0)+COUNTIF($Y$2:Y24,Y24)-1</x:f>
        <x:v>39</x:v>
      </x:c>
      <x:c r="AA24" s="22" t="n">
        <x:v>180</x:v>
      </x:c>
      <x:c r="AB24" s="22" t="n">
        <x:v>215</x:v>
      </x:c>
      <x:c r="AC24" s="22" t="n">
        <x:v>250</x:v>
      </x:c>
      <x:c r="AD24" s="22" t="n">
        <x:v>3</x:v>
      </x:c>
      <x:c r="AE24" s="22" t="str">
        <x:v>三溪園</x:v>
      </x:c>
      <x:c r="AF24" s="277" t="n">
        <x:v>0.6875</x:v>
      </x:c>
      <x:c r="AG24" s="22" t="n">
        <x:v>1</x:v>
      </x:c>
      <x:c r="AH24" s="22" t="n">
        <x:v>4</x:v>
      </x:c>
      <x:c r="AI24" s="22" t="n">
        <x:v>2</x:v>
      </x:c>
      <x:c r="AJ24" s="22" t="str">
        <x:v>城南島海浜公園</x:v>
      </x:c>
      <x:c r="AK24" s="22" t="n">
        <x:v>85</x:v>
      </x:c>
      <x:c r="AL24" s="22" t="n">
        <x:v>85</x:v>
      </x:c>
      <x:c r="AM24" s="22" t="str">
        <x:v>昼専用</x:v>
      </x:c>
      <x:c r="AN24" s="22" t="str">
        <x:v>差替え済</x:v>
      </x:c>
      <x:c r="AO24" s="22" t="n">
        <x:v>88</x:v>
      </x:c>
      <x:c r="AP24" s="22" t="n">
        <x:v>0</x:v>
      </x:c>
      <x:c r="AQ24" s="22" t="str">
        <x:v>森林・高台</x:v>
      </x:c>
      <x:c r="AR24" s="22"/>
    </x:row>
    <x:row r="25" ht="38" customHeight="1">
      <x:c r="A25" s="22" t="str">
        <x:v>R121</x:v>
      </x:c>
      <x:c r="B25" s="22" t="str">
        <x:v>湾岸・干潟から運河へ</x:v>
      </x:c>
      <x:c r="C25" s="22" t="str">
        <x:v>干潟／海／運河</x:v>
      </x:c>
      <x:c r="D25" s="22" t="str">
        <x:v>葛西海浜公園</x:v>
      </x:c>
      <x:c r="E25" s="22" t="str">
        <x:v>葛西臨海公園</x:v>
      </x:c>
      <x:c r="F25" s="22" t="str">
        <x:v>東品川海上公園</x:v>
      </x:c>
      <x:c r="G25" s="22" t="str">
        <x:v>城南島海浜公園</x:v>
      </x:c>
      <x:c r="H25" s="22" t="str">
        <x:v>150～220分</x:v>
      </x:c>
      <x:c r="I25" s="22" t="n">
        <x:v>4</x:v>
      </x:c>
      <x:c r="J25" s="22" t="n">
        <x:v>4</x:v>
      </x:c>
      <x:c r="K25" s="22" t="n">
        <x:v>220</x:v>
      </x:c>
      <x:c r="L25" s="22" t="n">
        <x:v>70</x:v>
      </x:c>
      <x:c r="M25" s="22" t="n">
        <x:v>74</x:v>
      </x:c>
      <x:c r="N25" s="22" t="n">
        <x:v>58</x:v>
      </x:c>
      <x:c r="O25" s="22" t="n">
        <x:v>56</x:v>
      </x:c>
      <x:c r="P25" s="22" t="n">
        <x:v>81</x:v>
      </x:c>
      <x:c r="Q25" s="22" t="n">
        <x:v>58</x:v>
      </x:c>
      <x:c r="R25" s="22" t="n">
        <x:v>50</x:v>
      </x:c>
      <x:c r="S25" s="22" t="n">
        <x:v>53</x:v>
      </x:c>
      <x:c r="T25" s="22" t="n">
        <x:v>62</x:v>
      </x:c>
      <x:c r="U25" s="22" t="str">
        <x:v>葛西駐車場混雑時は高洲海浜公園へ差替え。東品川は時間貸し駐車場利用。</x:v>
      </x:c>
      <x:c r="V25" s="22" t="str">
        <x:v>一般道向き</x:v>
      </x:c>
      <x:c r="W25" s="22" t="n">
        <x:v>5</x:v>
      </x:c>
      <x:c r="X25" s="22" t="n">
        <x:v>35</x:v>
      </x:c>
      <x:c r="Y25" s="22" t="n">
        <x:f>ROUND(MAX(0,MIN(100,IF('条件入力ナビ'!$B$9="飛行機",O25,IF('条件入力ナビ'!$B$9="海・港",P25,IF('条件入力ナビ'!$B$9="工場夜景",Q25,IF('条件入力ナビ'!$B$9="静かな場所",R25,IF('条件入力ナビ'!$B$9="Story",X25,T25)))))*0.25+IF('条件入力ナビ'!$B$7="深夜",M25,IF('条件入力ナビ'!$B$7="夜",L25,IF('条件入力ナビ'!$B$7="夕方",(L25+S25)/2,S25)))*0.18+IF('条件入力ナビ'!$B$8="雨",N25,IF('条件入力ナビ'!$B$8="小雨",(N25+T25)/2,IF('条件入力ナビ'!$B$8="強風",MAX(0,T25-W25*8),T25)))*0.12+T25*0.10+AK25*0.10+AL25*0.10+AO25*0.15+IF(K25&lt;='条件入力ナビ'!$B$6,5,MAX(-30,-(K25-'条件入力ナビ'!$B$6)*0.45))-AP25*0.30+IF('条件入力ナビ'!$B$12="高速も楽しむ",IF(V25="高速向き",5,-3),IF('条件入力ナビ'!$B$12="一般道中心",IF(V25="一般道向き",4,-7),0)))))</x:f>
        <x:v>36</x:v>
      </x:c>
      <x:c r="Z25" s="22" t="n">
        <x:f>RANK.EQ(Y25,$Y$2:$Y$46,0)+COUNTIF($Y$2:Y25,Y25)-1</x:f>
        <x:v>41</x:v>
      </x:c>
      <x:c r="AA25" s="22" t="n">
        <x:v>150</x:v>
      </x:c>
      <x:c r="AB25" s="22" t="n">
        <x:v>185</x:v>
      </x:c>
      <x:c r="AC25" s="22" t="n">
        <x:v>220</x:v>
      </x:c>
      <x:c r="AD25" s="22" t="n">
        <x:v>4</x:v>
      </x:c>
      <x:c r="AE25" s="22" t="str">
        <x:v>城南島海浜公園</x:v>
      </x:c>
      <x:c r="AF25" s="277" t="n">
        <x:v>0.875</x:v>
      </x:c>
      <x:c r="AG25" s="22" t="n">
        <x:v>4</x:v>
      </x:c>
      <x:c r="AH25" s="22" t="n">
        <x:v>4</x:v>
      </x:c>
      <x:c r="AI25" s="22" t="n">
        <x:v>5</x:v>
      </x:c>
      <x:c r="AJ25" s="22" t="str">
        <x:v>城南島海浜公園</x:v>
      </x:c>
      <x:c r="AK25" s="22" t="n">
        <x:v>78</x:v>
      </x:c>
      <x:c r="AL25" s="22" t="n">
        <x:v>78</x:v>
      </x:c>
      <x:c r="AM25" s="22" t="str">
        <x:v>通常</x:v>
      </x:c>
      <x:c r="AN25" s="22" t="str">
        <x:v>維持</x:v>
      </x:c>
      <x:c r="AO25" s="22" t="n">
        <x:v>76</x:v>
      </x:c>
      <x:c r="AP25" s="22" t="n">
        <x:v>9</x:v>
      </x:c>
      <x:c r="AQ25" s="22" t="str">
        <x:v>東京港・水辺</x:v>
      </x:c>
      <x:c r="AR25" s="22"/>
    </x:row>
    <x:row r="26" ht="38" customHeight="1">
      <x:c r="A26" s="22" t="str">
        <x:v>R131</x:v>
      </x:c>
      <x:c r="B26" s="22" t="str">
        <x:v>東京近距離・運河と市場</x:v>
      </x:c>
      <x:c r="C26" s="22" t="str">
        <x:v>運河／道の駅／海</x:v>
      </x:c>
      <x:c r="D26" s="22" t="str">
        <x:v>東品川海上公園</x:v>
      </x:c>
      <x:c r="E26" s="22" t="str">
        <x:v>道の駅 いちかわ</x:v>
      </x:c>
      <x:c r="F26" s="22" t="str">
        <x:v>高洲海浜公園</x:v>
      </x:c>
      <x:c r="G26" s="22" t="str">
        <x:v>葛西海浜公園</x:v>
      </x:c>
      <x:c r="H26" s="22" t="str">
        <x:v>170～240分</x:v>
      </x:c>
      <x:c r="I26" s="22" t="n">
        <x:v>4</x:v>
      </x:c>
      <x:c r="J26" s="22" t="n">
        <x:v>4</x:v>
      </x:c>
      <x:c r="K26" s="22" t="n">
        <x:v>240</x:v>
      </x:c>
      <x:c r="L26" s="22" t="n">
        <x:v>75</x:v>
      </x:c>
      <x:c r="M26" s="22" t="n">
        <x:v>79</x:v>
      </x:c>
      <x:c r="N26" s="22" t="n">
        <x:v>63</x:v>
      </x:c>
      <x:c r="O26" s="22" t="n">
        <x:v>60</x:v>
      </x:c>
      <x:c r="P26" s="22" t="n">
        <x:v>86</x:v>
      </x:c>
      <x:c r="Q26" s="22" t="n">
        <x:v>63</x:v>
      </x:c>
      <x:c r="R26" s="22" t="n">
        <x:v>55</x:v>
      </x:c>
      <x:c r="S26" s="22" t="n">
        <x:v>56</x:v>
      </x:c>
      <x:c r="T26" s="22" t="n">
        <x:v>67</x:v>
      </x:c>
      <x:c r="U26" s="22" t="str">
        <x:v>東品川は専用駐車場なし。葛西の海浜立入時間・潮位を確認。</x:v>
      </x:c>
      <x:c r="V26" s="22" t="str">
        <x:v>一般道向き</x:v>
      </x:c>
      <x:c r="W26" s="22" t="n">
        <x:v>5</x:v>
      </x:c>
      <x:c r="X26" s="22" t="n">
        <x:v>35</x:v>
      </x:c>
      <x:c r="Y26" s="22" t="n">
        <x:f>ROUND(MAX(0,MIN(100,IF('条件入力ナビ'!$B$9="飛行機",O26,IF('条件入力ナビ'!$B$9="海・港",P26,IF('条件入力ナビ'!$B$9="工場夜景",Q26,IF('条件入力ナビ'!$B$9="静かな場所",R26,IF('条件入力ナビ'!$B$9="Story",X26,T26)))))*0.25+IF('条件入力ナビ'!$B$7="深夜",M26,IF('条件入力ナビ'!$B$7="夜",L26,IF('条件入力ナビ'!$B$7="夕方",(L26+S26)/2,S26)))*0.18+IF('条件入力ナビ'!$B$8="雨",N26,IF('条件入力ナビ'!$B$8="小雨",(N26+T26)/2,IF('条件入力ナビ'!$B$8="強風",MAX(0,T26-W26*8),T26)))*0.12+T26*0.10+AK26*0.10+AL26*0.10+AO26*0.15+IF(K26&lt;='条件入力ナビ'!$B$6,5,MAX(-30,-(K26-'条件入力ナビ'!$B$6)*0.45))-AP26*0.30+IF('条件入力ナビ'!$B$12="高速も楽しむ",IF(V26="高速向き",5,-3),IF('条件入力ナビ'!$B$12="一般道中心",IF(V26="一般道向き",4,-7),0)))))</x:f>
        <x:v>47</x:v>
      </x:c>
      <x:c r="Z26" s="22" t="n">
        <x:f>RANK.EQ(Y26,$Y$2:$Y$46,0)+COUNTIF($Y$2:Y26,Y26)-1</x:f>
        <x:v>29</x:v>
      </x:c>
      <x:c r="AA26" s="22" t="n">
        <x:v>170</x:v>
      </x:c>
      <x:c r="AB26" s="22" t="n">
        <x:v>205</x:v>
      </x:c>
      <x:c r="AC26" s="22" t="n">
        <x:v>240</x:v>
      </x:c>
      <x:c r="AD26" s="22" t="n">
        <x:v>4</x:v>
      </x:c>
      <x:c r="AE26" s="22" t="str"/>
      <x:c r="AF26" s="277"/>
      <x:c r="AG26" s="22"/>
      <x:c r="AH26" s="22" t="n">
        <x:v>4</x:v>
      </x:c>
      <x:c r="AI26" s="22" t="n">
        <x:v>5</x:v>
      </x:c>
      <x:c r="AJ26" s="22" t="str">
        <x:v>城南島海浜公園</x:v>
      </x:c>
      <x:c r="AK26" s="22" t="n">
        <x:v>86</x:v>
      </x:c>
      <x:c r="AL26" s="22" t="n">
        <x:v>82</x:v>
      </x:c>
      <x:c r="AM26" s="22" t="str">
        <x:v>通常</x:v>
      </x:c>
      <x:c r="AN26" s="22" t="str">
        <x:v>維持</x:v>
      </x:c>
      <x:c r="AO26" s="22" t="n">
        <x:v>100</x:v>
      </x:c>
      <x:c r="AP26" s="22" t="n">
        <x:v>0</x:v>
      </x:c>
      <x:c r="AQ26" s="22" t="str">
        <x:v>東京港・水辺</x:v>
      </x:c>
      <x:c r="AR26" s="22"/>
    </x:row>
    <x:row r="27" ht="38" customHeight="1">
      <x:c r="A27" s="22" t="str">
        <x:v>R133</x:v>
      </x:c>
      <x:c r="B27" s="22" t="str">
        <x:v>羽田・足湯から河口へ</x:v>
      </x:c>
      <x:c r="C27" s="22" t="str">
        <x:v>飛行機／足湯／河口</x:v>
      </x:c>
      <x:c r="D27" s="22" t="str">
        <x:v>HANEDA INNOVATION CITY 足湯スカイデッキ</x:v>
      </x:c>
      <x:c r="E27" s="22" t="str">
        <x:v>ソラムナード羽田緑地</x:v>
      </x:c>
      <x:c r="F27" s="22"/>
      <x:c r="G27" s="22" t="str">
        <x:v>羽田空港 第3ターミナル展望デッキ</x:v>
      </x:c>
      <x:c r="H27" s="22" t="str">
        <x:v>70～110分</x:v>
      </x:c>
      <x:c r="I27" s="22" t="n">
        <x:v>5</x:v>
      </x:c>
      <x:c r="J27" s="22" t="n">
        <x:v>4</x:v>
      </x:c>
      <x:c r="K27" s="22" t="n">
        <x:v>110</x:v>
      </x:c>
      <x:c r="L27" s="22" t="n">
        <x:v>84</x:v>
      </x:c>
      <x:c r="M27" s="22" t="n">
        <x:v>84</x:v>
      </x:c>
      <x:c r="N27" s="22" t="n">
        <x:v>64</x:v>
      </x:c>
      <x:c r="O27" s="22" t="n">
        <x:v>88</x:v>
      </x:c>
      <x:c r="P27" s="22" t="n">
        <x:v>63</x:v>
      </x:c>
      <x:c r="Q27" s="22" t="n">
        <x:v>59</x:v>
      </x:c>
      <x:c r="R27" s="22" t="n">
        <x:v>53</x:v>
      </x:c>
      <x:c r="S27" s="22" t="n">
        <x:v>55</x:v>
      </x:c>
      <x:c r="T27" s="22" t="n">
        <x:v>69</x:v>
      </x:c>
      <x:c r="U27" s="22" t="str">
        <x:v>平日夜の主力。HIC P1を利用し、ソラムナードは徒歩を含む。</x:v>
      </x:c>
      <x:c r="V27" s="22" t="str">
        <x:v>一般道向き</x:v>
      </x:c>
      <x:c r="W27" s="22" t="n">
        <x:v>2</x:v>
      </x:c>
      <x:c r="X27" s="22" t="n">
        <x:v>35</x:v>
      </x:c>
      <x:c r="Y27" s="22" t="n">
        <x:f>ROUND(MAX(0,MIN(100,IF('条件入力ナビ'!$B$9="飛行機",O27,IF('条件入力ナビ'!$B$9="海・港",P27,IF('条件入力ナビ'!$B$9="工場夜景",Q27,IF('条件入力ナビ'!$B$9="静かな場所",R27,IF('条件入力ナビ'!$B$9="Story",X27,T27)))))*0.25+IF('条件入力ナビ'!$B$7="深夜",M27,IF('条件入力ナビ'!$B$7="夜",L27,IF('条件入力ナビ'!$B$7="夕方",(L27+S27)/2,S27)))*0.18+IF('条件入力ナビ'!$B$8="雨",N27,IF('条件入力ナビ'!$B$8="小雨",(N27+T27)/2,IF('条件入力ナビ'!$B$8="強風",MAX(0,T27-W27*8),T27)))*0.12+T27*0.10+AK27*0.10+AL27*0.10+AO27*0.15+IF(K27&lt;='条件入力ナビ'!$B$6,5,MAX(-30,-(K27-'条件入力ナビ'!$B$6)*0.45))-AP27*0.30+IF('条件入力ナビ'!$B$12="高速も楽しむ",IF(V27="高速向き",5,-3),IF('条件入力ナビ'!$B$12="一般道中心",IF(V27="一般道向き",4,-7),0)))))</x:f>
        <x:v>67</x:v>
      </x:c>
      <x:c r="Z27" s="22" t="n">
        <x:f>RANK.EQ(Y27,$Y$2:$Y$46,0)+COUNTIF($Y$2:Y27,Y27)-1</x:f>
        <x:v>12</x:v>
      </x:c>
      <x:c r="AA27" s="22" t="n">
        <x:v>70</x:v>
      </x:c>
      <x:c r="AB27" s="22" t="n">
        <x:v>90</x:v>
      </x:c>
      <x:c r="AC27" s="22" t="n">
        <x:v>110</x:v>
      </x:c>
      <x:c r="AD27" s="22" t="n">
        <x:v>3</x:v>
      </x:c>
      <x:c r="AE27" s="22" t="str">
        <x:v>HANEDA INNOVATION CITY 足湯スカイデッキ</x:v>
      </x:c>
      <x:c r="AF27" s="277" t="n">
        <x:v>0.9791666666666666</x:v>
      </x:c>
      <x:c r="AG27" s="22" t="n">
        <x:v>1</x:v>
      </x:c>
      <x:c r="AH27" s="22" t="n">
        <x:v>4</x:v>
      </x:c>
      <x:c r="AI27" s="22" t="n">
        <x:v>2</x:v>
      </x:c>
      <x:c r="AJ27" s="22" t="str">
        <x:v>城南島海浜公園</x:v>
      </x:c>
      <x:c r="AK27" s="22" t="n">
        <x:v>75</x:v>
      </x:c>
      <x:c r="AL27" s="22" t="n">
        <x:v>84</x:v>
      </x:c>
      <x:c r="AM27" s="22" t="str">
        <x:v>共有駐車・徒歩連結</x:v>
      </x:c>
      <x:c r="AN27" s="22" t="str">
        <x:v>役割明記</x:v>
      </x:c>
      <x:c r="AO27" s="22" t="n">
        <x:v>52</x:v>
      </x:c>
      <x:c r="AP27" s="22" t="n">
        <x:v>30</x:v>
      </x:c>
      <x:c r="AQ27" s="22" t="str">
        <x:v>羽田・航空</x:v>
      </x:c>
      <x:c r="AR27" s="22"/>
    </x:row>
    <x:row r="28" ht="38" customHeight="1">
      <x:c r="A28" s="22" t="str">
        <x:v>R134</x:v>
      </x:c>
      <x:c r="B28" s="22" t="str">
        <x:v>羽田3ターミナル比較</x:v>
      </x:c>
      <x:c r="C28" s="22" t="str">
        <x:v>飛行機／空港建築／雨天</x:v>
      </x:c>
      <x:c r="D28" s="22" t="str">
        <x:v>羽田空港 第1ターミナル展望デッキ</x:v>
      </x:c>
      <x:c r="E28" s="22" t="str">
        <x:v>羽田空港 第2ターミナル展望デッキ／FLIGHT DECK TOKYO</x:v>
      </x:c>
      <x:c r="F28" s="22"/>
      <x:c r="G28" s="22" t="str">
        <x:v>羽田空港 第3ターミナル展望デッキ</x:v>
      </x:c>
      <x:c r="H28" s="22" t="str">
        <x:v>100～150分</x:v>
      </x:c>
      <x:c r="I28" s="22" t="n">
        <x:v>5</x:v>
      </x:c>
      <x:c r="J28" s="22" t="n">
        <x:v>4</x:v>
      </x:c>
      <x:c r="K28" s="22" t="n">
        <x:v>150</x:v>
      </x:c>
      <x:c r="L28" s="22" t="n">
        <x:v>76</x:v>
      </x:c>
      <x:c r="M28" s="22" t="n">
        <x:v>80</x:v>
      </x:c>
      <x:c r="N28" s="22" t="n">
        <x:v>83</x:v>
      </x:c>
      <x:c r="O28" s="22" t="n">
        <x:v>84</x:v>
      </x:c>
      <x:c r="P28" s="22" t="n">
        <x:v>84</x:v>
      </x:c>
      <x:c r="Q28" s="22" t="n">
        <x:v>59</x:v>
      </x:c>
      <x:c r="R28" s="22" t="n">
        <x:v>58</x:v>
      </x:c>
      <x:c r="S28" s="22" t="n">
        <x:v>77</x:v>
      </x:c>
      <x:c r="T28" s="22" t="n">
        <x:v>75</x:v>
      </x:c>
      <x:c r="U28" s="22" t="str">
        <x:v>P3/P4等に1回駐車し、ターミナル間は無料連絡バスを基本とする。駐車場を3回入り直さない。</x:v>
      </x:c>
      <x:c r="V28" s="22" t="str">
        <x:v>一般道向き</x:v>
      </x:c>
      <x:c r="W28" s="22" t="n">
        <x:v>5</x:v>
      </x:c>
      <x:c r="X28" s="22" t="n">
        <x:v>70</x:v>
      </x:c>
      <x:c r="Y28" s="22" t="n">
        <x:f>ROUND(MAX(0,MIN(100,IF('条件入力ナビ'!$B$9="飛行機",O28,IF('条件入力ナビ'!$B$9="海・港",P28,IF('条件入力ナビ'!$B$9="工場夜景",Q28,IF('条件入力ナビ'!$B$9="静かな場所",R28,IF('条件入力ナビ'!$B$9="Story",X28,T28)))))*0.25+IF('条件入力ナビ'!$B$7="深夜",M28,IF('条件入力ナビ'!$B$7="夜",L28,IF('条件入力ナビ'!$B$7="夕方",(L28+S28)/2,S28)))*0.18+IF('条件入力ナビ'!$B$8="雨",N28,IF('条件入力ナビ'!$B$8="小雨",(N28+T28)/2,IF('条件入力ナビ'!$B$8="強風",MAX(0,T28-W28*8),T28)))*0.12+T28*0.10+AK28*0.10+AL28*0.10+AO28*0.15+IF(K28&lt;='条件入力ナビ'!$B$6,5,MAX(-30,-(K28-'条件入力ナビ'!$B$6)*0.45))-AP28*0.30+IF('条件入力ナビ'!$B$12="高速も楽しむ",IF(V28="高速向き",5,-3),IF('条件入力ナビ'!$B$12="一般道中心",IF(V28="一般道向き",4,-7),0)))))</x:f>
        <x:v>56</x:v>
      </x:c>
      <x:c r="Z28" s="22" t="n">
        <x:f>RANK.EQ(Y28,$Y$2:$Y$46,0)+COUNTIF($Y$2:Y28,Y28)-1</x:f>
        <x:v>22</x:v>
      </x:c>
      <x:c r="AA28" s="22" t="n">
        <x:v>100</x:v>
      </x:c>
      <x:c r="AB28" s="22" t="n">
        <x:v>125</x:v>
      </x:c>
      <x:c r="AC28" s="22" t="n">
        <x:v>150</x:v>
      </x:c>
      <x:c r="AD28" s="22" t="n">
        <x:v>3</x:v>
      </x:c>
      <x:c r="AE28" s="22" t="str">
        <x:v>羽田空港 第1ターミナル展望デッキ</x:v>
      </x:c>
      <x:c r="AF28" s="277" t="n">
        <x:v>0.8333333333333334</x:v>
      </x:c>
      <x:c r="AG28" s="22" t="n">
        <x:v>1</x:v>
      </x:c>
      <x:c r="AH28" s="22" t="n">
        <x:v>4</x:v>
      </x:c>
      <x:c r="AI28" s="22" t="n">
        <x:v>5</x:v>
      </x:c>
      <x:c r="AJ28" s="22" t="str">
        <x:v>城南島海浜公園</x:v>
      </x:c>
      <x:c r="AK28" s="22" t="n">
        <x:v>75</x:v>
      </x:c>
      <x:c r="AL28" s="22" t="n">
        <x:v>80</x:v>
      </x:c>
      <x:c r="AM28" s="22" t="str">
        <x:v>空港内移動</x:v>
      </x:c>
      <x:c r="AN28" s="22" t="str">
        <x:v>役割明記</x:v>
      </x:c>
      <x:c r="AO28" s="22" t="n">
        <x:v>59</x:v>
      </x:c>
      <x:c r="AP28" s="22" t="n">
        <x:v>12</x:v>
      </x:c>
      <x:c r="AQ28" s="22" t="str">
        <x:v>羽田・航空</x:v>
      </x:c>
      <x:c r="AR28" s="22"/>
    </x:row>
    <x:row r="29" ht="38" customHeight="1">
      <x:c r="A29" s="22" t="str">
        <x:v>R135</x:v>
      </x:c>
      <x:c r="B29" s="22" t="str">
        <x:v>大森・海苔の海辺線</x:v>
      </x:c>
      <x:c r="C29" s="22" t="str">
        <x:v>平和Story／人工海浜／飛行機</x:v>
      </x:c>
      <x:c r="D29" s="22" t="str">
        <x:v>平和の森公園</x:v>
      </x:c>
      <x:c r="E29" s="22" t="str">
        <x:v>大森ふるさとの浜辺公園</x:v>
      </x:c>
      <x:c r="F29" s="22"/>
      <x:c r="G29" s="22" t="str">
        <x:v>城南島海浜公園</x:v>
      </x:c>
      <x:c r="H29" s="22" t="str">
        <x:v>80～130分</x:v>
      </x:c>
      <x:c r="I29" s="22" t="n">
        <x:v>4</x:v>
      </x:c>
      <x:c r="J29" s="22" t="n">
        <x:v>4</x:v>
      </x:c>
      <x:c r="K29" s="22" t="n">
        <x:v>130</x:v>
      </x:c>
      <x:c r="L29" s="22" t="n">
        <x:v>77</x:v>
      </x:c>
      <x:c r="M29" s="22" t="n">
        <x:v>77</x:v>
      </x:c>
      <x:c r="N29" s="22" t="n">
        <x:v>61</x:v>
      </x:c>
      <x:c r="O29" s="22" t="n">
        <x:v>84</x:v>
      </x:c>
      <x:c r="P29" s="22" t="n">
        <x:v>84</x:v>
      </x:c>
      <x:c r="Q29" s="22" t="n">
        <x:v>56</x:v>
      </x:c>
      <x:c r="R29" s="22" t="n">
        <x:v>61</x:v>
      </x:c>
      <x:c r="S29" s="22" t="n">
        <x:v>80</x:v>
      </x:c>
      <x:c r="T29" s="22" t="n">
        <x:v>72</x:v>
      </x:c>
      <x:c r="U29" s="22" t="str">
        <x:v>浜辺21時閉門。公園共用駐車場の混雑時は城南島へ直行。</x:v>
      </x:c>
      <x:c r="V29" s="22" t="str">
        <x:v>一般道向き</x:v>
      </x:c>
      <x:c r="W29" s="22" t="n">
        <x:v>5</x:v>
      </x:c>
      <x:c r="X29" s="22" t="n">
        <x:v>70</x:v>
      </x:c>
      <x:c r="Y29" s="22" t="n">
        <x:f>ROUND(MAX(0,MIN(100,IF('条件入力ナビ'!$B$9="飛行機",O29,IF('条件入力ナビ'!$B$9="海・港",P29,IF('条件入力ナビ'!$B$9="工場夜景",Q29,IF('条件入力ナビ'!$B$9="静かな場所",R29,IF('条件入力ナビ'!$B$9="Story",X29,T29)))))*0.25+IF('条件入力ナビ'!$B$7="深夜",M29,IF('条件入力ナビ'!$B$7="夜",L29,IF('条件入力ナビ'!$B$7="夕方",(L29+S29)/2,S29)))*0.18+IF('条件入力ナビ'!$B$8="雨",N29,IF('条件入力ナビ'!$B$8="小雨",(N29+T29)/2,IF('条件入力ナビ'!$B$8="強風",MAX(0,T29-W29*8),T29)))*0.12+T29*0.10+AK29*0.10+AL29*0.10+AO29*0.15+IF(K29&lt;='条件入力ナビ'!$B$6,5,MAX(-30,-(K29-'条件入力ナビ'!$B$6)*0.45))-AP29*0.30+IF('条件入力ナビ'!$B$12="高速も楽しむ",IF(V29="高速向き",5,-3),IF('条件入力ナビ'!$B$12="一般道中心",IF(V29="一般道向き",4,-7),0)))))</x:f>
        <x:v>65</x:v>
      </x:c>
      <x:c r="Z29" s="22" t="n">
        <x:f>RANK.EQ(Y29,$Y$2:$Y$46,0)+COUNTIF($Y$2:Y29,Y29)-1</x:f>
        <x:v>14</x:v>
      </x:c>
      <x:c r="AA29" s="22" t="n">
        <x:v>80</x:v>
      </x:c>
      <x:c r="AB29" s="22" t="n">
        <x:v>105</x:v>
      </x:c>
      <x:c r="AC29" s="22" t="n">
        <x:v>130</x:v>
      </x:c>
      <x:c r="AD29" s="22" t="n">
        <x:v>3</x:v>
      </x:c>
      <x:c r="AE29" s="22" t="str">
        <x:v>大森ふるさとの浜辺公園</x:v>
      </x:c>
      <x:c r="AF29" s="277" t="n">
        <x:v>0.875</x:v>
      </x:c>
      <x:c r="AG29" s="22" t="n">
        <x:v>2</x:v>
      </x:c>
      <x:c r="AH29" s="22" t="n">
        <x:v>4</x:v>
      </x:c>
      <x:c r="AI29" s="22" t="n">
        <x:v>5</x:v>
      </x:c>
      <x:c r="AJ29" s="22" t="str">
        <x:v>城南島海浜公園</x:v>
      </x:c>
      <x:c r="AK29" s="22" t="n">
        <x:v>76</x:v>
      </x:c>
      <x:c r="AL29" s="22" t="n">
        <x:v>79</x:v>
      </x:c>
      <x:c r="AM29" s="22" t="str">
        <x:v>通常</x:v>
      </x:c>
      <x:c r="AN29" s="22" t="str">
        <x:v>維持</x:v>
      </x:c>
      <x:c r="AO29" s="22" t="n">
        <x:v>67</x:v>
      </x:c>
      <x:c r="AP29" s="22" t="n">
        <x:v>12</x:v>
      </x:c>
      <x:c r="AQ29" s="22" t="str">
        <x:v>羽田・航空</x:v>
      </x:c>
      <x:c r="AR29" s="22"/>
    </x:row>
    <x:row r="30" ht="38" customHeight="1">
      <x:c r="A30" s="22" t="str">
        <x:v>R136</x:v>
      </x:c>
      <x:c r="B30" s="22" t="str">
        <x:v>森ケ崎・屋上から足湯へ</x:v>
      </x:c>
      <x:c r="C30" s="22" t="str">
        <x:v>屋上公園／飛行機／足湯</x:v>
      </x:c>
      <x:c r="D30" s="22" t="str">
        <x:v>森ケ崎公園</x:v>
      </x:c>
      <x:c r="E30" s="22" t="str">
        <x:v>ソラムナード羽田緑地</x:v>
      </x:c>
      <x:c r="F30" s="22"/>
      <x:c r="G30" s="22" t="str">
        <x:v>HANEDA INNOVATION CITY 足湯スカイデッキ</x:v>
      </x:c>
      <x:c r="H30" s="22" t="str">
        <x:v>70～120分</x:v>
      </x:c>
      <x:c r="I30" s="22" t="n">
        <x:v>5</x:v>
      </x:c>
      <x:c r="J30" s="22" t="n">
        <x:v>4</x:v>
      </x:c>
      <x:c r="K30" s="22" t="n">
        <x:v>120</x:v>
      </x:c>
      <x:c r="L30" s="22" t="n">
        <x:v>82</x:v>
      </x:c>
      <x:c r="M30" s="22" t="n">
        <x:v>83</x:v>
      </x:c>
      <x:c r="N30" s="22" t="n">
        <x:v>63</x:v>
      </x:c>
      <x:c r="O30" s="22" t="n">
        <x:v>87</x:v>
      </x:c>
      <x:c r="P30" s="22" t="n">
        <x:v>62</x:v>
      </x:c>
      <x:c r="Q30" s="22" t="n">
        <x:v>60</x:v>
      </x:c>
      <x:c r="R30" s="22" t="n">
        <x:v>77</x:v>
      </x:c>
      <x:c r="S30" s="22" t="n">
        <x:v>62</x:v>
      </x:c>
      <x:c r="T30" s="22" t="n">
        <x:v>72</x:v>
      </x:c>
      <x:c r="U30" s="22" t="str">
        <x:v>森ケ崎の閉園時刻がHard Gate。最後は23:30まで。</x:v>
      </x:c>
      <x:c r="V30" s="22" t="str">
        <x:v>一般道向き</x:v>
      </x:c>
      <x:c r="W30" s="22" t="n">
        <x:v>5</x:v>
      </x:c>
      <x:c r="X30" s="22" t="n">
        <x:v>35</x:v>
      </x:c>
      <x:c r="Y30" s="22" t="n">
        <x:f>ROUND(MAX(0,MIN(100,IF('条件入力ナビ'!$B$9="飛行機",O30,IF('条件入力ナビ'!$B$9="海・港",P30,IF('条件入力ナビ'!$B$9="工場夜景",Q30,IF('条件入力ナビ'!$B$9="静かな場所",R30,IF('条件入力ナビ'!$B$9="Story",X30,T30)))))*0.25+IF('条件入力ナビ'!$B$7="深夜",M30,IF('条件入力ナビ'!$B$7="夜",L30,IF('条件入力ナビ'!$B$7="夕方",(L30+S30)/2,S30)))*0.18+IF('条件入力ナビ'!$B$8="雨",N30,IF('条件入力ナビ'!$B$8="小雨",(N30+T30)/2,IF('条件入力ナビ'!$B$8="強風",MAX(0,T30-W30*8),T30)))*0.12+T30*0.10+AK30*0.10+AL30*0.10+AO30*0.15+IF(K30&lt;='条件入力ナビ'!$B$6,5,MAX(-30,-(K30-'条件入力ナビ'!$B$6)*0.45))-AP30*0.30+IF('条件入力ナビ'!$B$12="高速も楽しむ",IF(V30="高速向き",5,-3),IF('条件入力ナビ'!$B$12="一般道中心",IF(V30="一般道向き",4,-7),0)))))</x:f>
        <x:v>73</x:v>
      </x:c>
      <x:c r="Z30" s="22" t="n">
        <x:f>RANK.EQ(Y30,$Y$2:$Y$46,0)+COUNTIF($Y$2:Y30,Y30)-1</x:f>
        <x:v>9</x:v>
      </x:c>
      <x:c r="AA30" s="22" t="n">
        <x:v>70</x:v>
      </x:c>
      <x:c r="AB30" s="22" t="n">
        <x:v>95</x:v>
      </x:c>
      <x:c r="AC30" s="22" t="n">
        <x:v>120</x:v>
      </x:c>
      <x:c r="AD30" s="22" t="n">
        <x:v>3</x:v>
      </x:c>
      <x:c r="AE30" s="22" t="str">
        <x:v>森ケ崎公園</x:v>
      </x:c>
      <x:c r="AF30" s="277" t="n">
        <x:v>0.8541666666666666</x:v>
      </x:c>
      <x:c r="AG30" s="22" t="n">
        <x:v>1</x:v>
      </x:c>
      <x:c r="AH30" s="22" t="n">
        <x:v>4</x:v>
      </x:c>
      <x:c r="AI30" s="22" t="n">
        <x:v>5</x:v>
      </x:c>
      <x:c r="AJ30" s="22" t="str">
        <x:v>羽田空港 第3ターミナル展望デッキ</x:v>
      </x:c>
      <x:c r="AK30" s="22" t="n">
        <x:v>77</x:v>
      </x:c>
      <x:c r="AL30" s="22" t="n">
        <x:v>84</x:v>
      </x:c>
      <x:c r="AM30" s="22" t="str">
        <x:v>共有駐車・徒歩連結</x:v>
      </x:c>
      <x:c r="AN30" s="22" t="str">
        <x:v>役割明記</x:v>
      </x:c>
      <x:c r="AO30" s="22" t="n">
        <x:v>61</x:v>
      </x:c>
      <x:c r="AP30" s="22" t="n">
        <x:v>21</x:v>
      </x:c>
      <x:c r="AQ30" s="22" t="str">
        <x:v>羽田・航空</x:v>
      </x:c>
      <x:c r="AR30" s="22"/>
    </x:row>
    <x:row r="31" ht="38" customHeight="1">
      <x:c r="A31" s="22" t="str">
        <x:v>R137</x:v>
      </x:c>
      <x:c r="B31" s="22" t="str">
        <x:v>多摩川・休日ショート</x:v>
      </x:c>
      <x:c r="C31" s="22" t="str">
        <x:v>河川敷／橋／高台</x:v>
      </x:c>
      <x:c r="D31" s="22" t="str">
        <x:v>多摩川六郷橋緑地</x:v>
      </x:c>
      <x:c r="E31" s="22" t="str">
        <x:v>多摩川ガス橋緑地</x:v>
      </x:c>
      <x:c r="F31" s="22"/>
      <x:c r="G31" s="22" t="str">
        <x:v>多摩川浅間神社</x:v>
      </x:c>
      <x:c r="H31" s="22" t="str">
        <x:v>70～120分</x:v>
      </x:c>
      <x:c r="I31" s="22" t="n">
        <x:v>2</x:v>
      </x:c>
      <x:c r="J31" s="22" t="n">
        <x:v>4</x:v>
      </x:c>
      <x:c r="K31" s="22" t="n">
        <x:v>120</x:v>
      </x:c>
      <x:c r="L31" s="22" t="n">
        <x:v>72</x:v>
      </x:c>
      <x:c r="M31" s="22" t="n">
        <x:v>68</x:v>
      </x:c>
      <x:c r="N31" s="22" t="n">
        <x:v>59</x:v>
      </x:c>
      <x:c r="O31" s="22" t="n">
        <x:v>55</x:v>
      </x:c>
      <x:c r="P31" s="22" t="n">
        <x:v>80</x:v>
      </x:c>
      <x:c r="Q31" s="22" t="n">
        <x:v>52</x:v>
      </x:c>
      <x:c r="R31" s="22" t="n">
        <x:v>56</x:v>
      </x:c>
      <x:c r="S31" s="22" t="n">
        <x:v>58</x:v>
      </x:c>
      <x:c r="T31" s="22" t="n">
        <x:v>62</x:v>
      </x:c>
      <x:c r="U31" s="22" t="str">
        <x:v>河川敷駐車場は土日祝のみ。閉鎖時刻と増水情報を確認。</x:v>
      </x:c>
      <x:c r="V31" s="22" t="str">
        <x:v>一般道向き</x:v>
      </x:c>
      <x:c r="W31" s="22" t="n">
        <x:v>5</x:v>
      </x:c>
      <x:c r="X31" s="22" t="n">
        <x:v>35</x:v>
      </x:c>
      <x:c r="Y31" s="22" t="n">
        <x:f>ROUND(MAX(0,MIN(100,IF('条件入力ナビ'!$B$9="飛行機",O31,IF('条件入力ナビ'!$B$9="海・港",P31,IF('条件入力ナビ'!$B$9="工場夜景",Q31,IF('条件入力ナビ'!$B$9="静かな場所",R31,IF('条件入力ナビ'!$B$9="Story",X31,T31)))))*0.25+IF('条件入力ナビ'!$B$7="深夜",M31,IF('条件入力ナビ'!$B$7="夜",L31,IF('条件入力ナビ'!$B$7="夕方",(L31+S31)/2,S31)))*0.18+IF('条件入力ナビ'!$B$8="雨",N31,IF('条件入力ナビ'!$B$8="小雨",(N31+T31)/2,IF('条件入力ナビ'!$B$8="強風",MAX(0,T31-W31*8),T31)))*0.12+T31*0.10+AK31*0.10+AL31*0.10+AO31*0.15+IF(K31&lt;='条件入力ナビ'!$B$6,5,MAX(-30,-(K31-'条件入力ナビ'!$B$6)*0.45))-AP31*0.30+IF('条件入力ナビ'!$B$12="高速も楽しむ",IF(V31="高速向き",5,-3),IF('条件入力ナビ'!$B$12="一般道中心",IF(V31="一般道向き",4,-7),0)))))</x:f>
        <x:v>76</x:v>
      </x:c>
      <x:c r="Z31" s="22" t="n">
        <x:f>RANK.EQ(Y31,$Y$2:$Y$46,0)+COUNTIF($Y$2:Y31,Y31)-1</x:f>
        <x:v>5</x:v>
      </x:c>
      <x:c r="AA31" s="22" t="n">
        <x:v>70</x:v>
      </x:c>
      <x:c r="AB31" s="22" t="n">
        <x:v>95</x:v>
      </x:c>
      <x:c r="AC31" s="22" t="n">
        <x:v>120</x:v>
      </x:c>
      <x:c r="AD31" s="22" t="n">
        <x:v>3</x:v>
      </x:c>
      <x:c r="AE31" s="22" t="str">
        <x:v>多摩川浅間神社</x:v>
      </x:c>
      <x:c r="AF31" s="277" t="n">
        <x:v>0.6666666666666666</x:v>
      </x:c>
      <x:c r="AG31" s="22" t="n">
        <x:v>3</x:v>
      </x:c>
      <x:c r="AH31" s="22" t="n">
        <x:v>4</x:v>
      </x:c>
      <x:c r="AI31" s="22" t="n">
        <x:v>5</x:v>
      </x:c>
      <x:c r="AJ31" s="22" t="str">
        <x:v>羽田空港 第3ターミナル展望デッキ</x:v>
      </x:c>
      <x:c r="AK31" s="22" t="n">
        <x:v>81</x:v>
      </x:c>
      <x:c r="AL31" s="22" t="n">
        <x:v>79</x:v>
      </x:c>
      <x:c r="AM31" s="22" t="str">
        <x:v>休日専用</x:v>
      </x:c>
      <x:c r="AN31" s="22" t="str">
        <x:v>役割明記</x:v>
      </x:c>
      <x:c r="AO31" s="22" t="n">
        <x:v>85</x:v>
      </x:c>
      <x:c r="AP31" s="22" t="n">
        <x:v>0</x:v>
      </x:c>
      <x:c r="AQ31" s="22" t="str">
        <x:v>東京港・水辺</x:v>
      </x:c>
      <x:c r="AR31" s="22"/>
    </x:row>
    <x:row r="32" ht="38" customHeight="1">
      <x:c r="A32" s="22" t="str">
        <x:v>R138</x:v>
      </x:c>
      <x:c r="B32" s="22" t="str">
        <x:v>池上から大森・海の記憶へ</x:v>
      </x:c>
      <x:c r="C32" s="22" t="str">
        <x:v>庭園Story／24時間公園／人工海浜</x:v>
      </x:c>
      <x:c r="D32" s="22" t="str">
        <x:v>池上梅園</x:v>
      </x:c>
      <x:c r="E32" s="22" t="str">
        <x:v>平和島公園</x:v>
      </x:c>
      <x:c r="F32" s="22"/>
      <x:c r="G32" s="22" t="str">
        <x:v>大森ふるさとの浜辺公園</x:v>
      </x:c>
      <x:c r="H32" s="22" t="str">
        <x:v>80～130分</x:v>
      </x:c>
      <x:c r="I32" s="22" t="n">
        <x:v>2</x:v>
      </x:c>
      <x:c r="J32" s="22" t="n">
        <x:v>4</x:v>
      </x:c>
      <x:c r="K32" s="22" t="n">
        <x:v>130</x:v>
      </x:c>
      <x:c r="L32" s="22" t="n">
        <x:v>75</x:v>
      </x:c>
      <x:c r="M32" s="22" t="n">
        <x:v>71</x:v>
      </x:c>
      <x:c r="N32" s="22" t="n">
        <x:v>62</x:v>
      </x:c>
      <x:c r="O32" s="22" t="n">
        <x:v>58</x:v>
      </x:c>
      <x:c r="P32" s="22" t="n">
        <x:v>83</x:v>
      </x:c>
      <x:c r="Q32" s="22" t="n">
        <x:v>55</x:v>
      </x:c>
      <x:c r="R32" s="22" t="n">
        <x:v>92</x:v>
      </x:c>
      <x:c r="S32" s="22" t="n">
        <x:v>87</x:v>
      </x:c>
      <x:c r="T32" s="22" t="n">
        <x:v>73</x:v>
      </x:c>
      <x:c r="U32" s="22" t="str">
        <x:v>池上梅園16:30閉園の昼専用。池上終了後は24時間駐車の平和島公園を挟み、浜辺21時まで。</x:v>
      </x:c>
      <x:c r="V32" s="22" t="str">
        <x:v>一般道向き</x:v>
      </x:c>
      <x:c r="W32" s="22" t="n">
        <x:v>5</x:v>
      </x:c>
      <x:c r="X32" s="22" t="n">
        <x:v>70</x:v>
      </x:c>
      <x:c r="Y32" s="22" t="n">
        <x:f>ROUND(MAX(0,MIN(100,IF('条件入力ナビ'!$B$9="飛行機",O32,IF('条件入力ナビ'!$B$9="海・港",P32,IF('条件入力ナビ'!$B$9="工場夜景",Q32,IF('条件入力ナビ'!$B$9="静かな場所",R32,IF('条件入力ナビ'!$B$9="Story",X32,T32)))))*0.25+IF('条件入力ナビ'!$B$7="深夜",M32,IF('条件入力ナビ'!$B$7="夜",L32,IF('条件入力ナビ'!$B$7="夕方",(L32+S32)/2,S32)))*0.18+IF('条件入力ナビ'!$B$8="雨",N32,IF('条件入力ナビ'!$B$8="小雨",(N32+T32)/2,IF('条件入力ナビ'!$B$8="強風",MAX(0,T32-W32*8),T32)))*0.12+T32*0.10+AK32*0.10+AL32*0.10+AO32*0.15+IF(K32&lt;='条件入力ナビ'!$B$6,5,MAX(-30,-(K32-'条件入力ナビ'!$B$6)*0.45))-AP32*0.30+IF('条件入力ナビ'!$B$12="高速も楽しむ",IF(V32="高速向き",5,-3),IF('条件入力ナビ'!$B$12="一般道中心",IF(V32="一般道向き",4,-7),0)))))</x:f>
        <x:v>74</x:v>
      </x:c>
      <x:c r="Z32" s="22" t="n">
        <x:f>RANK.EQ(Y32,$Y$2:$Y$46,0)+COUNTIF($Y$2:Y32,Y32)-1</x:f>
        <x:v>8</x:v>
      </x:c>
      <x:c r="AA32" s="22" t="n">
        <x:v>80</x:v>
      </x:c>
      <x:c r="AB32" s="22" t="n">
        <x:v>105</x:v>
      </x:c>
      <x:c r="AC32" s="22" t="n">
        <x:v>130</x:v>
      </x:c>
      <x:c r="AD32" s="22" t="n">
        <x:v>3</x:v>
      </x:c>
      <x:c r="AE32" s="22" t="str">
        <x:v>池上梅園</x:v>
      </x:c>
      <x:c r="AF32" s="277" t="n">
        <x:v>0.6666666666666666</x:v>
      </x:c>
      <x:c r="AG32" s="22" t="n">
        <x:v>1</x:v>
      </x:c>
      <x:c r="AH32" s="22" t="n">
        <x:v>4</x:v>
      </x:c>
      <x:c r="AI32" s="22" t="n">
        <x:v>5</x:v>
      </x:c>
      <x:c r="AJ32" s="22" t="str">
        <x:v>平和の森公園</x:v>
      </x:c>
      <x:c r="AK32" s="22" t="n">
        <x:v>89</x:v>
      </x:c>
      <x:c r="AL32" s="22" t="n">
        <x:v>91</x:v>
      </x:c>
      <x:c r="AM32" s="22" t="str">
        <x:v>昼～夕方専用</x:v>
      </x:c>
      <x:c r="AN32" s="22" t="str">
        <x:v>差替え済</x:v>
      </x:c>
      <x:c r="AO32" s="22" t="n">
        <x:v>91</x:v>
      </x:c>
      <x:c r="AP32" s="22" t="n">
        <x:v>3</x:v>
      </x:c>
      <x:c r="AQ32" s="22" t="str">
        <x:v>Story・文化</x:v>
      </x:c>
      <x:c r="AR32" s="22"/>
    </x:row>
    <x:row r="33" ht="38" customHeight="1">
      <x:c r="A33" s="22" t="str">
        <x:v>R139</x:v>
      </x:c>
      <x:c r="B33" s="22" t="str">
        <x:v>勝島・大井ふ頭ウォーターフロント</x:v>
      </x:c>
      <x:c r="C33" s="22" t="str">
        <x:v>人工湖／京浜運河／24時間公園</x:v>
      </x:c>
      <x:c r="D33" s="22" t="str">
        <x:v>しながわ区民公園</x:v>
      </x:c>
      <x:c r="E33" s="22" t="str">
        <x:v>大井ふ頭中央海浜公園</x:v>
      </x:c>
      <x:c r="F33" s="22"/>
      <x:c r="G33" s="22" t="str">
        <x:v>平和島公園</x:v>
      </x:c>
      <x:c r="H33" s="22" t="str">
        <x:v>85～135分</x:v>
      </x:c>
      <x:c r="I33" s="22" t="n">
        <x:v>3</x:v>
      </x:c>
      <x:c r="J33" s="22" t="n">
        <x:v>4</x:v>
      </x:c>
      <x:c r="K33" s="22" t="n">
        <x:v>135</x:v>
      </x:c>
      <x:c r="L33" s="22" t="n">
        <x:v>81</x:v>
      </x:c>
      <x:c r="M33" s="22" t="n">
        <x:v>79</x:v>
      </x:c>
      <x:c r="N33" s="22" t="n">
        <x:v>66</x:v>
      </x:c>
      <x:c r="O33" s="22" t="n">
        <x:v>62</x:v>
      </x:c>
      <x:c r="P33" s="22" t="n">
        <x:v>88</x:v>
      </x:c>
      <x:c r="Q33" s="22" t="n">
        <x:v>60</x:v>
      </x:c>
      <x:c r="R33" s="22" t="n">
        <x:v>86</x:v>
      </x:c>
      <x:c r="S33" s="22" t="n">
        <x:v>69</x:v>
      </x:c>
      <x:c r="T33" s="22" t="n">
        <x:v>74</x:v>
      </x:c>
      <x:c r="U33" s="22" t="str">
        <x:v>しながわ区民公園20:30閉園。大井ふ頭第1駐車場は工事閉鎖中で、第2駐車場を利用。遅い時間は大井ふ頭→平和島へ短縮。</x:v>
      </x:c>
      <x:c r="V33" s="22" t="str">
        <x:v>一般道向き</x:v>
      </x:c>
      <x:c r="W33" s="22" t="n">
        <x:v>5</x:v>
      </x:c>
      <x:c r="X33" s="22" t="n">
        <x:v>35</x:v>
      </x:c>
      <x:c r="Y33" s="22" t="n">
        <x:f>ROUND(MAX(0,MIN(100,IF('条件入力ナビ'!$B$9="飛行機",O33,IF('条件入力ナビ'!$B$9="海・港",P33,IF('条件入力ナビ'!$B$9="工場夜景",Q33,IF('条件入力ナビ'!$B$9="静かな場所",R33,IF('条件入力ナビ'!$B$9="Story",X33,T33)))))*0.25+IF('条件入力ナビ'!$B$7="深夜",M33,IF('条件入力ナビ'!$B$7="夜",L33,IF('条件入力ナビ'!$B$7="夕方",(L33+S33)/2,S33)))*0.18+IF('条件入力ナビ'!$B$8="雨",N33,IF('条件入力ナビ'!$B$8="小雨",(N33+T33)/2,IF('条件入力ナビ'!$B$8="強風",MAX(0,T33-W33*8),T33)))*0.12+T33*0.10+AK33*0.10+AL33*0.10+AO33*0.15+IF(K33&lt;='条件入力ナビ'!$B$6,5,MAX(-30,-(K33-'条件入力ナビ'!$B$6)*0.45))-AP33*0.30+IF('条件入力ナビ'!$B$12="高速も楽しむ",IF(V33="高速向き",5,-3),IF('条件入力ナビ'!$B$12="一般道中心",IF(V33="一般道向き",4,-7),0)))))</x:f>
        <x:v>75</x:v>
      </x:c>
      <x:c r="Z33" s="22" t="n">
        <x:f>RANK.EQ(Y33,$Y$2:$Y$46,0)+COUNTIF($Y$2:Y33,Y33)-1</x:f>
        <x:v>6</x:v>
      </x:c>
      <x:c r="AA33" s="22" t="n">
        <x:v>85</x:v>
      </x:c>
      <x:c r="AB33" s="22" t="n">
        <x:v>110</x:v>
      </x:c>
      <x:c r="AC33" s="22" t="n">
        <x:v>135</x:v>
      </x:c>
      <x:c r="AD33" s="22" t="n">
        <x:v>3</x:v>
      </x:c>
      <x:c r="AE33" s="22" t="str">
        <x:v>しながわ区民公園</x:v>
      </x:c>
      <x:c r="AF33" s="277" t="n">
        <x:v>0.8541666666666666</x:v>
      </x:c>
      <x:c r="AG33" s="22" t="n">
        <x:v>1</x:v>
      </x:c>
      <x:c r="AH33" s="22" t="n">
        <x:v>4</x:v>
      </x:c>
      <x:c r="AI33" s="22" t="n">
        <x:v>5</x:v>
      </x:c>
      <x:c r="AJ33" s="22" t="str">
        <x:v>平和の森公園</x:v>
      </x:c>
      <x:c r="AK33" s="22" t="n">
        <x:v>92</x:v>
      </x:c>
      <x:c r="AL33" s="22" t="n">
        <x:v>95</x:v>
      </x:c>
      <x:c r="AM33" s="22" t="str">
        <x:v>夕方専用</x:v>
      </x:c>
      <x:c r="AN33" s="22" t="str">
        <x:v>差替え済</x:v>
      </x:c>
      <x:c r="AO33" s="22" t="n">
        <x:v>96</x:v>
      </x:c>
      <x:c r="AP33" s="22" t="n">
        <x:v>3</x:v>
      </x:c>
      <x:c r="AQ33" s="22" t="str">
        <x:v>東京港・水辺</x:v>
      </x:c>
      <x:c r="AR33" s="22"/>
    </x:row>
    <x:row r="34" ht="38" customHeight="1">
      <x:c r="A34" s="22" t="str">
        <x:v>R140</x:v>
      </x:c>
      <x:c r="B34" s="22" t="str">
        <x:v>お台場から豊洲の水際夜景</x:v>
      </x:c>
      <x:c r="C34" s="22" t="str">
        <x:v>海浜／運河／都市夜景</x:v>
      </x:c>
      <x:c r="D34" s="22" t="str">
        <x:v>お台場海浜公園</x:v>
      </x:c>
      <x:c r="E34" s="22" t="str">
        <x:v>豊洲ぐるり公園</x:v>
      </x:c>
      <x:c r="F34" s="22"/>
      <x:c r="G34" s="22" t="str">
        <x:v>晴海ふ頭公園</x:v>
      </x:c>
      <x:c r="H34" s="22" t="str">
        <x:v>90～140分</x:v>
      </x:c>
      <x:c r="I34" s="22" t="n">
        <x:v>5</x:v>
      </x:c>
      <x:c r="J34" s="22" t="n">
        <x:v>4</x:v>
      </x:c>
      <x:c r="K34" s="22" t="n">
        <x:v>140</x:v>
      </x:c>
      <x:c r="L34" s="22" t="n">
        <x:v>83</x:v>
      </x:c>
      <x:c r="M34" s="22" t="n">
        <x:v>85</x:v>
      </x:c>
      <x:c r="N34" s="22" t="n">
        <x:v>65</x:v>
      </x:c>
      <x:c r="O34" s="22" t="n">
        <x:v>63</x:v>
      </x:c>
      <x:c r="P34" s="22" t="n">
        <x:v>88</x:v>
      </x:c>
      <x:c r="Q34" s="22" t="n">
        <x:v>62</x:v>
      </x:c>
      <x:c r="R34" s="22" t="n">
        <x:v>54</x:v>
      </x:c>
      <x:c r="S34" s="22" t="n">
        <x:v>57</x:v>
      </x:c>
      <x:c r="T34" s="22" t="n">
        <x:v>70</x:v>
      </x:c>
      <x:c r="U34" s="22" t="str">
        <x:v>24時間駐車地点中心。イベント開催時はお台場を潮風公園へ、豊洲を晴海へ即時差替え。</x:v>
      </x:c>
      <x:c r="V34" s="22" t="str">
        <x:v>一般道向き</x:v>
      </x:c>
      <x:c r="W34" s="22" t="n">
        <x:v>5</x:v>
      </x:c>
      <x:c r="X34" s="22" t="n">
        <x:v>35</x:v>
      </x:c>
      <x:c r="Y34" s="22" t="n">
        <x:f>ROUND(MAX(0,MIN(100,IF('条件入力ナビ'!$B$9="飛行機",O34,IF('条件入力ナビ'!$B$9="海・港",P34,IF('条件入力ナビ'!$B$9="工場夜景",Q34,IF('条件入力ナビ'!$B$9="静かな場所",R34,IF('条件入力ナビ'!$B$9="Story",X34,T34)))))*0.25+IF('条件入力ナビ'!$B$7="深夜",M34,IF('条件入力ナビ'!$B$7="夜",L34,IF('条件入力ナビ'!$B$7="夕方",(L34+S34)/2,S34)))*0.18+IF('条件入力ナビ'!$B$8="雨",N34,IF('条件入力ナビ'!$B$8="小雨",(N34+T34)/2,IF('条件入力ナビ'!$B$8="強風",MAX(0,T34-W34*8),T34)))*0.12+T34*0.10+AK34*0.10+AL34*0.10+AO34*0.15+IF(K34&lt;='条件入力ナビ'!$B$6,5,MAX(-30,-(K34-'条件入力ナビ'!$B$6)*0.45))-AP34*0.30+IF('条件入力ナビ'!$B$12="高速も楽しむ",IF(V34="高速向き",5,-3),IF('条件入力ナビ'!$B$12="一般道中心",IF(V34="一般道向き",4,-7),0)))))</x:f>
        <x:v>66</x:v>
      </x:c>
      <x:c r="Z34" s="22" t="n">
        <x:f>RANK.EQ(Y34,$Y$2:$Y$46,0)+COUNTIF($Y$2:Y34,Y34)-1</x:f>
        <x:v>13</x:v>
      </x:c>
      <x:c r="AA34" s="22" t="n">
        <x:v>90</x:v>
      </x:c>
      <x:c r="AB34" s="22" t="n">
        <x:v>115</x:v>
      </x:c>
      <x:c r="AC34" s="22" t="n">
        <x:v>140</x:v>
      </x:c>
      <x:c r="AD34" s="22" t="n">
        <x:v>3</x:v>
      </x:c>
      <x:c r="AE34" s="22" t="str"/>
      <x:c r="AF34" s="277"/>
      <x:c r="AG34" s="22"/>
      <x:c r="AH34" s="22" t="n">
        <x:v>4</x:v>
      </x:c>
      <x:c r="AI34" s="22" t="n">
        <x:v>5</x:v>
      </x:c>
      <x:c r="AJ34" s="22" t="str">
        <x:v>城南島海浜公園</x:v>
      </x:c>
      <x:c r="AK34" s="22" t="n">
        <x:v>79</x:v>
      </x:c>
      <x:c r="AL34" s="22" t="n">
        <x:v>83</x:v>
      </x:c>
      <x:c r="AM34" s="22" t="str">
        <x:v>通常</x:v>
      </x:c>
      <x:c r="AN34" s="22" t="str">
        <x:v>差替え済</x:v>
      </x:c>
      <x:c r="AO34" s="22" t="n">
        <x:v>71</x:v>
      </x:c>
      <x:c r="AP34" s="22" t="n">
        <x:v>0</x:v>
      </x:c>
      <x:c r="AQ34" s="22" t="str">
        <x:v>東京港・水辺</x:v>
      </x:c>
      <x:c r="AR34" s="22"/>
    </x:row>
    <x:row r="35" ht="38" customHeight="1">
      <x:c r="A35" s="22" t="str">
        <x:v>R141</x:v>
      </x:c>
      <x:c r="B35" s="22" t="str">
        <x:v>雨天・羽田インドア線</x:v>
      </x:c>
      <x:c r="C35" s="22" t="str">
        <x:v>足湯／屋内展望／空港</x:v>
      </x:c>
      <x:c r="D35" s="22" t="str">
        <x:v>HANEDA INNOVATION CITY 足湯スカイデッキ</x:v>
      </x:c>
      <x:c r="E35" s="22" t="str">
        <x:v>羽田空港 第2ターミナル展望デッキ／FLIGHT DECK TOKYO</x:v>
      </x:c>
      <x:c r="F35" s="22"/>
      <x:c r="G35" s="22" t="str">
        <x:v>羽田空港 第3ターミナル展望デッキ</x:v>
      </x:c>
      <x:c r="H35" s="22" t="str">
        <x:v>80～130分</x:v>
      </x:c>
      <x:c r="I35" s="22" t="n">
        <x:v>5</x:v>
      </x:c>
      <x:c r="J35" s="22" t="n">
        <x:v>4</x:v>
      </x:c>
      <x:c r="K35" s="22" t="n">
        <x:v>130</x:v>
      </x:c>
      <x:c r="L35" s="22" t="n">
        <x:v>78</x:v>
      </x:c>
      <x:c r="M35" s="22" t="n">
        <x:v>80</x:v>
      </x:c>
      <x:c r="N35" s="22" t="n">
        <x:v>83</x:v>
      </x:c>
      <x:c r="O35" s="22" t="n">
        <x:v>84</x:v>
      </x:c>
      <x:c r="P35" s="22" t="n">
        <x:v>84</x:v>
      </x:c>
      <x:c r="Q35" s="22" t="n">
        <x:v>56</x:v>
      </x:c>
      <x:c r="R35" s="22" t="n">
        <x:v>49</x:v>
      </x:c>
      <x:c r="S35" s="22" t="n">
        <x:v>59</x:v>
      </x:c>
      <x:c r="T35" s="22" t="n">
        <x:v>72</x:v>
      </x:c>
      <x:c r="U35" s="22" t="str">
        <x:v>雨天はT2屋内FLIGHT DECKを主役にする。HIC足湯は強雨時に省略し、空港内移動を優先。</x:v>
      </x:c>
      <x:c r="V35" s="22" t="str">
        <x:v>一般道向き</x:v>
      </x:c>
      <x:c r="W35" s="22" t="n">
        <x:v>5</x:v>
      </x:c>
      <x:c r="X35" s="22" t="n">
        <x:v>35</x:v>
      </x:c>
      <x:c r="Y35" s="22" t="n">
        <x:f>ROUND(MAX(0,MIN(100,IF('条件入力ナビ'!$B$9="飛行機",O35,IF('条件入力ナビ'!$B$9="海・港",P35,IF('条件入力ナビ'!$B$9="工場夜景",Q35,IF('条件入力ナビ'!$B$9="静かな場所",R35,IF('条件入力ナビ'!$B$9="Story",X35,T35)))))*0.25+IF('条件入力ナビ'!$B$7="深夜",M35,IF('条件入力ナビ'!$B$7="夜",L35,IF('条件入力ナビ'!$B$7="夕方",(L35+S35)/2,S35)))*0.18+IF('条件入力ナビ'!$B$8="雨",N35,IF('条件入力ナビ'!$B$8="小雨",(N35+T35)/2,IF('条件入力ナビ'!$B$8="強風",MAX(0,T35-W35*8),T35)))*0.12+T35*0.10+AK35*0.10+AL35*0.10+AO35*0.15+IF(K35&lt;='条件入力ナビ'!$B$6,5,MAX(-30,-(K35-'条件入力ナビ'!$B$6)*0.45))-AP35*0.30+IF('条件入力ナビ'!$B$12="高速も楽しむ",IF(V35="高速向き",5,-3),IF('条件入力ナビ'!$B$12="一般道中心",IF(V35="一般道向き",4,-7),0)))))</x:f>
        <x:v>56</x:v>
      </x:c>
      <x:c r="Z35" s="22" t="n">
        <x:f>RANK.EQ(Y35,$Y$2:$Y$46,0)+COUNTIF($Y$2:Y35,Y35)-1</x:f>
        <x:v>23</x:v>
      </x:c>
      <x:c r="AA35" s="22" t="n">
        <x:v>80</x:v>
      </x:c>
      <x:c r="AB35" s="22" t="n">
        <x:v>105</x:v>
      </x:c>
      <x:c r="AC35" s="22" t="n">
        <x:v>130</x:v>
      </x:c>
      <x:c r="AD35" s="22" t="n">
        <x:v>3</x:v>
      </x:c>
      <x:c r="AE35" s="22" t="str">
        <x:v>羽田空港 第2ターミナル展望デッキ／FLIGHT DECK TOKYO</x:v>
      </x:c>
      <x:c r="AF35" s="277" t="n">
        <x:v>0.9166666666666666</x:v>
      </x:c>
      <x:c r="AG35" s="22" t="n">
        <x:v>2</x:v>
      </x:c>
      <x:c r="AH35" s="22" t="n">
        <x:v>4</x:v>
      </x:c>
      <x:c r="AI35" s="22" t="n">
        <x:v>5</x:v>
      </x:c>
      <x:c r="AJ35" s="22" t="str">
        <x:v>城南島海浜公園</x:v>
      </x:c>
      <x:c r="AK35" s="22" t="n">
        <x:v>72</x:v>
      </x:c>
      <x:c r="AL35" s="22" t="n">
        <x:v>83</x:v>
      </x:c>
      <x:c r="AM35" s="22" t="str">
        <x:v>雨天・空港内移動</x:v>
      </x:c>
      <x:c r="AN35" s="22" t="str">
        <x:v>役割明記</x:v>
      </x:c>
      <x:c r="AO35" s="22" t="n">
        <x:v>41</x:v>
      </x:c>
      <x:c r="AP35" s="22" t="n">
        <x:v>30</x:v>
      </x:c>
      <x:c r="AQ35" s="22" t="str">
        <x:v>羽田・航空</x:v>
      </x:c>
      <x:c r="AR35" s="22"/>
    </x:row>
    <x:row r="36" ht="38" customHeight="1">
      <x:c r="A36" s="22" t="str">
        <x:v>R142</x:v>
      </x:c>
      <x:c r="B36" s="22" t="str">
        <x:v>深夜2時間・空港から港の端へ</x:v>
      </x:c>
      <x:c r="C36" s="22" t="str">
        <x:v>24時間空港／工業島／海の行き止まり</x:v>
      </x:c>
      <x:c r="D36" s="22" t="str">
        <x:v>羽田空港 第3ターミナル展望デッキ</x:v>
      </x:c>
      <x:c r="E36" s="22"/>
      <x:c r="F36" s="22"/>
      <x:c r="G36" s="22" t="str">
        <x:v>東扇島西公園</x:v>
      </x:c>
      <x:c r="H36" s="22" t="str">
        <x:v>90～135分</x:v>
      </x:c>
      <x:c r="I36" s="22" t="n">
        <x:v>5</x:v>
      </x:c>
      <x:c r="J36" s="22" t="n">
        <x:v>4</x:v>
      </x:c>
      <x:c r="K36" s="22" t="n">
        <x:v>135</x:v>
      </x:c>
      <x:c r="L36" s="22" t="n">
        <x:v>88</x:v>
      </x:c>
      <x:c r="M36" s="22" t="n">
        <x:v>90</x:v>
      </x:c>
      <x:c r="N36" s="22" t="n">
        <x:v>91</x:v>
      </x:c>
      <x:c r="O36" s="22" t="n">
        <x:v>92</x:v>
      </x:c>
      <x:c r="P36" s="22" t="n">
        <x:v>92</x:v>
      </x:c>
      <x:c r="Q36" s="22" t="n">
        <x:v>94</x:v>
      </x:c>
      <x:c r="R36" s="22" t="n">
        <x:v>59</x:v>
      </x:c>
      <x:c r="S36" s="22" t="n">
        <x:v>66</x:v>
      </x:c>
      <x:c r="T36" s="22" t="n">
        <x:v>84</x:v>
      </x:c>
      <x:c r="U36" s="22" t="str">
        <x:v>T3展望デッキと東扇島西公園は24時間利用可能。東扇島西公園は釣り利用で混雑するため、満車時は川崎マリエン外周へ変更。</x:v>
      </x:c>
      <x:c r="V36" s="22" t="str">
        <x:v>一般道向き</x:v>
      </x:c>
      <x:c r="W36" s="22" t="n">
        <x:v>5</x:v>
      </x:c>
      <x:c r="X36" s="22" t="n">
        <x:v>35</x:v>
      </x:c>
      <x:c r="Y36" s="22" t="n">
        <x:f>ROUND(MAX(0,MIN(100,IF('条件入力ナビ'!$B$9="飛行機",O36,IF('条件入力ナビ'!$B$9="海・港",P36,IF('条件入力ナビ'!$B$9="工場夜景",Q36,IF('条件入力ナビ'!$B$9="静かな場所",R36,IF('条件入力ナビ'!$B$9="Story",X36,T36)))))*0.25+IF('条件入力ナビ'!$B$7="深夜",M36,IF('条件入力ナビ'!$B$7="夜",L36,IF('条件入力ナビ'!$B$7="夕方",(L36+S36)/2,S36)))*0.18+IF('条件入力ナビ'!$B$8="雨",N36,IF('条件入力ナビ'!$B$8="小雨",(N36+T36)/2,IF('条件入力ナビ'!$B$8="強風",MAX(0,T36-W36*8),T36)))*0.12+T36*0.10+AK36*0.10+AL36*0.10+AO36*0.15+IF(K36&lt;='条件入力ナビ'!$B$6,5,MAX(-30,-(K36-'条件入力ナビ'!$B$6)*0.45))-AP36*0.30+IF('条件入力ナビ'!$B$12="高速も楽しむ",IF(V36="高速向き",5,-3),IF('条件入力ナビ'!$B$12="一般道中心",IF(V36="一般道向き",4,-7),0)))))</x:f>
        <x:v>79</x:v>
      </x:c>
      <x:c r="Z36" s="22" t="n">
        <x:f>RANK.EQ(Y36,$Y$2:$Y$46,0)+COUNTIF($Y$2:Y36,Y36)-1</x:f>
        <x:v>3</x:v>
      </x:c>
      <x:c r="AA36" s="22" t="n">
        <x:v>90</x:v>
      </x:c>
      <x:c r="AB36" s="22" t="n">
        <x:v>112</x:v>
      </x:c>
      <x:c r="AC36" s="22" t="n">
        <x:v>135</x:v>
      </x:c>
      <x:c r="AD36" s="22" t="n">
        <x:v>2</x:v>
      </x:c>
      <x:c r="AE36" s="22" t="str"/>
      <x:c r="AF36" s="277"/>
      <x:c r="AG36" s="22"/>
      <x:c r="AH36" s="22" t="n">
        <x:v>4</x:v>
      </x:c>
      <x:c r="AI36" s="22" t="n">
        <x:v>5</x:v>
      </x:c>
      <x:c r="AJ36" s="22" t="str">
        <x:v>城南島海浜公園</x:v>
      </x:c>
      <x:c r="AK36" s="22" t="n">
        <x:v>89</x:v>
      </x:c>
      <x:c r="AL36" s="22" t="n">
        <x:v>92</x:v>
      </x:c>
      <x:c r="AM36" s="22" t="str">
        <x:v>深夜専用</x:v>
      </x:c>
      <x:c r="AN36" s="22" t="str">
        <x:v>差替え済</x:v>
      </x:c>
      <x:c r="AO36" s="22" t="n">
        <x:v>88</x:v>
      </x:c>
      <x:c r="AP36" s="22" t="n">
        <x:v>3</x:v>
      </x:c>
      <x:c r="AQ36" s="22" t="str">
        <x:v>川崎・工場夜景</x:v>
      </x:c>
      <x:c r="AR36" s="22"/>
    </x:row>
    <x:row r="37">
      <x:c r="A37" s="22" t="str">
        <x:v>R143</x:v>
      </x:c>
      <x:c r="B37" s="22" t="str">
        <x:v>羽田から川崎工場夜景へ</x:v>
      </x:c>
      <x:c r="C37" s="22" t="str">
        <x:v>足湯／高所工場夜景／港の行き止まり</x:v>
      </x:c>
      <x:c r="D37" s="22" t="str">
        <x:v>HANEDA INNOVATION CITY 足湯スカイデッキ</x:v>
      </x:c>
      <x:c r="E37" s="22" t="str">
        <x:v>川崎マリエン</x:v>
      </x:c>
      <x:c r="F37" s="22"/>
      <x:c r="G37" s="22" t="str">
        <x:v>東扇島西公園</x:v>
      </x:c>
      <x:c r="H37" s="22" t="str">
        <x:v>100～150分</x:v>
      </x:c>
      <x:c r="I37" s="22" t="n">
        <x:v>5</x:v>
      </x:c>
      <x:c r="J37" s="22" t="n">
        <x:v>4</x:v>
      </x:c>
      <x:c r="K37" s="22" t="n">
        <x:v>150</x:v>
      </x:c>
      <x:c r="L37" s="22" t="n">
        <x:v>77</x:v>
      </x:c>
      <x:c r="M37" s="22" t="n">
        <x:v>81</x:v>
      </x:c>
      <x:c r="N37" s="22" t="n">
        <x:v>61</x:v>
      </x:c>
      <x:c r="O37" s="22" t="n">
        <x:v>59</x:v>
      </x:c>
      <x:c r="P37" s="22" t="n">
        <x:v>85</x:v>
      </x:c>
      <x:c r="Q37" s="22" t="n">
        <x:v>88</x:v>
      </x:c>
      <x:c r="R37" s="22" t="n">
        <x:v>50</x:v>
      </x:c>
      <x:c r="S37" s="22" t="n">
        <x:v>53</x:v>
      </x:c>
      <x:c r="T37" s="22" t="n">
        <x:v>69</x:v>
      </x:c>
      <x:c r="U37" s="22" t="str">
        <x:v>川崎マリエン展望室は21時まで。遅れた場合はマリエンを省略し、24時間利用可能な東扇島西公園へ。</x:v>
      </x:c>
      <x:c r="V37" s="22" t="str">
        <x:v>一般道向き</x:v>
      </x:c>
      <x:c r="W37" s="22" t="n">
        <x:v>5</x:v>
      </x:c>
      <x:c r="X37" s="22" t="n">
        <x:v>35</x:v>
      </x:c>
      <x:c r="Y37" s="22" t="n">
        <x:f>ROUND(MAX(0,MIN(100,IF('条件入力ナビ'!$B$9="飛行機",O37,IF('条件入力ナビ'!$B$9="海・港",P37,IF('条件入力ナビ'!$B$9="工場夜景",Q37,IF('条件入力ナビ'!$B$9="静かな場所",R37,IF('条件入力ナビ'!$B$9="Story",X37,T37)))))*0.25+IF('条件入力ナビ'!$B$7="深夜",M37,IF('条件入力ナビ'!$B$7="夜",L37,IF('条件入力ナビ'!$B$7="夕方",(L37+S37)/2,S37)))*0.18+IF('条件入力ナビ'!$B$8="雨",N37,IF('条件入力ナビ'!$B$8="小雨",(N37+T37)/2,IF('条件入力ナビ'!$B$8="強風",MAX(0,T37-W37*8),T37)))*0.12+T37*0.10+AK37*0.10+AL37*0.10+AO37*0.15+IF(K37&lt;='条件入力ナビ'!$B$6,5,MAX(-30,-(K37-'条件入力ナビ'!$B$6)*0.45))-AP37*0.30+IF('条件入力ナビ'!$B$12="高速も楽しむ",IF(V37="高速向き",5,-3),IF('条件入力ナビ'!$B$12="一般道中心",IF(V37="一般道向き",4,-7),0)))))</x:f>
        <x:v>51</x:v>
      </x:c>
      <x:c r="Z37" s="22" t="n">
        <x:f>RANK.EQ(Y37,$Y$2:$Y$46,0)+COUNTIF($Y$2:Y37,Y37)-1</x:f>
        <x:v>24</x:v>
      </x:c>
      <x:c r="AA37" s="22" t="n">
        <x:v>100</x:v>
      </x:c>
      <x:c r="AB37" s="22" t="n">
        <x:v>125</x:v>
      </x:c>
      <x:c r="AC37" s="22" t="n">
        <x:v>150</x:v>
      </x:c>
      <x:c r="AD37" s="22" t="n">
        <x:v>3</x:v>
      </x:c>
      <x:c r="AE37" s="22" t="str">
        <x:v>川崎マリエン</x:v>
      </x:c>
      <x:c r="AF37" s="277" t="n">
        <x:v>0.875</x:v>
      </x:c>
      <x:c r="AG37" s="22" t="n">
        <x:v>2</x:v>
      </x:c>
      <x:c r="AH37" s="22" t="n">
        <x:v>4</x:v>
      </x:c>
      <x:c r="AI37" s="22" t="n">
        <x:v>5</x:v>
      </x:c>
      <x:c r="AJ37" s="22" t="str">
        <x:v>城南島海浜公園</x:v>
      </x:c>
      <x:c r="AK37" s="22" t="n">
        <x:v>76</x:v>
      </x:c>
      <x:c r="AL37" s="22" t="n">
        <x:v>82</x:v>
      </x:c>
      <x:c r="AM37" s="22" t="str">
        <x:v>通常</x:v>
      </x:c>
      <x:c r="AN37" s="22" t="str">
        <x:v>差替え済</x:v>
      </x:c>
      <x:c r="AO37" s="22" t="n">
        <x:v>61</x:v>
      </x:c>
      <x:c r="AP37" s="22" t="n">
        <x:v>21</x:v>
      </x:c>
      <x:c r="AQ37" s="22" t="str">
        <x:v>川崎・工場夜景</x:v>
      </x:c>
      <x:c r="AR37" s="22"/>
    </x:row>
    <x:row r="38">
      <x:c r="A38" s="22" t="str">
        <x:v>R144</x:v>
      </x:c>
      <x:c r="B38" s="22" t="str">
        <x:v>平日夕方90分・大森から羽田へ</x:v>
      </x:c>
      <x:c r="C38" s="22" t="str">
        <x:v>海苔Story／屋上公園／空港夜景</x:v>
      </x:c>
      <x:c r="D38" s="22" t="str">
        <x:v>大森ふるさとの浜辺公園</x:v>
      </x:c>
      <x:c r="E38" s="22" t="str">
        <x:v>森ケ崎公園</x:v>
      </x:c>
      <x:c r="F38" s="22"/>
      <x:c r="G38" s="22" t="str">
        <x:v>羽田空港 第3ターミナル展望デッキ</x:v>
      </x:c>
      <x:c r="H38" s="22" t="str">
        <x:v>80～120分</x:v>
      </x:c>
      <x:c r="I38" s="22" t="n">
        <x:v>4</x:v>
      </x:c>
      <x:c r="J38" s="22" t="n">
        <x:v>4</x:v>
      </x:c>
      <x:c r="K38" s="22" t="n">
        <x:v>120</x:v>
      </x:c>
      <x:c r="L38" s="22" t="n">
        <x:v>84</x:v>
      </x:c>
      <x:c r="M38" s="22" t="n">
        <x:v>84</x:v>
      </x:c>
      <x:c r="N38" s="22" t="n">
        <x:v>89</x:v>
      </x:c>
      <x:c r="O38" s="22" t="n">
        <x:v>89</x:v>
      </x:c>
      <x:c r="P38" s="22" t="n">
        <x:v>89</x:v>
      </x:c>
      <x:c r="Q38" s="22" t="n">
        <x:v>63</x:v>
      </x:c>
      <x:c r="R38" s="22" t="n">
        <x:v>92</x:v>
      </x:c>
      <x:c r="S38" s="22" t="n">
        <x:v>93</x:v>
      </x:c>
      <x:c r="T38" s="22" t="n">
        <x:v>85</x:v>
      </x:c>
      <x:c r="U38" s="22" t="str">
        <x:v>19時前後の出発を推奨。森ケ崎は季節により20:30または21:30、浜辺は21時閉門。遅れたら大森を省略。</x:v>
      </x:c>
      <x:c r="V38" s="22" t="str">
        <x:v>一般道向き</x:v>
      </x:c>
      <x:c r="W38" s="22" t="n">
        <x:v>5</x:v>
      </x:c>
      <x:c r="X38" s="22" t="n">
        <x:v>70</x:v>
      </x:c>
      <x:c r="Y38" s="22" t="n">
        <x:f>ROUND(MAX(0,MIN(100,IF('条件入力ナビ'!$B$9="飛行機",O38,IF('条件入力ナビ'!$B$9="海・港",P38,IF('条件入力ナビ'!$B$9="工場夜景",Q38,IF('条件入力ナビ'!$B$9="静かな場所",R38,IF('条件入力ナビ'!$B$9="Story",X38,T38)))))*0.25+IF('条件入力ナビ'!$B$7="深夜",M38,IF('条件入力ナビ'!$B$7="夜",L38,IF('条件入力ナビ'!$B$7="夕方",(L38+S38)/2,S38)))*0.18+IF('条件入力ナビ'!$B$8="雨",N38,IF('条件入力ナビ'!$B$8="小雨",(N38+T38)/2,IF('条件入力ナビ'!$B$8="強風",MAX(0,T38-W38*8),T38)))*0.12+T38*0.10+AK38*0.10+AL38*0.10+AO38*0.15+IF(K38&lt;='条件入力ナビ'!$B$6,5,MAX(-30,-(K38-'条件入力ナビ'!$B$6)*0.45))-AP38*0.30+IF('条件入力ナビ'!$B$12="高速も楽しむ",IF(V38="高速向き",5,-3),IF('条件入力ナビ'!$B$12="一般道中心",IF(V38="一般道向き",4,-7),0)))))</x:f>
        <x:v>90</x:v>
      </x:c>
      <x:c r="Z38" s="22" t="n">
        <x:f>RANK.EQ(Y38,$Y$2:$Y$46,0)+COUNTIF($Y$2:Y38,Y38)-1</x:f>
        <x:v>1</x:v>
      </x:c>
      <x:c r="AA38" s="22" t="n">
        <x:v>80</x:v>
      </x:c>
      <x:c r="AB38" s="22" t="n">
        <x:v>100</x:v>
      </x:c>
      <x:c r="AC38" s="22" t="n">
        <x:v>120</x:v>
      </x:c>
      <x:c r="AD38" s="22" t="n">
        <x:v>3</x:v>
      </x:c>
      <x:c r="AE38" s="22" t="str">
        <x:v>森ケ崎公園</x:v>
      </x:c>
      <x:c r="AF38" s="277" t="n">
        <x:v>0.8541666666666666</x:v>
      </x:c>
      <x:c r="AG38" s="22" t="n">
        <x:v>2</x:v>
      </x:c>
      <x:c r="AH38" s="22" t="n">
        <x:v>4</x:v>
      </x:c>
      <x:c r="AI38" s="22" t="n">
        <x:v>5</x:v>
      </x:c>
      <x:c r="AJ38" s="22" t="str">
        <x:v>城南島海浜公園</x:v>
      </x:c>
      <x:c r="AK38" s="22" t="n">
        <x:v>88</x:v>
      </x:c>
      <x:c r="AL38" s="22" t="n">
        <x:v>89</x:v>
      </x:c>
      <x:c r="AM38" s="22" t="str">
        <x:v>夕方専用</x:v>
      </x:c>
      <x:c r="AN38" s="22" t="str">
        <x:v>差替え済</x:v>
      </x:c>
      <x:c r="AO38" s="22" t="n">
        <x:v>91</x:v>
      </x:c>
      <x:c r="AP38" s="22" t="n">
        <x:v>6</x:v>
      </x:c>
      <x:c r="AQ38" s="22" t="str">
        <x:v>羽田・航空</x:v>
      </x:c>
      <x:c r="AR38" s="22"/>
    </x:row>
    <x:row r="39">
      <x:c r="A39" s="22" t="str">
        <x:v>R145</x:v>
      </x:c>
      <x:c r="B39" s="22" t="str">
        <x:v>羽田手前・交通と防災の短時間線</x:v>
      </x:c>
      <x:c r="C39" s="22" t="str">
        <x:v>交通Story／防災／足湯</x:v>
      </x:c>
      <x:c r="D39" s="22" t="str">
        <x:v>萩中公園</x:v>
      </x:c>
      <x:c r="E39" s="22" t="str">
        <x:v>東糀谷防災公園</x:v>
      </x:c>
      <x:c r="F39" s="22"/>
      <x:c r="G39" s="22" t="str">
        <x:v>HANEDA INNOVATION CITY 足湯スカイデッキ</x:v>
      </x:c>
      <x:c r="H39" s="22" t="str">
        <x:v>80～125分</x:v>
      </x:c>
      <x:c r="I39" s="22" t="n">
        <x:v>4</x:v>
      </x:c>
      <x:c r="J39" s="22" t="n">
        <x:v>4</x:v>
      </x:c>
      <x:c r="K39" s="22" t="n">
        <x:v>125</x:v>
      </x:c>
      <x:c r="L39" s="22" t="n">
        <x:v>84</x:v>
      </x:c>
      <x:c r="M39" s="22" t="n">
        <x:v>84</x:v>
      </x:c>
      <x:c r="N39" s="22" t="n">
        <x:v>67</x:v>
      </x:c>
      <x:c r="O39" s="22" t="n">
        <x:v>64</x:v>
      </x:c>
      <x:c r="P39" s="22" t="n">
        <x:v>65</x:v>
      </x:c>
      <x:c r="Q39" s="22" t="n">
        <x:v>63</x:v>
      </x:c>
      <x:c r="R39" s="22" t="n">
        <x:v>68</x:v>
      </x:c>
      <x:c r="S39" s="22" t="n">
        <x:v>71</x:v>
      </x:c>
      <x:c r="T39" s="22" t="n">
        <x:v>71</x:v>
      </x:c>
      <x:c r="U39" s="22" t="str">
        <x:v>萩中・東糀谷は短時間に限定。東糀谷10台が満車なら省略。HIC足湯は23:30まで。</x:v>
      </x:c>
      <x:c r="V39" s="22" t="str">
        <x:v>一般道向き</x:v>
      </x:c>
      <x:c r="W39" s="22" t="n">
        <x:v>2</x:v>
      </x:c>
      <x:c r="X39" s="22" t="n">
        <x:v>70</x:v>
      </x:c>
      <x:c r="Y39" s="22" t="n">
        <x:f>ROUND(MAX(0,MIN(100,IF('条件入力ナビ'!$B$9="飛行機",O39,IF('条件入力ナビ'!$B$9="海・港",P39,IF('条件入力ナビ'!$B$9="工場夜景",Q39,IF('条件入力ナビ'!$B$9="静かな場所",R39,IF('条件入力ナビ'!$B$9="Story",X39,T39)))))*0.25+IF('条件入力ナビ'!$B$7="深夜",M39,IF('条件入力ナビ'!$B$7="夜",L39,IF('条件入力ナビ'!$B$7="夕方",(L39+S39)/2,S39)))*0.18+IF('条件入力ナビ'!$B$8="雨",N39,IF('条件入力ナビ'!$B$8="小雨",(N39+T39)/2,IF('条件入力ナビ'!$B$8="強風",MAX(0,T39-W39*8),T39)))*0.12+T39*0.10+AK39*0.10+AL39*0.10+AO39*0.15+IF(K39&lt;='条件入力ナビ'!$B$6,5,MAX(-30,-(K39-'条件入力ナビ'!$B$6)*0.45))-AP39*0.30+IF('条件入力ナビ'!$B$12="高速も楽しむ",IF(V39="高速向き",5,-3),IF('条件入力ナビ'!$B$12="一般道中心",IF(V39="一般道向き",4,-7),0)))))</x:f>
        <x:v>78</x:v>
      </x:c>
      <x:c r="Z39" s="22" t="n">
        <x:f>RANK.EQ(Y39,$Y$2:$Y$46,0)+COUNTIF($Y$2:Y39,Y39)-1</x:f>
        <x:v>4</x:v>
      </x:c>
      <x:c r="AA39" s="22" t="n">
        <x:v>80</x:v>
      </x:c>
      <x:c r="AB39" s="22" t="n">
        <x:v>102</x:v>
      </x:c>
      <x:c r="AC39" s="22" t="n">
        <x:v>125</x:v>
      </x:c>
      <x:c r="AD39" s="22" t="n">
        <x:v>3</x:v>
      </x:c>
      <x:c r="AE39" s="22" t="str">
        <x:v>HANEDA INNOVATION CITY 足湯スカイデッキ</x:v>
      </x:c>
      <x:c r="AF39" s="277" t="n">
        <x:v>0.9791666666666666</x:v>
      </x:c>
      <x:c r="AG39" s="22" t="n">
        <x:v>3</x:v>
      </x:c>
      <x:c r="AH39" s="22" t="n">
        <x:v>4</x:v>
      </x:c>
      <x:c r="AI39" s="22" t="n">
        <x:v>2</x:v>
      </x:c>
      <x:c r="AJ39" s="22" t="str">
        <x:v>羽田空港 第3ターミナル展望デッキ</x:v>
      </x:c>
      <x:c r="AK39" s="22" t="n">
        <x:v>89</x:v>
      </x:c>
      <x:c r="AL39" s="22" t="n">
        <x:v>91</x:v>
      </x:c>
      <x:c r="AM39" s="22" t="str">
        <x:v>平日夜・家族</x:v>
      </x:c>
      <x:c r="AN39" s="22" t="str">
        <x:v>新規</x:v>
      </x:c>
      <x:c r="AO39" s="22" t="n">
        <x:v>93</x:v>
      </x:c>
      <x:c r="AP39" s="22" t="n">
        <x:v>0</x:v>
      </x:c>
      <x:c r="AQ39" s="22" t="str">
        <x:v>羽田・航空</x:v>
      </x:c>
      <x:c r="AR39" s="22"/>
    </x:row>
    <x:row r="40">
      <x:c r="A40" s="22" t="str">
        <x:v>R146</x:v>
      </x:c>
      <x:c r="B40" s="22" t="str">
        <x:v>大田・郷土史から工業島へ</x:v>
      </x:c>
      <x:c r="C40" s="22" t="str">
        <x:v>地域史／海苔産業／工業島</x:v>
      </x:c>
      <x:c r="D40" s="22" t="str">
        <x:v>大田区立郷土博物館</x:v>
      </x:c>
      <x:c r="E40" s="22" t="str">
        <x:v>大森 海苔のふるさと館</x:v>
      </x:c>
      <x:c r="F40" s="22"/>
      <x:c r="G40" s="22" t="str">
        <x:v>昭和島二丁目公園</x:v>
      </x:c>
      <x:c r="H40" s="22" t="str">
        <x:v>140～200分</x:v>
      </x:c>
      <x:c r="I40" s="22" t="n">
        <x:v>2</x:v>
      </x:c>
      <x:c r="J40" s="22" t="n">
        <x:v>4</x:v>
      </x:c>
      <x:c r="K40" s="22" t="n">
        <x:v>200</x:v>
      </x:c>
      <x:c r="L40" s="22" t="n">
        <x:v>68</x:v>
      </x:c>
      <x:c r="M40" s="22" t="n">
        <x:v>67</x:v>
      </x:c>
      <x:c r="N40" s="22" t="n">
        <x:v>59</x:v>
      </x:c>
      <x:c r="O40" s="22" t="n">
        <x:v>55</x:v>
      </x:c>
      <x:c r="P40" s="22" t="n">
        <x:v>80</x:v>
      </x:c>
      <x:c r="Q40" s="22" t="n">
        <x:v>84</x:v>
      </x:c>
      <x:c r="R40" s="22" t="n">
        <x:v>65</x:v>
      </x:c>
      <x:c r="S40" s="22" t="n">
        <x:v>76</x:v>
      </x:c>
      <x:c r="T40" s="22" t="n">
        <x:v>69</x:v>
      </x:c>
      <x:c r="U40" s="22" t="str">
        <x:v>昼専用。博物館は17時、海苔館も通常17時。昭和島は季節により21時または22時閉場。</x:v>
      </x:c>
      <x:c r="V40" s="22" t="str">
        <x:v>一般道向き</x:v>
      </x:c>
      <x:c r="W40" s="22" t="n">
        <x:v>5</x:v>
      </x:c>
      <x:c r="X40" s="22" t="n">
        <x:v>70</x:v>
      </x:c>
      <x:c r="Y40" s="22" t="n">
        <x:f>ROUND(MAX(0,MIN(100,IF('条件入力ナビ'!$B$9="飛行機",O40,IF('条件入力ナビ'!$B$9="海・港",P40,IF('条件入力ナビ'!$B$9="工場夜景",Q40,IF('条件入力ナビ'!$B$9="静かな場所",R40,IF('条件入力ナビ'!$B$9="Story",X40,T40)))))*0.25+IF('条件入力ナビ'!$B$7="深夜",M40,IF('条件入力ナビ'!$B$7="夜",L40,IF('条件入力ナビ'!$B$7="夕方",(L40+S40)/2,S40)))*0.18+IF('条件入力ナビ'!$B$8="雨",N40,IF('条件入力ナビ'!$B$8="小雨",(N40+T40)/2,IF('条件入力ナビ'!$B$8="強風",MAX(0,T40-W40*8),T40)))*0.12+T40*0.10+AK40*0.10+AL40*0.10+AO40*0.15+IF(K40&lt;='条件入力ナビ'!$B$6,5,MAX(-30,-(K40-'条件入力ナビ'!$B$6)*0.45))-AP40*0.30+IF('条件入力ナビ'!$B$12="高速も楽しむ",IF(V40="高速向き",5,-3),IF('条件入力ナビ'!$B$12="一般道中心",IF(V40="一般道向き",4,-7),0)))))</x:f>
        <x:v>48</x:v>
      </x:c>
      <x:c r="Z40" s="22" t="n">
        <x:f>RANK.EQ(Y40,$Y$2:$Y$46,0)+COUNTIF($Y$2:Y40,Y40)-1</x:f>
        <x:v>27</x:v>
      </x:c>
      <x:c r="AA40" s="22" t="n">
        <x:v>140</x:v>
      </x:c>
      <x:c r="AB40" s="22" t="n">
        <x:v>170</x:v>
      </x:c>
      <x:c r="AC40" s="22" t="n">
        <x:v>200</x:v>
      </x:c>
      <x:c r="AD40" s="22" t="n">
        <x:v>3</x:v>
      </x:c>
      <x:c r="AE40" s="22" t="str">
        <x:v>大田区立郷土博物館</x:v>
      </x:c>
      <x:c r="AF40" s="277" t="n">
        <x:v>0.7083333333333334</x:v>
      </x:c>
      <x:c r="AG40" s="22" t="n">
        <x:v>1</x:v>
      </x:c>
      <x:c r="AH40" s="22" t="n">
        <x:v>4</x:v>
      </x:c>
      <x:c r="AI40" s="22" t="n">
        <x:v>5</x:v>
      </x:c>
      <x:c r="AJ40" s="22" t="str">
        <x:v>京浜島つばさ公園</x:v>
      </x:c>
      <x:c r="AK40" s="22" t="n">
        <x:v>92</x:v>
      </x:c>
      <x:c r="AL40" s="22" t="n">
        <x:v>94</x:v>
      </x:c>
      <x:c r="AM40" s="22" t="str">
        <x:v>昼専用</x:v>
      </x:c>
      <x:c r="AN40" s="22" t="str">
        <x:v>新規</x:v>
      </x:c>
      <x:c r="AO40" s="22" t="n">
        <x:v>96</x:v>
      </x:c>
      <x:c r="AP40" s="22" t="n">
        <x:v>0</x:v>
      </x:c>
      <x:c r="AQ40" s="22" t="str">
        <x:v>Story・文化</x:v>
      </x:c>
      <x:c r="AR40" s="22"/>
    </x:row>
    <x:row r="41">
      <x:c r="A41" s="22" t="str">
        <x:v>R147</x:v>
      </x:c>
      <x:c r="B41" s="22" t="str">
        <x:v>品川・東海道からナイターへ</x:v>
      </x:c>
      <x:c r="C41" s="22" t="str">
        <x:v>東海道Story／競馬場／都市照明</x:v>
      </x:c>
      <x:c r="D41" s="22" t="str">
        <x:v>品川区立 品川歴史館</x:v>
      </x:c>
      <x:c r="E41" s="22"/>
      <x:c r="F41" s="22"/>
      <x:c r="G41" s="22" t="str">
        <x:v>東京シティ競馬 大井競馬場</x:v>
      </x:c>
      <x:c r="H41" s="22" t="str">
        <x:v>150～240分</x:v>
      </x:c>
      <x:c r="I41" s="22" t="n">
        <x:v>4</x:v>
      </x:c>
      <x:c r="J41" s="22" t="n">
        <x:v>4</x:v>
      </x:c>
      <x:c r="K41" s="22" t="n">
        <x:v>240</x:v>
      </x:c>
      <x:c r="L41" s="22" t="n">
        <x:v>76</x:v>
      </x:c>
      <x:c r="M41" s="22" t="n">
        <x:v>79</x:v>
      </x:c>
      <x:c r="N41" s="22" t="n">
        <x:v>63</x:v>
      </x:c>
      <x:c r="O41" s="22" t="n">
        <x:v>61</x:v>
      </x:c>
      <x:c r="P41" s="22" t="n">
        <x:v>86</x:v>
      </x:c>
      <x:c r="Q41" s="22" t="n">
        <x:v>63</x:v>
      </x:c>
      <x:c r="R41" s="22" t="n">
        <x:v>64</x:v>
      </x:c>
      <x:c r="S41" s="22" t="n">
        <x:v>75</x:v>
      </x:c>
      <x:c r="T41" s="22" t="n">
        <x:v>71</x:v>
      </x:c>
      <x:c r="U41" s="22" t="str">
        <x:v>競馬開催日専用。歴史館は16:30最終入館。競馬場駐車料金・予約制・開門時刻を当日確認。</x:v>
      </x:c>
      <x:c r="V41" s="22" t="str">
        <x:v>一般道向き</x:v>
      </x:c>
      <x:c r="W41" s="22" t="n">
        <x:v>5</x:v>
      </x:c>
      <x:c r="X41" s="22" t="n">
        <x:v>70</x:v>
      </x:c>
      <x:c r="Y41" s="22" t="n">
        <x:f>ROUND(MAX(0,MIN(100,IF('条件入力ナビ'!$B$9="飛行機",O41,IF('条件入力ナビ'!$B$9="海・港",P41,IF('条件入力ナビ'!$B$9="工場夜景",Q41,IF('条件入力ナビ'!$B$9="静かな場所",R41,IF('条件入力ナビ'!$B$9="Story",X41,T41)))))*0.25+IF('条件入力ナビ'!$B$7="深夜",M41,IF('条件入力ナビ'!$B$7="夜",L41,IF('条件入力ナビ'!$B$7="夕方",(L41+S41)/2,S41)))*0.18+IF('条件入力ナビ'!$B$8="雨",N41,IF('条件入力ナビ'!$B$8="小雨",(N41+T41)/2,IF('条件入力ナビ'!$B$8="強風",MAX(0,T41-W41*8),T41)))*0.12+T41*0.10+AK41*0.10+AL41*0.10+AO41*0.15+IF(K41&lt;='条件入力ナビ'!$B$6,5,MAX(-30,-(K41-'条件入力ナビ'!$B$6)*0.45))-AP41*0.30+IF('条件入力ナビ'!$B$12="高速も楽しむ",IF(V41="高速向き",5,-3),IF('条件入力ナビ'!$B$12="一般道中心",IF(V41="一般道向き",4,-7),0)))))</x:f>
        <x:v>49</x:v>
      </x:c>
      <x:c r="Z41" s="22" t="n">
        <x:f>RANK.EQ(Y41,$Y$2:$Y$46,0)+COUNTIF($Y$2:Y41,Y41)-1</x:f>
        <x:v>25</x:v>
      </x:c>
      <x:c r="AA41" s="22" t="n">
        <x:v>150</x:v>
      </x:c>
      <x:c r="AB41" s="22" t="n">
        <x:v>195</x:v>
      </x:c>
      <x:c r="AC41" s="22" t="n">
        <x:v>240</x:v>
      </x:c>
      <x:c r="AD41" s="22" t="n">
        <x:v>2</x:v>
      </x:c>
      <x:c r="AE41" s="22" t="str">
        <x:v>品川区立 品川歴史館</x:v>
      </x:c>
      <x:c r="AF41" s="277" t="n">
        <x:v>0.6875</x:v>
      </x:c>
      <x:c r="AG41" s="22" t="n">
        <x:v>1</x:v>
      </x:c>
      <x:c r="AH41" s="22" t="n">
        <x:v>4</x:v>
      </x:c>
      <x:c r="AI41" s="22" t="n">
        <x:v>5</x:v>
      </x:c>
      <x:c r="AJ41" s="22" t="str">
        <x:v>しながわ区民公園</x:v>
      </x:c>
      <x:c r="AK41" s="22" t="n">
        <x:v>89</x:v>
      </x:c>
      <x:c r="AL41" s="22" t="n">
        <x:v>90</x:v>
      </x:c>
      <x:c r="AM41" s="22" t="str">
        <x:v>開催日専用</x:v>
      </x:c>
      <x:c r="AN41" s="22" t="str">
        <x:v>新規</x:v>
      </x:c>
      <x:c r="AO41" s="22" t="n">
        <x:v>95</x:v>
      </x:c>
      <x:c r="AP41" s="22" t="n">
        <x:v>0</x:v>
      </x:c>
      <x:c r="AQ41" s="22" t="str">
        <x:v>Story・文化</x:v>
      </x:c>
      <x:c r="AR41" s="22"/>
    </x:row>
    <x:row r="42">
      <x:c r="A42" s="22" t="str">
        <x:v>R148</x:v>
      </x:c>
      <x:c r="B42" s="22" t="str">
        <x:v>品川湾岸・運河と高架の三景</x:v>
      </x:c>
      <x:c r="C42" s="22" t="str">
        <x:v>運河／高架インフラ／水再生センター</x:v>
      </x:c>
      <x:c r="D42" s="22" t="str">
        <x:v>天王洲公園</x:v>
      </x:c>
      <x:c r="E42" s="22" t="str">
        <x:v>八潮北公園</x:v>
      </x:c>
      <x:c r="F42" s="22"/>
      <x:c r="G42" s="22" t="str">
        <x:v>品川シーズンテラス／芝浦中央公園</x:v>
      </x:c>
      <x:c r="H42" s="22" t="str">
        <x:v>100～155分</x:v>
      </x:c>
      <x:c r="I42" s="22" t="n">
        <x:v>4</x:v>
      </x:c>
      <x:c r="J42" s="22" t="n">
        <x:v>4</x:v>
      </x:c>
      <x:c r="K42" s="22" t="n">
        <x:v>155</x:v>
      </x:c>
      <x:c r="L42" s="22" t="n">
        <x:v>81</x:v>
      </x:c>
      <x:c r="M42" s="22" t="n">
        <x:v>83</x:v>
      </x:c>
      <x:c r="N42" s="22" t="n">
        <x:v>66</x:v>
      </x:c>
      <x:c r="O42" s="22" t="n">
        <x:v>63</x:v>
      </x:c>
      <x:c r="P42" s="22" t="n">
        <x:v>89</x:v>
      </x:c>
      <x:c r="Q42" s="22" t="n">
        <x:v>64</x:v>
      </x:c>
      <x:c r="R42" s="22" t="n">
        <x:v>59</x:v>
      </x:c>
      <x:c r="S42" s="22" t="n">
        <x:v>59</x:v>
      </x:c>
      <x:c r="T42" s="22" t="n">
        <x:v>70</x:v>
      </x:c>
      <x:c r="U42" s="22" t="str">
        <x:v>天王洲・八潮の大会日を確認。品川シーズンテラスは23時まで。強風時は八潮を省略。</x:v>
      </x:c>
      <x:c r="V42" s="22" t="str">
        <x:v>一般道向き</x:v>
      </x:c>
      <x:c r="W42" s="22" t="n">
        <x:v>5</x:v>
      </x:c>
      <x:c r="X42" s="22" t="n">
        <x:v>35</x:v>
      </x:c>
      <x:c r="Y42" s="22" t="n">
        <x:f>ROUND(MAX(0,MIN(100,IF('条件入力ナビ'!$B$9="飛行機",O42,IF('条件入力ナビ'!$B$9="海・港",P42,IF('条件入力ナビ'!$B$9="工場夜景",Q42,IF('条件入力ナビ'!$B$9="静かな場所",R42,IF('条件入力ナビ'!$B$9="Story",X42,T42)))))*0.25+IF('条件入力ナビ'!$B$7="深夜",M42,IF('条件入力ナビ'!$B$7="夜",L42,IF('条件入力ナビ'!$B$7="夕方",(L42+S42)/2,S42)))*0.18+IF('条件入力ナビ'!$B$8="雨",N42,IF('条件入力ナビ'!$B$8="小雨",(N42+T42)/2,IF('条件入力ナビ'!$B$8="強風",MAX(0,T42-W42*8),T42)))*0.12+T42*0.10+AK42*0.10+AL42*0.10+AO42*0.15+IF(K42&lt;='条件入力ナビ'!$B$6,5,MAX(-30,-(K42-'条件入力ナビ'!$B$6)*0.45))-AP42*0.30+IF('条件入力ナビ'!$B$12="高速も楽しむ",IF(V42="高速向き",5,-3),IF('条件入力ナビ'!$B$12="一般道中心",IF(V42="一般道向き",4,-7),0)))))</x:f>
        <x:v>65</x:v>
      </x:c>
      <x:c r="Z42" s="22" t="n">
        <x:f>RANK.EQ(Y42,$Y$2:$Y$46,0)+COUNTIF($Y$2:Y42,Y42)-1</x:f>
        <x:v>15</x:v>
      </x:c>
      <x:c r="AA42" s="22" t="n">
        <x:v>100</x:v>
      </x:c>
      <x:c r="AB42" s="22" t="n">
        <x:v>128</x:v>
      </x:c>
      <x:c r="AC42" s="22" t="n">
        <x:v>155</x:v>
      </x:c>
      <x:c r="AD42" s="22" t="n">
        <x:v>3</x:v>
      </x:c>
      <x:c r="AE42" s="22" t="str">
        <x:v>天王洲公園</x:v>
      </x:c>
      <x:c r="AF42" s="277" t="n">
        <x:v>0.875</x:v>
      </x:c>
      <x:c r="AG42" s="22" t="n">
        <x:v>1</x:v>
      </x:c>
      <x:c r="AH42" s="22" t="n">
        <x:v>4</x:v>
      </x:c>
      <x:c r="AI42" s="22" t="n">
        <x:v>5</x:v>
      </x:c>
      <x:c r="AJ42" s="22" t="str">
        <x:v>森ケ崎公園</x:v>
      </x:c>
      <x:c r="AK42" s="22" t="n">
        <x:v>91</x:v>
      </x:c>
      <x:c r="AL42" s="22" t="n">
        <x:v>93</x:v>
      </x:c>
      <x:c r="AM42" s="22" t="str">
        <x:v>夕方～夜</x:v>
      </x:c>
      <x:c r="AN42" s="22" t="str">
        <x:v>新規</x:v>
      </x:c>
      <x:c r="AO42" s="22" t="n">
        <x:v>97</x:v>
      </x:c>
      <x:c r="AP42" s="22" t="n">
        <x:v>0</x:v>
      </x:c>
      <x:c r="AQ42" s="22" t="str">
        <x:v>東京港・水辺</x:v>
      </x:c>
      <x:c r="AR42" s="22"/>
    </x:row>
    <x:row r="43">
      <x:c r="A43" s="22" t="str">
        <x:v>R149</x:v>
      </x:c>
      <x:c r="B43" s="22" t="str">
        <x:v>品川から東京タワーへ都市インフラ線</x:v>
      </x:c>
      <x:c r="C43" s="22" t="str">
        <x:v>水再生センター／高層街／放送塔</x:v>
      </x:c>
      <x:c r="D43" s="22" t="str">
        <x:v>品川シーズンテラス／芝浦中央公園</x:v>
      </x:c>
      <x:c r="E43" s="22"/>
      <x:c r="F43" s="22"/>
      <x:c r="G43" s="22" t="str">
        <x:v>東京タワー</x:v>
      </x:c>
      <x:c r="H43" s="22" t="str">
        <x:v>95～145分</x:v>
      </x:c>
      <x:c r="I43" s="22" t="n">
        <x:v>5</x:v>
      </x:c>
      <x:c r="J43" s="22" t="n">
        <x:v>4</x:v>
      </x:c>
      <x:c r="K43" s="22" t="n">
        <x:v>145</x:v>
      </x:c>
      <x:c r="L43" s="22" t="n">
        <x:v>86</x:v>
      </x:c>
      <x:c r="M43" s="22" t="n">
        <x:v>89</x:v>
      </x:c>
      <x:c r="N43" s="22" t="n">
        <x:v>68</x:v>
      </x:c>
      <x:c r="O43" s="22" t="n">
        <x:v>66</x:v>
      </x:c>
      <x:c r="P43" s="22" t="n">
        <x:v>67</x:v>
      </x:c>
      <x:c r="Q43" s="22" t="n">
        <x:v>68</x:v>
      </x:c>
      <x:c r="R43" s="22" t="n">
        <x:v>58</x:v>
      </x:c>
      <x:c r="S43" s="22" t="n">
        <x:v>51</x:v>
      </x:c>
      <x:c r="T43" s="22" t="n">
        <x:v>69</x:v>
      </x:c>
      <x:c r="U43" s="22" t="str">
        <x:v>品川シーズンテラスは23時、東京タワー最終入場22:30。地下駐車場は休止中。</x:v>
      </x:c>
      <x:c r="V43" s="22" t="str">
        <x:v>一般道向き</x:v>
      </x:c>
      <x:c r="W43" s="22" t="n">
        <x:v>2</x:v>
      </x:c>
      <x:c r="X43" s="22" t="n">
        <x:v>35</x:v>
      </x:c>
      <x:c r="Y43" s="22" t="n">
        <x:f>ROUND(MAX(0,MIN(100,IF('条件入力ナビ'!$B$9="飛行機",O43,IF('条件入力ナビ'!$B$9="海・港",P43,IF('条件入力ナビ'!$B$9="工場夜景",Q43,IF('条件入力ナビ'!$B$9="静かな場所",R43,IF('条件入力ナビ'!$B$9="Story",X43,T43)))))*0.25+IF('条件入力ナビ'!$B$7="深夜",M43,IF('条件入力ナビ'!$B$7="夜",L43,IF('条件入力ナビ'!$B$7="夕方",(L43+S43)/2,S43)))*0.18+IF('条件入力ナビ'!$B$8="雨",N43,IF('条件入力ナビ'!$B$8="小雨",(N43+T43)/2,IF('条件入力ナビ'!$B$8="強風",MAX(0,T43-W43*8),T43)))*0.12+T43*0.10+AK43*0.10+AL43*0.10+AO43*0.15+IF(K43&lt;='条件入力ナビ'!$B$6,5,MAX(-30,-(K43-'条件入力ナビ'!$B$6)*0.45))-AP43*0.30+IF('条件入力ナビ'!$B$12="高速も楽しむ",IF(V43="高速向き",5,-3),IF('条件入力ナビ'!$B$12="一般道中心",IF(V43="一般道向き",4,-7),0)))))</x:f>
        <x:v>69</x:v>
      </x:c>
      <x:c r="Z43" s="22" t="n">
        <x:f>RANK.EQ(Y43,$Y$2:$Y$46,0)+COUNTIF($Y$2:Y43,Y43)-1</x:f>
        <x:v>10</x:v>
      </x:c>
      <x:c r="AA43" s="22" t="n">
        <x:v>95</x:v>
      </x:c>
      <x:c r="AB43" s="22" t="n">
        <x:v>120</x:v>
      </x:c>
      <x:c r="AC43" s="22" t="n">
        <x:v>145</x:v>
      </x:c>
      <x:c r="AD43" s="22" t="n">
        <x:v>2</x:v>
      </x:c>
      <x:c r="AE43" s="22" t="str">
        <x:v>東京タワー</x:v>
      </x:c>
      <x:c r="AF43" s="277" t="n">
        <x:v>0.9375</x:v>
      </x:c>
      <x:c r="AG43" s="22" t="n">
        <x:v>2</x:v>
      </x:c>
      <x:c r="AH43" s="22" t="n">
        <x:v>4</x:v>
      </x:c>
      <x:c r="AI43" s="22" t="n">
        <x:v>2</x:v>
      </x:c>
      <x:c r="AJ43" s="22" t="str">
        <x:v>東京都庁展望室</x:v>
      </x:c>
      <x:c r="AK43" s="22" t="n">
        <x:v>92</x:v>
      </x:c>
      <x:c r="AL43" s="22" t="n">
        <x:v>95</x:v>
      </x:c>
      <x:c r="AM43" s="22" t="str">
        <x:v>平日夜</x:v>
      </x:c>
      <x:c r="AN43" s="22" t="str">
        <x:v>新規</x:v>
      </x:c>
      <x:c r="AO43" s="22" t="n">
        <x:v>94</x:v>
      </x:c>
      <x:c r="AP43" s="22" t="n">
        <x:v>0</x:v>
      </x:c>
      <x:c r="AQ43" s="22" t="str">
        <x:v>都市夜景・建築</x:v>
      </x:c>
      <x:c r="AR43" s="22"/>
    </x:row>
    <x:row r="44">
      <x:c r="A44" s="22" t="str">
        <x:v>R150</x:v>
      </x:c>
      <x:c r="B44" s="22" t="str">
        <x:v>六本木・庭園から空中都市へ</x:v>
      </x:c>
      <x:c r="C44" s="22" t="str">
        <x:v>庭園／現代建築／高層展望</x:v>
      </x:c>
      <x:c r="D44" s="22" t="str">
        <x:v>東京ミッドタウン／ミッドタウン・ガーデン</x:v>
      </x:c>
      <x:c r="E44" s="22"/>
      <x:c r="F44" s="22"/>
      <x:c r="G44" s="22" t="str">
        <x:v>六本木ヒルズ 東京シティビュー</x:v>
      </x:c>
      <x:c r="H44" s="22" t="str">
        <x:v>100～160分</x:v>
      </x:c>
      <x:c r="I44" s="22" t="n">
        <x:v>5</x:v>
      </x:c>
      <x:c r="J44" s="22" t="n">
        <x:v>4</x:v>
      </x:c>
      <x:c r="K44" s="22" t="n">
        <x:v>160</x:v>
      </x:c>
      <x:c r="L44" s="22" t="n">
        <x:v>84</x:v>
      </x:c>
      <x:c r="M44" s="22" t="n">
        <x:v>88</x:v>
      </x:c>
      <x:c r="N44" s="22" t="n">
        <x:v>67</x:v>
      </x:c>
      <x:c r="O44" s="22" t="n">
        <x:v>65</x:v>
      </x:c>
      <x:c r="P44" s="22" t="n">
        <x:v>66</x:v>
      </x:c>
      <x:c r="Q44" s="22" t="n">
        <x:v>67</x:v>
      </x:c>
      <x:c r="R44" s="22" t="n">
        <x:v>90</x:v>
      </x:c>
      <x:c r="S44" s="22" t="n">
        <x:v>77</x:v>
      </x:c>
      <x:c r="T44" s="22" t="n">
        <x:v>76</x:v>
      </x:c>
      <x:c r="U44" s="22" t="str">
        <x:v>東京シティビューは2026年7月31日まで休館。8月1日以降に使用。企画展・貸切を確認。</x:v>
      </x:c>
      <x:c r="V44" s="22" t="str">
        <x:v>一般道向き</x:v>
      </x:c>
      <x:c r="W44" s="22" t="n">
        <x:v>2</x:v>
      </x:c>
      <x:c r="X44" s="22" t="n">
        <x:v>70</x:v>
      </x:c>
      <x:c r="Y44" s="22" t="n">
        <x:f>ROUND(MAX(0,MIN(100,IF('条件入力ナビ'!$B$9="飛行機",O44,IF('条件入力ナビ'!$B$9="海・港",P44,IF('条件入力ナビ'!$B$9="工場夜景",Q44,IF('条件入力ナビ'!$B$9="静かな場所",R44,IF('条件入力ナビ'!$B$9="Story",X44,T44)))))*0.25+IF('条件入力ナビ'!$B$7="深夜",M44,IF('条件入力ナビ'!$B$7="夜",L44,IF('条件入力ナビ'!$B$7="夕方",(L44+S44)/2,S44)))*0.18+IF('条件入力ナビ'!$B$8="雨",N44,IF('条件入力ナビ'!$B$8="小雨",(N44+T44)/2,IF('条件入力ナビ'!$B$8="強風",MAX(0,T44-W44*8),T44)))*0.12+T44*0.10+AK44*0.10+AL44*0.10+AO44*0.15+IF(K44&lt;='条件入力ナビ'!$B$6,5,MAX(-30,-(K44-'条件入力ナビ'!$B$6)*0.45))-AP44*0.30+IF('条件入力ナビ'!$B$12="高速も楽しむ",IF(V44="高速向き",5,-3),IF('条件入力ナビ'!$B$12="一般道中心",IF(V44="一般道向き",4,-7),0)))))</x:f>
        <x:v>64</x:v>
      </x:c>
      <x:c r="Z44" s="22" t="n">
        <x:f>RANK.EQ(Y44,$Y$2:$Y$46,0)+COUNTIF($Y$2:Y44,Y44)-1</x:f>
        <x:v>16</x:v>
      </x:c>
      <x:c r="AA44" s="22" t="n">
        <x:v>100</x:v>
      </x:c>
      <x:c r="AB44" s="22" t="n">
        <x:v>130</x:v>
      </x:c>
      <x:c r="AC44" s="22" t="n">
        <x:v>160</x:v>
      </x:c>
      <x:c r="AD44" s="22" t="n">
        <x:v>2</x:v>
      </x:c>
      <x:c r="AE44" s="22" t="str">
        <x:v>六本木ヒルズ 東京シティビュー</x:v>
      </x:c>
      <x:c r="AF44" s="277" t="n">
        <x:v>0.8958333333333334</x:v>
      </x:c>
      <x:c r="AG44" s="22" t="n">
        <x:v>2</x:v>
      </x:c>
      <x:c r="AH44" s="22" t="n">
        <x:v>4</x:v>
      </x:c>
      <x:c r="AI44" s="22" t="n">
        <x:v>2</x:v>
      </x:c>
      <x:c r="AJ44" s="22" t="str">
        <x:v>東京タワー</x:v>
      </x:c>
      <x:c r="AK44" s="22" t="n">
        <x:v>89</x:v>
      </x:c>
      <x:c r="AL44" s="22" t="n">
        <x:v>92</x:v>
      </x:c>
      <x:c r="AM44" s="22" t="str">
        <x:v>8月1日以降・夜</x:v>
      </x:c>
      <x:c r="AN44" s="22" t="str">
        <x:v>新規</x:v>
      </x:c>
      <x:c r="AO44" s="22" t="n">
        <x:v>90</x:v>
      </x:c>
      <x:c r="AP44" s="22" t="n">
        <x:v>0</x:v>
      </x:c>
      <x:c r="AQ44" s="22" t="str">
        <x:v>都市夜景・建築</x:v>
      </x:c>
      <x:c r="AR44" s="22"/>
    </x:row>
    <x:row r="45">
      <x:c r="A45" s="22" t="str">
        <x:v>R151</x:v>
      </x:c>
      <x:c r="B45" s="22" t="str">
        <x:v>新宿・庭園と明治建築</x:v>
      </x:c>
      <x:c r="C45" s="22" t="str">
        <x:v>大庭園／近代建築／明治史</x:v>
      </x:c>
      <x:c r="D45" s="22" t="str">
        <x:v>新宿御苑</x:v>
      </x:c>
      <x:c r="E45" s="22"/>
      <x:c r="F45" s="22"/>
      <x:c r="G45" s="22" t="str">
        <x:v>明治神宮外苑 聖徳記念絵画館</x:v>
      </x:c>
      <x:c r="H45" s="22" t="str">
        <x:v>160～230分</x:v>
      </x:c>
      <x:c r="I45" s="22" t="n">
        <x:v>1</x:v>
      </x:c>
      <x:c r="J45" s="22" t="n">
        <x:v>4</x:v>
      </x:c>
      <x:c r="K45" s="22" t="n">
        <x:v>230</x:v>
      </x:c>
      <x:c r="L45" s="22" t="n">
        <x:v>63</x:v>
      </x:c>
      <x:c r="M45" s="22" t="n">
        <x:v>61</x:v>
      </x:c>
      <x:c r="N45" s="22" t="n">
        <x:v>57</x:v>
      </x:c>
      <x:c r="O45" s="22" t="n">
        <x:v>52</x:v>
      </x:c>
      <x:c r="P45" s="22" t="n">
        <x:v>52</x:v>
      </x:c>
      <x:c r="Q45" s="22" t="n">
        <x:v>52</x:v>
      </x:c>
      <x:c r="R45" s="22" t="n">
        <x:v>89</x:v>
      </x:c>
      <x:c r="S45" s="22" t="n">
        <x:v>76</x:v>
      </x:c>
      <x:c r="T45" s="22" t="n">
        <x:v>63</x:v>
      </x:c>
      <x:c r="U45" s="22" t="str">
        <x:v>昼専用。新宿御苑の季節閉園時刻と、絵画館最終入館16:00を優先。水曜は絵画館休館。</x:v>
      </x:c>
      <x:c r="V45" s="22" t="str">
        <x:v>一般道向き</x:v>
      </x:c>
      <x:c r="W45" s="22" t="n">
        <x:v>2</x:v>
      </x:c>
      <x:c r="X45" s="22" t="n">
        <x:v>70</x:v>
      </x:c>
      <x:c r="Y45" s="22" t="n">
        <x:f>ROUND(MAX(0,MIN(100,IF('条件入力ナビ'!$B$9="飛行機",O45,IF('条件入力ナビ'!$B$9="海・港",P45,IF('条件入力ナビ'!$B$9="工場夜景",Q45,IF('条件入力ナビ'!$B$9="静かな場所",R45,IF('条件入力ナビ'!$B$9="Story",X45,T45)))))*0.25+IF('条件入力ナビ'!$B$7="深夜",M45,IF('条件入力ナビ'!$B$7="夜",L45,IF('条件入力ナビ'!$B$7="夕方",(L45+S45)/2,S45)))*0.18+IF('条件入力ナビ'!$B$8="雨",N45,IF('条件入力ナビ'!$B$8="小雨",(N45+T45)/2,IF('条件入力ナビ'!$B$8="強風",MAX(0,T45-W45*8),T45)))*0.12+T45*0.10+AK45*0.10+AL45*0.10+AO45*0.15+IF(K45&lt;='条件入力ナビ'!$B$6,5,MAX(-30,-(K45-'条件入力ナビ'!$B$6)*0.45))-AP45*0.30+IF('条件入力ナビ'!$B$12="高速も楽しむ",IF(V45="高速向き",5,-3),IF('条件入力ナビ'!$B$12="一般道中心",IF(V45="一般道向き",4,-7),0)))))</x:f>
        <x:v>44</x:v>
      </x:c>
      <x:c r="Z45" s="22" t="n">
        <x:f>RANK.EQ(Y45,$Y$2:$Y$46,0)+COUNTIF($Y$2:Y45,Y45)-1</x:f>
        <x:v>35</x:v>
      </x:c>
      <x:c r="AA45" s="22" t="n">
        <x:v>160</x:v>
      </x:c>
      <x:c r="AB45" s="22" t="n">
        <x:v>195</x:v>
      </x:c>
      <x:c r="AC45" s="22" t="n">
        <x:v>230</x:v>
      </x:c>
      <x:c r="AD45" s="22" t="n">
        <x:v>2</x:v>
      </x:c>
      <x:c r="AE45" s="22" t="str">
        <x:v>明治神宮外苑 聖徳記念絵画館</x:v>
      </x:c>
      <x:c r="AF45" s="277" t="n">
        <x:v>0.6666666666666666</x:v>
      </x:c>
      <x:c r="AG45" s="22" t="n">
        <x:v>2</x:v>
      </x:c>
      <x:c r="AH45" s="22" t="n">
        <x:v>4</x:v>
      </x:c>
      <x:c r="AI45" s="22" t="n">
        <x:v>2</x:v>
      </x:c>
      <x:c r="AJ45" s="22" t="str">
        <x:v>新宿御苑</x:v>
      </x:c>
      <x:c r="AK45" s="22" t="n">
        <x:v>92</x:v>
      </x:c>
      <x:c r="AL45" s="22" t="n">
        <x:v>94</x:v>
      </x:c>
      <x:c r="AM45" s="22" t="str">
        <x:v>休日半日・昼</x:v>
      </x:c>
      <x:c r="AN45" s="22" t="str">
        <x:v>新規</x:v>
      </x:c>
      <x:c r="AO45" s="22" t="n">
        <x:v>96</x:v>
      </x:c>
      <x:c r="AP45" s="22" t="n">
        <x:v>0</x:v>
      </x:c>
      <x:c r="AQ45" s="22" t="str">
        <x:v>Story・文化</x:v>
      </x:c>
      <x:c r="AR45" s="22"/>
    </x:row>
    <x:row r="46">
      <x:c r="A46" s="22" t="str">
        <x:v>R152</x:v>
      </x:c>
      <x:c r="B46" s="22" t="str">
        <x:v>西新宿・巨大空間から都庁夜景へ</x:v>
      </x:c>
      <x:c r="C46" s="22" t="str">
        <x:v>巨大アトリウム／超高層街／無料展望</x:v>
      </x:c>
      <x:c r="D46" s="22" t="str">
        <x:v>新宿NSビル アトリウム・大時計</x:v>
      </x:c>
      <x:c r="E46" s="22"/>
      <x:c r="F46" s="22"/>
      <x:c r="G46" s="22" t="str">
        <x:v>東京都庁展望室</x:v>
      </x:c>
      <x:c r="H46" s="22" t="str">
        <x:v>90～140分</x:v>
      </x:c>
      <x:c r="I46" s="22" t="n">
        <x:v>5</x:v>
      </x:c>
      <x:c r="J46" s="22" t="n">
        <x:v>4</x:v>
      </x:c>
      <x:c r="K46" s="22" t="n">
        <x:v>140</x:v>
      </x:c>
      <x:c r="L46" s="22" t="n">
        <x:v>91</x:v>
      </x:c>
      <x:c r="M46" s="22" t="n">
        <x:v>93</x:v>
      </x:c>
      <x:c r="N46" s="22" t="n">
        <x:v>71</x:v>
      </x:c>
      <x:c r="O46" s="22" t="n">
        <x:v>69</x:v>
      </x:c>
      <x:c r="P46" s="22" t="n">
        <x:v>70</x:v>
      </x:c>
      <x:c r="Q46" s="22" t="n">
        <x:v>69</x:v>
      </x:c>
      <x:c r="R46" s="22" t="n">
        <x:v>61</x:v>
      </x:c>
      <x:c r="S46" s="22" t="n">
        <x:v>54</x:v>
      </x:c>
      <x:c r="T46" s="22" t="n">
        <x:v>72</x:v>
      </x:c>
      <x:c r="U46" s="22" t="str">
        <x:v>都庁駐車場は22時までに出庫。展望室休室日を確認。NSビルはイベント時に動線変更あり。</x:v>
      </x:c>
      <x:c r="V46" s="22" t="str">
        <x:v>一般道向き</x:v>
      </x:c>
      <x:c r="W46" s="22" t="n">
        <x:v>2</x:v>
      </x:c>
      <x:c r="X46" s="22" t="n">
        <x:v>35</x:v>
      </x:c>
      <x:c r="Y46" s="22" t="n">
        <x:f>ROUND(MAX(0,MIN(100,IF('条件入力ナビ'!$B$9="飛行機",O46,IF('条件入力ナビ'!$B$9="海・港",P46,IF('条件入力ナビ'!$B$9="工場夜景",Q46,IF('条件入力ナビ'!$B$9="静かな場所",R46,IF('条件入力ナビ'!$B$9="Story",X46,T46)))))*0.25+IF('条件入力ナビ'!$B$7="深夜",M46,IF('条件入力ナビ'!$B$7="夜",L46,IF('条件入力ナビ'!$B$7="夕方",(L46+S46)/2,S46)))*0.18+IF('条件入力ナビ'!$B$8="雨",N46,IF('条件入力ナビ'!$B$8="小雨",(N46+T46)/2,IF('条件入力ナビ'!$B$8="強風",MAX(0,T46-W46*8),T46)))*0.12+T46*0.10+AK46*0.10+AL46*0.10+AO46*0.15+IF(K46&lt;='条件入力ナビ'!$B$6,5,MAX(-30,-(K46-'条件入力ナビ'!$B$6)*0.45))-AP46*0.30+IF('条件入力ナビ'!$B$12="高速も楽しむ",IF(V46="高速向き",5,-3),IF('条件入力ナビ'!$B$12="一般道中心",IF(V46="一般道向き",4,-7),0)))))</x:f>
        <x:v>75</x:v>
      </x:c>
      <x:c r="Z46" s="22" t="n">
        <x:f>RANK.EQ(Y46,$Y$2:$Y$46,0)+COUNTIF($Y$2:Y46,Y46)-1</x:f>
        <x:v>7</x:v>
      </x:c>
      <x:c r="AA46" s="22" t="n">
        <x:v>90</x:v>
      </x:c>
      <x:c r="AB46" s="22" t="n">
        <x:v>115</x:v>
      </x:c>
      <x:c r="AC46" s="22" t="n">
        <x:v>140</x:v>
      </x:c>
      <x:c r="AD46" s="22" t="n">
        <x:v>2</x:v>
      </x:c>
      <x:c r="AE46" s="22" t="str">
        <x:v>東京都庁展望室</x:v>
      </x:c>
      <x:c r="AF46" s="277" t="n">
        <x:v>0.8958333333333334</x:v>
      </x:c>
      <x:c r="AG46" s="22" t="n">
        <x:v>2</x:v>
      </x:c>
      <x:c r="AH46" s="22" t="n">
        <x:v>4</x:v>
      </x:c>
      <x:c r="AI46" s="22" t="n">
        <x:v>2</x:v>
      </x:c>
      <x:c r="AJ46" s="22" t="str">
        <x:v>東京タワー</x:v>
      </x:c>
      <x:c r="AK46" s="22" t="n">
        <x:v>93</x:v>
      </x:c>
      <x:c r="AL46" s="22" t="n">
        <x:v>96</x:v>
      </x:c>
      <x:c r="AM46" s="22" t="str">
        <x:v>平日夜・雨天</x:v>
      </x:c>
      <x:c r="AN46" s="22" t="str">
        <x:v>新規</x:v>
      </x:c>
      <x:c r="AO46" s="22" t="n">
        <x:v>98</x:v>
      </x:c>
      <x:c r="AP46" s="22" t="n">
        <x:v>0</x:v>
      </x:c>
      <x:c r="AQ46" s="22" t="str">
        <x:v>都市夜景・建築</x:v>
      </x:c>
      <x:c r="AR46" s="22"/>
    </x:row>
  </x:sheetData>
  <x:conditionalFormatting sqref="Y2:Y36">
    <x:cfRule type="colorScale" priority="1">
      <x:colorScale>
        <x:cfvo type="min"/>
        <x:cfvo type="percentile" val="50"/>
        <x:cfvo type="max"/>
        <x:color rgb="FFFEE2E2"/>
        <x:color rgb="FFFEF3C7"/>
        <x:color rgb="FFDCFCE7"/>
      </x:colorScale>
    </x:cfRule>
    <x:cfRule type="colorScale" priority="3">
      <x:colorScale>
        <x:cfvo type="min"/>
        <x:cfvo type="percentile" val="50"/>
        <x:cfvo type="max"/>
        <x:color rgb="FFFEE2E2"/>
        <x:color rgb="FFFEF3C7"/>
        <x:color rgb="FFDCFCE7"/>
      </x:colorScale>
    </x:cfRule>
  </x:conditionalFormatting>
  <x:conditionalFormatting sqref="AK2:AK36">
    <x:cfRule type="colorScale" priority="2">
      <x:colorScale>
        <x:cfvo type="min"/>
        <x:cfvo type="percentile" val="50"/>
        <x:cfvo type="max"/>
        <x:color rgb="FFFEE2E2"/>
        <x:color rgb="FFFEF3C7"/>
        <x:color rgb="FFDCFCE7"/>
      </x:colorScale>
    </x:cfRule>
  </x:conditionalFormatting>
  <x:conditionalFormatting sqref="Y2:Y38">
    <x:cfRule type="colorScale" priority="4">
      <x:colorScale>
        <x:cfvo type="min"/>
        <x:cfvo type="percentile" val="50"/>
        <x:cfvo type="max"/>
        <x:color rgb="FFFEE2E2"/>
        <x:color rgb="FFFEF3C7"/>
        <x:color rgb="FFDCFCE7"/>
      </x:colorScale>
    </x:cfRule>
  </x:conditionalFormatting>
  <x:conditionalFormatting sqref="AL2:AP38">
    <x:cfRule type="colorScale" priority="5">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d8b6fedb53c74eb9"/>
  </x:tableParts>
</x:worksheet>
</file>

<file path=xl/worksheets/sheet23.xml><?xml version="1.0" encoding="utf-8"?>
<x:worksheet xmlns:x="http://schemas.openxmlformats.org/spreadsheetml/2006/main">
  <x:sheetFormatPr defaultRowHeight="15"/>
  <x:cols>
    <x:col min="1" max="1" width="27" hidden="0" customWidth="1"/>
    <x:col min="2" max="2" width="10" hidden="0" customWidth="1"/>
    <x:col min="3" max="3" width="12" hidden="0" customWidth="1"/>
    <x:col min="4" max="4" width="12" hidden="0" customWidth="1"/>
    <x:col min="5" max="5" width="16" hidden="0" customWidth="1"/>
    <x:col min="6" max="6" width="16" hidden="0" customWidth="1"/>
    <x:col min="7" max="7" width="16" hidden="0" customWidth="1"/>
    <x:col min="8" max="8" width="16" hidden="0" customWidth="1"/>
    <x:col min="9" max="9" width="28" hidden="0" customWidth="1"/>
    <x:col min="10" max="10" width="34" hidden="0" customWidth="1"/>
    <x:col min="11" max="11" width="14" hidden="0" customWidth="1"/>
  </x:cols>
  <x:sheetData>
    <x:row r="1">
      <x:c r="A1" s="231" t="str">
        <x:v>ベストプラン12｜実際に使う場面別</x:v>
      </x:c>
      <x:c r="B1" s="231"/>
      <x:c r="C1" s="231"/>
      <x:c r="D1" s="231"/>
      <x:c r="E1" s="231"/>
      <x:c r="F1" s="231"/>
      <x:c r="G1" s="231"/>
      <x:c r="H1" s="231"/>
      <x:c r="I1" s="231"/>
      <x:c r="J1" s="231"/>
      <x:c r="K1" s="231"/>
    </x:row>
    <x:row r="2">
      <x:c r="A2" s="231"/>
      <x:c r="B2" s="231"/>
      <x:c r="C2" s="231"/>
      <x:c r="D2" s="231"/>
      <x:c r="E2" s="231"/>
      <x:c r="F2" s="231"/>
      <x:c r="G2" s="231"/>
      <x:c r="H2" s="231"/>
      <x:c r="I2" s="231"/>
      <x:c r="J2" s="231"/>
      <x:c r="K2" s="231"/>
    </x:row>
    <x:row r="4">
      <x:c r="A4" s="212" t="str">
        <x:v>プリセット</x:v>
      </x:c>
      <x:c r="B4" s="212" t="str">
        <x:v>総時間</x:v>
      </x:c>
      <x:c r="C4" s="212" t="str">
        <x:v>時間帯</x:v>
      </x:c>
      <x:c r="D4" s="212" t="str">
        <x:v>天候</x:v>
      </x:c>
      <x:c r="E4" s="212" t="str">
        <x:v>気分</x:v>
      </x:c>
      <x:c r="F4" s="212" t="str">
        <x:v>歩き方</x:v>
      </x:c>
      <x:c r="G4" s="212" t="str">
        <x:v>駐車</x:v>
      </x:c>
      <x:c r="H4" s="212" t="str">
        <x:v>高速</x:v>
      </x:c>
      <x:c r="I4" s="212" t="str">
        <x:v>狙い</x:v>
      </x:c>
      <x:c r="J4" s="212" t="str">
        <x:v>推奨行動</x:v>
      </x:c>
      <x:c r="K4" s="212" t="str">
        <x:v>条件入力</x:v>
      </x:c>
    </x:row>
    <x:row r="5" ht="40" customHeight="1">
      <x:c r="A5" s="22" t="str">
        <x:v>平日19:30発・90分</x:v>
      </x:c>
      <x:c r="B5" s="22" t="n">
        <x:v>90</x:v>
      </x:c>
      <x:c r="C5" s="22" t="str">
        <x:v>夜</x:v>
      </x:c>
      <x:c r="D5" s="22" t="str">
        <x:v>晴れ</x:v>
      </x:c>
      <x:c r="E5" s="22" t="str">
        <x:v>おまかせ</x:v>
      </x:c>
      <x:c r="F5" s="22" t="str">
        <x:v>歩きたくない</x:v>
      </x:c>
      <x:c r="G5" s="22" t="str">
        <x:v>確実性優先</x:v>
      </x:c>
      <x:c r="H5" s="22" t="str">
        <x:v>一般道中心</x:v>
      </x:c>
      <x:c r="I5" s="22" t="str">
        <x:v>おまかせを短時間で回収</x:v>
      </x:c>
      <x:c r="J5" s="22" t="str">
        <x:v>上位候補から満車時の代替まで確認</x:v>
      </x:c>
      <x:c r="K5" s="95" t="e">
        <x:f>HYPERLINK("#'条件入力ナビ'!A1","開く")</x:f>
      </x:c>
    </x:row>
    <x:row r="6" ht="40" customHeight="1">
      <x:c r="A6" s="22" t="str">
        <x:v>平日21:30発・120分</x:v>
      </x:c>
      <x:c r="B6" s="22" t="n">
        <x:v>120</x:v>
      </x:c>
      <x:c r="C6" s="22" t="str">
        <x:v>深夜</x:v>
      </x:c>
      <x:c r="D6" s="22" t="str">
        <x:v>晴れ</x:v>
      </x:c>
      <x:c r="E6" s="22" t="str">
        <x:v>飛行機</x:v>
      </x:c>
      <x:c r="F6" s="22" t="str">
        <x:v>普通</x:v>
      </x:c>
      <x:c r="G6" s="22" t="str">
        <x:v>確実性優先</x:v>
      </x:c>
      <x:c r="H6" s="22" t="str">
        <x:v>どちらでも</x:v>
      </x:c>
      <x:c r="I6" s="22" t="str">
        <x:v>飛行機を短時間で回収</x:v>
      </x:c>
      <x:c r="J6" s="22" t="str">
        <x:v>上位候補から満車時の代替まで確認</x:v>
      </x:c>
      <x:c r="K6" s="95" t="e">
        <x:f>HYPERLINK("#'条件入力ナビ'!A1","開く")</x:f>
      </x:c>
    </x:row>
    <x:row r="7" ht="40" customHeight="1">
      <x:c r="A7" s="22" t="str">
        <x:v>雨の夜・120分</x:v>
      </x:c>
      <x:c r="B7" s="22" t="n">
        <x:v>120</x:v>
      </x:c>
      <x:c r="C7" s="22" t="str">
        <x:v>夜</x:v>
      </x:c>
      <x:c r="D7" s="22" t="str">
        <x:v>雨</x:v>
      </x:c>
      <x:c r="E7" s="22" t="str">
        <x:v>おまかせ</x:v>
      </x:c>
      <x:c r="F7" s="22" t="str">
        <x:v>歩きたくない</x:v>
      </x:c>
      <x:c r="G7" s="22" t="str">
        <x:v>確実性優先</x:v>
      </x:c>
      <x:c r="H7" s="22" t="str">
        <x:v>どちらでも</x:v>
      </x:c>
      <x:c r="I7" s="22" t="str">
        <x:v>屋内・空港・PAを優先</x:v>
      </x:c>
      <x:c r="J7" s="22" t="str">
        <x:v>屋外候補は現地天候で即省略</x:v>
      </x:c>
      <x:c r="K7" s="95" t="e">
        <x:f>HYPERLINK("#'条件入力ナビ'!A1","開く")</x:f>
      </x:c>
    </x:row>
    <x:row r="8" ht="40" customHeight="1">
      <x:c r="A8" s="22" t="str">
        <x:v>強風の夜・120分</x:v>
      </x:c>
      <x:c r="B8" s="22" t="n">
        <x:v>120</x:v>
      </x:c>
      <x:c r="C8" s="22" t="str">
        <x:v>夜</x:v>
      </x:c>
      <x:c r="D8" s="22" t="str">
        <x:v>強風</x:v>
      </x:c>
      <x:c r="E8" s="22" t="str">
        <x:v>おまかせ</x:v>
      </x:c>
      <x:c r="F8" s="22" t="str">
        <x:v>歩きたくない</x:v>
      </x:c>
      <x:c r="G8" s="22" t="str">
        <x:v>確実性優先</x:v>
      </x:c>
      <x:c r="H8" s="22" t="str">
        <x:v>一般道中心</x:v>
      </x:c>
      <x:c r="I8" s="22" t="str">
        <x:v>海辺・屋上を避ける</x:v>
      </x:c>
      <x:c r="J8" s="22" t="str">
        <x:v>空港屋内かPA中心へ切替</x:v>
      </x:c>
      <x:c r="K8" s="95" t="e">
        <x:f>HYPERLINK("#'条件入力ナビ'!A1","開く")</x:f>
      </x:c>
    </x:row>
    <x:row r="9" ht="40" customHeight="1">
      <x:c r="A9" s="22" t="str">
        <x:v>飛行機だけ見たい</x:v>
      </x:c>
      <x:c r="B9" s="22" t="n">
        <x:v>90</x:v>
      </x:c>
      <x:c r="C9" s="22" t="str">
        <x:v>夜</x:v>
      </x:c>
      <x:c r="D9" s="22" t="str">
        <x:v>晴れ</x:v>
      </x:c>
      <x:c r="E9" s="22" t="str">
        <x:v>飛行機</x:v>
      </x:c>
      <x:c r="F9" s="22" t="str">
        <x:v>歩きたくない</x:v>
      </x:c>
      <x:c r="G9" s="22" t="str">
        <x:v>普通</x:v>
      </x:c>
      <x:c r="H9" s="22" t="str">
        <x:v>一般道中心</x:v>
      </x:c>
      <x:c r="I9" s="22" t="str">
        <x:v>飛行機を短時間で回収</x:v>
      </x:c>
      <x:c r="J9" s="22" t="str">
        <x:v>上位候補から満車時の代替まで確認</x:v>
      </x:c>
      <x:c r="K9" s="95" t="e">
        <x:f>HYPERLINK("#'条件入力ナビ'!A1","開く")</x:f>
      </x:c>
    </x:row>
    <x:row r="10" ht="40" customHeight="1">
      <x:c r="A10" s="22" t="str">
        <x:v>海を見て帰る</x:v>
      </x:c>
      <x:c r="B10" s="22" t="n">
        <x:v>120</x:v>
      </x:c>
      <x:c r="C10" s="22" t="str">
        <x:v>夕方</x:v>
      </x:c>
      <x:c r="D10" s="22" t="str">
        <x:v>晴れ</x:v>
      </x:c>
      <x:c r="E10" s="22" t="str">
        <x:v>海・港</x:v>
      </x:c>
      <x:c r="F10" s="22" t="str">
        <x:v>普通</x:v>
      </x:c>
      <x:c r="G10" s="22" t="str">
        <x:v>普通</x:v>
      </x:c>
      <x:c r="H10" s="22" t="str">
        <x:v>一般道中心</x:v>
      </x:c>
      <x:c r="I10" s="22" t="str">
        <x:v>海・港を短時間で回収</x:v>
      </x:c>
      <x:c r="J10" s="22" t="str">
        <x:v>上位候補から満車時の代替まで確認</x:v>
      </x:c>
      <x:c r="K10" s="95" t="e">
        <x:f>HYPERLINK("#'条件入力ナビ'!A1","開く")</x:f>
      </x:c>
    </x:row>
    <x:row r="11" ht="40" customHeight="1">
      <x:c r="A11" s="22" t="str">
        <x:v>工場夜景・短時間</x:v>
      </x:c>
      <x:c r="B11" s="22" t="n">
        <x:v>120</x:v>
      </x:c>
      <x:c r="C11" s="22" t="str">
        <x:v>夜</x:v>
      </x:c>
      <x:c r="D11" s="22" t="str">
        <x:v>晴れ</x:v>
      </x:c>
      <x:c r="E11" s="22" t="str">
        <x:v>工場夜景</x:v>
      </x:c>
      <x:c r="F11" s="22" t="str">
        <x:v>普通</x:v>
      </x:c>
      <x:c r="G11" s="22" t="str">
        <x:v>確実性優先</x:v>
      </x:c>
      <x:c r="H11" s="22" t="str">
        <x:v>一般道中心</x:v>
      </x:c>
      <x:c r="I11" s="22" t="str">
        <x:v>工場夜景を短時間で回収</x:v>
      </x:c>
      <x:c r="J11" s="22" t="str">
        <x:v>上位候補から満車時の代替まで確認</x:v>
      </x:c>
      <x:c r="K11" s="95" t="e">
        <x:f>HYPERLINK("#'条件入力ナビ'!A1","開く")</x:f>
      </x:c>
    </x:row>
    <x:row r="12" ht="40" customHeight="1">
      <x:c r="A12" s="22" t="str">
        <x:v>静かに頭を休める</x:v>
      </x:c>
      <x:c r="B12" s="22" t="n">
        <x:v>120</x:v>
      </x:c>
      <x:c r="C12" s="22" t="str">
        <x:v>夜</x:v>
      </x:c>
      <x:c r="D12" s="22" t="str">
        <x:v>晴れ</x:v>
      </x:c>
      <x:c r="E12" s="22" t="str">
        <x:v>静かな場所</x:v>
      </x:c>
      <x:c r="F12" s="22" t="str">
        <x:v>普通</x:v>
      </x:c>
      <x:c r="G12" s="22" t="str">
        <x:v>穴場優先</x:v>
      </x:c>
      <x:c r="H12" s="22" t="str">
        <x:v>一般道中心</x:v>
      </x:c>
      <x:c r="I12" s="22" t="str">
        <x:v>静かな場所を短時間で回収</x:v>
      </x:c>
      <x:c r="J12" s="22" t="str">
        <x:v>上位候補から満車時の代替まで確認</x:v>
      </x:c>
      <x:c r="K12" s="95" t="e">
        <x:f>HYPERLINK("#'条件入力ナビ'!A1","開く")</x:f>
      </x:c>
    </x:row>
    <x:row r="13" ht="40" customHeight="1">
      <x:c r="A13" s="22" t="str">
        <x:v>休日午前・半日</x:v>
      </x:c>
      <x:c r="B13" s="22" t="n">
        <x:v>240</x:v>
      </x:c>
      <x:c r="C13" s="22" t="str">
        <x:v>昼</x:v>
      </x:c>
      <x:c r="D13" s="22" t="str">
        <x:v>晴れ</x:v>
      </x:c>
      <x:c r="E13" s="22" t="str">
        <x:v>Story</x:v>
      </x:c>
      <x:c r="F13" s="22" t="str">
        <x:v>歩きたい</x:v>
      </x:c>
      <x:c r="G13" s="22" t="str">
        <x:v>普通</x:v>
      </x:c>
      <x:c r="H13" s="22" t="str">
        <x:v>一般道中心</x:v>
      </x:c>
      <x:c r="I13" s="22" t="str">
        <x:v>歴史・建築・地形を読む</x:v>
      </x:c>
      <x:c r="J13" s="22" t="str">
        <x:v>昼の閉場時刻から逆算</x:v>
      </x:c>
      <x:c r="K13" s="95" t="e">
        <x:f>HYPERLINK("#'条件入力ナビ'!A1","開く")</x:f>
      </x:c>
    </x:row>
    <x:row r="14" ht="40" customHeight="1">
      <x:c r="A14" s="22" t="str">
        <x:v>雨の休日半日</x:v>
      </x:c>
      <x:c r="B14" s="22" t="n">
        <x:v>240</x:v>
      </x:c>
      <x:c r="C14" s="22" t="str">
        <x:v>昼</x:v>
      </x:c>
      <x:c r="D14" s="22" t="str">
        <x:v>雨</x:v>
      </x:c>
      <x:c r="E14" s="22" t="str">
        <x:v>おまかせ</x:v>
      </x:c>
      <x:c r="F14" s="22" t="str">
        <x:v>普通</x:v>
      </x:c>
      <x:c r="G14" s="22" t="str">
        <x:v>確実性優先</x:v>
      </x:c>
      <x:c r="H14" s="22" t="str">
        <x:v>どちらでも</x:v>
      </x:c>
      <x:c r="I14" s="22" t="str">
        <x:v>屋内・空港・PAを優先</x:v>
      </x:c>
      <x:c r="J14" s="22" t="str">
        <x:v>屋外候補は現地天候で即省略</x:v>
      </x:c>
      <x:c r="K14" s="95" t="e">
        <x:f>HYPERLINK("#'条件入力ナビ'!A1","開く")</x:f>
      </x:c>
    </x:row>
    <x:row r="15" ht="40" customHeight="1">
      <x:c r="A15" s="22" t="str">
        <x:v>高速道路も目的</x:v>
      </x:c>
      <x:c r="B15" s="22" t="n">
        <x:v>150</x:v>
      </x:c>
      <x:c r="C15" s="22" t="str">
        <x:v>夜</x:v>
      </x:c>
      <x:c r="D15" s="22" t="str">
        <x:v>晴れ</x:v>
      </x:c>
      <x:c r="E15" s="22" t="str">
        <x:v>おまかせ</x:v>
      </x:c>
      <x:c r="F15" s="22" t="str">
        <x:v>歩きたくない</x:v>
      </x:c>
      <x:c r="G15" s="22" t="str">
        <x:v>確実性優先</x:v>
      </x:c>
      <x:c r="H15" s="22" t="str">
        <x:v>高速も楽しむ</x:v>
      </x:c>
      <x:c r="I15" s="22" t="str">
        <x:v>走る行為とPAを目的化</x:v>
      </x:c>
      <x:c r="J15" s="22" t="str">
        <x:v>上り下り・閉鎖を事前確認</x:v>
      </x:c>
      <x:c r="K15" s="95" t="e">
        <x:f>HYPERLINK("#'条件入力ナビ'!A1","開く")</x:f>
      </x:c>
    </x:row>
    <x:row r="16" ht="40" customHeight="1">
      <x:c r="A16" s="22" t="str">
        <x:v>30分だけ外へ</x:v>
      </x:c>
      <x:c r="B16" s="22" t="n">
        <x:v>60</x:v>
      </x:c>
      <x:c r="C16" s="22" t="str">
        <x:v>夜</x:v>
      </x:c>
      <x:c r="D16" s="22" t="str">
        <x:v>晴れ</x:v>
      </x:c>
      <x:c r="E16" s="22" t="str">
        <x:v>おまかせ</x:v>
      </x:c>
      <x:c r="F16" s="22" t="str">
        <x:v>歩きたくない</x:v>
      </x:c>
      <x:c r="G16" s="22" t="str">
        <x:v>確実性優先</x:v>
      </x:c>
      <x:c r="H16" s="22" t="str">
        <x:v>一般道中心</x:v>
      </x:c>
      <x:c r="I16" s="22" t="str">
        <x:v>最短距離・駐車確実性を最優先</x:v>
      </x:c>
      <x:c r="J16" s="22" t="str">
        <x:v>1地点だけ選び、滞在20分で戻る</x:v>
      </x:c>
      <x:c r="K16" s="95" t="e">
        <x:f>HYPERLINK("#'条件入力ナビ'!A1","開く")</x:f>
      </x:c>
    </x:row>
  </x:sheetData>
  <x:mergeCells>
    <x:mergeCell ref="A1:K2"/>
  </x:mergeCells>
  <x:pageMargins left="0.7" right="0.7" top="0.75" bottom="0.75" header="0.3" footer="0.3"/>
  <x:tableParts count="1">
    <x:tablePart xmlns:r="http://schemas.openxmlformats.org/officeDocument/2006/relationships" r:id="R6afa3dc2166c4f59"/>
  </x:tableParts>
</x:worksheet>
</file>

<file path=xl/worksheets/sheet24.xml><?xml version="1.0" encoding="utf-8"?>
<x:worksheet xmlns:x="http://schemas.openxmlformats.org/spreadsheetml/2006/main">
  <x:sheetFormatPr defaultRowHeight="15"/>
  <x:cols>
    <x:col min="1" max="1" width="8" hidden="0" customWidth="1"/>
    <x:col min="2" max="2" width="28" hidden="0" customWidth="1"/>
    <x:col min="3" max="3" width="10" hidden="0" customWidth="1"/>
    <x:col min="4" max="4" width="22" hidden="0" customWidth="1"/>
    <x:col min="5" max="5" width="18" hidden="0" customWidth="1"/>
    <x:col min="6" max="6" width="18" hidden="0" customWidth="1"/>
    <x:col min="7" max="7" width="22" hidden="0" customWidth="1"/>
    <x:col min="8" max="8" width="15" hidden="0" customWidth="1"/>
    <x:col min="9" max="9" width="44" hidden="0" customWidth="1"/>
    <x:col min="10" max="10" width="44" hidden="0" customWidth="1"/>
    <x:col min="11" max="11" width="24" hidden="0" customWidth="1"/>
    <x:col min="12" max="12" width="10" hidden="0" customWidth="1"/>
  </x:cols>
  <x:sheetData>
    <x:row r="1">
      <x:c r="A1" s="402" t="str">
        <x:v>主力地点カード｜近距離コア上位20地点</x:v>
      </x:c>
      <x:c r="B1" s="402"/>
      <x:c r="C1" s="402"/>
      <x:c r="D1" s="402"/>
      <x:c r="E1" s="402"/>
      <x:c r="F1" s="402"/>
      <x:c r="G1" s="402"/>
      <x:c r="H1" s="402"/>
      <x:c r="I1" s="402"/>
      <x:c r="J1" s="402"/>
      <x:c r="K1" s="402"/>
      <x:c r="L1" s="402"/>
    </x:row>
    <x:row r="2">
      <x:c r="A2" s="402"/>
      <x:c r="B2" s="402"/>
      <x:c r="C2" s="402"/>
      <x:c r="D2" s="402"/>
      <x:c r="E2" s="402"/>
      <x:c r="F2" s="402"/>
      <x:c r="G2" s="402"/>
      <x:c r="H2" s="402"/>
      <x:c r="I2" s="402"/>
      <x:c r="J2" s="402"/>
      <x:c r="K2" s="402"/>
      <x:c r="L2" s="402"/>
    </x:row>
    <x:row r="4">
      <x:c r="A4" s="398" t="str">
        <x:v>順位</x:v>
      </x:c>
      <x:c r="B4" s="398" t="str">
        <x:v>地点</x:v>
      </x:c>
      <x:c r="C4" s="398" t="str">
        <x:v>総合点</x:v>
      </x:c>
      <x:c r="D4" s="398" t="str">
        <x:v>得意用途</x:v>
      </x:c>
      <x:c r="E4" s="398" t="str">
        <x:v>距離</x:v>
      </x:c>
      <x:c r="F4" s="398" t="str">
        <x:v>所要</x:v>
      </x:c>
      <x:c r="G4" s="398" t="str">
        <x:v>推奨到着</x:v>
      </x:c>
      <x:c r="H4" s="398" t="str">
        <x:v>滞在</x:v>
      </x:c>
      <x:c r="I4" s="398" t="str">
        <x:v>成立理由</x:v>
      </x:c>
      <x:c r="J4" s="398" t="str">
        <x:v>失敗しやすい点</x:v>
      </x:c>
      <x:c r="K4" s="398" t="str">
        <x:v>代替</x:v>
      </x:c>
      <x:c r="L4" s="398" t="str">
        <x:v>ナビ</x:v>
      </x:c>
    </x:row>
    <x:row r="5" ht="46" customHeight="1">
      <x:c r="A5" s="22" t="n">
        <x:v>1</x:v>
      </x:c>
      <x:c r="B5" s="22" t="str">
        <x:v>HANEDA INNOVATION CITY 足湯スカイデッキ</x:v>
      </x:c>
      <x:c r="C5" s="22" t="n">
        <x:v>78</x:v>
      </x:c>
      <x:c r="D5" s="22" t="str">
        <x:v>深夜2時間／飛行機</x:v>
      </x:c>
      <x:c r="E5" s="22" t="str">
        <x:v>蒲田から約6〜9km</x:v>
      </x:c>
      <x:c r="F5" s="22" t="str">
        <x:v>通常15〜30分</x:v>
      </x:c>
      <x:c r="G5" s="22" t="str">
        <x:v>出発前に閉場確認</x:v>
      </x:c>
      <x:c r="H5" s="22" t="str">
        <x:v>20〜60分</x:v>
      </x:c>
      <x:c r="I5" s="22" t="str">
        <x:v>無料の足湯に浸かりながら飛行機を眺められ、短時間でも『出かけた満足感』が非常に高い。</x:v>
      </x:c>
      <x:c r="J5" s="22" t="str">
        <x:v>貸切利用時は入場不可。食事は禁止。深夜帯は静粛にし、P2は営業時間外出庫不可。</x:v>
      </x:c>
      <x:c r="K5" s="22" t="str">
        <x:v>羽田空港 第3ターミナル展望デッキ</x:v>
      </x:c>
      <x:c r="L5" s="95" t="e">
        <x:f>HYPERLINK("https://www.google.com/maps/dir/?api=1&amp;destination=HANEDA%20INNOVATION%20CITY%20%E8%B6%B3%E6%B9%AF%E3%82%B9%E3%82%AB%E3%82%A4%E3%83%87%E3%83%83%E3%82%AD&amp;travelmode=driving","開く")</x:f>
      </x:c>
    </x:row>
    <x:row r="6" ht="46" customHeight="1">
      <x:c r="A6" s="22" t="n">
        <x:v>2</x:v>
      </x:c>
      <x:c r="B6" s="22" t="str">
        <x:v>羽田空港 第1ターミナル展望デッキ</x:v>
      </x:c>
      <x:c r="C6" s="22" t="n">
        <x:v>78</x:v>
      </x:c>
      <x:c r="D6" s="22" t="str">
        <x:v>飛行機／海・港</x:v>
      </x:c>
      <x:c r="E6" s="22" t="str">
        <x:v>蒲田から約9〜13km</x:v>
      </x:c>
      <x:c r="F6" s="22" t="str">
        <x:v>通常20〜40分</x:v>
      </x:c>
      <x:c r="G6" s="22" t="str">
        <x:v>出発前に閉場確認</x:v>
      </x:c>
      <x:c r="H6" s="22" t="str">
        <x:v>30〜90分</x:v>
      </x:c>
      <x:c r="I6" s="22" t="str">
        <x:v>JAL系の国内線機材や滑走路運用を見ながら、空港飲食と組み合わせられる雨天対応の近距離Ending。</x:v>
      </x:c>
      <x:c r="J6" s="22" t="str">
        <x:v>悪天候・保安上の閉鎖あり。多客期5:30～20:00は駐車場が数時間待ちになる場合がある。</x:v>
      </x:c>
      <x:c r="K6" s="22" t="str">
        <x:v>羽田空港 第2ターミナル展望デッキ／FLIGHT DECK TOKYO</x:v>
      </x:c>
      <x:c r="L6" s="95" t="e">
        <x:f>HYPERLINK("https://www.google.com/maps/dir/?api=1&amp;destination=%E7%BE%BD%E7%94%B0%E7%A9%BA%E6%B8%AF%20%E7%AC%AC1%E3%82%BF%E3%83%BC%E3%83%9F%E3%83%8A%E3%83%AB%E5%B1%95%E6%9C%9B%E3%83%87%E3%83%83%E3%82%AD&amp;travelmode=driving","開く")</x:f>
      </x:c>
    </x:row>
    <x:row r="7" ht="46" customHeight="1">
      <x:c r="A7" s="22" t="n">
        <x:v>3</x:v>
      </x:c>
      <x:c r="B7" s="22" t="str">
        <x:v>羽田空港 第3ターミナル展望デッキ</x:v>
      </x:c>
      <x:c r="C7" s="22" t="n">
        <x:v>77</x:v>
      </x:c>
      <x:c r="D7" s="22" t="str">
        <x:v>深夜2時間／飛行機</x:v>
      </x:c>
      <x:c r="E7" s="22" t="str">
        <x:v>概ね0〜10km</x:v>
      </x:c>
      <x:c r="F7" s="22" t="str">
        <x:v>通常10〜30分</x:v>
      </x:c>
      <x:c r="G7" s="22" t="str">
        <x:v>出発前に閉場確認</x:v>
      </x:c>
      <x:c r="H7" s="22" t="str">
        <x:v>30〜60分</x:v>
      </x:c>
      <x:c r="I7" s="22" t="str">
        <x:v>深夜でも滑走路灯火と航空機を楽しめる、安定性の高いEnding。</x:v>
      </x:c>
      <x:c r="J7" s="22" t="str">
        <x:v>保安・悪天候・イベントで一時閉鎖の場合あり。多客期は駐車場混雑。</x:v>
      </x:c>
      <x:c r="K7" s="22" t="str">
        <x:v>城南島海浜公園</x:v>
      </x:c>
      <x:c r="L7" s="95" t="e">
        <x:f>HYPERLINK("https://www.google.com/maps/dir/?api=1&amp;destination=%E7%BE%BD%E7%94%B0%E7%A9%BA%E6%B8%AF%20%E7%AC%AC3%E3%82%BF%E3%83%BC%E3%83%9F%E3%83%8A%E3%83%AB%E5%B1%95%E6%9C%9B%E3%83%87%E3%83%83%E3%82%AD&amp;travelmode=driving","開く")</x:f>
      </x:c>
    </x:row>
    <x:row r="8" ht="46" customHeight="1">
      <x:c r="A8" s="22" t="n">
        <x:v>4</x:v>
      </x:c>
      <x:c r="B8" s="22" t="str">
        <x:v>東扇島西公園</x:v>
      </x:c>
      <x:c r="C8" s="22" t="n">
        <x:v>77</x:v>
      </x:c>
      <x:c r="D8" s="22" t="str">
        <x:v>深夜2時間／海・港</x:v>
      </x:c>
      <x:c r="E8" s="22" t="str">
        <x:v>概ね10〜20km</x:v>
      </x:c>
      <x:c r="F8" s="22" t="str">
        <x:v>通常25〜50分</x:v>
      </x:c>
      <x:c r="G8" s="22" t="str">
        <x:v>出発前に閉場確認</x:v>
      </x:c>
      <x:c r="H8" s="22" t="str">
        <x:v>30〜90分</x:v>
      </x:c>
      <x:c r="I8" s="22" t="str">
        <x:v>東扇島の西端まで走り切り、東京湾・船舶・工業港湾を眺める行き止まり型Ending。</x:v>
      </x:c>
      <x:c r="J8" s="22" t="str">
        <x:v>土日祝・釣り時間帯は混雑。路上駐車・アイドリング禁止。臨時閉鎖を当日確認。</x:v>
      </x:c>
      <x:c r="K8" s="22" t="str">
        <x:v>城南島海浜公園</x:v>
      </x:c>
      <x:c r="L8" s="95" t="e">
        <x:f>HYPERLINK("https://www.google.com/maps/dir/?api=1&amp;destination=%E6%9D%B1%E6%89%87%E5%B3%B6%E8%A5%BF%E5%85%AC%E5%9C%92&amp;travelmode=driving","開く")</x:f>
      </x:c>
    </x:row>
    <x:row r="9" ht="46" customHeight="1">
      <x:c r="A9" s="22" t="n">
        <x:v>5</x:v>
      </x:c>
      <x:c r="B9" s="22" t="str">
        <x:v>羽田空港 第2ターミナル展望デッキ／FLIGHT DECK TOKYO</x:v>
      </x:c>
      <x:c r="C9" s="22" t="n">
        <x:v>76</x:v>
      </x:c>
      <x:c r="D9" s="22" t="str">
        <x:v>飛行機／深夜2時間</x:v>
      </x:c>
      <x:c r="E9" s="22" t="str">
        <x:v>蒲田から約10〜14km</x:v>
      </x:c>
      <x:c r="F9" s="22" t="str">
        <x:v>通常25〜45分</x:v>
      </x:c>
      <x:c r="G9" s="22" t="str">
        <x:v>出発前に閉場確認</x:v>
      </x:c>
      <x:c r="H9" s="22" t="str">
        <x:v>30〜90分</x:v>
      </x:c>
      <x:c r="I9" s="22" t="str">
        <x:v>屋外デッキと屋内展望フロアを使い分けられ、雨天や強風でも航空機を目的地化しやすい。</x:v>
      </x:c>
      <x:c r="J9" s="22" t="str">
        <x:v>悪天候時は屋外閉鎖。多客期は駐車場混雑。雨天ルートでは屋内FLIGHT DECKを優先。</x:v>
      </x:c>
      <x:c r="K9" s="22" t="str">
        <x:v>羽田空港 第1ターミナル展望デッキ</x:v>
      </x:c>
      <x:c r="L9" s="95" t="e">
        <x:f>HYPERLINK("https://www.google.com/maps/dir/?api=1&amp;destination=%E7%BE%BD%E7%94%B0%E7%A9%BA%E6%B8%AF%20%E7%AC%AC2%E3%82%BF%E3%83%BC%E3%83%9F%E3%83%8A%E3%83%AB%E5%B1%95%E6%9C%9B%E3%83%87%E3%83%83%E3%82%AD%EF%BC%8FFLIGHT%20DECK%20TOKYO&amp;travelmode=driving","開く")</x:f>
      </x:c>
    </x:row>
    <x:row r="10" ht="46" customHeight="1">
      <x:c r="A10" s="22" t="n">
        <x:v>6</x:v>
      </x:c>
      <x:c r="B10" s="22" t="str">
        <x:v>大井ふ頭中央海浜公園</x:v>
      </x:c>
      <x:c r="C10" s="22" t="n">
        <x:v>76</x:v>
      </x:c>
      <x:c r="D10" s="22" t="str">
        <x:v>休日半日／海・港</x:v>
      </x:c>
      <x:c r="E10" s="22" t="str">
        <x:v>蒲田から約8〜12km</x:v>
      </x:c>
      <x:c r="F10" s="22" t="str">
        <x:v>通常20〜35分</x:v>
      </x:c>
      <x:c r="G10" s="22" t="str">
        <x:v>出発前に閉場確認</x:v>
      </x:c>
      <x:c r="H10" s="22" t="str">
        <x:v>30〜90分</x:v>
      </x:c>
      <x:c r="I10" s="22" t="str">
        <x:v>スポーツの森となぎさの森を使い分けられ、京浜運河、人工なぎさ、物流地帯の景観を近距離で回収できる。</x:v>
      </x:c>
      <x:c r="J10" s="22" t="str">
        <x:v>第1駐車場は2027年3月下旬予定まで閉鎖。自然観察路の立入制限や大会開催を当日確認。夜は明るい範囲のみ利用。</x:v>
      </x:c>
      <x:c r="K10" s="22" t="str">
        <x:v>東京港野鳥公園</x:v>
      </x:c>
      <x:c r="L10" s="95" t="e">
        <x:f>HYPERLINK("https://www.google.com/maps/dir/?api=1&amp;destination=%E5%A4%A7%E4%BA%95%E3%81%B5%E9%A0%AD%E4%B8%AD%E5%A4%AE%E6%B5%B7%E6%B5%9C%E5%85%AC%E5%9C%92&amp;travelmode=driving","開く")</x:f>
      </x:c>
    </x:row>
    <x:row r="11" ht="46" customHeight="1">
      <x:c r="A11" s="22" t="n">
        <x:v>7</x:v>
      </x:c>
      <x:c r="B11" s="22" t="str">
        <x:v>城南島海浜公園</x:v>
      </x:c>
      <x:c r="C11" s="22" t="n">
        <x:v>74</x:v>
      </x:c>
      <x:c r="D11" s="22" t="str">
        <x:v>飛行機／海・港</x:v>
      </x:c>
      <x:c r="E11" s="22" t="str">
        <x:v>概ね0〜10km</x:v>
      </x:c>
      <x:c r="F11" s="22" t="str">
        <x:v>通常10〜30分</x:v>
      </x:c>
      <x:c r="G11" s="22" t="str">
        <x:v>出発前に閉場確認</x:v>
      </x:c>
      <x:c r="H11" s="22" t="str">
        <x:v>30〜60分</x:v>
      </x:c>
      <x:c r="I11" s="22" t="str">
        <x:v>羽田の航空機、東京湾、コンテナ港を同時に味わえる大田区起点の基準Ending。</x:v>
      </x:c>
      <x:c r="J11" s="22" t="str">
        <x:v>21時以降は入出庫不可。臨時閉鎖と高さ制限を当日確認。</x:v>
      </x:c>
      <x:c r="K11" s="22" t="str">
        <x:v>城南島海浜公園</x:v>
      </x:c>
      <x:c r="L11" s="95" t="e">
        <x:f>HYPERLINK("https://www.google.com/maps/dir/?api=1&amp;destination=%E5%9F%8E%E5%8D%97%E5%B3%B6%E6%B5%B7%E6%B5%9C%E5%85%AC%E5%9C%92&amp;travelmode=driving","開く")</x:f>
      </x:c>
    </x:row>
    <x:row r="12" ht="46" customHeight="1">
      <x:c r="A12" s="22" t="n">
        <x:v>8</x:v>
      </x:c>
      <x:c r="B12" s="22" t="str">
        <x:v>京浜島つばさ公園</x:v>
      </x:c>
      <x:c r="C12" s="22" t="n">
        <x:v>74</x:v>
      </x:c>
      <x:c r="D12" s="22" t="str">
        <x:v>工場夜景／飛行機</x:v>
      </x:c>
      <x:c r="E12" s="22" t="str">
        <x:v>概ね0〜10km</x:v>
      </x:c>
      <x:c r="F12" s="22" t="str">
        <x:v>通常10〜30分</x:v>
      </x:c>
      <x:c r="G12" s="22" t="str">
        <x:v>出発前に閉場確認</x:v>
      </x:c>
      <x:c r="H12" s="22" t="str">
        <x:v>30〜60分</x:v>
      </x:c>
      <x:c r="I12" s="22" t="str">
        <x:v>滑走路を横から眺め、工業島の行き止まり感と航空機の迫力を味わえる。</x:v>
      </x:c>
      <x:c r="J12" s="22" t="str">
        <x:v>台数が少ない。満車時の路上待機・路上駐車は禁止。</x:v>
      </x:c>
      <x:c r="K12" s="22" t="str">
        <x:v>城南島海浜公園</x:v>
      </x:c>
      <x:c r="L12" s="95" t="e">
        <x:f>HYPERLINK("https://www.google.com/maps/dir/?api=1&amp;destination=%E4%BA%AC%E6%B5%9C%E5%B3%B6%E3%81%A4%E3%81%B0%E3%81%95%E5%85%AC%E5%9C%92&amp;travelmode=driving","開く")</x:f>
      </x:c>
    </x:row>
    <x:row r="13" ht="46" customHeight="1">
      <x:c r="A13" s="22" t="n">
        <x:v>9</x:v>
      </x:c>
      <x:c r="B13" s="22" t="str">
        <x:v>川崎マリエン</x:v>
      </x:c>
      <x:c r="C13" s="22" t="n">
        <x:v>74</x:v>
      </x:c>
      <x:c r="D13" s="22" t="str">
        <x:v>工場夜景／深夜2時間</x:v>
      </x:c>
      <x:c r="E13" s="22" t="str">
        <x:v>概ね10〜20km</x:v>
      </x:c>
      <x:c r="F13" s="22" t="str">
        <x:v>通常25〜50分</x:v>
      </x:c>
      <x:c r="G13" s="22" t="str">
        <x:v>出発前に閉場確認</x:v>
      </x:c>
      <x:c r="H13" s="22" t="str">
        <x:v>30〜60分</x:v>
      </x:c>
      <x:c r="I13" s="22" t="str">
        <x:v>川崎港、工場、大型船、東京湾を高所から360度眺められる主力Ending。</x:v>
      </x:c>
      <x:c r="J13" s="22" t="str">
        <x:v>最終入場、休館日、工事情報を当日確認。</x:v>
      </x:c>
      <x:c r="K13" s="22" t="str">
        <x:v>川崎マリエン</x:v>
      </x:c>
      <x:c r="L13" s="95" t="e">
        <x:f>HYPERLINK("https://www.google.com/maps/dir/?api=1&amp;destination=%E5%B7%9D%E5%B4%8E%E3%83%9E%E3%83%AA%E3%82%A8%E3%83%B3&amp;travelmode=driving","開く")</x:f>
      </x:c>
    </x:row>
    <x:row r="14" ht="46" customHeight="1">
      <x:c r="A14" s="22" t="n">
        <x:v>10</x:v>
      </x:c>
      <x:c r="B14" s="22" t="str">
        <x:v>大森ふるさとの浜辺公園</x:v>
      </x:c>
      <x:c r="C14" s="22" t="n">
        <x:v>74</x:v>
      </x:c>
      <x:c r="D14" s="22" t="str">
        <x:v>休日半日／海・港</x:v>
      </x:c>
      <x:c r="E14" s="22" t="str">
        <x:v>蒲田から約4〜7km</x:v>
      </x:c>
      <x:c r="F14" s="22" t="str">
        <x:v>通常15〜25分</x:v>
      </x:c>
      <x:c r="G14" s="22" t="str">
        <x:v>出発前に閉場確認</x:v>
      </x:c>
      <x:c r="H14" s="22" t="str">
        <x:v>30〜75分</x:v>
      </x:c>
      <x:c r="I14" s="22" t="str">
        <x:v>蒲田から短時間で、砂浜・干潟・芝生・運河を味わえる。遠出せず『海へ来た感覚』を得られる近距離の主力Ending。</x:v>
      </x:c>
      <x:c r="J14" s="22" t="str">
        <x:v>浜辺は21時閉門。休日は駐車待ちが発生。遊泳・釣り・火気は禁止。</x:v>
      </x:c>
      <x:c r="K14" s="22" t="str">
        <x:v>平和の森公園</x:v>
      </x:c>
      <x:c r="L14" s="95" t="e">
        <x:f>HYPERLINK("https://www.google.com/maps/dir/?api=1&amp;destination=%E5%A4%A7%E6%A3%AE%E3%81%B5%E3%82%8B%E3%81%95%E3%81%A8%E3%81%AE%E6%B5%9C%E8%BE%BA%E5%85%AC%E5%9C%92&amp;travelmode=driving","開く")</x:f>
      </x:c>
    </x:row>
    <x:row r="15" ht="46" customHeight="1">
      <x:c r="A15" s="22" t="n">
        <x:v>11</x:v>
      </x:c>
      <x:c r="B15" s="22" t="str">
        <x:v>浦安市総合公園</x:v>
      </x:c>
      <x:c r="C15" s="22" t="n">
        <x:v>73</x:v>
      </x:c>
      <x:c r="D15" s="22" t="str">
        <x:v>海・港／深夜2時間</x:v>
      </x:c>
      <x:c r="E15" s="22" t="str">
        <x:v>概ね20〜25km</x:v>
      </x:c>
      <x:c r="F15" s="22" t="str">
        <x:v>通常40〜70分</x:v>
      </x:c>
      <x:c r="G15" s="22" t="str">
        <x:v>出発前に閉場確認</x:v>
      </x:c>
      <x:c r="H15" s="22" t="str">
        <x:v>30〜90分</x:v>
      </x:c>
      <x:c r="I15" s="22" t="str">
        <x:v>海沿いの広い芝生と新浦安の灯りがあり、深夜にも使える穏やかな湾岸Ending。</x:v>
      </x:c>
      <x:c r="J15" s="22" t="str">
        <x:v>海側は風が強い。住宅・ホテルに近いため静粛に。</x:v>
      </x:c>
      <x:c r="K15" s="22" t="str">
        <x:v>城南島海浜公園</x:v>
      </x:c>
      <x:c r="L15" s="95" t="e">
        <x:f>HYPERLINK("https://www.google.com/maps/dir/?api=1&amp;destination=%E6%B5%A6%E5%AE%89%E5%B8%82%E7%B7%8F%E5%90%88%E5%85%AC%E5%9C%92&amp;travelmode=driving","開く")</x:f>
      </x:c>
    </x:row>
    <x:row r="16" ht="46" customHeight="1">
      <x:c r="A16" s="22" t="n">
        <x:v>12</x:v>
      </x:c>
      <x:c r="B16" s="22" t="str">
        <x:v>殿町緑地</x:v>
      </x:c>
      <x:c r="C16" s="22" t="n">
        <x:v>73</x:v>
      </x:c>
      <x:c r="D16" s="22" t="str">
        <x:v>飛行機／海・港</x:v>
      </x:c>
      <x:c r="E16" s="22" t="str">
        <x:v>概ね0〜10km</x:v>
      </x:c>
      <x:c r="F16" s="22" t="str">
        <x:v>通常10〜30分</x:v>
      </x:c>
      <x:c r="G16" s="22" t="str">
        <x:v>出発前に閉場確認</x:v>
      </x:c>
      <x:c r="H16" s="22" t="str">
        <x:v>30〜60分</x:v>
      </x:c>
      <x:c r="I16" s="22" t="str">
        <x:v>羽田空港対岸の多摩川沿いで、橋・航空機・広い空を近距離で味わえる。</x:v>
      </x:c>
      <x:c r="J16" s="22" t="str">
        <x:v>増水・工事・閉鎖時は利用不可。緑地外や堤防上への駐車禁止。</x:v>
      </x:c>
      <x:c r="K16" s="22" t="str">
        <x:v>城南島海浜公園</x:v>
      </x:c>
      <x:c r="L16" s="95" t="e">
        <x:f>HYPERLINK("https://www.google.com/maps/dir/?api=1&amp;destination=%E6%AE%BF%E7%94%BA%E7%B7%91%E5%9C%B0&amp;travelmode=driving","開く")</x:f>
      </x:c>
    </x:row>
    <x:row r="17" ht="46" customHeight="1">
      <x:c r="A17" s="22" t="n">
        <x:v>13</x:v>
      </x:c>
      <x:c r="B17" s="22" t="str">
        <x:v>平和島PA（上り）</x:v>
      </x:c>
      <x:c r="C17" s="22" t="n">
        <x:v>72</x:v>
      </x:c>
      <x:c r="D17" s="22" t="str">
        <x:v>平日夜90分／深夜2時間</x:v>
      </x:c>
      <x:c r="E17" s="22" t="str">
        <x:v>概ね0〜10km</x:v>
      </x:c>
      <x:c r="F17" s="22" t="str">
        <x:v>通常10〜30分</x:v>
      </x:c>
      <x:c r="G17" s="22" t="str">
        <x:v>出発前に閉場確認</x:v>
      </x:c>
      <x:c r="H17" s="22" t="str">
        <x:v>15〜30分</x:v>
      </x:c>
      <x:c r="I17" s="22" t="str">
        <x:v>大田区内で最短の首都高体験を作れ、出発後すぐに気分転換したい夜に使える。</x:v>
      </x:c>
      <x:c r="J17" s="22" t="str">
        <x:v>上り線専用。短時間休憩に限定し、周回目的の走行はしない。</x:v>
      </x:c>
      <x:c r="K17" s="22" t="str">
        <x:v>羽田空港 第3ターミナル展望デッキ</x:v>
      </x:c>
      <x:c r="L17" s="95" t="e">
        <x:f>HYPERLINK("https://www.google.com/maps/dir/?api=1&amp;destination=%E5%B9%B3%E5%92%8C%E5%B3%B6PA%EF%BC%88%E4%B8%8A%E3%82%8A%EF%BC%89&amp;travelmode=driving","開く")</x:f>
      </x:c>
    </x:row>
    <x:row r="18" ht="46" customHeight="1">
      <x:c r="A18" s="22" t="n">
        <x:v>14</x:v>
      </x:c>
      <x:c r="B18" s="22" t="str">
        <x:v>武蔵野の森公園</x:v>
      </x:c>
      <x:c r="C18" s="22" t="n">
        <x:v>72</x:v>
      </x:c>
      <x:c r="D18" s="22" t="str">
        <x:v>深夜2時間／飛行機</x:v>
      </x:c>
      <x:c r="E18" s="22" t="str">
        <x:v>概ね20〜25km</x:v>
      </x:c>
      <x:c r="F18" s="22" t="str">
        <x:v>通常40〜70分</x:v>
      </x:c>
      <x:c r="G18" s="22" t="str">
        <x:v>出発前に閉場確認</x:v>
      </x:c>
      <x:c r="H18" s="22" t="str">
        <x:v>30〜60分</x:v>
      </x:c>
      <x:c r="I18" s="22" t="str">
        <x:v>調布飛行場に隣接し、小型機の離着陸と広い空を眺められる航空系の安定候補。</x:v>
      </x:c>
      <x:c r="J18" s="22" t="str">
        <x:v>夜間は北地区・南地区を結ぶプロムナードが閉鎖。飛行場側の明るい範囲を利用。</x:v>
      </x:c>
      <x:c r="K18" s="22" t="str">
        <x:v>城南島海浜公園</x:v>
      </x:c>
      <x:c r="L18" s="95" t="e">
        <x:f>HYPERLINK("https://www.google.com/maps/dir/?api=1&amp;destination=%E6%AD%A6%E8%94%B5%E9%87%8E%E3%81%AE%E6%A3%AE%E5%85%AC%E5%9C%92&amp;travelmode=driving","開く")</x:f>
      </x:c>
    </x:row>
    <x:row r="19" ht="46" customHeight="1">
      <x:c r="A19" s="22" t="n">
        <x:v>15</x:v>
      </x:c>
      <x:c r="B19" s="22" t="str">
        <x:v>森ケ崎公園</x:v>
      </x:c>
      <x:c r="C19" s="22" t="n">
        <x:v>72</x:v>
      </x:c>
      <x:c r="D19" s="22" t="str">
        <x:v>静かな場所／飛行機</x:v>
      </x:c>
      <x:c r="E19" s="22" t="str">
        <x:v>蒲田から約5〜8km</x:v>
      </x:c>
      <x:c r="F19" s="22" t="str">
        <x:v>通常15〜30分</x:v>
      </x:c>
      <x:c r="G19" s="22" t="str">
        <x:v>出発前に閉場確認</x:v>
      </x:c>
      <x:c r="H19" s="22" t="str">
        <x:v>30〜60分</x:v>
      </x:c>
      <x:c r="I19" s="22" t="str">
        <x:v>水再生センター屋上という特殊な立地から、羽田空港と富士山方向を望める。近いのに地上から切り離された感覚がある。</x:v>
      </x:c>
      <x:c r="J19" s="22" t="str">
        <x:v>利用時間外は入出庫不可。土日祝は入場待ちが発生しやすく、急ぐ場合は近隣民間駐車場へ切替。</x:v>
      </x:c>
      <x:c r="K19" s="22" t="str">
        <x:v>HANEDA INNOVATION CITY 足湯スカイデッキ</x:v>
      </x:c>
      <x:c r="L19" s="95" t="e">
        <x:f>HYPERLINK("https://www.google.com/maps/dir/?api=1&amp;destination=%E6%A3%AE%E3%82%B1%E5%B4%8E%E5%85%AC%E5%9C%92&amp;travelmode=driving","開く")</x:f>
      </x:c>
    </x:row>
    <x:row r="20" ht="46" customHeight="1">
      <x:c r="A20" s="22" t="n">
        <x:v>16</x:v>
      </x:c>
      <x:c r="B20" s="22" t="str">
        <x:v>豊洲ぐるり公園</x:v>
      </x:c>
      <x:c r="C20" s="22" t="n">
        <x:v>71</x:v>
      </x:c>
      <x:c r="D20" s="22" t="str">
        <x:v>海・港／深夜2時間</x:v>
      </x:c>
      <x:c r="E20" s="22" t="str">
        <x:v>概ね10〜20km</x:v>
      </x:c>
      <x:c r="F20" s="22" t="str">
        <x:v>通常25〜50分</x:v>
      </x:c>
      <x:c r="G20" s="22" t="str">
        <x:v>出発前に閉場確認</x:v>
      </x:c>
      <x:c r="H20" s="22" t="str">
        <x:v>30〜60分</x:v>
      </x:c>
      <x:c r="I20" s="22" t="str">
        <x:v>レインボーブリッジと都心の高層群を水辺越しに眺め、歩いて余韻を作れる。</x:v>
      </x:c>
      <x:c r="J20" s="22" t="str">
        <x:v>市場周辺イベント時は混雑。駐車位置と見たい景色の位置関係を確認。</x:v>
      </x:c>
      <x:c r="K20" s="22" t="str">
        <x:v>羽田空港 第3ターミナル展望デッキ</x:v>
      </x:c>
      <x:c r="L20" s="95" t="e">
        <x:f>HYPERLINK("https://www.google.com/maps/dir/?api=1&amp;destination=%E8%B1%8A%E6%B4%B2%E3%81%90%E3%82%8B%E3%82%8A%E5%85%AC%E5%9C%92&amp;travelmode=driving","開く")</x:f>
      </x:c>
    </x:row>
    <x:row r="21" ht="46" customHeight="1">
      <x:c r="A21" s="22" t="n">
        <x:v>17</x:v>
      </x:c>
      <x:c r="B21" s="22" t="str">
        <x:v>辰巳第一PA</x:v>
      </x:c>
      <x:c r="C21" s="22" t="n">
        <x:v>71</x:v>
      </x:c>
      <x:c r="D21" s="22" t="str">
        <x:v>深夜2時間／平日夜90分</x:v>
      </x:c>
      <x:c r="E21" s="22" t="str">
        <x:v>概ね10〜20km</x:v>
      </x:c>
      <x:c r="F21" s="22" t="str">
        <x:v>通常25〜50分</x:v>
      </x:c>
      <x:c r="G21" s="22" t="str">
        <x:v>出発前に閉場確認</x:v>
      </x:c>
      <x:c r="H21" s="22" t="str">
        <x:v>15〜30分</x:v>
      </x:c>
      <x:c r="I21" s="22" t="str">
        <x:v>湾岸線から都心高層群を見渡せ、短時間で首都高ドライブを締められる。</x:v>
      </x:c>
      <x:c r="J21" s="22" t="str">
        <x:v>夜間閉鎖や入口規制を確認。撮影・滞留・騒音行為は避ける。</x:v>
      </x:c>
      <x:c r="K21" s="22" t="str">
        <x:v>羽田空港 第3ターミナル展望デッキ</x:v>
      </x:c>
      <x:c r="L21" s="95" t="e">
        <x:f>HYPERLINK("https://www.google.com/maps/dir/?api=1&amp;destination=%E8%BE%B0%E5%B7%B3%E7%AC%AC%E4%B8%80PA&amp;travelmode=driving","開く")</x:f>
      </x:c>
    </x:row>
    <x:row r="22" ht="46" customHeight="1">
      <x:c r="A22" s="22" t="n">
        <x:v>18</x:v>
      </x:c>
      <x:c r="B22" s="22" t="str">
        <x:v>ソラムナード羽田緑地</x:v>
      </x:c>
      <x:c r="C22" s="22" t="n">
        <x:v>71</x:v>
      </x:c>
      <x:c r="D22" s="22" t="str">
        <x:v>平日夜90分／飛行機</x:v>
      </x:c>
      <x:c r="E22" s="22" t="str">
        <x:v>蒲田から約7〜10km</x:v>
      </x:c>
      <x:c r="F22" s="22" t="str">
        <x:v>通常20〜35分</x:v>
      </x:c>
      <x:c r="G22" s="22" t="str">
        <x:v>出発前に閉場確認</x:v>
      </x:c>
      <x:c r="H22" s="22" t="str">
        <x:v>30〜75分</x:v>
      </x:c>
      <x:c r="I22" s="22" t="str">
        <x:v>多摩川河口、離着陸機、対岸の川崎工場夜景、日の出と夕日を一本の遊歩道で切り替えられる。</x:v>
      </x:c>
      <x:c r="J22" s="22" t="str">
        <x:v>路上駐車禁止。HICなど合法駐車場から徒歩。強風・高潮・増水時は利用を避ける。</x:v>
      </x:c>
      <x:c r="K22" s="22" t="str">
        <x:v>HANEDA INNOVATION CITY 足湯スカイデッキ</x:v>
      </x:c>
      <x:c r="L22" s="95" t="e">
        <x:f>HYPERLINK("https://www.google.com/maps/dir/?api=1&amp;destination=%E3%82%BD%E3%83%A9%E3%83%A0%E3%83%8A%E3%83%BC%E3%83%89%E7%BE%BD%E7%94%B0%E7%B7%91%E5%9C%B0&amp;travelmode=driving","開く")</x:f>
      </x:c>
    </x:row>
    <x:row r="23" ht="46" customHeight="1">
      <x:c r="A23" s="22" t="n">
        <x:v>19</x:v>
      </x:c>
      <x:c r="B23" s="22" t="str">
        <x:v>お台場海浜公園</x:v>
      </x:c>
      <x:c r="C23" s="22" t="n">
        <x:v>71</x:v>
      </x:c>
      <x:c r="D23" s="22" t="str">
        <x:v>深夜2時間／海・港</x:v>
      </x:c>
      <x:c r="E23" s="22" t="str">
        <x:v>蒲田から約12〜18km</x:v>
      </x:c>
      <x:c r="F23" s="22" t="str">
        <x:v>通常25〜45分</x:v>
      </x:c>
      <x:c r="G23" s="22" t="str">
        <x:v>出発前に閉場確認</x:v>
      </x:c>
      <x:c r="H23" s="22" t="str">
        <x:v>45〜90分</x:v>
      </x:c>
      <x:c r="I23" s="22" t="str">
        <x:v>レインボーブリッジ、砂浜、第三台場、都心夜景が一つにまとまり、近距離でも王道の到達感を得られる。</x:v>
      </x:c>
      <x:c r="J23" s="22" t="str">
        <x:v>大規模イベント時は駐車場閉鎖・交通規制あり。北口のみ24時間最大料金設定。</x:v>
      </x:c>
      <x:c r="K23" s="22" t="str">
        <x:v>潮風公園</x:v>
      </x:c>
      <x:c r="L23" s="95" t="e">
        <x:f>HYPERLINK("https://www.google.com/maps/dir/?api=1&amp;destination=%E3%81%8A%E5%8F%B0%E5%A0%B4%E6%B5%B7%E6%B5%9C%E5%85%AC%E5%9C%92&amp;travelmode=driving","開く")</x:f>
      </x:c>
    </x:row>
    <x:row r="24" ht="46" customHeight="1">
      <x:c r="A24" s="22" t="n">
        <x:v>20</x:v>
      </x:c>
      <x:c r="B24" s="22" t="str">
        <x:v>平和島公園</x:v>
      </x:c>
      <x:c r="C24" s="22" t="n">
        <x:v>71</x:v>
      </x:c>
      <x:c r="D24" s="22" t="str">
        <x:v>静かな場所／深夜2時間</x:v>
      </x:c>
      <x:c r="E24" s="22" t="str">
        <x:v>蒲田から約4〜7km</x:v>
      </x:c>
      <x:c r="F24" s="22" t="str">
        <x:v>通常15〜25分</x:v>
      </x:c>
      <x:c r="G24" s="22" t="str">
        <x:v>出発前に閉場確認</x:v>
      </x:c>
      <x:c r="H24" s="22" t="str">
        <x:v>20〜50分</x:v>
      </x:c>
      <x:c r="I24" s="22" t="str">
        <x:v>蒲田から近く、80台の24時間駐車場がある。遠出する気力がない夜でも、緑・広場・水施設で短時間のリセット先になる。</x:v>
      </x:c>
      <x:c r="J24" s="22" t="str">
        <x:v>休日は入庫待ちが長くなる場合がある。公園利用以外の駐車は禁止。夜間は住宅・スポーツ利用者へ配慮。</x:v>
      </x:c>
      <x:c r="K24" s="22" t="str">
        <x:v>平和の森公園</x:v>
      </x:c>
      <x:c r="L24" s="95" t="e">
        <x:f>HYPERLINK("https://www.google.com/maps/dir/?api=1&amp;destination=%E5%B9%B3%E5%92%8C%E5%B3%B6%E5%85%AC%E5%9C%92&amp;travelmode=driving","開く")</x:f>
      </x:c>
    </x:row>
  </x:sheetData>
  <x:mergeCells>
    <x:mergeCell ref="A1:L2"/>
  </x:mergeCells>
  <x:conditionalFormatting sqref="C5:C24">
    <x:cfRule type="dataBar" priority="1">
      <x:dataBar>
        <x:cfvo type="min"/>
        <x:cfvo type="max"/>
        <x:color rgb="FFA02B93"/>
      </x:dataBar>
      <x:extLst>
        <x:ext xmlns:x14="http://schemas.microsoft.com/office/spreadsheetml/2009/9/main" uri="{B025F937-C7B1-47D3-B67F-A62EFF666E3E}">
          <x14:id>{59196D3B-6A91-162C-47E6-58784F635E6B}</x14:id>
        </x:ext>
      </x:extLst>
    </x:cfRule>
  </x:conditionalFormatting>
  <x:pageMargins left="0.7" right="0.7" top="0.75" bottom="0.75" header="0.3" footer="0.3"/>
  <x:tableParts count="1">
    <x:tablePart xmlns:r="http://schemas.openxmlformats.org/officeDocument/2006/relationships" r:id="Rb0bf9dac7d00452a"/>
  </x:tableParts>
  <x:extLst>
    <x:ext xmlns:x14="http://schemas.microsoft.com/office/spreadsheetml/2009/9/main" xmlns:xm="http://schemas.microsoft.com/office/excel/2006/main" uri="{78C0D931-6437-407d-A8EE-F0AAD7539E65}">
      <x14:conditionalFormattings>
        <x14:conditionalFormatting>
          <x14:cfRule type="dataBar" priority="1" id="{59196D3B-6A91-162C-47E6-58784F635E6B}">
            <x14:dataBar gradient="1">
              <x14:cfvo type="min"/>
              <x14:cfvo type="max"/>
              <x14:fillColor rgb="FFA02B93"/>
            </x14:dataBar>
          </x14:cfRule>
          <xm:sqref>C5:C24</xm:sqref>
        </x14:conditionalFormatting>
      </x14:conditionalFormattings>
    </x:ext>
  </x:extLst>
</x:worksheet>
</file>

<file path=xl/worksheets/sheet25.xml><?xml version="1.0" encoding="utf-8"?>
<x:worksheet xmlns:x="http://schemas.openxmlformats.org/spreadsheetml/2006/main">
  <x:sheetFormatPr defaultRowHeight="15"/>
  <x:cols>
    <x:col min="1" max="1" width="12" hidden="0" customWidth="1"/>
    <x:col min="2" max="2" width="34" hidden="0" customWidth="1"/>
    <x:col min="3" max="3" width="12" hidden="0" customWidth="1"/>
    <x:col min="4" max="4" width="12" hidden="0" customWidth="1"/>
    <x:col min="5" max="5" width="18" hidden="0" customWidth="1"/>
    <x:col min="6" max="6" width="18" hidden="0" customWidth="1"/>
    <x:col min="7" max="7" width="19" hidden="0" customWidth="1"/>
    <x:col min="8" max="8" width="15" hidden="0" customWidth="1"/>
    <x:col min="9" max="9" width="14" hidden="0" customWidth="1"/>
    <x:col min="10" max="10" width="22" hidden="0" customWidth="1"/>
    <x:col min="11" max="11" width="22" hidden="0" customWidth="1"/>
    <x:col min="12" max="12" width="22" hidden="0" customWidth="1"/>
    <x:col min="14" max="14" width="2" hidden="0" customWidth="1"/>
    <x:col min="15" max="15" width="2" hidden="0" customWidth="1"/>
    <x:col min="16" max="16" width="2" hidden="0" customWidth="1"/>
    <x:col min="17" max="17" width="2" hidden="0" customWidth="1"/>
  </x:cols>
  <x:sheetData>
    <x:row r="1">
      <x:c r="A1" s="296" t="str">
        <x:v>Project Cruise｜実走プラン</x:v>
      </x:c>
      <x:c r="B1" s="296"/>
      <x:c r="C1" s="296"/>
      <x:c r="D1" s="296"/>
      <x:c r="E1" s="296"/>
      <x:c r="F1" s="296"/>
      <x:c r="G1" s="296"/>
      <x:c r="H1" s="296"/>
      <x:c r="I1" s="296"/>
      <x:c r="J1" s="296"/>
      <x:c r="K1" s="296"/>
      <x:c r="L1" s="296"/>
      <x:c r="N1" t="str">
        <x:v>Plan B内部計算</x:v>
      </x:c>
      <x:c r="O1" t="str">
        <x:v>値</x:v>
      </x:c>
    </x:row>
    <x:row r="2">
      <x:c r="A2" s="296"/>
      <x:c r="B2" s="296"/>
      <x:c r="C2" s="296"/>
      <x:c r="D2" s="296"/>
      <x:c r="E2" s="296"/>
      <x:c r="F2" s="296"/>
      <x:c r="G2" s="296"/>
      <x:c r="H2" s="296"/>
      <x:c r="I2" s="296"/>
      <x:c r="J2" s="296"/>
      <x:c r="K2" s="296"/>
      <x:c r="L2" s="296"/>
      <x:c r="N2" t="str">
        <x:v>タイトル</x:v>
      </x:c>
      <x:c r="O2" t="str">
        <x:f>IFERROR(INDEX('カスタムルート計算'!$B$2:$B$46,MATCH($B$11,'カスタムルート計算'!$Z$2:$Z$46,0)),"")</x:f>
        <x:v>首都高ミニマム・ナイト</x:v>
      </x:c>
    </x:row>
    <x:row r="3">
      <x:c r="A3" s="303" t="str">
        <x:v>条件入力ナビの順位を使い、出発時刻・渋滞余裕・滞在モードから実走スケジュールとPlan Bを作成</x:v>
      </x:c>
      <x:c r="B3" s="303"/>
      <x:c r="C3" s="303"/>
      <x:c r="D3" s="303"/>
      <x:c r="E3" s="303"/>
      <x:c r="F3" s="303"/>
      <x:c r="G3" s="303"/>
      <x:c r="H3" s="303"/>
      <x:c r="I3" s="303"/>
      <x:c r="J3" s="303"/>
      <x:c r="K3" s="303"/>
      <x:c r="L3" s="303"/>
      <x:c r="N3" t="str">
        <x:v>経由地1</x:v>
      </x:c>
      <x:c r="O3" t="str">
        <x:f>IFERROR(INDEX('カスタムルート計算'!$D$2:$D$46,MATCH($B$11,'カスタムルート計算'!$Z$2:$Z$46,0)),"")</x:f>
        <x:v>平和島PA（上り）</x:v>
      </x:c>
    </x:row>
    <x:row r="4">
      <x:c r="A4" s="185"/>
      <x:c r="B4" s="185"/>
      <x:c r="C4" s="185"/>
      <x:c r="D4" s="185"/>
      <x:c r="E4" s="185"/>
      <x:c r="F4" s="185"/>
      <x:c r="G4" s="185"/>
      <x:c r="H4" s="185"/>
      <x:c r="I4" s="185"/>
      <x:c r="J4" s="185"/>
      <x:c r="K4" s="185"/>
      <x:c r="L4" s="185"/>
      <x:c r="N4" t="str">
        <x:v>経由地2</x:v>
      </x:c>
      <x:c r="O4" t="str">
        <x:f>IFERROR(INDEX('カスタムルート計算'!$E$2:$E$46,MATCH($B$11,'カスタムルート計算'!$Z$2:$Z$46,0)),"")</x:f>
        <x:v>芝浦PA</x:v>
      </x:c>
    </x:row>
    <x:row r="5">
      <x:c r="A5" s="304" t="str">
        <x:v>実走条件</x:v>
      </x:c>
      <x:c r="B5" s="304" t="str">
        <x:v>入力</x:v>
      </x:c>
      <x:c r="C5" s="185"/>
      <x:c r="D5" s="305" t="str">
        <x:v>選択中のルート</x:v>
      </x:c>
      <x:c r="E5" s="305"/>
      <x:c r="F5" s="305"/>
      <x:c r="G5" s="305"/>
      <x:c r="H5" s="305"/>
      <x:c r="I5" s="305"/>
      <x:c r="J5" s="305"/>
      <x:c r="K5" s="305"/>
      <x:c r="L5" s="305"/>
      <x:c r="N5" t="str">
        <x:v>経由地3</x:v>
      </x:c>
      <x:c r="O5" t="str">
        <x:f>IFERROR(INDEX('カスタムルート計算'!$F$2:$F$46,MATCH($B$11,'カスタムルート計算'!$Z$2:$Z$46,0)),"")</x:f>
      </x:c>
    </x:row>
    <x:row r="6">
      <x:c r="A6" s="306" t="str">
        <x:v>出発時刻</x:v>
      </x:c>
      <x:c r="B6" s="307" t="n">
        <x:v>0.8125</x:v>
      </x:c>
      <x:c r="C6" s="185"/>
      <x:c r="D6" s="185" t="str">
        <x:v>タイトル</x:v>
      </x:c>
      <x:c r="E6" s="185" t="str">
        <x:f>IFERROR(INDEX('カスタムルート計算'!$B$2:$B$46,MATCH($B$7,'カスタムルート計算'!$Z$2:$Z$46,0)),"")</x:f>
        <x:v>平日夕方90分・大森から羽田へ</x:v>
      </x:c>
      <x:c r="F6" s="185"/>
      <x:c r="G6" s="308" t="str">
        <x:v>計算項目</x:v>
      </x:c>
      <x:c r="H6" s="308" t="str">
        <x:v>値</x:v>
      </x:c>
      <x:c r="I6" s="185"/>
      <x:c r="J6" s="185"/>
      <x:c r="K6" s="185"/>
      <x:c r="L6" s="185"/>
      <x:c r="N6" t="str">
        <x:v>最終目的地</x:v>
      </x:c>
      <x:c r="O6" t="str">
        <x:f>IFERROR(INDEX('カスタムルート計算'!$G$2:$G$46,MATCH($B$11,'カスタムルート計算'!$Z$2:$Z$46,0)),"")</x:f>
        <x:v>辰巳第一PA</x:v>
      </x:c>
    </x:row>
    <x:row r="7">
      <x:c r="A7" s="306" t="str">
        <x:v>採用ルート順位</x:v>
      </x:c>
      <x:c r="B7" s="309" t="n">
        <x:v>1</x:v>
      </x:c>
      <x:c r="C7" s="185"/>
      <x:c r="D7" s="185" t="str">
        <x:v>スコア</x:v>
      </x:c>
      <x:c r="E7" s="185" t="n">
        <x:f>IFERROR(INDEX('カスタムルート計算'!$Y$2:$Y$46,MATCH($B$7,'カスタムルート計算'!$Z$2:$Z$46,0)),"")</x:f>
        <x:v>90</x:v>
      </x:c>
      <x:c r="F7" s="185"/>
      <x:c r="G7" s="185" t="str">
        <x:v>中央値分</x:v>
      </x:c>
      <x:c r="H7" s="185" t="n">
        <x:f>IFERROR(INDEX('カスタムルート計算'!$AB$2:$AB$38,MATCH($B$7,'カスタムルート計算'!$Z$2:$Z$38,0)),0)</x:f>
        <x:v>100</x:v>
      </x:c>
      <x:c r="I7" s="185"/>
      <x:c r="J7" s="185"/>
      <x:c r="K7" s="185"/>
      <x:c r="L7" s="185"/>
      <x:c r="N7" t="str">
        <x:v>注意事項</x:v>
      </x:c>
      <x:c r="O7" t="str">
        <x:f>IFERROR(INDEX('カスタムルート計算'!$U$2:$U$46,MATCH($B$11,'カスタムルート計算'!$Z$2:$Z$46,0)),"")</x:f>
        <x:v>各PAの臨時閉鎖確認。短時間休憩だけに限定。</x:v>
      </x:c>
    </x:row>
    <x:row r="8">
      <x:c r="A8" s="306" t="str">
        <x:v>渋滞余裕（分）</x:v>
      </x:c>
      <x:c r="B8" s="309" t="n">
        <x:v>20</x:v>
      </x:c>
      <x:c r="C8" s="185"/>
      <x:c r="D8" s="185" t="str">
        <x:v>想定総時間</x:v>
      </x:c>
      <x:c r="E8" s="185" t="str">
        <x:f>IFERROR(INDEX('カスタムルート計算'!$H$2:$H$46,MATCH($B$7,'カスタムルート計算'!$Z$2:$Z$46,0)),"")</x:f>
        <x:v>80～120分</x:v>
      </x:c>
      <x:c r="F8" s="185"/>
      <x:c r="G8" s="185" t="str">
        <x:v>立寄数</x:v>
      </x:c>
      <x:c r="H8" s="185" t="n">
        <x:f>IFERROR(INDEX('カスタムルート計算'!$AD$2:$AD$38,MATCH($B$7,'カスタムルート計算'!$Z$2:$Z$38,0)),0)</x:f>
        <x:v>3</x:v>
      </x:c>
      <x:c r="I8" s="185"/>
      <x:c r="J8" s="185"/>
      <x:c r="K8" s="185"/>
      <x:c r="L8" s="185"/>
    </x:row>
    <x:row r="9">
      <x:c r="A9" s="306" t="str">
        <x:v>滞在モード</x:v>
      </x:c>
      <x:c r="B9" s="309" t="str">
        <x:v>標準</x:v>
      </x:c>
      <x:c r="C9" s="185"/>
      <x:c r="D9" s="185" t="str">
        <x:v>経由地1</x:v>
      </x:c>
      <x:c r="E9" s="185" t="str">
        <x:f>IFERROR(INDEX('カスタムルート計算'!$D$2:$D$46,MATCH($B$7,'カスタムルート計算'!$Z$2:$Z$46,0)),"")</x:f>
        <x:v>大森ふるさとの浜辺公園</x:v>
      </x:c>
      <x:c r="F9" s="185"/>
      <x:c r="G9" s="185" t="str">
        <x:v>滞在調整</x:v>
      </x:c>
      <x:c r="H9" s="185" t="n">
        <x:f>IF($B$9="短め",-15,IF($B$9="長め",30,0))</x:f>
        <x:v>0</x:v>
      </x:c>
      <x:c r="I9" s="185"/>
      <x:c r="J9" s="185"/>
      <x:c r="K9" s="185"/>
      <x:c r="L9" s="185"/>
    </x:row>
    <x:row r="10">
      <x:c r="A10" s="306" t="str">
        <x:v>帰宅バッファ（分）</x:v>
      </x:c>
      <x:c r="B10" s="309" t="n">
        <x:v>10</x:v>
      </x:c>
      <x:c r="C10" s="185"/>
      <x:c r="D10" s="185" t="str">
        <x:v>経由地2</x:v>
      </x:c>
      <x:c r="E10" s="185" t="str">
        <x:f>IFERROR(INDEX('カスタムルート計算'!$E$2:$E$46,MATCH($B$7,'カスタムルート計算'!$Z$2:$Z$46,0)),"")</x:f>
        <x:v>森ケ崎公園</x:v>
      </x:c>
      <x:c r="F10" s="185"/>
      <x:c r="G10" s="185" t="str">
        <x:v>調整後総時間</x:v>
      </x:c>
      <x:c r="H10" s="185" t="n">
        <x:f>MAX(45,H7+$B$8+$B$10+H9)</x:f>
        <x:v>130</x:v>
      </x:c>
      <x:c r="I10" s="185"/>
      <x:c r="J10" s="185"/>
      <x:c r="K10" s="185"/>
      <x:c r="L10" s="185"/>
    </x:row>
    <x:row r="11">
      <x:c r="A11" s="306" t="str">
        <x:v>Plan B順位</x:v>
      </x:c>
      <x:c r="B11" s="309" t="n">
        <x:v>2</x:v>
      </x:c>
      <x:c r="C11" s="185"/>
      <x:c r="D11" s="185" t="str">
        <x:v>経由地3</x:v>
      </x:c>
      <x:c r="E11" s="185" t="str">
        <x:f>IFERROR(INDEX('カスタムルート計算'!$F$2:$F$46,MATCH($B$7,'カスタムルート計算'!$Z$2:$Z$46,0)),"")</x:f>
      </x:c>
      <x:c r="F11" s="185"/>
      <x:c r="G11" s="185" t="str">
        <x:v>移動配分</x:v>
      </x:c>
      <x:c r="H11" s="185" t="n">
        <x:f>ROUND(H10*0.55,0)</x:f>
        <x:v>72</x:v>
      </x:c>
      <x:c r="I11" s="185"/>
      <x:c r="J11" s="185"/>
      <x:c r="K11" s="185"/>
      <x:c r="L11" s="185"/>
    </x:row>
    <x:row r="12">
      <x:c r="A12" s="185"/>
      <x:c r="B12" s="185"/>
      <x:c r="C12" s="185"/>
      <x:c r="D12" s="185" t="str">
        <x:v>最終目的地</x:v>
      </x:c>
      <x:c r="E12" s="185" t="str">
        <x:f>IFERROR(INDEX('カスタムルート計算'!$G$2:$G$46,MATCH($B$7,'カスタムルート計算'!$Z$2:$Z$46,0)),"")</x:f>
        <x:v>羽田空港 第3ターミナル展望デッキ</x:v>
      </x:c>
      <x:c r="F12" s="185"/>
      <x:c r="G12" s="185" t="str">
        <x:v>滞在配分</x:v>
      </x:c>
      <x:c r="H12" s="185" t="n">
        <x:f>H10-H11</x:f>
        <x:v>58</x:v>
      </x:c>
      <x:c r="I12" s="185"/>
      <x:c r="J12" s="185"/>
      <x:c r="K12" s="185"/>
      <x:c r="L12" s="185"/>
    </x:row>
    <x:row r="13">
      <x:c r="A13" s="185"/>
      <x:c r="B13" s="185"/>
      <x:c r="C13" s="185"/>
      <x:c r="D13" s="185" t="str">
        <x:v>Hard Gate</x:v>
      </x:c>
      <x:c r="E13" s="185" t="str">
        <x:f>IFERROR(IF(INDEX('カスタムルート計算'!$AE$2:$AE$46,MATCH($B$7,'カスタムルート計算'!$Z$2:$Z$46,0))="","なし",INDEX('カスタムルート計算'!$AE$2:$AE$46,MATCH($B$7,'カスタムルート計算'!$Z$2:$Z$46,0))&amp;" "&amp;TEXT(INDEX('カスタムルート計算'!$AF$2:$AF$46,MATCH($B$7,'カスタムルート計算'!$Z$2:$Z$46,0)),"hh:mm")),"")</x:f>
        <x:v>森ケ崎公園 20:30</x:v>
      </x:c>
      <x:c r="F13" s="185"/>
      <x:c r="G13" s="185" t="str">
        <x:v>1区間移動</x:v>
      </x:c>
      <x:c r="H13" s="185" t="n">
        <x:f>ROUND(H11/(H8+1),0)</x:f>
        <x:v>18</x:v>
      </x:c>
      <x:c r="I13" s="185"/>
      <x:c r="J13" s="185"/>
      <x:c r="K13" s="185"/>
      <x:c r="L13" s="185"/>
    </x:row>
    <x:row r="14">
      <x:c r="A14" s="185"/>
      <x:c r="B14" s="185"/>
      <x:c r="C14" s="185"/>
      <x:c r="D14" s="185" t="str">
        <x:v>駐車確実性</x:v>
      </x:c>
      <x:c r="E14" s="185" t="str">
        <x:f>IFERROR(INDEX('カスタムルート計算'!$AH$2:$AH$46,MATCH($B$7,'カスタムルート計算'!$Z$2:$Z$46,0))&amp;"/5","")</x:f>
        <x:v>4/5</x:v>
      </x:c>
      <x:c r="F14" s="185"/>
      <x:c r="G14" s="185" t="str">
        <x:v>1地点滞在</x:v>
      </x:c>
      <x:c r="H14" s="185" t="n">
        <x:f>ROUND(H12/MAX(1,H8),0)</x:f>
        <x:v>19</x:v>
      </x:c>
      <x:c r="I14" s="185"/>
      <x:c r="J14" s="185"/>
      <x:c r="K14" s="185"/>
      <x:c r="L14" s="185"/>
    </x:row>
    <x:row r="15">
      <x:c r="A15" s="185"/>
      <x:c r="B15" s="185"/>
      <x:c r="C15" s="185"/>
      <x:c r="D15" s="185" t="str">
        <x:v>実現性</x:v>
      </x:c>
      <x:c r="E15" s="185" t="n">
        <x:f>IFERROR(INDEX('カスタムルート計算'!$AK$2:$AK$46,MATCH($B$7,'カスタムルート計算'!$Z$2:$Z$46,0)),"")</x:f>
        <x:v>88</x:v>
      </x:c>
      <x:c r="F15" s="185"/>
      <x:c r="G15" s="185" t="str">
        <x:v>帰宅予定</x:v>
      </x:c>
      <x:c r="H15" s="310" t="n">
        <x:f>$B$6+H10/1440</x:f>
        <x:v>0.9027777777777778</x:v>
      </x:c>
      <x:c r="I15" s="185"/>
      <x:c r="J15" s="185"/>
      <x:c r="K15" s="185"/>
      <x:c r="L15" s="185"/>
    </x:row>
    <x:row r="16">
      <x:c r="A16" s="185"/>
      <x:c r="B16" s="185"/>
      <x:c r="C16" s="185"/>
      <x:c r="D16" s="185"/>
      <x:c r="E16" s="185"/>
      <x:c r="F16" s="185"/>
      <x:c r="G16" s="185" t="str">
        <x:v>Hard Gate余裕分</x:v>
      </x:c>
      <x:c r="H16" s="311" t="n">
        <x:f>IFERROR((IF(INDEX('カスタムルート計算'!$AF$2:$AF$38,MATCH($B$7,'カスタムルート計算'!$Z$2:$Z$38,0))&lt;$B$6,INDEX('カスタムルート計算'!$AF$2:$AF$38,MATCH($B$7,'カスタムルート計算'!$Z$2:$Z$38,0))+1,INDEX('カスタムルート計算'!$AF$2:$AF$38,MATCH($B$7,'カスタムルート計算'!$Z$2:$Z$38,0)))-($B$6+(INDEX('カスタムルート計算'!$AG$2:$AG$38,MATCH($B$7,'カスタムルート計算'!$Z$2:$Z$38,0))*H13+(INDEX('カスタムルート計算'!$AG$2:$AG$38,MATCH($B$7,'カスタムルート計算'!$Z$2:$Z$38,0))-1)*H14)/1440))*1440,"")</x:f>
        <x:v>4.999999999999982</x:v>
      </x:c>
      <x:c r="I16" s="185"/>
      <x:c r="J16" s="185"/>
      <x:c r="K16" s="185"/>
      <x:c r="L16" s="185"/>
    </x:row>
    <x:row r="17">
      <x:c r="A17" s="185"/>
      <x:c r="B17" s="185"/>
      <x:c r="C17" s="185"/>
      <x:c r="D17" s="185"/>
      <x:c r="E17" s="185"/>
      <x:c r="F17" s="185"/>
      <x:c r="G17" s="185"/>
      <x:c r="H17" s="185"/>
      <x:c r="I17" s="185"/>
      <x:c r="J17" s="185"/>
      <x:c r="K17" s="185"/>
      <x:c r="L17" s="185"/>
    </x:row>
    <x:row r="18">
      <x:c r="A18" s="305" t="str">
        <x:v>概算タイムライン</x:v>
      </x:c>
      <x:c r="B18" s="305"/>
      <x:c r="C18" s="305"/>
      <x:c r="D18" s="305"/>
      <x:c r="E18" s="305"/>
      <x:c r="F18" s="305"/>
      <x:c r="G18" s="305"/>
      <x:c r="H18" s="305" t="str">
        <x:v>出発前ゲート</x:v>
      </x:c>
      <x:c r="I18" s="305"/>
      <x:c r="J18" s="305"/>
      <x:c r="K18" s="305"/>
      <x:c r="L18" s="305"/>
    </x:row>
    <x:row r="19">
      <x:c r="A19" s="312" t="str">
        <x:v>順番</x:v>
      </x:c>
      <x:c r="B19" s="312" t="str">
        <x:v>地点</x:v>
      </x:c>
      <x:c r="C19" s="312" t="str">
        <x:v>到着</x:v>
      </x:c>
      <x:c r="D19" s="312" t="str">
        <x:v>出発</x:v>
      </x:c>
      <x:c r="E19" s="312" t="str">
        <x:v>滞在分</x:v>
      </x:c>
      <x:c r="F19" s="312" t="str">
        <x:v>備考</x:v>
      </x:c>
      <x:c r="G19" s="185"/>
      <x:c r="H19" s="308" t="str">
        <x:v>項目</x:v>
      </x:c>
      <x:c r="I19" s="308" t="str">
        <x:v>状態</x:v>
      </x:c>
      <x:c r="J19" s="308" t="str">
        <x:v>判定理由</x:v>
      </x:c>
      <x:c r="K19" s="308" t="str"/>
      <x:c r="L19" s="308" t="str"/>
    </x:row>
    <x:row r="20" ht="38" customHeight="1">
      <x:c r="A20" s="185" t="n">
        <x:v>0</x:v>
      </x:c>
      <x:c r="B20" s="185" t="str">
        <x:v>蒲田周辺</x:v>
      </x:c>
      <x:c r="C20" s="316" t="n">
        <x:f>$B$6</x:f>
        <x:v>0.8125</x:v>
      </x:c>
      <x:c r="D20" s="316" t="n">
        <x:f>$B$6</x:f>
        <x:v>0.8125</x:v>
      </x:c>
      <x:c r="E20" s="185" t="n">
        <x:v>0</x:v>
      </x:c>
      <x:c r="F20" s="185" t="str">
        <x:v>出発</x:v>
      </x:c>
      <x:c r="G20" s="185"/>
      <x:c r="H20" s="185" t="str">
        <x:v>時間内</x:v>
      </x:c>
      <x:c r="I20" s="185" t="str">
        <x:f>IF($H$10&lt;='条件入力ナビ'!$B$6,"GO",IF($H$10&lt;='条件入力ナビ'!$B$6+20,"要注意","NO-GO"))</x:f>
        <x:v>要注意</x:v>
      </x:c>
      <x:c r="J20" s="185" t="str">
        <x:f>"調整後 "&amp;$H$10&amp;"分／使える時間 "&amp;'条件入力ナビ'!$B$6&amp;"分"</x:f>
        <x:v>調整後 130分／使える時間 120分</x:v>
      </x:c>
      <x:c r="K20" s="185"/>
      <x:c r="L20" s="185"/>
    </x:row>
    <x:row r="21" ht="38" customHeight="1">
      <x:c r="A21" s="185" t="n">
        <x:v>1</x:v>
      </x:c>
      <x:c r="B21" s="185" t="str">
        <x:f>IF(E9="","",E9)</x:f>
        <x:v>大森ふるさとの浜辺公園</x:v>
      </x:c>
      <x:c r="C21" s="316" t="n">
        <x:f>IF(B21="","",$B$6+(1*$H$13+(1-1)*$H$14)/1440)</x:f>
        <x:v>0.825</x:v>
      </x:c>
      <x:c r="D21" s="316" t="n">
        <x:f>IF(B21="","",C21+$H$14/1440)</x:f>
        <x:v>0.8381944444444444</x:v>
      </x:c>
      <x:c r="E21" s="185" t="n">
        <x:f>IF(B21="","",$H$14)</x:f>
        <x:v>19</x:v>
      </x:c>
      <x:c r="F21" s="185" t="str">
        <x:f>IF(B21="","",IF(B21=INDEX('カスタムルート計算'!$AE$2:$AE$46,MATCH($B$7,'カスタムルート計算'!$Z$2:$Z$46,0)),"Hard Gate対象",""))</x:f>
      </x:c>
      <x:c r="G21" s="185"/>
      <x:c r="H21" s="185" t="str">
        <x:v>Hard Gate</x:v>
      </x:c>
      <x:c r="I21" s="185" t="str">
        <x:f>IF($H$16="","GO",IF($H$16&gt;=30,"GO",IF($H$16&gt;=10,"要注意","NO-GO")))</x:f>
        <x:v>NO-GO</x:v>
      </x:c>
      <x:c r="J21" s="185" t="str">
        <x:f>IF($H$16="","明確なHard Gateなし","到着余裕 "&amp;ROUND($H$16,0)&amp;"分")</x:f>
        <x:v>到着余裕 5分</x:v>
      </x:c>
      <x:c r="K21" s="185"/>
      <x:c r="L21" s="185"/>
    </x:row>
    <x:row r="22" ht="38" customHeight="1">
      <x:c r="A22" s="185" t="n">
        <x:v>2</x:v>
      </x:c>
      <x:c r="B22" s="185" t="str">
        <x:f>IF(E10="","",E10)</x:f>
        <x:v>森ケ崎公園</x:v>
      </x:c>
      <x:c r="C22" s="316" t="n">
        <x:f>IF(B22="","",$B$6+(2*$H$13+(2-1)*$H$14)/1440)</x:f>
        <x:v>0.8506944444444444</x:v>
      </x:c>
      <x:c r="D22" s="316" t="n">
        <x:f>IF(B22="","",C22+$H$14/1440)</x:f>
        <x:v>0.8638888888888888</x:v>
      </x:c>
      <x:c r="E22" s="185" t="n">
        <x:f>IF(B22="","",$H$14)</x:f>
        <x:v>19</x:v>
      </x:c>
      <x:c r="F22" s="185" t="str">
        <x:f>IF(B22="","",IF(B22=INDEX('カスタムルート計算'!$AE$2:$AE$46,MATCH($B$7,'カスタムルート計算'!$Z$2:$Z$46,0)),"Hard Gate対象",""))</x:f>
        <x:v>Hard Gate対象</x:v>
      </x:c>
      <x:c r="G22" s="185"/>
      <x:c r="H22" s="185" t="str">
        <x:v>天候</x:v>
      </x:c>
      <x:c r="I22" s="185" t="str">
        <x:f>IF('条件入力ナビ'!$B$8="強風",IF(INDEX('カスタムルート計算'!$AI$2:$AI$38,MATCH($B$7,'カスタムルート計算'!$Z$2:$Z$38,0))&gt;=4,"NO-GO","要注意"),IF('条件入力ナビ'!$B$8="雨",IF(INDEX('カスタムルート計算'!$N$2:$N$38,MATCH($B$7,'カスタムルート計算'!$Z$2:$Z$38,0))&gt;=75,"GO","要注意"),"GO"))</x:f>
        <x:v>GO</x:v>
      </x:c>
      <x:c r="J22" s="185" t="str">
        <x:f>"天候: "&amp;'条件入力ナビ'!$B$8&amp;"／強風リスク "&amp;INDEX('カスタムルート計算'!$AI$2:$AI$38,MATCH($B$7,'カスタムルート計算'!$Z$2:$Z$38,0))&amp;"/5"</x:f>
        <x:v>天候: 晴れ／強風リスク 5/5</x:v>
      </x:c>
      <x:c r="K22" s="185"/>
      <x:c r="L22" s="185"/>
    </x:row>
    <x:row r="23" ht="38" customHeight="1">
      <x:c r="A23" s="185" t="n">
        <x:v>3</x:v>
      </x:c>
      <x:c r="B23" s="185" t="str">
        <x:f>IF(E11="","",E11)</x:f>
      </x:c>
      <x:c r="C23" s="316" t="str">
        <x:f>IF(B23="","",$B$6+(3*$H$13+(3-1)*$H$14)/1440)</x:f>
      </x:c>
      <x:c r="D23" s="316" t="str">
        <x:f>IF(B23="","",C23+$H$14/1440)</x:f>
      </x:c>
      <x:c r="E23" s="185" t="str">
        <x:f>IF(B23="","",$H$14)</x:f>
      </x:c>
      <x:c r="F23" s="185" t="str">
        <x:f>IF(B23="","",IF(B23=INDEX('カスタムルート計算'!$AE$2:$AE$46,MATCH($B$7,'カスタムルート計算'!$Z$2:$Z$46,0)),"Hard Gate対象",""))</x:f>
      </x:c>
      <x:c r="G23" s="185"/>
      <x:c r="H23" s="185" t="str">
        <x:v>駐車</x:v>
      </x:c>
      <x:c r="I23" s="185" t="str">
        <x:f>IF(INDEX('カスタムルート計算'!$AH$2:$AH$38,MATCH($B$7,'カスタムルート計算'!$Z$2:$Z$38,0))&gt;=4,"GO",IF(INDEX('カスタムルート計算'!$AH$2:$AH$38,MATCH($B$7,'カスタムルート計算'!$Z$2:$Z$38,0))&gt;=2,"要注意","NO-GO"))</x:f>
        <x:v>GO</x:v>
      </x:c>
      <x:c r="J23" s="185" t="str">
        <x:f>"最低駐車確実性 "&amp;INDEX('カスタムルート計算'!$AH$2:$AH$38,MATCH($B$7,'カスタムルート計算'!$Z$2:$Z$38,0))&amp;"/5"</x:f>
        <x:v>最低駐車確実性 4/5</x:v>
      </x:c>
      <x:c r="K23" s="185"/>
      <x:c r="L23" s="185"/>
    </x:row>
    <x:row r="24" ht="38" customHeight="1">
      <x:c r="A24" s="185" t="n">
        <x:f>$H$8</x:f>
        <x:v>3</x:v>
      </x:c>
      <x:c r="B24" s="185" t="str">
        <x:f>IF(E12="","",E12)</x:f>
        <x:v>羽田空港 第3ターミナル展望デッキ</x:v>
      </x:c>
      <x:c r="C24" s="316" t="n">
        <x:f>IF(B24="","",$B$6+($H$8*$H$13+($H$8-1)*$H$14)/1440)</x:f>
        <x:v>0.8763888888888889</x:v>
      </x:c>
      <x:c r="D24" s="316" t="n">
        <x:f>IF(B24="","",C24+$H$14/1440)</x:f>
        <x:v>0.8895833333333333</x:v>
      </x:c>
      <x:c r="E24" s="185" t="n">
        <x:f>IF(B24="","",$H$14)</x:f>
        <x:v>19</x:v>
      </x:c>
      <x:c r="F24" s="185" t="str">
        <x:f>IF(B24="","",IF(B24=INDEX('カスタムルート計算'!$AE$2:$AE$46,MATCH($B$7,'カスタムルート計算'!$Z$2:$Z$46,0)),"Hard Gate対象","最終目的地"))</x:f>
        <x:v>最終目的地</x:v>
      </x:c>
      <x:c r="G24" s="185"/>
      <x:c r="H24" s="185" t="str">
        <x:v>総合判定</x:v>
      </x:c>
      <x:c r="I24" s="185" t="str">
        <x:f>IF(COUNTIF(I20:I23,"NO-GO")&gt;0,"NO-GO",IF(COUNTIF(I20:I23,"要注意")&gt;0,"CAUTION","GO"))</x:f>
        <x:v>NO-GO</x:v>
      </x:c>
      <x:c r="J24" s="185" t="str">
        <x:f>IF(I24="GO","そのまま出発可能",IF(I24="CAUTION","注意事項を確認して出発","Plan Bへ切替"))</x:f>
        <x:v>Plan Bへ切替</x:v>
      </x:c>
      <x:c r="K24" s="185"/>
      <x:c r="L24" s="185"/>
    </x:row>
    <x:row r="25" ht="38" customHeight="1">
      <x:c r="A25" s="185" t="n">
        <x:v>5</x:v>
      </x:c>
      <x:c r="B25" s="185" t="str">
        <x:v>蒲田周辺</x:v>
      </x:c>
      <x:c r="C25" s="316" t="n">
        <x:f>$H$15</x:f>
        <x:v>0.9027777777777778</x:v>
      </x:c>
      <x:c r="D25" s="316" t="n">
        <x:f>$H$15</x:f>
        <x:v>0.9027777777777778</x:v>
      </x:c>
      <x:c r="E25" s="185" t="n">
        <x:v>0</x:v>
      </x:c>
      <x:c r="F25" s="185" t="str">
        <x:v>帰宅</x:v>
      </x:c>
      <x:c r="G25" s="185"/>
      <x:c r="H25" s="185"/>
      <x:c r="I25" s="185"/>
      <x:c r="J25" s="185"/>
      <x:c r="K25" s="185"/>
      <x:c r="L25" s="185"/>
    </x:row>
    <x:row r="26">
      <x:c r="A26" s="185"/>
      <x:c r="B26" s="185"/>
      <x:c r="C26" s="185"/>
      <x:c r="D26" s="185"/>
      <x:c r="E26" s="185"/>
      <x:c r="F26" s="185"/>
      <x:c r="G26" s="185"/>
      <x:c r="H26" s="185"/>
      <x:c r="I26" s="185"/>
      <x:c r="J26" s="185"/>
      <x:c r="K26" s="185"/>
      <x:c r="L26" s="185"/>
    </x:row>
    <x:row r="27">
      <x:c r="A27" s="185"/>
      <x:c r="B27" s="185"/>
      <x:c r="C27" s="185"/>
      <x:c r="D27" s="185"/>
      <x:c r="E27" s="185"/>
      <x:c r="F27" s="185"/>
      <x:c r="G27" s="185"/>
      <x:c r="H27" s="185"/>
      <x:c r="I27" s="185"/>
      <x:c r="J27" s="185"/>
      <x:c r="K27" s="185"/>
      <x:c r="L27" s="185"/>
    </x:row>
    <x:row r="28">
      <x:c r="A28" s="305" t="str">
        <x:v>ルート開始・Plan B</x:v>
      </x:c>
      <x:c r="B28" s="305"/>
      <x:c r="C28" s="305"/>
      <x:c r="D28" s="305"/>
      <x:c r="E28" s="305"/>
      <x:c r="F28" s="305"/>
      <x:c r="G28" s="305"/>
      <x:c r="H28" s="305"/>
      <x:c r="I28" s="305"/>
      <x:c r="J28" s="305"/>
      <x:c r="K28" s="305"/>
      <x:c r="L28" s="305"/>
    </x:row>
    <x:row r="29">
      <x:c r="A29" s="308" t="str">
        <x:v>項目</x:v>
      </x:c>
      <x:c r="B29" s="308" t="str">
        <x:v>内容</x:v>
      </x:c>
      <x:c r="C29" s="185"/>
      <x:c r="D29" s="312" t="str">
        <x:v>実走時の切替ルール</x:v>
      </x:c>
      <x:c r="E29" s="312"/>
      <x:c r="F29" s="312"/>
      <x:c r="G29" s="312"/>
      <x:c r="H29" s="312"/>
      <x:c r="I29" s="312"/>
      <x:c r="J29" s="312"/>
      <x:c r="K29" s="312"/>
      <x:c r="L29" s="312"/>
    </x:row>
    <x:row r="30" ht="34" customHeight="1">
      <x:c r="A30" s="185" t="str">
        <x:v>本ルート</x:v>
      </x:c>
      <x:c r="B30" s="188" t="e">
        <x:f>HYPERLINK("https://www.google.com/maps/dir/?api=1&amp;destination="&amp;E12&amp;"&amp;travelmode=driving&amp;waypoints="&amp;E9&amp;"|"&amp;E10&amp;IF(E11="","","|"&amp;E11),"本ルート開始")</x:f>
      </x:c>
      <x:c r="C30" s="185"/>
      <x:c r="D30" s="306" t="str">
        <x:v>状況</x:v>
      </x:c>
      <x:c r="E30" s="306" t="str">
        <x:v>切替行動</x:v>
      </x:c>
      <x:c r="F30" s="306" t="str"/>
      <x:c r="G30" s="306" t="str"/>
      <x:c r="H30" s="306" t="str"/>
      <x:c r="I30" s="306" t="str"/>
      <x:c r="J30" s="306" t="str"/>
      <x:c r="K30" s="306" t="str"/>
      <x:c r="L30" s="306" t="str"/>
    </x:row>
    <x:row r="31" ht="34" customHeight="1">
      <x:c r="A31" s="185" t="str">
        <x:v>本ルート最終地点</x:v>
      </x:c>
      <x:c r="B31" s="188" t="str">
        <x:f>E12</x:f>
        <x:v>羽田空港 第3ターミナル展望デッキ</x:v>
      </x:c>
      <x:c r="C31" s="185"/>
      <x:c r="D31" s="185" t="str">
        <x:v>出発が20分以上遅れた</x:v>
      </x:c>
      <x:c r="E31" s="185" t="str">
        <x:v>最初の経由地を省略し、最終目的地の到達を優先</x:v>
      </x:c>
      <x:c r="F31" s="185" t="str"/>
      <x:c r="G31" s="185" t="str"/>
      <x:c r="H31" s="185" t="str"/>
      <x:c r="I31" s="185" t="str"/>
      <x:c r="J31" s="185" t="str"/>
      <x:c r="K31" s="185" t="str"/>
      <x:c r="L31" s="185" t="str"/>
    </x:row>
    <x:row r="32" ht="34" customHeight="1">
      <x:c r="A32" s="185" t="str">
        <x:v>Plan Bルート</x:v>
      </x:c>
      <x:c r="B32" s="188" t="e">
        <x:f>IF(O2="","",HYPERLINK("https://www.google.com/maps/dir/?api=1&amp;destination="&amp;O6&amp;"&amp;travelmode=driving&amp;waypoints="&amp;O3&amp;IF(O4="","","|"&amp;O4)&amp;IF(O5="","","|"&amp;O5),"Plan B: "&amp;O2))</x:f>
      </x:c>
      <x:c r="C32" s="185"/>
      <x:c r="D32" s="185" t="str">
        <x:v>Hard Gate余裕10分未満</x:v>
      </x:c>
      <x:c r="E32" s="185" t="str">
        <x:v>Hard Gate対象地点を省略、またはPlan Bへ変更</x:v>
      </x:c>
      <x:c r="F32" s="185" t="str"/>
      <x:c r="G32" s="185" t="str"/>
      <x:c r="H32" s="185" t="str"/>
      <x:c r="I32" s="185" t="str"/>
      <x:c r="J32" s="185" t="str"/>
      <x:c r="K32" s="185" t="str"/>
      <x:c r="L32" s="185" t="str"/>
    </x:row>
    <x:row r="33" ht="34" customHeight="1">
      <x:c r="A33" s="185" t="str">
        <x:v>Plan B最終地点</x:v>
      </x:c>
      <x:c r="B33" s="185" t="str">
        <x:f>IF(O2="","",O2&amp;" → "&amp;O6)</x:f>
        <x:v>首都高ミニマム・ナイト → 辰巳第一PA</x:v>
      </x:c>
      <x:c r="C33" s="185"/>
      <x:c r="D33" s="185" t="str">
        <x:v>駐車場満車</x:v>
      </x:c>
      <x:c r="E33" s="185" t="str">
        <x:v>路上待機せず、満車時代替地点へ即移動</x:v>
      </x:c>
      <x:c r="F33" s="185" t="str"/>
      <x:c r="G33" s="185" t="str"/>
      <x:c r="H33" s="185" t="str"/>
      <x:c r="I33" s="185" t="str"/>
      <x:c r="J33" s="185" t="str"/>
      <x:c r="K33" s="185" t="str"/>
      <x:c r="L33" s="185" t="str"/>
    </x:row>
    <x:row r="34" ht="34" customHeight="1">
      <x:c r="A34" s="185" t="str">
        <x:v>満車時代替地点</x:v>
      </x:c>
      <x:c r="B34" s="185" t="str">
        <x:f>IFERROR(INDEX('カスタムルート計算'!$AJ$2:$AJ$36,MATCH($B$7,'カスタムルート計算'!$Z$2:$Z$36,0)),"")</x:f>
      </x:c>
      <x:c r="C34" s="185"/>
      <x:c r="D34" s="185" t="str">
        <x:v>強風・増水</x:v>
      </x:c>
      <x:c r="E34" s="185" t="str">
        <x:v>海・河川・屋上を中止し、空港屋内・PAへ切替</x:v>
      </x:c>
      <x:c r="F34" s="185" t="str"/>
      <x:c r="G34" s="185" t="str"/>
      <x:c r="H34" s="185" t="str"/>
      <x:c r="I34" s="185" t="str"/>
      <x:c r="J34" s="185" t="str"/>
      <x:c r="K34" s="185" t="str"/>
      <x:c r="L34" s="185" t="str"/>
    </x:row>
    <x:row r="35" ht="34" customHeight="1">
      <x:c r="A35" s="185"/>
      <x:c r="B35" s="185"/>
      <x:c r="C35" s="185"/>
      <x:c r="D35" s="185" t="str">
        <x:v>PAの方向違い</x:v>
      </x:c>
      <x:c r="E35" s="185" t="str">
        <x:v>無理な周回をせず、一般道ルートへ変更</x:v>
      </x:c>
      <x:c r="F35" s="185" t="str"/>
      <x:c r="G35" s="185" t="str"/>
      <x:c r="H35" s="185" t="str"/>
      <x:c r="I35" s="185" t="str"/>
      <x:c r="J35" s="185" t="str"/>
      <x:c r="K35" s="185" t="str"/>
      <x:c r="L35" s="185" t="str"/>
    </x:row>
  </x:sheetData>
  <x:mergeCells>
    <x:mergeCell ref="A1:L2"/>
    <x:mergeCell ref="A3:L3"/>
    <x:mergeCell ref="D5:L5"/>
    <x:mergeCell ref="A18:L18"/>
    <x:mergeCell ref="H18:L18"/>
    <x:mergeCell ref="J20:L20"/>
    <x:mergeCell ref="J21:L21"/>
    <x:mergeCell ref="J22:L22"/>
    <x:mergeCell ref="J23:L23"/>
    <x:mergeCell ref="J24:L24"/>
    <x:mergeCell ref="A28:L28"/>
    <x:mergeCell ref="D29:L29"/>
  </x:mergeCells>
  <x:conditionalFormatting sqref="I20:I24">
    <x:cfRule type="expression" dxfId="0" priority="1">
      <x:formula>I20="GO"</x:formula>
    </x:cfRule>
    <x:cfRule type="expression" dxfId="1" priority="2">
      <x:formula>OR(I20="要注意",I20="CAUTION")</x:formula>
    </x:cfRule>
    <x:cfRule type="expression" dxfId="2" priority="3">
      <x:formula>I20="NO-GO"</x:formula>
    </x:cfRule>
  </x:conditionalFormatting>
  <x:dataValidations count="5">
    <x:dataValidation type="list" sqref="B7">
      <x:formula1>"1,2,3"</x:formula1>
    </x:dataValidation>
    <x:dataValidation type="list" sqref="B8">
      <x:formula1>"0,10,20,30,45"</x:formula1>
    </x:dataValidation>
    <x:dataValidation type="list" sqref="B9">
      <x:formula1>"短め,標準,長め"</x:formula1>
    </x:dataValidation>
    <x:dataValidation type="list" sqref="B10">
      <x:formula1>"0,10,15,20,30"</x:formula1>
    </x:dataValidation>
    <x:dataValidation type="list" sqref="B11">
      <x:formula1>"2,3"</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10" hidden="0" customWidth="1"/>
    <x:col min="2" max="2" width="28" hidden="0" customWidth="1"/>
    <x:col min="3" max="3" width="24" hidden="0" customWidth="1"/>
    <x:col min="4" max="4" width="16" hidden="0" customWidth="1"/>
    <x:col min="5" max="5" width="10" hidden="0" customWidth="1"/>
    <x:col min="6" max="6" width="10" hidden="0" customWidth="1"/>
    <x:col min="7" max="7" width="10" hidden="0" customWidth="1"/>
    <x:col min="8" max="8" width="10" hidden="0" customWidth="1"/>
    <x:col min="9" max="9" width="28" hidden="0" customWidth="1"/>
    <x:col min="10" max="10" width="12" hidden="0" customWidth="1"/>
    <x:col min="11" max="11" width="8" hidden="0" customWidth="1"/>
    <x:col min="12" max="12" width="14" hidden="0" customWidth="1"/>
    <x:col min="13" max="13" width="12" hidden="0" customWidth="1"/>
    <x:col min="14" max="14" width="13" hidden="0" customWidth="1"/>
    <x:col min="15" max="15" width="28" hidden="0" customWidth="1"/>
    <x:col min="16" max="16" width="48" hidden="0" customWidth="1"/>
    <x:col min="17" max="17" width="48" hidden="0" customWidth="1"/>
    <x:col min="18" max="18" width="11" hidden="0" customWidth="1"/>
    <x:col min="19" max="19" width="11" hidden="0" customWidth="1"/>
  </x:cols>
  <x:sheetData>
    <x:row r="1">
      <x:c r="A1" s="363" t="str">
        <x:v>ルートID</x:v>
      </x:c>
      <x:c r="B1" s="363" t="str">
        <x:v>タイトル</x:v>
      </x:c>
      <x:c r="C1" s="363" t="str">
        <x:v>テーマ</x:v>
      </x:c>
      <x:c r="D1" s="363" t="str">
        <x:v>想定総時間</x:v>
      </x:c>
      <x:c r="E1" s="363" t="str">
        <x:v>最短分</x:v>
      </x:c>
      <x:c r="F1" s="363" t="str">
        <x:v>中央値分</x:v>
      </x:c>
      <x:c r="G1" s="363" t="str">
        <x:v>最長分</x:v>
      </x:c>
      <x:c r="H1" s="363" t="str">
        <x:v>立寄数</x:v>
      </x:c>
      <x:c r="I1" s="363" t="str">
        <x:v>Hard Gate地点</x:v>
      </x:c>
      <x:c r="J1" s="363" t="str">
        <x:v>Hard Gate時刻</x:v>
      </x:c>
      <x:c r="K1" s="363" t="str">
        <x:v>位置</x:v>
      </x:c>
      <x:c r="L1" s="363" t="str">
        <x:v>最低駐車確実性</x:v>
      </x:c>
      <x:c r="M1" s="363" t="str">
        <x:v>強風リスク</x:v>
      </x:c>
      <x:c r="N1" s="363" t="str">
        <x:v>実現性スコア</x:v>
      </x:c>
      <x:c r="O1" s="363" t="str">
        <x:v>経由地品質</x:v>
      </x:c>
      <x:c r="P1" s="363" t="str">
        <x:v>経由地多様性</x:v>
      </x:c>
      <x:c r="Q1" s="363" t="str">
        <x:v>使用過多ペナルティ</x:v>
      </x:c>
      <x:c r="R1" s="363" t="str">
        <x:v>ルート系統</x:v>
      </x:c>
      <x:c r="S1" s="363" t="str">
        <x:v>改善状態</x:v>
      </x:c>
      <x:c r="T1" s="363" t="str">
        <x:v>Plan B最終地点</x:v>
      </x:c>
      <x:c r="U1" s="363" t="str">
        <x:v>主な失敗条件</x:v>
      </x:c>
      <x:c r="V1" s="363" t="str">
        <x:v>既存注意事項</x:v>
      </x:c>
      <x:c r="W1" s="363" t="str">
        <x:v>本ルート</x:v>
      </x:c>
      <x:c r="X1" s="363" t="str">
        <x:v>Plan Bルート</x:v>
      </x:c>
    </x:row>
    <x:row r="2" ht="42" customHeight="1">
      <x:c r="A2" s="22" t="str">
        <x:v>R001</x:v>
      </x:c>
      <x:c r="B2" s="22" t="str">
        <x:v>羽田・航空機ショート</x:v>
      </x:c>
      <x:c r="C2" s="22" t="str">
        <x:v>足湯／空港展望／飛行機</x:v>
      </x:c>
      <x:c r="D2" s="22" t="str">
        <x:v>85～120分</x:v>
      </x:c>
      <x:c r="E2" s="22" t="n">
        <x:v>85</x:v>
      </x:c>
      <x:c r="F2" s="22" t="n">
        <x:v>102</x:v>
      </x:c>
      <x:c r="G2" s="22" t="n">
        <x:v>120</x:v>
      </x:c>
      <x:c r="H2" s="22" t="n">
        <x:v>3</x:v>
      </x:c>
      <x:c r="I2" s="22" t="str">
        <x:v>HANEDA INNOVATION CITY 足湯スカイデッキ</x:v>
      </x:c>
      <x:c r="J2" s="277" t="n">
        <x:v>0.9791666666666666</x:v>
      </x:c>
      <x:c r="K2" s="22" t="n">
        <x:v>1</x:v>
      </x:c>
      <x:c r="L2" s="22" t="n">
        <x:v>2</x:v>
      </x:c>
      <x:c r="M2" s="22" t="n">
        <x:v>5</x:v>
      </x:c>
      <x:c r="N2" s="22" t="n">
        <x:v>64</x:v>
      </x:c>
      <x:c r="O2" s="22" t="n">
        <x:v>80</x:v>
      </x:c>
      <x:c r="P2" s="22" t="n">
        <x:v>49</x:v>
      </x:c>
      <x:c r="Q2" s="22" t="n">
        <x:v>30</x:v>
      </x:c>
      <x:c r="R2" s="95" t="str">
        <x:v>羽田・航空</x:v>
      </x:c>
      <x:c r="S2" s="95" t="str">
        <x:v>差替え済</x:v>
      </x:c>
      <x:c r="T2" s="22" t="str">
        <x:v>城南島海浜公園</x:v>
      </x:c>
      <x:c r="U2" s="22" t="str">
        <x:v>23:30までに「HANEDA INNOVATION CITY 足湯スカイデッキ」へ到達。遅れたら経由地を省略。</x:v>
      </x:c>
      <x:c r="V2" s="22" t="str">
        <x:v>HIC P1で足湯を短時間利用し、T3を経て京浜島へ。京浜島満車時はT3で終了。</x:v>
      </x:c>
      <x:c r="W2" s="22" t="e">
        <x:f>HYPERLINK("https://www.google.com/maps/dir/?api=1&amp;destination=%E4%BA%AC%E6%B5%9C%E5%B3%B6%E3%81%A4%E3%81%B0%E3%81%95%E5%85%AC%E5%9C%92&amp;travelmode=driving&amp;waypoints=HANEDA%20INNOVATION%20CITY%20%E8%B6%B3%E6%B9%AF%E3%82%B9%E3%82%AB%E3%82%A4%E3%83%87%E3%83%83%E3%82%AD%7C%E7%BE%BD%E7%94%B0%E7%A9%BA%E6%B8%AF%20%E7%AC%AC3%E3%82%BF%E3%83%BC%E3%83%9F%E3%83%8A%E3%83%AB%E5%B1%95%E6%9C%9B%E3%83%87%E3%83%83%E3%82%AD","開始")</x:f>
      </x:c>
      <x:c r="X2" s="22" t="e">
        <x:f>HYPERLINK("https://www.google.com/maps/dir/?api=1&amp;destination=%E5%9F%8E%E5%8D%97%E5%B3%B6%E6%B5%B7%E6%B5%9C%E5%85%AC%E5%9C%92&amp;travelmode=driving&amp;waypoints=HANEDA%20INNOVATION%20CITY%20%E8%B6%B3%E6%B9%AF%E3%82%B9%E3%82%AB%E3%82%A4%E3%83%87%E3%83%83%E3%82%AD%7C%E7%BE%BD%E7%94%B0%E7%A9%BA%E6%B8%AF%20%E7%AC%AC3%E3%82%BF%E3%83%BC%E3%83%9F%E3%83%8A%E3%83%AB%E5%B1%95%E6%9C%9B%E3%83%87%E3%83%83%E3%82%AD","Plan B")</x:f>
      </x:c>
    </x:row>
    <x:row r="3" ht="42" customHeight="1">
      <x:c r="A3" s="22" t="str">
        <x:v>R002</x:v>
      </x:c>
      <x:c r="B3" s="22" t="str">
        <x:v>大森海岸から飛行機へ</x:v>
      </x:c>
      <x:c r="C3" s="22" t="str">
        <x:v>海苔Story／飛行機／海</x:v>
      </x:c>
      <x:c r="D3" s="22" t="str">
        <x:v>90～130分</x:v>
      </x:c>
      <x:c r="E3" s="22" t="n">
        <x:v>90</x:v>
      </x:c>
      <x:c r="F3" s="22" t="n">
        <x:v>110</x:v>
      </x:c>
      <x:c r="G3" s="22" t="n">
        <x:v>130</x:v>
      </x:c>
      <x:c r="H3" s="22" t="n">
        <x:v>3</x:v>
      </x:c>
      <x:c r="I3" s="22" t="str">
        <x:v>城南島海浜公園</x:v>
      </x:c>
      <x:c r="J3" s="277" t="n">
        <x:v>0.875</x:v>
      </x:c>
      <x:c r="K3" s="22" t="n">
        <x:v>3</x:v>
      </x:c>
      <x:c r="L3" s="22" t="n">
        <x:v>2</x:v>
      </x:c>
      <x:c r="M3" s="22" t="n">
        <x:v>5</x:v>
      </x:c>
      <x:c r="N3" s="22" t="n">
        <x:v>68</x:v>
      </x:c>
      <x:c r="O3" s="22" t="n">
        <x:v>79</x:v>
      </x:c>
      <x:c r="P3" s="22" t="n">
        <x:v>67</x:v>
      </x:c>
      <x:c r="Q3" s="22" t="n">
        <x:v>18</x:v>
      </x:c>
      <x:c r="R3" s="95" t="str">
        <x:v>羽田・航空</x:v>
      </x:c>
      <x:c r="S3" s="95" t="str">
        <x:v>差替え済</x:v>
      </x:c>
      <x:c r="T3" s="22" t="str">
        <x:v>城南島海浜公園</x:v>
      </x:c>
      <x:c r="U3" s="22" t="str">
        <x:v>21:00までに「城南島海浜公園」へ到達。遅れたら経由地を省略。</x:v>
      </x:c>
      <x:c r="V3" s="22" t="str">
        <x:v>浜辺エリアと城南島駐車場は21時まで。20時以降は大森を省略し、京浜島→城南島へ短縮。</x:v>
      </x:c>
      <x:c r="W3" s="22" t="e">
        <x:f>HYPERLINK("https://www.google.com/maps/dir/?api=1&amp;destination=%E5%9F%8E%E5%8D%97%E5%B3%B6%E6%B5%B7%E6%B5%9C%E5%85%AC%E5%9C%92&amp;travelmode=driving&amp;waypoints=%E5%A4%A7%E6%A3%AE%E3%81%B5%E3%82%8B%E3%81%95%E3%81%A8%E3%81%AE%E6%B5%9C%E8%BE%BA%E5%85%AC%E5%9C%92%7C%E4%BA%AC%E6%B5%9C%E5%B3%B6%E3%81%A4%E3%81%B0%E3%81%95%E5%85%AC%E5%9C%92","開始")</x:f>
      </x:c>
      <x:c r="X3" s="22" t="e">
        <x:f>HYPERLINK("https://www.google.com/maps/dir/?api=1&amp;destination=%E5%9F%8E%E5%8D%97%E5%B3%B6%E6%B5%B7%E6%B5%9C%E5%85%AC%E5%9C%92&amp;travelmode=driving&amp;waypoints=%E5%A4%A7%E6%A3%AE%E3%81%B5%E3%82%8B%E3%81%95%E3%81%A8%E3%81%AE%E6%B5%9C%E8%BE%BA%E5%85%AC%E5%9C%92%7C%E4%BA%AC%E6%B5%9C%E5%B3%B6%E3%81%A4%E3%81%B0%E3%81%95%E5%85%AC%E5%9C%92","Plan B")</x:f>
      </x:c>
    </x:row>
    <x:row r="4" ht="42" customHeight="1">
      <x:c r="A4" s="22" t="str">
        <x:v>R003</x:v>
      </x:c>
      <x:c r="B4" s="22" t="str">
        <x:v>東京港最奥ナイト</x:v>
      </x:c>
      <x:c r="C4" s="22" t="str">
        <x:v>港／行き止まり／都市夜景</x:v>
      </x:c>
      <x:c r="D4" s="22" t="str">
        <x:v>120～160分</x:v>
      </x:c>
      <x:c r="E4" s="22" t="n">
        <x:v>120</x:v>
      </x:c>
      <x:c r="F4" s="22" t="n">
        <x:v>140</x:v>
      </x:c>
      <x:c r="G4" s="22" t="n">
        <x:v>160</x:v>
      </x:c>
      <x:c r="H4" s="22" t="n">
        <x:v>3</x:v>
      </x:c>
      <x:c r="I4" s="22" t="str"/>
      <x:c r="J4" s="277"/>
      <x:c r="K4" s="22"/>
      <x:c r="L4" s="22" t="n">
        <x:v>2</x:v>
      </x:c>
      <x:c r="M4" s="22" t="n">
        <x:v>5</x:v>
      </x:c>
      <x:c r="N4" s="22" t="n">
        <x:v>72</x:v>
      </x:c>
      <x:c r="O4" s="22" t="n">
        <x:v>77</x:v>
      </x:c>
      <x:c r="P4" s="22" t="n">
        <x:v>85</x:v>
      </x:c>
      <x:c r="Q4" s="22" t="n">
        <x:v>0</x:v>
      </x:c>
      <x:c r="R4" s="95" t="str">
        <x:v>東京港・水辺</x:v>
      </x:c>
      <x:c r="S4" s="95" t="str">
        <x:v>維持</x:v>
      </x:c>
      <x:c r="T4" s="22" t="str">
        <x:v>城南島海浜公園</x:v>
      </x:c>
      <x:c r="U4" s="22" t="str">
        <x:v>明確なHard Gateなし。満車・天候・臨時閉鎖を確認。</x:v>
      </x:c>
      <x:c r="V4" s="22" t="str">
        <x:v>強風時は暁ふ頭を潮風公園へ変更。</x:v>
      </x:c>
      <x:c r="W4" s="22" t="e">
        <x:f>HYPERLINK("https://www.google.com/maps/dir/?api=1&amp;destination=%E6%9A%81%E3%81%B5%E9%A0%AD%E5%85%AC%E5%9C%92&amp;travelmode=driving&amp;waypoints=%E6%99%B4%E6%B5%B7%E3%81%B5%E9%A0%AD%E5%85%AC%E5%9C%92%7C%E8%B1%8A%E6%B4%B2%E3%81%90%E3%82%8B%E3%82%8A%E5%85%AC%E5%9C%92","開始")</x:f>
      </x:c>
      <x:c r="X4" s="22" t="e">
        <x:f>HYPERLINK("https://www.google.com/maps/dir/?api=1&amp;destination=%E5%9F%8E%E5%8D%97%E5%B3%B6%E6%B5%B7%E6%B5%9C%E5%85%AC%E5%9C%92&amp;travelmode=driving&amp;waypoints=%E6%99%B4%E6%B5%B7%E3%81%B5%E9%A0%AD%E5%85%AC%E5%9C%92%7C%E8%B1%8A%E6%B4%B2%E3%81%90%E3%82%8B%E3%82%8A%E5%85%AC%E5%9C%92","Plan B")</x:f>
      </x:c>
    </x:row>
    <x:row r="5" ht="42" customHeight="1">
      <x:c r="A5" s="22" t="str">
        <x:v>R004</x:v>
      </x:c>
      <x:c r="B5" s="22" t="str">
        <x:v>ゲートブリッジ夜景ショート</x:v>
      </x:c>
      <x:c r="C5" s="22" t="str">
        <x:v>都市夜景／橋の走行演出／海</x:v>
      </x:c>
      <x:c r="D5" s="22" t="str">
        <x:v>105～145分</x:v>
      </x:c>
      <x:c r="E5" s="22" t="n">
        <x:v>105</x:v>
      </x:c>
      <x:c r="F5" s="22" t="n">
        <x:v>125</x:v>
      </x:c>
      <x:c r="G5" s="22" t="n">
        <x:v>145</x:v>
      </x:c>
      <x:c r="H5" s="22" t="n">
        <x:v>3</x:v>
      </x:c>
      <x:c r="I5" s="22" t="str">
        <x:v>若洲海浜公園</x:v>
      </x:c>
      <x:c r="J5" s="277" t="n">
        <x:v>0.9166666666666666</x:v>
      </x:c>
      <x:c r="K5" s="22" t="n">
        <x:v>3</x:v>
      </x:c>
      <x:c r="L5" s="22" t="n">
        <x:v>2</x:v>
      </x:c>
      <x:c r="M5" s="22" t="n">
        <x:v>5</x:v>
      </x:c>
      <x:c r="N5" s="22" t="n">
        <x:v>69</x:v>
      </x:c>
      <x:c r="O5" s="22" t="n">
        <x:v>80</x:v>
      </x:c>
      <x:c r="P5" s="22" t="n">
        <x:v>68</x:v>
      </x:c>
      <x:c r="Q5" s="22" t="n">
        <x:v>0</x:v>
      </x:c>
      <x:c r="R5" s="95" t="str">
        <x:v>東京港・水辺</x:v>
      </x:c>
      <x:c r="S5" s="95" t="str">
        <x:v>差替え済</x:v>
      </x:c>
      <x:c r="T5" s="22" t="str">
        <x:v>城南島海浜公園</x:v>
      </x:c>
      <x:c r="U5" s="22" t="str">
        <x:v>22:00までに「若洲海浜公園」へ到達。遅れたら経由地を省略。</x:v>
      </x:c>
      <x:c r="V5" s="22" t="str">
        <x:v>東京ゲートブリッジは停車せず走行演出として通過。若洲駐車場は6:00～22:00で、一部工事情報を当日確認。</x:v>
      </x:c>
      <x:c r="W5" s="22" t="e">
        <x:f>HYPERLINK("https://www.google.com/maps/dir/?api=1&amp;destination=%E8%8B%A5%E6%B4%B2%E6%B5%B7%E6%B5%9C%E5%85%AC%E5%9C%92&amp;travelmode=driving&amp;waypoints=%E6%BD%AE%E9%A2%A8%E5%85%AC%E5%9C%92%7C%E6%9D%B1%E4%BA%AC%E3%82%B2%E3%83%BC%E3%83%88%E3%83%96%E3%83%AA%E3%83%83%E3%82%B8","開始")</x:f>
      </x:c>
      <x:c r="X5" s="22" t="e">
        <x:f>HYPERLINK("https://www.google.com/maps/dir/?api=1&amp;destination=%E5%9F%8E%E5%8D%97%E5%B3%B6%E6%B5%B7%E6%B5%9C%E5%85%AC%E5%9C%92&amp;travelmode=driving&amp;waypoints=%E6%BD%AE%E9%A2%A8%E5%85%AC%E5%9C%92%7C%E6%9D%B1%E4%BA%AC%E3%82%B2%E3%83%BC%E3%83%88%E3%83%96%E3%83%AA%E3%83%83%E3%82%B8","Plan B")</x:f>
      </x:c>
    </x:row>
    <x:row r="6" ht="42" customHeight="1">
      <x:c r="A6" s="22" t="str">
        <x:v>R005</x:v>
      </x:c>
      <x:c r="B6" s="22" t="str">
        <x:v>東京港・環境再生ライン</x:v>
      </x:c>
      <x:c r="C6" s="22" t="str">
        <x:v>湿地／埋立地再生／橋景観</x:v>
      </x:c>
      <x:c r="D6" s="22" t="str">
        <x:v>150～210分</x:v>
      </x:c>
      <x:c r="E6" s="22" t="n">
        <x:v>150</x:v>
      </x:c>
      <x:c r="F6" s="22" t="n">
        <x:v>180</x:v>
      </x:c>
      <x:c r="G6" s="22" t="n">
        <x:v>210</x:v>
      </x:c>
      <x:c r="H6" s="22" t="n">
        <x:v>3</x:v>
      </x:c>
      <x:c r="I6" s="22" t="str">
        <x:v>東京港野鳥公園</x:v>
      </x:c>
      <x:c r="J6" s="277" t="n">
        <x:v>0.7083333333333334</x:v>
      </x:c>
      <x:c r="K6" s="22" t="n">
        <x:v>1</x:v>
      </x:c>
      <x:c r="L6" s="22" t="n">
        <x:v>2</x:v>
      </x:c>
      <x:c r="M6" s="22" t="n">
        <x:v>5</x:v>
      </x:c>
      <x:c r="N6" s="22" t="n">
        <x:v>72</x:v>
      </x:c>
      <x:c r="O6" s="22" t="n">
        <x:v>80</x:v>
      </x:c>
      <x:c r="P6" s="22" t="n">
        <x:v>79</x:v>
      </x:c>
      <x:c r="Q6" s="22" t="n">
        <x:v>0</x:v>
      </x:c>
      <x:c r="R6" s="95" t="str">
        <x:v>東京港・水辺</x:v>
      </x:c>
      <x:c r="S6" s="95" t="str">
        <x:v>差替え済</x:v>
      </x:c>
      <x:c r="T6" s="22" t="str">
        <x:v>城南島海浜公園</x:v>
      </x:c>
      <x:c r="U6" s="22" t="str">
        <x:v>17:00までに「東京港野鳥公園」へ到達。遅れたら経由地を省略。</x:v>
      </x:c>
      <x:c r="V6" s="22" t="str">
        <x:v>昼専用。野鳥公園と海の森は17時まで。若洲駐車場は22時までだが、工事による一部利用休止を確認。</x:v>
      </x:c>
      <x:c r="W6" s="22" t="e">
        <x:f>HYPERLINK("https://www.google.com/maps/dir/?api=1&amp;destination=%E8%8B%A5%E6%B4%B2%E6%B5%B7%E6%B5%9C%E5%85%AC%E5%9C%92&amp;travelmode=driving&amp;waypoints=%E6%9D%B1%E4%BA%AC%E6%B8%AF%E9%87%8E%E9%B3%A5%E5%85%AC%E5%9C%92%7C%E6%B5%B7%E3%81%AE%E6%A3%AE%E5%85%AC%E5%9C%92","開始")</x:f>
      </x:c>
      <x:c r="X6" s="22" t="e">
        <x:f>HYPERLINK("https://www.google.com/maps/dir/?api=1&amp;destination=%E5%9F%8E%E5%8D%97%E5%B3%B6%E6%B5%B7%E6%B5%9C%E5%85%AC%E5%9C%92&amp;travelmode=driving&amp;waypoints=%E6%9D%B1%E4%BA%AC%E6%B8%AF%E9%87%8E%E9%B3%A5%E5%85%AC%E5%9C%92%7C%E6%B5%B7%E3%81%AE%E6%A3%AE%E5%85%AC%E5%9C%92","Plan B")</x:f>
      </x:c>
    </x:row>
    <x:row r="7" ht="42" customHeight="1">
      <x:c r="A7" s="22" t="str">
        <x:v>R006</x:v>
      </x:c>
      <x:c r="B7" s="22" t="str">
        <x:v>京浜島から東扇島西端へ</x:v>
      </x:c>
      <x:c r="C7" s="22" t="str">
        <x:v>飛行機／高所展望／港の行き止まり</x:v>
      </x:c>
      <x:c r="D7" s="22" t="str">
        <x:v>120～170分</x:v>
      </x:c>
      <x:c r="E7" s="22" t="n">
        <x:v>120</x:v>
      </x:c>
      <x:c r="F7" s="22" t="n">
        <x:v>145</x:v>
      </x:c>
      <x:c r="G7" s="22" t="n">
        <x:v>170</x:v>
      </x:c>
      <x:c r="H7" s="22" t="n">
        <x:v>3</x:v>
      </x:c>
      <x:c r="I7" s="22" t="str"/>
      <x:c r="J7" s="277"/>
      <x:c r="K7" s="22"/>
      <x:c r="L7" s="22" t="n">
        <x:v>1</x:v>
      </x:c>
      <x:c r="M7" s="22" t="n">
        <x:v>5</x:v>
      </x:c>
      <x:c r="N7" s="22" t="n">
        <x:v>63</x:v>
      </x:c>
      <x:c r="O7" s="22" t="n">
        <x:v>75</x:v>
      </x:c>
      <x:c r="P7" s="22" t="n">
        <x:v>70</x:v>
      </x:c>
      <x:c r="Q7" s="22" t="n">
        <x:v>9</x:v>
      </x:c>
      <x:c r="R7" s="95" t="str">
        <x:v>羽田・航空</x:v>
      </x:c>
      <x:c r="S7" s="95" t="str">
        <x:v>差替え済</x:v>
      </x:c>
      <x:c r="T7" s="22" t="str">
        <x:v>城南島海浜公園</x:v>
      </x:c>
      <x:c r="U7" s="22" t="str">
        <x:v>明確なHard Gateなし。満車・天候・臨時閉鎖を確認。</x:v>
      </x:c>
      <x:c r="V7" s="22" t="str">
        <x:v>川崎マリエン展望室は21時まで。遅れた場合はマリエンを省略し、24時間利用可能な東扇島西公園へ直行。</x:v>
      </x:c>
      <x:c r="W7" s="22" t="e">
        <x:f>HYPERLINK("https://www.google.com/maps/dir/?api=1&amp;destination=%E6%9D%B1%E6%89%87%E5%B3%B6%E8%A5%BF%E5%85%AC%E5%9C%92&amp;travelmode=driving&amp;waypoints=%E4%BA%AC%E6%B5%9C%E5%B3%B6%E3%81%A4%E3%81%B0%E3%81%95%E5%85%AC%E5%9C%92%7C%E5%B7%9D%E5%B4%8E%E3%83%9E%E3%83%AA%E3%82%A8%E3%83%B3","開始")</x:f>
      </x:c>
      <x:c r="X7" s="22" t="e">
        <x:f>HYPERLINK("https://www.google.com/maps/dir/?api=1&amp;destination=%E5%9F%8E%E5%8D%97%E5%B3%B6%E6%B5%B7%E6%B5%9C%E5%85%AC%E5%9C%92&amp;travelmode=driving&amp;waypoints=%E4%BA%AC%E6%B5%9C%E5%B3%B6%E3%81%A4%E3%81%B0%E3%81%95%E5%85%AC%E5%9C%92%7C%E5%B7%9D%E5%B4%8E%E3%83%9E%E3%83%AA%E3%82%A8%E3%83%B3","Plan B")</x:f>
      </x:c>
    </x:row>
    <x:row r="8" ht="42" customHeight="1">
      <x:c r="A8" s="22" t="str">
        <x:v>R008</x:v>
      </x:c>
      <x:c r="B8" s="22" t="str">
        <x:v>本牧ふ頭の行き止まり</x:v>
      </x:c>
      <x:c r="C8" s="22" t="str">
        <x:v>横浜港／ふ頭／船</x:v>
      </x:c>
      <x:c r="D8" s="22" t="str">
        <x:v>150～200分</x:v>
      </x:c>
      <x:c r="E8" s="22" t="n">
        <x:v>150</x:v>
      </x:c>
      <x:c r="F8" s="22" t="n">
        <x:v>175</x:v>
      </x:c>
      <x:c r="G8" s="22" t="n">
        <x:v>200</x:v>
      </x:c>
      <x:c r="H8" s="22" t="n">
        <x:v>3</x:v>
      </x:c>
      <x:c r="I8" s="22" t="str">
        <x:v>横浜港シンボルタワー</x:v>
      </x:c>
      <x:c r="J8" s="277" t="n">
        <x:v>0.8333333333333334</x:v>
      </x:c>
      <x:c r="K8" s="22" t="n">
        <x:v>3</x:v>
      </x:c>
      <x:c r="L8" s="22" t="n">
        <x:v>4</x:v>
      </x:c>
      <x:c r="M8" s="22" t="n">
        <x:v>5</x:v>
      </x:c>
      <x:c r="N8" s="22" t="n">
        <x:v>76</x:v>
      </x:c>
      <x:c r="O8" s="22" t="n">
        <x:v>78</x:v>
      </x:c>
      <x:c r="P8" s="22" t="n">
        <x:v>68</x:v>
      </x:c>
      <x:c r="Q8" s="22" t="n">
        <x:v>3</x:v>
      </x:c>
      <x:c r="R8" s="95" t="str">
        <x:v>東京港・水辺</x:v>
      </x:c>
      <x:c r="S8" s="95" t="str">
        <x:v>維持</x:v>
      </x:c>
      <x:c r="T8" s="22" t="str">
        <x:v>城南島海浜公園</x:v>
      </x:c>
      <x:c r="U8" s="22" t="str">
        <x:v>20:00までに「横浜港シンボルタワー」へ到達。遅れたら経由地を省略。</x:v>
      </x:c>
      <x:c r="V8" s="22" t="str">
        <x:v>季節別閉場時間に合わせる夕方専用。</x:v>
      </x:c>
      <x:c r="W8" s="22" t="e">
        <x:f>HYPERLINK("https://www.google.com/maps/dir/?api=1&amp;destination=%E6%A8%AA%E6%B5%9C%E6%B8%AF%E3%82%B7%E3%83%B3%E3%83%9C%E3%83%AB%E3%82%BF%E3%83%AF%E3%83%BC&amp;travelmode=driving&amp;waypoints=%E6%A8%AA%E6%B5%9C%E6%B8%AF%E5%A4%A7%E3%81%95%E3%82%93%E6%A9%8B%7C%E6%9C%AC%E7%89%A7%E5%B1%B1%E9%A0%82%E5%85%AC%E5%9C%92","開始")</x:f>
      </x:c>
      <x:c r="X8" s="22" t="e">
        <x:f>HYPERLINK("https://www.google.com/maps/dir/?api=1&amp;destination=%E5%9F%8E%E5%8D%97%E5%B3%B6%E6%B5%B7%E6%B5%9C%E5%85%AC%E5%9C%92&amp;travelmode=driving&amp;waypoints=%E6%A8%AA%E6%B5%9C%E6%B8%AF%E5%A4%A7%E3%81%95%E3%82%93%E6%A9%8B%7C%E6%9C%AC%E7%89%A7%E5%B1%B1%E9%A0%82%E5%85%AC%E5%9C%92","Plan B")</x:f>
      </x:c>
    </x:row>
    <x:row r="9" ht="42" customHeight="1">
      <x:c r="A9" s="22" t="str">
        <x:v>R009</x:v>
      </x:c>
      <x:c r="B9" s="22" t="str">
        <x:v>金沢シーサイド</x:v>
      </x:c>
      <x:c r="C9" s="22" t="str">
        <x:v>人工海浜／島／静けさ</x:v>
      </x:c>
      <x:c r="D9" s="22" t="str">
        <x:v>170～220分</x:v>
      </x:c>
      <x:c r="E9" s="22" t="n">
        <x:v>170</x:v>
      </x:c>
      <x:c r="F9" s="22" t="n">
        <x:v>195</x:v>
      </x:c>
      <x:c r="G9" s="22" t="n">
        <x:v>220</x:v>
      </x:c>
      <x:c r="H9" s="22" t="n">
        <x:v>3</x:v>
      </x:c>
      <x:c r="I9" s="22" t="str">
        <x:v>野島公園</x:v>
      </x:c>
      <x:c r="J9" s="277" t="n">
        <x:v>0.9583333333333334</x:v>
      </x:c>
      <x:c r="K9" s="22" t="n">
        <x:v>3</x:v>
      </x:c>
      <x:c r="L9" s="22" t="n">
        <x:v>4</x:v>
      </x:c>
      <x:c r="M9" s="22" t="n">
        <x:v>5</x:v>
      </x:c>
      <x:c r="N9" s="22" t="n">
        <x:v>77</x:v>
      </x:c>
      <x:c r="O9" s="22" t="n">
        <x:v>77</x:v>
      </x:c>
      <x:c r="P9" s="22" t="n">
        <x:v>76</x:v>
      </x:c>
      <x:c r="Q9" s="22" t="n">
        <x:v>3</x:v>
      </x:c>
      <x:c r="R9" s="95" t="str">
        <x:v>東京港・水辺</x:v>
      </x:c>
      <x:c r="S9" s="95" t="str">
        <x:v>維持</x:v>
      </x:c>
      <x:c r="T9" s="22" t="str">
        <x:v>城南島海浜公園</x:v>
      </x:c>
      <x:c r="U9" s="22" t="str">
        <x:v>23:00までに「野島公園」へ到達。遅れたら経由地を省略。</x:v>
      </x:c>
      <x:c r="V9" s="22" t="str">
        <x:v>野島公園23時閉鎖。潮干狩り期は避ける。</x:v>
      </x:c>
      <x:c r="W9" s="22" t="e">
        <x:f>HYPERLINK("https://www.google.com/maps/dir/?api=1&amp;destination=%E9%87%8E%E5%B3%B6%E5%85%AC%E5%9C%92&amp;travelmode=driving&amp;waypoints=%E6%9C%AC%E7%89%A7%E5%B1%B1%E9%A0%82%E5%85%AC%E5%9C%92%7C%E6%B5%B7%E3%81%AE%E5%85%AC%E5%9C%92","開始")</x:f>
      </x:c>
      <x:c r="X9" s="22" t="e">
        <x:f>HYPERLINK("https://www.google.com/maps/dir/?api=1&amp;destination=%E5%9F%8E%E5%8D%97%E5%B3%B6%E6%B5%B7%E6%B5%9C%E5%85%AC%E5%9C%92&amp;travelmode=driving&amp;waypoints=%E6%9C%AC%E7%89%A7%E5%B1%B1%E9%A0%82%E5%85%AC%E5%9C%92%7C%E6%B5%B7%E3%81%AE%E5%85%AC%E5%9C%92","Plan B")</x:f>
      </x:c>
    </x:row>
    <x:row r="10" ht="42" customHeight="1">
      <x:c r="A10" s="22" t="str">
        <x:v>R025</x:v>
      </x:c>
      <x:c r="B10" s="22" t="str">
        <x:v>首都高ミニマム・ナイト</x:v>
      </x:c>
      <x:c r="C10" s="22" t="str">
        <x:v>PA／近距離／高架</x:v>
      </x:c>
      <x:c r="D10" s="22" t="str">
        <x:v>75～110分</x:v>
      </x:c>
      <x:c r="E10" s="22" t="n">
        <x:v>75</x:v>
      </x:c>
      <x:c r="F10" s="22" t="n">
        <x:v>92</x:v>
      </x:c>
      <x:c r="G10" s="22" t="n">
        <x:v>110</x:v>
      </x:c>
      <x:c r="H10" s="22" t="n">
        <x:v>3</x:v>
      </x:c>
      <x:c r="I10" s="22" t="str"/>
      <x:c r="J10" s="277"/>
      <x:c r="K10" s="22"/>
      <x:c r="L10" s="22" t="n">
        <x:v>2</x:v>
      </x:c>
      <x:c r="M10" s="22" t="n">
        <x:v>2</x:v>
      </x:c>
      <x:c r="N10" s="22" t="n">
        <x:v>70</x:v>
      </x:c>
      <x:c r="O10" s="22" t="n">
        <x:v>81</x:v>
      </x:c>
      <x:c r="P10" s="22" t="n">
        <x:v>71</x:v>
      </x:c>
      <x:c r="Q10" s="22" t="n">
        <x:v>0</x:v>
      </x:c>
      <x:c r="R10" s="95" t="str">
        <x:v>PA・高速</x:v>
      </x:c>
      <x:c r="S10" s="95" t="str">
        <x:v>維持</x:v>
      </x:c>
      <x:c r="T10" s="22" t="str">
        <x:v>羽田空港 第3ターミナル展望デッキ</x:v>
      </x:c>
      <x:c r="U10" s="22" t="str">
        <x:v>明確なHard Gateなし。満車・天候・臨時閉鎖を確認。</x:v>
      </x:c>
      <x:c r="V10" s="22" t="str">
        <x:v>各PAの臨時閉鎖確認。短時間休憩だけに限定。</x:v>
      </x:c>
      <x:c r="W10" s="22" t="e">
        <x:f>HYPERLINK("https://www.google.com/maps/dir/?api=1&amp;destination=%E8%BE%B0%E5%B7%B3%E7%AC%AC%E4%B8%80PA&amp;travelmode=driving&amp;waypoints=%E5%B9%B3%E5%92%8C%E5%B3%B6PA%EF%BC%88%E4%B8%8A%E3%82%8A%EF%BC%89%7C%E8%8A%9D%E6%B5%A6PA","開始")</x:f>
      </x:c>
      <x:c r="X10" s="22" t="e">
        <x:f>HYPERLINK("https://www.google.com/maps/dir/?api=1&amp;destination=%E7%BE%BD%E7%94%B0%E7%A9%BA%E6%B8%AF%20%E7%AC%AC3%E3%82%BF%E3%83%BC%E3%83%9F%E3%83%8A%E3%83%AB%E5%B1%95%E6%9C%9B%E3%83%87%E3%83%83%E3%82%AD&amp;travelmode=driving&amp;waypoints=%E5%B9%B3%E5%92%8C%E5%B3%B6PA%EF%BC%88%E4%B8%8A%E3%82%8A%EF%BC%89%7C%E8%8A%9D%E6%B5%A6PA","Plan B")</x:f>
      </x:c>
    </x:row>
    <x:row r="11" ht="42" customHeight="1">
      <x:c r="A11" s="22" t="str">
        <x:v>R037</x:v>
      </x:c>
      <x:c r="B11" s="22" t="str">
        <x:v>東東京・水辺ナイト</x:v>
      </x:c>
      <x:c r="C11" s="22" t="str">
        <x:v>都市公園／河川／夜間</x:v>
      </x:c>
      <x:c r="D11" s="22" t="str">
        <x:v>150～210分</x:v>
      </x:c>
      <x:c r="E11" s="22" t="n">
        <x:v>150</x:v>
      </x:c>
      <x:c r="F11" s="22" t="n">
        <x:v>180</x:v>
      </x:c>
      <x:c r="G11" s="22" t="n">
        <x:v>210</x:v>
      </x:c>
      <x:c r="H11" s="22" t="n">
        <x:v>3</x:v>
      </x:c>
      <x:c r="I11" s="22" t="str"/>
      <x:c r="J11" s="277"/>
      <x:c r="K11" s="22"/>
      <x:c r="L11" s="22" t="n">
        <x:v>5</x:v>
      </x:c>
      <x:c r="M11" s="22" t="n">
        <x:v>2</x:v>
      </x:c>
      <x:c r="N11" s="22" t="n">
        <x:v>88</x:v>
      </x:c>
      <x:c r="O11" s="22" t="n">
        <x:v>87</x:v>
      </x:c>
      <x:c r="P11" s="22" t="n">
        <x:v>79</x:v>
      </x:c>
      <x:c r="Q11" s="22" t="n">
        <x:v>0</x:v>
      </x:c>
      <x:c r="R11" s="95" t="str">
        <x:v>河川・多摩川</x:v>
      </x:c>
      <x:c r="S11" s="95" t="str">
        <x:v>維持</x:v>
      </x:c>
      <x:c r="T11" s="22" t="str">
        <x:v>多摩川浅間神社</x:v>
      </x:c>
      <x:c r="U11" s="22" t="str">
        <x:v>明確なHard Gateなし。満車・天候・臨時閉鎖を確認。</x:v>
      </x:c>
      <x:c r="V11" s="22" t="str">
        <x:v>24時間駐車場をつなぐ夜間用。木場公園の重複採用は湾岸から東東京へ切り替える休憩点として有効。</x:v>
      </x:c>
      <x:c r="W11" s="22" t="e">
        <x:f>HYPERLINK("https://www.google.com/maps/dir/?api=1&amp;destination=%E7%AF%A0%E5%B4%8E%E5%85%AC%E5%9C%92&amp;travelmode=driving&amp;waypoints=%E6%9C%A8%E5%A0%B4%E5%85%AC%E5%9C%92%7C%E5%A4%A7%E5%B3%B6%E5%B0%8F%E6%9D%BE%E5%B7%9D%E5%85%AC%E5%9C%92","開始")</x:f>
      </x:c>
      <x:c r="X11" s="22" t="e">
        <x:f>HYPERLINK("https://www.google.com/maps/dir/?api=1&amp;destination=%E5%A4%9A%E6%91%A9%E5%B7%9D%E6%B5%85%E9%96%93%E7%A5%9E%E7%A4%BE&amp;travelmode=driving&amp;waypoints=%E6%9C%A8%E5%A0%B4%E5%85%AC%E5%9C%92%7C%E5%A4%A7%E5%B3%B6%E5%B0%8F%E6%9D%BE%E5%B7%9D%E5%85%AC%E5%9C%92","Plan B")</x:f>
      </x:c>
    </x:row>
    <x:row r="12" ht="42" customHeight="1">
      <x:c r="A12" s="22" t="str">
        <x:v>R048</x:v>
      </x:c>
      <x:c r="B12" s="22" t="str">
        <x:v>東側・確実な休憩ルート</x:v>
      </x:c>
      <x:c r="C12" s="22" t="str">
        <x:v>公園／道の駅／夜間</x:v>
      </x:c>
      <x:c r="D12" s="22" t="str">
        <x:v>140～200分</x:v>
      </x:c>
      <x:c r="E12" s="22" t="n">
        <x:v>140</x:v>
      </x:c>
      <x:c r="F12" s="22" t="n">
        <x:v>170</x:v>
      </x:c>
      <x:c r="G12" s="22" t="n">
        <x:v>200</x:v>
      </x:c>
      <x:c r="H12" s="22" t="n">
        <x:v>3</x:v>
      </x:c>
      <x:c r="I12" s="22" t="str">
        <x:v>道の駅 いちかわ</x:v>
      </x:c>
      <x:c r="J12" s="277" t="n">
        <x:v>0.9166666666666666</x:v>
      </x:c>
      <x:c r="K12" s="22" t="n">
        <x:v>3</x:v>
      </x:c>
      <x:c r="L12" s="22" t="n">
        <x:v>4</x:v>
      </x:c>
      <x:c r="M12" s="22" t="n">
        <x:v>2</x:v>
      </x:c>
      <x:c r="N12" s="22" t="n">
        <x:v>85</x:v>
      </x:c>
      <x:c r="O12" s="22" t="n">
        <x:v>85</x:v>
      </x:c>
      <x:c r="P12" s="22" t="n">
        <x:v>88</x:v>
      </x:c>
      <x:c r="Q12" s="22" t="n">
        <x:v>0</x:v>
      </x:c>
      <x:c r="R12" s="95" t="str">
        <x:v>都市公園・休憩</x:v>
      </x:c>
      <x:c r="S12" s="95" t="str">
        <x:v>維持</x:v>
      </x:c>
      <x:c r="T12" s="22" t="str">
        <x:v>羽田空港 第3ターミナル展望デッキ</x:v>
      </x:c>
      <x:c r="U12" s="22" t="str">
        <x:v>22:00までに「道の駅 いちかわ」へ到達。遅れたら経由地を省略。</x:v>
      </x:c>
      <x:c r="V12" s="22" t="str">
        <x:v>木場・大島小松川の重複は、都心から外環方面へ段階的に休息を入れるため。</x:v>
      </x:c>
      <x:c r="W12" s="22" t="e">
        <x:f>HYPERLINK("https://www.google.com/maps/dir/?api=1&amp;destination=%E9%81%93%E3%81%AE%E9%A7%85%20%E3%81%84%E3%81%A1%E3%81%8B%E3%82%8F&amp;travelmode=driving&amp;waypoints=%E6%9C%A8%E5%A0%B4%E5%85%AC%E5%9C%92%7C%E5%A4%A7%E5%B3%B6%E5%B0%8F%E6%9D%BE%E5%B7%9D%E5%85%AC%E5%9C%92","開始")</x:f>
      </x:c>
      <x:c r="X12" s="22" t="e">
        <x:f>HYPERLINK("https://www.google.com/maps/dir/?api=1&amp;destination=%E7%BE%BD%E7%94%B0%E7%A9%BA%E6%B8%AF%20%E7%AC%AC3%E3%82%BF%E3%83%BC%E3%83%9F%E3%83%8A%E3%83%AB%E5%B1%95%E6%9C%9B%E3%83%87%E3%83%83%E3%82%AD&amp;travelmode=driving&amp;waypoints=%E6%9C%A8%E5%A0%B4%E5%85%AC%E5%9C%92%7C%E5%A4%A7%E5%B3%B6%E5%B0%8F%E6%9D%BE%E5%B7%9D%E5%85%AC%E5%9C%92","Plan B")</x:f>
      </x:c>
    </x:row>
    <x:row r="13" ht="42" customHeight="1">
      <x:c r="A13" s="22" t="str">
        <x:v>R049</x:v>
      </x:c>
      <x:c r="B13" s="22" t="str">
        <x:v>羽田河口から川崎港へ</x:v>
      </x:c>
      <x:c r="C13" s="22" t="str">
        <x:v>足湯／河口／工場夜景</x:v>
      </x:c>
      <x:c r="D13" s="22" t="str">
        <x:v>90～135分</x:v>
      </x:c>
      <x:c r="E13" s="22" t="n">
        <x:v>90</x:v>
      </x:c>
      <x:c r="F13" s="22" t="n">
        <x:v>112</x:v>
      </x:c>
      <x:c r="G13" s="22" t="n">
        <x:v>135</x:v>
      </x:c>
      <x:c r="H13" s="22" t="n">
        <x:v>3</x:v>
      </x:c>
      <x:c r="I13" s="22" t="str">
        <x:v>HANEDA INNOVATION CITY 足湯スカイデッキ</x:v>
      </x:c>
      <x:c r="J13" s="277" t="n">
        <x:v>0.9791666666666666</x:v>
      </x:c>
      <x:c r="K13" s="22" t="n">
        <x:v>1</x:v>
      </x:c>
      <x:c r="L13" s="22" t="n">
        <x:v>1</x:v>
      </x:c>
      <x:c r="M13" s="22" t="n">
        <x:v>5</x:v>
      </x:c>
      <x:c r="N13" s="22" t="n">
        <x:v>64</x:v>
      </x:c>
      <x:c r="O13" s="22" t="n">
        <x:v>83</x:v>
      </x:c>
      <x:c r="P13" s="22" t="n">
        <x:v>58</x:v>
      </x:c>
      <x:c r="Q13" s="22" t="n">
        <x:v>24</x:v>
      </x:c>
      <x:c r="R13" s="95" t="str">
        <x:v>川崎・工場夜景</x:v>
      </x:c>
      <x:c r="S13" s="95" t="str">
        <x:v>差替え済</x:v>
      </x:c>
      <x:c r="T13" s="22" t="str">
        <x:v>川崎マリエン</x:v>
      </x:c>
      <x:c r="U13" s="22" t="str">
        <x:v>23:30までに「HANEDA INNOVATION CITY 足湯スカイデッキ」へ到達。遅れたら経由地を省略。</x:v>
      </x:c>
      <x:c r="V13" s="22" t="str">
        <x:v>HIC P1に駐車し、足湯とソラムナードは徒歩連結。川崎マリエン展望室は21時まで。</x:v>
      </x:c>
      <x:c r="W13" s="22" t="e">
        <x:f>HYPERLINK("https://www.google.com/maps/dir/?api=1&amp;destination=%E5%B7%9D%E5%B4%8E%E3%83%9E%E3%83%AA%E3%82%A8%E3%83%B3&amp;travelmode=driving&amp;waypoints=HANEDA%20INNOVATION%20CITY%20%E8%B6%B3%E6%B9%AF%E3%82%B9%E3%82%AB%E3%82%A4%E3%83%87%E3%83%83%E3%82%AD%7C%E3%82%BD%E3%83%A9%E3%83%A0%E3%83%8A%E3%83%BC%E3%83%89%E7%BE%BD%E7%94%B0%E7%B7%91%E5%9C%B0","開始")</x:f>
      </x:c>
      <x:c r="X13" s="22" t="e">
        <x:f>HYPERLINK("https://www.google.com/maps/dir/?api=1&amp;destination=%E5%B7%9D%E5%B4%8E%E3%83%9E%E3%83%AA%E3%82%A8%E3%83%B3&amp;travelmode=driving&amp;waypoints=HANEDA%20INNOVATION%20CITY%20%E8%B6%B3%E6%B9%AF%E3%82%B9%E3%82%AB%E3%82%A4%E3%83%87%E3%83%83%E3%82%AD%7C%E3%82%BD%E3%83%A9%E3%83%A0%E3%83%8A%E3%83%BC%E3%83%89%E7%BE%BD%E7%94%B0%E7%B7%91%E5%9C%B0","Plan B")</x:f>
      </x:c>
    </x:row>
    <x:row r="14" ht="42" customHeight="1">
      <x:c r="A14" s="22" t="str">
        <x:v>R050</x:v>
      </x:c>
      <x:c r="B14" s="22" t="str">
        <x:v>鶴見から生田へ丘陵公園線</x:v>
      </x:c>
      <x:c r="C14" s="22" t="str">
        <x:v>池／森林／高台展望</x:v>
      </x:c>
      <x:c r="D14" s="22" t="str">
        <x:v>150～210分</x:v>
      </x:c>
      <x:c r="E14" s="22" t="n">
        <x:v>150</x:v>
      </x:c>
      <x:c r="F14" s="22" t="n">
        <x:v>180</x:v>
      </x:c>
      <x:c r="G14" s="22" t="n">
        <x:v>210</x:v>
      </x:c>
      <x:c r="H14" s="22" t="n">
        <x:v>3</x:v>
      </x:c>
      <x:c r="I14" s="22" t="str">
        <x:v>県立東高根森林公園</x:v>
      </x:c>
      <x:c r="J14" s="277" t="n">
        <x:v>0.7916666666666666</x:v>
      </x:c>
      <x:c r="K14" s="22" t="n">
        <x:v>2</x:v>
      </x:c>
      <x:c r="L14" s="22" t="n">
        <x:v>2</x:v>
      </x:c>
      <x:c r="M14" s="22" t="n">
        <x:v>5</x:v>
      </x:c>
      <x:c r="N14" s="22" t="n">
        <x:v>68</x:v>
      </x:c>
      <x:c r="O14" s="22" t="n">
        <x:v>77</x:v>
      </x:c>
      <x:c r="P14" s="22" t="n">
        <x:v>71</x:v>
      </x:c>
      <x:c r="Q14" s="22" t="n">
        <x:v>0</x:v>
      </x:c>
      <x:c r="R14" s="95" t="str">
        <x:v>森林・高台</x:v>
      </x:c>
      <x:c r="S14" s="95" t="str">
        <x:v>差替え済</x:v>
      </x:c>
      <x:c r="T14" s="22" t="str">
        <x:v>羽田空港 第3ターミナル展望デッキ</x:v>
      </x:c>
      <x:c r="U14" s="22" t="str">
        <x:v>19:00までに「県立東高根森林公園」へ到達。遅れたら経由地を省略。</x:v>
      </x:c>
      <x:c r="V14" s="22" t="str">
        <x:v>昼～夕方専用。東高根森林公園は19時まで。枡形山展望台は日没前の到着を推奨。</x:v>
      </x:c>
      <x:c r="W14" s="22" t="e">
        <x:f>HYPERLINK("https://www.google.com/maps/dir/?api=1&amp;destination=%E7%94%9F%E7%94%B0%E7%B7%91%E5%9C%B0%E3%83%BB%E6%9E%A1%E5%BD%A2%E5%B1%B1%E5%B1%95%E6%9C%9B%E5%8F%B0&amp;travelmode=driving&amp;waypoints=%E7%9C%8C%E7%AB%8B%E4%B8%89%E3%83%84%E6%B1%A0%E5%85%AC%E5%9C%92%7C%E7%9C%8C%E7%AB%8B%E6%9D%B1%E9%AB%98%E6%A0%B9%E6%A3%AE%E6%9E%97%E5%85%AC%E5%9C%92","開始")</x:f>
      </x:c>
      <x:c r="X14" s="22" t="e">
        <x:f>HYPERLINK("https://www.google.com/maps/dir/?api=1&amp;destination=%E7%BE%BD%E7%94%B0%E7%A9%BA%E6%B8%AF%20%E7%AC%AC3%E3%82%BF%E3%83%BC%E3%83%9F%E3%83%8A%E3%83%AB%E5%B1%95%E6%9C%9B%E3%83%87%E3%83%83%E3%82%AD&amp;travelmode=driving&amp;waypoints=%E7%9C%8C%E7%AB%8B%E4%B8%89%E3%83%84%E6%B1%A0%E5%85%AC%E5%9C%92%7C%E7%9C%8C%E7%AB%8B%E6%9D%B1%E9%AB%98%E6%A0%B9%E6%A3%AE%E6%9E%97%E5%85%AC%E5%9C%92","Plan B")</x:f>
      </x:c>
    </x:row>
    <x:row r="15" ht="42" customHeight="1">
      <x:c r="A15" s="22" t="str">
        <x:v>R055</x:v>
      </x:c>
      <x:c r="B15" s="22" t="str">
        <x:v>鶴見・川崎近距離回復</x:v>
      </x:c>
      <x:c r="C15" s="22" t="str">
        <x:v>池／都市公園／河川</x:v>
      </x:c>
      <x:c r="D15" s="22" t="str">
        <x:v>120～170分</x:v>
      </x:c>
      <x:c r="E15" s="22" t="n">
        <x:v>120</x:v>
      </x:c>
      <x:c r="F15" s="22" t="n">
        <x:v>145</x:v>
      </x:c>
      <x:c r="G15" s="22" t="n">
        <x:v>170</x:v>
      </x:c>
      <x:c r="H15" s="22" t="n">
        <x:v>3</x:v>
      </x:c>
      <x:c r="I15" s="22" t="str"/>
      <x:c r="J15" s="277"/>
      <x:c r="K15" s="22"/>
      <x:c r="L15" s="22" t="n">
        <x:v>2</x:v>
      </x:c>
      <x:c r="M15" s="22" t="n">
        <x:v>2</x:v>
      </x:c>
      <x:c r="N15" s="22" t="n">
        <x:v>68</x:v>
      </x:c>
      <x:c r="O15" s="22" t="n">
        <x:v>73</x:v>
      </x:c>
      <x:c r="P15" s="22" t="n">
        <x:v>79</x:v>
      </x:c>
      <x:c r="Q15" s="22" t="n">
        <x:v>0</x:v>
      </x:c>
      <x:c r="R15" s="95" t="str">
        <x:v>河川・多摩川</x:v>
      </x:c>
      <x:c r="S15" s="95" t="str">
        <x:v>維持</x:v>
      </x:c>
      <x:c r="T15" s="22" t="str">
        <x:v>多摩川浅間神社</x:v>
      </x:c>
      <x:c r="U15" s="22" t="str">
        <x:v>明確なHard Gateなし。満車・天候・臨時閉鎖を確認。</x:v>
      </x:c>
      <x:c r="V15" s="22" t="str">
        <x:v>三ツ池公園駐車場閉鎖時刻を確認。</x:v>
      </x:c>
      <x:c r="W15" s="22" t="e">
        <x:f>HYPERLINK("https://www.google.com/maps/dir/?api=1&amp;destination=%E5%BE%A1%E5%B9%B8%E5%85%AC%E5%9C%92&amp;travelmode=driving&amp;waypoints=%E7%9C%8C%E7%AB%8B%E4%B8%89%E3%83%84%E6%B1%A0%E5%85%AC%E5%9C%92%7C%E5%AF%8C%E5%A3%AB%E8%A6%8B%E5%85%AC%E5%9C%92","開始")</x:f>
      </x:c>
      <x:c r="X15" s="22" t="e">
        <x:f>HYPERLINK("https://www.google.com/maps/dir/?api=1&amp;destination=%E5%A4%9A%E6%91%A9%E5%B7%9D%E6%B5%85%E9%96%93%E7%A5%9E%E7%A4%BE&amp;travelmode=driving&amp;waypoints=%E7%9C%8C%E7%AB%8B%E4%B8%89%E3%83%84%E6%B1%A0%E5%85%AC%E5%9C%92%7C%E5%AF%8C%E5%A3%AB%E8%A6%8B%E5%85%AC%E5%9C%92","Plan B")</x:f>
      </x:c>
    </x:row>
    <x:row r="16" ht="42" customHeight="1">
      <x:c r="A16" s="22" t="str">
        <x:v>R056</x:v>
      </x:c>
      <x:c r="B16" s="22" t="str">
        <x:v>横浜港から丘陵公園へ</x:v>
      </x:c>
      <x:c r="C16" s="22" t="str">
        <x:v>港／競馬場跡／丘陵</x:v>
      </x:c>
      <x:c r="D16" s="22" t="str">
        <x:v>150～210分</x:v>
      </x:c>
      <x:c r="E16" s="22" t="n">
        <x:v>150</x:v>
      </x:c>
      <x:c r="F16" s="22" t="n">
        <x:v>180</x:v>
      </x:c>
      <x:c r="G16" s="22" t="n">
        <x:v>210</x:v>
      </x:c>
      <x:c r="H16" s="22" t="n">
        <x:v>3</x:v>
      </x:c>
      <x:c r="I16" s="22" t="str"/>
      <x:c r="J16" s="277"/>
      <x:c r="K16" s="22"/>
      <x:c r="L16" s="22" t="n">
        <x:v>4</x:v>
      </x:c>
      <x:c r="M16" s="22" t="n">
        <x:v>5</x:v>
      </x:c>
      <x:c r="N16" s="22" t="n">
        <x:v>81</x:v>
      </x:c>
      <x:c r="O16" s="22" t="n">
        <x:v>81</x:v>
      </x:c>
      <x:c r="P16" s="22" t="n">
        <x:v>82</x:v>
      </x:c>
      <x:c r="Q16" s="22" t="n">
        <x:v>0</x:v>
      </x:c>
      <x:c r="R16" s="95" t="str">
        <x:v>東京港・水辺</x:v>
      </x:c>
      <x:c r="S16" s="95" t="str">
        <x:v>差替え済</x:v>
      </x:c>
      <x:c r="T16" s="22" t="str">
        <x:v>多摩川浅間神社</x:v>
      </x:c>
      <x:c r="U16" s="22" t="str">
        <x:v>明確なHard Gateなし。満車・天候・臨時閉鎖を確認。</x:v>
      </x:c>
      <x:c r="V16" s="22" t="str">
        <x:v>大さん橋は24時間。根岸森林公園は桜期・休日に駐車場が混雑するため、満車時は久良岐公園へ直行。</x:v>
      </x:c>
      <x:c r="W16" s="22" t="e">
        <x:f>HYPERLINK("https://www.google.com/maps/dir/?api=1&amp;destination=%E4%B9%85%E8%89%AF%E5%B2%90%E5%85%AC%E5%9C%92&amp;travelmode=driving&amp;waypoints=%E6%A8%AA%E6%B5%9C%E6%B8%AF%E5%A4%A7%E3%81%95%E3%82%93%E6%A9%8B%7C%E6%A0%B9%E5%B2%B8%E6%A3%AE%E6%9E%97%E5%85%AC%E5%9C%92","開始")</x:f>
      </x:c>
      <x:c r="X16" s="22" t="e">
        <x:f>HYPERLINK("https://www.google.com/maps/dir/?api=1&amp;destination=%E5%A4%9A%E6%91%A9%E5%B7%9D%E6%B5%85%E9%96%93%E7%A5%9E%E7%A4%BE&amp;travelmode=driving&amp;waypoints=%E6%A8%AA%E6%B5%9C%E6%B8%AF%E5%A4%A7%E3%81%95%E3%82%93%E6%A9%8B%7C%E6%A0%B9%E5%B2%B8%E6%A3%AE%E6%9E%97%E5%85%AC%E5%9C%92","Plan B")</x:f>
      </x:c>
    </x:row>
    <x:row r="17" ht="42" customHeight="1">
      <x:c r="A17" s="22" t="str">
        <x:v>R059</x:v>
      </x:c>
      <x:c r="B17" s="22" t="str">
        <x:v>川崎Storyショート</x:v>
      </x:c>
      <x:c r="C17" s="22" t="str">
        <x:v>寺社周辺／公園／高台</x:v>
      </x:c>
      <x:c r="D17" s="22" t="str">
        <x:v>100～150分</x:v>
      </x:c>
      <x:c r="E17" s="22" t="n">
        <x:v>100</x:v>
      </x:c>
      <x:c r="F17" s="22" t="n">
        <x:v>125</x:v>
      </x:c>
      <x:c r="G17" s="22" t="n">
        <x:v>150</x:v>
      </x:c>
      <x:c r="H17" s="22" t="n">
        <x:v>3</x:v>
      </x:c>
      <x:c r="I17" s="22" t="str"/>
      <x:c r="J17" s="277"/>
      <x:c r="K17" s="22"/>
      <x:c r="L17" s="22" t="n">
        <x:v>2</x:v>
      </x:c>
      <x:c r="M17" s="22" t="n">
        <x:v>5</x:v>
      </x:c>
      <x:c r="N17" s="22" t="n">
        <x:v>74</x:v>
      </x:c>
      <x:c r="O17" s="22" t="n">
        <x:v>82</x:v>
      </x:c>
      <x:c r="P17" s="22" t="n">
        <x:v>82</x:v>
      </x:c>
      <x:c r="Q17" s="22" t="n">
        <x:v>0</x:v>
      </x:c>
      <x:c r="R17" s="95" t="str">
        <x:v>森林・高台</x:v>
      </x:c>
      <x:c r="S17" s="95" t="str">
        <x:v>維持</x:v>
      </x:c>
      <x:c r="T17" s="22" t="str">
        <x:v>平和の森公園</x:v>
      </x:c>
      <x:c r="U17" s="22" t="str">
        <x:v>明確なHard Gateなし。満車・天候・臨時閉鎖を確認。</x:v>
      </x:c>
      <x:c r="V17" s="22" t="str">
        <x:v>川崎大師の祭事日は中止。</x:v>
      </x:c>
      <x:c r="W17" s="22" t="e">
        <x:f>HYPERLINK("https://www.google.com/maps/dir/?api=1&amp;destination=%E5%A4%A2%E8%A6%8B%E3%83%B6%E5%B4%8E%E5%8B%95%E7%89%A9%E5%85%AC%E5%9C%92&amp;travelmode=driving&amp;waypoints=%E5%A4%A7%E5%B8%AB%E5%85%AC%E5%9C%92%7C%E5%AF%8C%E5%A3%AB%E8%A6%8B%E5%85%AC%E5%9C%92","開始")</x:f>
      </x:c>
      <x:c r="X17" s="22" t="e">
        <x:f>HYPERLINK("https://www.google.com/maps/dir/?api=1&amp;destination=%E5%B9%B3%E5%92%8C%E3%81%AE%E6%A3%AE%E5%85%AC%E5%9C%92&amp;travelmode=driving&amp;waypoints=%E5%A4%A7%E5%B8%AB%E5%85%AC%E5%9C%92%7C%E5%AF%8C%E5%A3%AB%E8%A6%8B%E5%85%AC%E5%9C%92","Plan B")</x:f>
      </x:c>
    </x:row>
    <x:row r="18" ht="42" customHeight="1">
      <x:c r="A18" s="22" t="str">
        <x:v>R073</x:v>
      </x:c>
      <x:c r="B18" s="22" t="str">
        <x:v>調布航空ナイト</x:v>
      </x:c>
      <x:c r="C18" s="22" t="str">
        <x:v>飛行機／航空史／24時間駐車</x:v>
      </x:c>
      <x:c r="D18" s="22" t="str">
        <x:v>160～220分</x:v>
      </x:c>
      <x:c r="E18" s="22" t="n">
        <x:v>160</x:v>
      </x:c>
      <x:c r="F18" s="22" t="n">
        <x:v>190</x:v>
      </x:c>
      <x:c r="G18" s="22" t="n">
        <x:v>220</x:v>
      </x:c>
      <x:c r="H18" s="22" t="n">
        <x:v>3</x:v>
      </x:c>
      <x:c r="I18" s="22" t="str">
        <x:v>桜ヶ丘公園 ゆうひの丘</x:v>
      </x:c>
      <x:c r="J18" s="277" t="n">
        <x:v>0.8333333333333334</x:v>
      </x:c>
      <x:c r="K18" s="22" t="n">
        <x:v>3</x:v>
      </x:c>
      <x:c r="L18" s="22" t="n">
        <x:v>4</x:v>
      </x:c>
      <x:c r="M18" s="22" t="n">
        <x:v>2</x:v>
      </x:c>
      <x:c r="N18" s="22" t="n">
        <x:v>84</x:v>
      </x:c>
      <x:c r="O18" s="22" t="n">
        <x:v>82</x:v>
      </x:c>
      <x:c r="P18" s="22" t="n">
        <x:v>91</x:v>
      </x:c>
      <x:c r="Q18" s="22" t="n">
        <x:v>0</x:v>
      </x:c>
      <x:c r="R18" s="95" t="str">
        <x:v>羽田・航空</x:v>
      </x:c>
      <x:c r="S18" s="95" t="str">
        <x:v>維持</x:v>
      </x:c>
      <x:c r="T18" s="22" t="str">
        <x:v>羽田空港 第3ターミナル展望デッキ</x:v>
      </x:c>
      <x:c r="U18" s="22" t="str">
        <x:v>20:00までに「桜ヶ丘公園 ゆうひの丘」へ到達。遅れたら経由地を省略。</x:v>
      </x:c>
      <x:c r="V18" s="22" t="str">
        <x:v>武蔵野の森・府中の森は駐車場24時間。北南プロムナードは16:30閉鎖、ゆうひの丘は20時閉鎖。</x:v>
      </x:c>
      <x:c r="W18" s="22" t="e">
        <x:f>HYPERLINK("https://www.google.com/maps/dir/?api=1&amp;destination=%E6%A1%9C%E3%83%B6%E4%B8%98%E5%85%AC%E5%9C%92%20%E3%82%86%E3%81%86%E3%81%B2%E3%81%AE%E4%B8%98&amp;travelmode=driving&amp;waypoints=%E6%AD%A6%E8%94%B5%E9%87%8E%E3%81%AE%E6%A3%AE%E5%85%AC%E5%9C%92%7C%E5%BA%9C%E4%B8%AD%E3%81%AE%E6%A3%AE%E5%85%AC%E5%9C%92","開始")</x:f>
      </x:c>
      <x:c r="X18" s="22" t="e">
        <x:f>HYPERLINK("https://www.google.com/maps/dir/?api=1&amp;destination=%E7%BE%BD%E7%94%B0%E7%A9%BA%E6%B8%AF%20%E7%AC%AC3%E3%82%BF%E3%83%BC%E3%83%9F%E3%83%8A%E3%83%AB%E5%B1%95%E6%9C%9B%E3%83%87%E3%83%83%E3%82%AD&amp;travelmode=driving&amp;waypoints=%E6%AD%A6%E8%94%B5%E9%87%8E%E3%81%AE%E6%A3%AE%E5%85%AC%E5%9C%92%7C%E5%BA%9C%E4%B8%AD%E3%81%AE%E6%A3%AE%E5%85%AC%E5%9C%92","Plan B")</x:f>
      </x:c>
    </x:row>
    <x:row r="19" ht="42" customHeight="1">
      <x:c r="A19" s="22" t="str">
        <x:v>R080</x:v>
      </x:c>
      <x:c r="B19" s="22" t="str">
        <x:v>深大寺から調布飛行場へ</x:v>
      </x:c>
      <x:c r="C19" s="22" t="str">
        <x:v>寺社Story／植物／飛行場</x:v>
      </x:c>
      <x:c r="D19" s="22" t="str">
        <x:v>145～200分</x:v>
      </x:c>
      <x:c r="E19" s="22" t="n">
        <x:v>145</x:v>
      </x:c>
      <x:c r="F19" s="22" t="n">
        <x:v>172</x:v>
      </x:c>
      <x:c r="G19" s="22" t="n">
        <x:v>200</x:v>
      </x:c>
      <x:c r="H19" s="22" t="n">
        <x:v>3</x:v>
      </x:c>
      <x:c r="I19" s="22" t="str"/>
      <x:c r="J19" s="277"/>
      <x:c r="K19" s="22"/>
      <x:c r="L19" s="22" t="n">
        <x:v>5</x:v>
      </x:c>
      <x:c r="M19" s="22" t="n">
        <x:v>2</x:v>
      </x:c>
      <x:c r="N19" s="22" t="n">
        <x:v>91</x:v>
      </x:c>
      <x:c r="O19" s="22" t="n">
        <x:v>88</x:v>
      </x:c>
      <x:c r="P19" s="22" t="n">
        <x:v>91</x:v>
      </x:c>
      <x:c r="Q19" s="22" t="n">
        <x:v>0</x:v>
      </x:c>
      <x:c r="R19" s="95" t="str">
        <x:v>羽田・航空</x:v>
      </x:c>
      <x:c r="S19" s="95" t="str">
        <x:v>差替え済</x:v>
      </x:c>
      <x:c r="T19" s="22" t="str">
        <x:v>羽田空港 第3ターミナル展望デッキ</x:v>
      </x:c>
      <x:c r="U19" s="22" t="str">
        <x:v>明確なHard Gateなし。満車・天候・臨時閉鎖を確認。</x:v>
      </x:c>
      <x:c r="V19" s="22" t="str">
        <x:v>昼～夕方専用。植物園閉園後は深大寺門前のみとし、武蔵野の森公園ではプロムナード16:30閉鎖に注意。</x:v>
      </x:c>
      <x:c r="W19" s="22" t="e">
        <x:f>HYPERLINK("https://www.google.com/maps/dir/?api=1&amp;destination=%E5%BA%9C%E4%B8%AD%E3%81%AE%E6%A3%AE%E5%85%AC%E5%9C%92&amp;travelmode=driving&amp;waypoints=%E7%A5%9E%E4%BB%A3%E6%A4%8D%E7%89%A9%E5%85%AC%E5%9C%92%E3%83%BB%E6%B7%B1%E5%A4%A7%E5%AF%BA%7C%E6%AD%A6%E8%94%B5%E9%87%8E%E3%81%AE%E6%A3%AE%E5%85%AC%E5%9C%92","開始")</x:f>
      </x:c>
      <x:c r="X19" s="22" t="e">
        <x:f>HYPERLINK("https://www.google.com/maps/dir/?api=1&amp;destination=%E7%BE%BD%E7%94%B0%E7%A9%BA%E6%B8%AF%20%E7%AC%AC3%E3%82%BF%E3%83%BC%E3%83%9F%E3%83%8A%E3%83%AB%E5%B1%95%E6%9C%9B%E3%83%87%E3%83%83%E3%82%AD&amp;travelmode=driving&amp;waypoints=%E7%A5%9E%E4%BB%A3%E6%A4%8D%E7%89%A9%E5%85%AC%E5%9C%92%E3%83%BB%E6%B7%B1%E5%A4%A7%E5%AF%BA%7C%E6%AD%A6%E8%94%B5%E9%87%8E%E3%81%AE%E6%A3%AE%E5%85%AC%E5%9C%92","Plan B")</x:f>
      </x:c>
    </x:row>
    <x:row r="20" ht="42" customHeight="1">
      <x:c r="A20" s="22" t="str">
        <x:v>R089</x:v>
      </x:c>
      <x:c r="B20" s="22" t="str">
        <x:v>根岸湾工業景観</x:v>
      </x:c>
      <x:c r="C20" s="22" t="str">
        <x:v>工業湾岸／高台／港</x:v>
      </x:c>
      <x:c r="D20" s="22" t="str">
        <x:v>160～220分</x:v>
      </x:c>
      <x:c r="E20" s="22" t="n">
        <x:v>160</x:v>
      </x:c>
      <x:c r="F20" s="22" t="n">
        <x:v>190</x:v>
      </x:c>
      <x:c r="G20" s="22" t="n">
        <x:v>220</x:v>
      </x:c>
      <x:c r="H20" s="22" t="n">
        <x:v>3</x:v>
      </x:c>
      <x:c r="I20" s="22" t="str">
        <x:v>磯子海づり施設</x:v>
      </x:c>
      <x:c r="J20" s="277" t="n">
        <x:v>0.7916666666666666</x:v>
      </x:c>
      <x:c r="K20" s="22" t="n">
        <x:v>1</x:v>
      </x:c>
      <x:c r="L20" s="22" t="n">
        <x:v>4</x:v>
      </x:c>
      <x:c r="M20" s="22" t="n">
        <x:v>5</x:v>
      </x:c>
      <x:c r="N20" s="22" t="n">
        <x:v>78</x:v>
      </x:c>
      <x:c r="O20" s="22" t="n">
        <x:v>81</x:v>
      </x:c>
      <x:c r="P20" s="22" t="n">
        <x:v>68</x:v>
      </x:c>
      <x:c r="Q20" s="22" t="n">
        <x:v>3</x:v>
      </x:c>
      <x:c r="R20" s="95" t="str">
        <x:v>川崎・工場夜景</x:v>
      </x:c>
      <x:c r="S20" s="95" t="str">
        <x:v>維持</x:v>
      </x:c>
      <x:c r="T20" s="22" t="str">
        <x:v>城南島海浜公園</x:v>
      </x:c>
      <x:c r="U20" s="22" t="str">
        <x:v>19:00までに「磯子海づり施設」へ到達。遅れたら経由地を省略。</x:v>
      </x:c>
      <x:c r="V20" s="22" t="str">
        <x:v>各施設の閉場時刻を確認。工場岸壁・私道へ入らない。</x:v>
      </x:c>
      <x:c r="W20" s="22" t="e">
        <x:f>HYPERLINK("https://www.google.com/maps/dir/?api=1&amp;destination=%E6%A8%AA%E6%B5%9C%E6%B8%AF%E3%82%B7%E3%83%B3%E3%83%9C%E3%83%AB%E3%82%BF%E3%83%AF%E3%83%BC&amp;travelmode=driving&amp;waypoints=%E7%A3%AF%E5%AD%90%E6%B5%B7%E3%81%A5%E3%82%8A%E6%96%BD%E8%A8%AD%7C%E6%9C%AC%E7%89%A7%E5%B1%B1%E9%A0%82%E5%85%AC%E5%9C%92","開始")</x:f>
      </x:c>
      <x:c r="X20" s="22" t="e">
        <x:f>HYPERLINK("https://www.google.com/maps/dir/?api=1&amp;destination=%E5%9F%8E%E5%8D%97%E5%B3%B6%E6%B5%B7%E6%B5%9C%E5%85%AC%E5%9C%92&amp;travelmode=driving&amp;waypoints=%E7%A3%AF%E5%AD%90%E6%B5%B7%E3%81%A5%E3%82%8A%E6%96%BD%E8%A8%AD%7C%E6%9C%AC%E7%89%A7%E5%B1%B1%E9%A0%82%E5%85%AC%E5%9C%92","Plan B")</x:f>
      </x:c>
    </x:row>
    <x:row r="21" ht="42" customHeight="1">
      <x:c r="A21" s="22" t="str">
        <x:v>R093</x:v>
      </x:c>
      <x:c r="B21" s="22" t="str">
        <x:v>東京北東24時間公園線</x:v>
      </x:c>
      <x:c r="C21" s="22" t="str">
        <x:v>遺跡／池／夜間</x:v>
      </x:c>
      <x:c r="D21" s="22" t="str">
        <x:v>150～210分</x:v>
      </x:c>
      <x:c r="E21" s="22" t="n">
        <x:v>150</x:v>
      </x:c>
      <x:c r="F21" s="22" t="n">
        <x:v>180</x:v>
      </x:c>
      <x:c r="G21" s="22" t="n">
        <x:v>210</x:v>
      </x:c>
      <x:c r="H21" s="22" t="n">
        <x:v>3</x:v>
      </x:c>
      <x:c r="I21" s="22" t="str"/>
      <x:c r="J21" s="277"/>
      <x:c r="K21" s="22"/>
      <x:c r="L21" s="22" t="n">
        <x:v>2</x:v>
      </x:c>
      <x:c r="M21" s="22" t="n">
        <x:v>2</x:v>
      </x:c>
      <x:c r="N21" s="22" t="n">
        <x:v>71</x:v>
      </x:c>
      <x:c r="O21" s="22" t="n">
        <x:v>78</x:v>
      </x:c>
      <x:c r="P21" s="22" t="n">
        <x:v>79</x:v>
      </x:c>
      <x:c r="Q21" s="22" t="n">
        <x:v>0</x:v>
      </x:c>
      <x:c r="R21" s="95" t="str">
        <x:v>Story・文化</x:v>
      </x:c>
      <x:c r="S21" s="95" t="str">
        <x:v>維持</x:v>
      </x:c>
      <x:c r="T21" s="22" t="str">
        <x:v>平和の森公園</x:v>
      </x:c>
      <x:c r="U21" s="22" t="str">
        <x:v>明確なHard Gateなし。満車・天候・臨時閉鎖を確認。</x:v>
      </x:c>
      <x:c r="V21" s="22" t="str">
        <x:v>住宅地への騒音配慮。イベント時の満車は次地点へ進む。</x:v>
      </x:c>
      <x:c r="W21" s="22" t="e">
        <x:f>HYPERLINK("https://www.google.com/maps/dir/?api=1&amp;destination=%E6%9D%B1%E7%B6%BE%E7%80%AC%E5%85%AC%E5%9C%92&amp;travelmode=driving&amp;waypoints=%E5%9F%8E%E5%8C%97%E4%B8%AD%E5%A4%AE%E5%85%AC%E5%9C%92%7C%E8%88%8E%E4%BA%BA%E5%85%AC%E5%9C%92","開始")</x:f>
      </x:c>
      <x:c r="X21" s="22" t="e">
        <x:f>HYPERLINK("https://www.google.com/maps/dir/?api=1&amp;destination=%E5%B9%B3%E5%92%8C%E3%81%AE%E6%A3%AE%E5%85%AC%E5%9C%92&amp;travelmode=driving&amp;waypoints=%E5%9F%8E%E5%8C%97%E4%B8%AD%E5%A4%AE%E5%85%AC%E5%9C%92%7C%E8%88%8E%E4%BA%BA%E5%85%AC%E5%9C%92","Plan B")</x:f>
      </x:c>
    </x:row>
    <x:row r="22" ht="42" customHeight="1">
      <x:c r="A22" s="22" t="str">
        <x:v>R097</x:v>
      </x:c>
      <x:c r="B22" s="22" t="str">
        <x:v>浦安ベイ・24時間海辺線</x:v>
      </x:c>
      <x:c r="C22" s="22" t="str">
        <x:v>海／芝生／都市夜景</x:v>
      </x:c>
      <x:c r="D22" s="22" t="str">
        <x:v>150～220分</x:v>
      </x:c>
      <x:c r="E22" s="22" t="n">
        <x:v>150</x:v>
      </x:c>
      <x:c r="F22" s="22" t="n">
        <x:v>185</x:v>
      </x:c>
      <x:c r="G22" s="22" t="n">
        <x:v>220</x:v>
      </x:c>
      <x:c r="H22" s="22" t="n">
        <x:v>4</x:v>
      </x:c>
      <x:c r="I22" s="22" t="str"/>
      <x:c r="J22" s="277"/>
      <x:c r="K22" s="22"/>
      <x:c r="L22" s="22" t="n">
        <x:v>5</x:v>
      </x:c>
      <x:c r="M22" s="22" t="n">
        <x:v>5</x:v>
      </x:c>
      <x:c r="N22" s="22" t="n">
        <x:v>88</x:v>
      </x:c>
      <x:c r="O22" s="22" t="n">
        <x:v>88</x:v>
      </x:c>
      <x:c r="P22" s="22" t="n">
        <x:v>77</x:v>
      </x:c>
      <x:c r="Q22" s="22" t="n">
        <x:v>0</x:v>
      </x:c>
      <x:c r="R22" s="95" t="str">
        <x:v>東京港・水辺</x:v>
      </x:c>
      <x:c r="S22" s="95" t="str">
        <x:v>維持</x:v>
      </x:c>
      <x:c r="T22" s="22" t="str">
        <x:v>城南島海浜公園</x:v>
      </x:c>
      <x:c r="U22" s="22" t="str">
        <x:v>明確なHard Gateなし。満車・天候・臨時閉鎖を確認。</x:v>
      </x:c>
      <x:c r="V22" s="22" t="str">
        <x:v>高洲と浦安総合は終日駐車可能。海風が強い日は各地点の滞在を短縮。</x:v>
      </x:c>
      <x:c r="W22" s="22" t="e">
        <x:f>HYPERLINK("https://www.google.com/maps/dir/?api=1&amp;destination=%E6%BD%AE%E9%A2%A8%E5%85%AC%E5%9C%92&amp;travelmode=driving&amp;waypoints=%E9%AB%98%E6%B4%B2%E6%B5%B7%E6%B5%9C%E5%85%AC%E5%9C%92%7C%E6%B5%A6%E5%AE%89%E5%B8%82%E7%B7%8F%E5%90%88%E5%85%AC%E5%9C%92%7C%E8%91%9B%E8%A5%BF%E8%87%A8%E6%B5%B7%E5%85%AC%E5%9C%92","開始")</x:f>
      </x:c>
      <x:c r="X22" s="22" t="e">
        <x:f>HYPERLINK("https://www.google.com/maps/dir/?api=1&amp;destination=%E5%9F%8E%E5%8D%97%E5%B3%B6%E6%B5%B7%E6%B5%9C%E5%85%AC%E5%9C%92&amp;travelmode=driving&amp;waypoints=%E9%AB%98%E6%B4%B2%E6%B5%B7%E6%B5%9C%E5%85%AC%E5%9C%92%7C%E6%B5%A6%E5%AE%89%E5%B8%82%E7%B7%8F%E5%90%88%E5%85%AC%E5%9C%92%7C%E8%91%9B%E8%A5%BF%E8%87%A8%E6%B5%B7%E5%85%AC%E5%9C%92","Plan B")</x:f>
      </x:c>
    </x:row>
    <x:row r="23" ht="42" customHeight="1">
      <x:c r="A23" s="22" t="str">
        <x:v>R113</x:v>
      </x:c>
      <x:c r="B23" s="22" t="str">
        <x:v>川崎丘陵・古代と現代</x:v>
      </x:c>
      <x:c r="C23" s="22" t="str">
        <x:v>遺跡／森林／展望</x:v>
      </x:c>
      <x:c r="D23" s="22" t="str">
        <x:v>150～220分</x:v>
      </x:c>
      <x:c r="E23" s="22" t="n">
        <x:v>150</x:v>
      </x:c>
      <x:c r="F23" s="22" t="n">
        <x:v>185</x:v>
      </x:c>
      <x:c r="G23" s="22" t="n">
        <x:v>220</x:v>
      </x:c>
      <x:c r="H23" s="22" t="n">
        <x:v>3</x:v>
      </x:c>
      <x:c r="I23" s="22" t="str">
        <x:v>県立東高根森林公園</x:v>
      </x:c>
      <x:c r="J23" s="277" t="n">
        <x:v>0.7916666666666666</x:v>
      </x:c>
      <x:c r="K23" s="22" t="n">
        <x:v>1</x:v>
      </x:c>
      <x:c r="L23" s="22" t="n">
        <x:v>2</x:v>
      </x:c>
      <x:c r="M23" s="22" t="n">
        <x:v>5</x:v>
      </x:c>
      <x:c r="N23" s="22" t="n">
        <x:v>66</x:v>
      </x:c>
      <x:c r="O23" s="22" t="n">
        <x:v>74</x:v>
      </x:c>
      <x:c r="P23" s="22" t="n">
        <x:v>71</x:v>
      </x:c>
      <x:c r="Q23" s="22" t="n">
        <x:v>0</x:v>
      </x:c>
      <x:c r="R23" s="95" t="str">
        <x:v>森林・高台</x:v>
      </x:c>
      <x:c r="S23" s="95" t="str">
        <x:v>維持</x:v>
      </x:c>
      <x:c r="T23" s="22" t="str">
        <x:v>平和の森公園</x:v>
      </x:c>
      <x:c r="U23" s="22" t="str">
        <x:v>19:00までに「県立東高根森林公園」へ到達。遅れたら経由地を省略。</x:v>
      </x:c>
      <x:c r="V23" s="22" t="str">
        <x:v>東高根19時閉場。日没前に枡形山へ上がり、最後は近距離夜景。</x:v>
      </x:c>
      <x:c r="W23" s="22" t="e">
        <x:f>HYPERLINK("https://www.google.com/maps/dir/?api=1&amp;destination=%E5%A4%A2%E8%A6%8B%E3%83%B6%E5%B4%8E%E5%8B%95%E7%89%A9%E5%85%AC%E5%9C%92&amp;travelmode=driving&amp;waypoints=%E7%9C%8C%E7%AB%8B%E6%9D%B1%E9%AB%98%E6%A0%B9%E6%A3%AE%E6%9E%97%E5%85%AC%E5%9C%92%7C%E7%94%9F%E7%94%B0%E7%B7%91%E5%9C%B0%E3%83%BB%E6%9E%A1%E5%BD%A2%E5%B1%B1%E5%B1%95%E6%9C%9B%E5%8F%B0","開始")</x:f>
      </x:c>
      <x:c r="X23" s="22" t="e">
        <x:f>HYPERLINK("https://www.google.com/maps/dir/?api=1&amp;destination=%E5%B9%B3%E5%92%8C%E3%81%AE%E6%A3%AE%E5%85%AC%E5%9C%92&amp;travelmode=driving&amp;waypoints=%E7%9C%8C%E7%AB%8B%E6%9D%B1%E9%AB%98%E6%A0%B9%E6%A3%AE%E6%9E%97%E5%85%AC%E5%9C%92%7C%E7%94%9F%E7%94%B0%E7%B7%91%E5%9C%B0%E3%83%BB%E6%9E%A1%E5%BD%A2%E5%B1%B1%E5%B1%95%E6%9C%9B%E5%8F%B0","Plan B")</x:f>
      </x:c>
    </x:row>
    <x:row r="24" ht="42" customHeight="1">
      <x:c r="A24" s="22" t="str">
        <x:v>R119</x:v>
      </x:c>
      <x:c r="B24" s="22" t="str">
        <x:v>横浜・庭園と丘陵三層</x:v>
      </x:c>
      <x:c r="C24" s="22" t="str">
        <x:v>日本庭園／競馬場跡／丘陵</x:v>
      </x:c>
      <x:c r="D24" s="22" t="str">
        <x:v>180～250分</x:v>
      </x:c>
      <x:c r="E24" s="22" t="n">
        <x:v>180</x:v>
      </x:c>
      <x:c r="F24" s="22" t="n">
        <x:v>215</x:v>
      </x:c>
      <x:c r="G24" s="22" t="n">
        <x:v>250</x:v>
      </x:c>
      <x:c r="H24" s="22" t="n">
        <x:v>3</x:v>
      </x:c>
      <x:c r="I24" s="22" t="str">
        <x:v>三溪園</x:v>
      </x:c>
      <x:c r="J24" s="277" t="n">
        <x:v>0.7083333333333334</x:v>
      </x:c>
      <x:c r="K24" s="22" t="n">
        <x:v>1</x:v>
      </x:c>
      <x:c r="L24" s="22" t="n">
        <x:v>4</x:v>
      </x:c>
      <x:c r="M24" s="22" t="n">
        <x:v>2</x:v>
      </x:c>
      <x:c r="N24" s="22" t="n">
        <x:v>85</x:v>
      </x:c>
      <x:c r="O24" s="22" t="n">
        <x:v>85</x:v>
      </x:c>
      <x:c r="P24" s="22" t="n">
        <x:v>88</x:v>
      </x:c>
      <x:c r="Q24" s="22" t="n">
        <x:v>0</x:v>
      </x:c>
      <x:c r="R24" s="95" t="str">
        <x:v>森林・高台</x:v>
      </x:c>
      <x:c r="S24" s="95" t="str">
        <x:v>差替え済</x:v>
      </x:c>
      <x:c r="T24" s="22" t="str">
        <x:v>城南島海浜公園</x:v>
      </x:c>
      <x:c r="U24" s="22" t="str">
        <x:v>17:00までに「三溪園」へ到達。遅れたら経由地を省略。</x:v>
      </x:c>
      <x:c r="V24" s="22" t="str">
        <x:v>午前開始の昼専用。三溪園の最終入園16:30と金沢自然公園の入庫締切を優先。</x:v>
      </x:c>
      <x:c r="W24" s="22" t="e">
        <x:f>HYPERLINK("https://www.google.com/maps/dir/?api=1&amp;destination=%E9%87%91%E6%B2%A2%E8%87%AA%E7%84%B6%E5%85%AC%E5%9C%92&amp;travelmode=driving&amp;waypoints=%E4%B8%89%E6%BA%AA%E5%9C%92%7C%E6%A0%B9%E5%B2%B8%E6%A3%AE%E6%9E%97%E5%85%AC%E5%9C%92","開始")</x:f>
      </x:c>
      <x:c r="X24" s="22" t="e">
        <x:f>HYPERLINK("https://www.google.com/maps/dir/?api=1&amp;destination=%E5%9F%8E%E5%8D%97%E5%B3%B6%E6%B5%B7%E6%B5%9C%E5%85%AC%E5%9C%92&amp;travelmode=driving&amp;waypoints=%E4%B8%89%E6%BA%AA%E5%9C%92%7C%E6%A0%B9%E5%B2%B8%E6%A3%AE%E6%9E%97%E5%85%AC%E5%9C%92","Plan B")</x:f>
      </x:c>
    </x:row>
    <x:row r="25" ht="42" customHeight="1">
      <x:c r="A25" s="22" t="str">
        <x:v>R121</x:v>
      </x:c>
      <x:c r="B25" s="22" t="str">
        <x:v>湾岸・干潟から運河へ</x:v>
      </x:c>
      <x:c r="C25" s="22" t="str">
        <x:v>干潟／海／運河</x:v>
      </x:c>
      <x:c r="D25" s="22" t="str">
        <x:v>150～220分</x:v>
      </x:c>
      <x:c r="E25" s="22" t="n">
        <x:v>150</x:v>
      </x:c>
      <x:c r="F25" s="22" t="n">
        <x:v>185</x:v>
      </x:c>
      <x:c r="G25" s="22" t="n">
        <x:v>220</x:v>
      </x:c>
      <x:c r="H25" s="22" t="n">
        <x:v>4</x:v>
      </x:c>
      <x:c r="I25" s="22" t="str">
        <x:v>城南島海浜公園</x:v>
      </x:c>
      <x:c r="J25" s="277" t="n">
        <x:v>0.875</x:v>
      </x:c>
      <x:c r="K25" s="22" t="n">
        <x:v>4</x:v>
      </x:c>
      <x:c r="L25" s="22" t="n">
        <x:v>1</x:v>
      </x:c>
      <x:c r="M25" s="22" t="n">
        <x:v>5</x:v>
      </x:c>
      <x:c r="N25" s="22" t="n">
        <x:v>66</x:v>
      </x:c>
      <x:c r="O25" s="22" t="n">
        <x:v>78</x:v>
      </x:c>
      <x:c r="P25" s="22" t="n">
        <x:v>76</x:v>
      </x:c>
      <x:c r="Q25" s="22" t="n">
        <x:v>9</x:v>
      </x:c>
      <x:c r="R25" s="95" t="str">
        <x:v>東京港・水辺</x:v>
      </x:c>
      <x:c r="S25" s="95" t="str">
        <x:v>維持</x:v>
      </x:c>
      <x:c r="T25" s="22" t="str">
        <x:v>城南島海浜公園</x:v>
      </x:c>
      <x:c r="U25" s="22" t="str">
        <x:v>21:00までに「城南島海浜公園」へ到達。遅れたら経由地を省略。</x:v>
      </x:c>
      <x:c r="V25" s="22" t="str">
        <x:v>葛西駐車場混雑時は高洲海浜公園へ差替え。東品川は時間貸し駐車場利用。</x:v>
      </x:c>
      <x:c r="W25" s="22" t="e">
        <x:f>HYPERLINK("https://www.google.com/maps/dir/?api=1&amp;destination=%E5%9F%8E%E5%8D%97%E5%B3%B6%E6%B5%B7%E6%B5%9C%E5%85%AC%E5%9C%92&amp;travelmode=driving&amp;waypoints=%E8%91%9B%E8%A5%BF%E6%B5%B7%E6%B5%9C%E5%85%AC%E5%9C%92%7C%E8%91%9B%E8%A5%BF%E8%87%A8%E6%B5%B7%E5%85%AC%E5%9C%92%7C%E6%9D%B1%E5%93%81%E5%B7%9D%E6%B5%B7%E4%B8%8A%E5%85%AC%E5%9C%92","開始")</x:f>
      </x:c>
      <x:c r="X25" s="22" t="e">
        <x:f>HYPERLINK("https://www.google.com/maps/dir/?api=1&amp;destination=%E5%9F%8E%E5%8D%97%E5%B3%B6%E6%B5%B7%E6%B5%9C%E5%85%AC%E5%9C%92&amp;travelmode=driving&amp;waypoints=%E8%91%9B%E8%A5%BF%E6%B5%B7%E6%B5%9C%E5%85%AC%E5%9C%92%7C%E8%91%9B%E8%A5%BF%E8%87%A8%E6%B5%B7%E5%85%AC%E5%9C%92%7C%E6%9D%B1%E5%93%81%E5%B7%9D%E6%B5%B7%E4%B8%8A%E5%85%AC%E5%9C%92","Plan B")</x:f>
      </x:c>
    </x:row>
    <x:row r="26" ht="42" customHeight="1">
      <x:c r="A26" s="22" t="str">
        <x:v>R131</x:v>
      </x:c>
      <x:c r="B26" s="22" t="str">
        <x:v>東京近距離・運河と市場</x:v>
      </x:c>
      <x:c r="C26" s="22" t="str">
        <x:v>運河／道の駅／海</x:v>
      </x:c>
      <x:c r="D26" s="22" t="str">
        <x:v>170～240分</x:v>
      </x:c>
      <x:c r="E26" s="22" t="n">
        <x:v>170</x:v>
      </x:c>
      <x:c r="F26" s="22" t="n">
        <x:v>205</x:v>
      </x:c>
      <x:c r="G26" s="22" t="n">
        <x:v>240</x:v>
      </x:c>
      <x:c r="H26" s="22" t="n">
        <x:v>4</x:v>
      </x:c>
      <x:c r="I26" s="22" t="str">
        <x:v>道の駅 いちかわ</x:v>
      </x:c>
      <x:c r="J26" s="277" t="n">
        <x:v>0.9166666666666666</x:v>
      </x:c>
      <x:c r="K26" s="22" t="n">
        <x:v>2</x:v>
      </x:c>
      <x:c r="L26" s="22" t="n">
        <x:v>1</x:v>
      </x:c>
      <x:c r="M26" s="22" t="n">
        <x:v>5</x:v>
      </x:c>
      <x:c r="N26" s="22" t="n">
        <x:v>74</x:v>
      </x:c>
      <x:c r="O26" s="22" t="n">
        <x:v>82</x:v>
      </x:c>
      <x:c r="P26" s="22" t="n">
        <x:v>100</x:v>
      </x:c>
      <x:c r="Q26" s="22" t="n">
        <x:v>0</x:v>
      </x:c>
      <x:c r="R26" s="95" t="str">
        <x:v>東京港・水辺</x:v>
      </x:c>
      <x:c r="S26" s="95" t="str">
        <x:v>維持</x:v>
      </x:c>
      <x:c r="T26" s="22" t="str">
        <x:v>城南島海浜公園</x:v>
      </x:c>
      <x:c r="U26" s="22" t="str">
        <x:v>22:00までに「道の駅 いちかわ」へ到達。遅れたら経由地を省略。</x:v>
      </x:c>
      <x:c r="V26" s="22" t="str">
        <x:v>東品川は専用駐車場なし。葛西の海浜立入時間・潮位を確認。</x:v>
      </x:c>
      <x:c r="W26" s="22" t="e">
        <x:f>HYPERLINK("https://www.google.com/maps/dir/?api=1&amp;destination=%E8%91%9B%E8%A5%BF%E6%B5%B7%E6%B5%9C%E5%85%AC%E5%9C%92&amp;travelmode=driving&amp;waypoints=%E6%9D%B1%E5%93%81%E5%B7%9D%E6%B5%B7%E4%B8%8A%E5%85%AC%E5%9C%92%7C%E9%81%93%E3%81%AE%E9%A7%85%20%E3%81%84%E3%81%A1%E3%81%8B%E3%82%8F%7C%E9%AB%98%E6%B4%B2%E6%B5%B7%E6%B5%9C%E5%85%AC%E5%9C%92","開始")</x:f>
      </x:c>
      <x:c r="X26" s="22" t="e">
        <x:f>HYPERLINK("https://www.google.com/maps/dir/?api=1&amp;destination=%E5%9F%8E%E5%8D%97%E5%B3%B6%E6%B5%B7%E6%B5%9C%E5%85%AC%E5%9C%92&amp;travelmode=driving&amp;waypoints=%E6%9D%B1%E5%93%81%E5%B7%9D%E6%B5%B7%E4%B8%8A%E5%85%AC%E5%9C%92%7C%E9%81%93%E3%81%AE%E9%A7%85%20%E3%81%84%E3%81%A1%E3%81%8B%E3%82%8F%7C%E9%AB%98%E6%B4%B2%E6%B5%B7%E6%B5%9C%E5%85%AC%E5%9C%92","Plan B")</x:f>
      </x:c>
    </x:row>
    <x:row r="27" ht="42" customHeight="1">
      <x:c r="A27" s="22" t="str">
        <x:v>R133</x:v>
      </x:c>
      <x:c r="B27" s="22" t="str">
        <x:v>羽田・足湯から河口へ</x:v>
      </x:c>
      <x:c r="C27" s="22" t="str">
        <x:v>飛行機／足湯／河口</x:v>
      </x:c>
      <x:c r="D27" s="22" t="str">
        <x:v>70～110分</x:v>
      </x:c>
      <x:c r="E27" s="22" t="n">
        <x:v>70</x:v>
      </x:c>
      <x:c r="F27" s="22" t="n">
        <x:v>90</x:v>
      </x:c>
      <x:c r="G27" s="22" t="n">
        <x:v>110</x:v>
      </x:c>
      <x:c r="H27" s="22" t="n">
        <x:v>3</x:v>
      </x:c>
      <x:c r="I27" s="22" t="str">
        <x:v>HANEDA INNOVATION CITY 足湯スカイデッキ</x:v>
      </x:c>
      <x:c r="J27" s="277" t="n">
        <x:v>0.9791666666666666</x:v>
      </x:c>
      <x:c r="K27" s="22" t="n">
        <x:v>1</x:v>
      </x:c>
      <x:c r="L27" s="22" t="n">
        <x:v>5</x:v>
      </x:c>
      <x:c r="M27" s="22" t="n">
        <x:v>5</x:v>
      </x:c>
      <x:c r="N27" s="22" t="n">
        <x:v>79</x:v>
      </x:c>
      <x:c r="O27" s="22" t="n">
        <x:v>84</x:v>
      </x:c>
      <x:c r="P27" s="22" t="n">
        <x:v>52</x:v>
      </x:c>
      <x:c r="Q27" s="22" t="n">
        <x:v>30</x:v>
      </x:c>
      <x:c r="R27" s="95" t="str">
        <x:v>羽田・航空</x:v>
      </x:c>
      <x:c r="S27" s="95" t="str">
        <x:v>役割明記</x:v>
      </x:c>
      <x:c r="T27" s="22" t="str">
        <x:v>城南島海浜公園</x:v>
      </x:c>
      <x:c r="U27" s="22" t="str">
        <x:v>23:30までに「HANEDA INNOVATION CITY 足湯スカイデッキ」へ到達。遅れたら経由地を省略。</x:v>
      </x:c>
      <x:c r="V27" s="22" t="str">
        <x:v>平日夜の主力。HIC P1を利用し、ソラムナードは徒歩を含む。</x:v>
      </x:c>
      <x:c r="W27" s="22" t="e">
        <x:f>HYPERLINK("https://www.google.com/maps/dir/?api=1&amp;destination=%E7%BE%BD%E7%94%B0%E7%A9%BA%E6%B8%AF%20%E7%AC%AC3%E3%82%BF%E3%83%BC%E3%83%9F%E3%83%8A%E3%83%AB%E5%B1%95%E6%9C%9B%E3%83%87%E3%83%83%E3%82%AD&amp;travelmode=driving&amp;waypoints=HANEDA%20INNOVATION%20CITY%20%E8%B6%B3%E6%B9%AF%E3%82%B9%E3%82%AB%E3%82%A4%E3%83%87%E3%83%83%E3%82%AD%7C%E3%82%BD%E3%83%A9%E3%83%A0%E3%83%8A%E3%83%BC%E3%83%89%E7%BE%BD%E7%94%B0%E7%B7%91%E5%9C%B0","開始")</x:f>
      </x:c>
      <x:c r="X27" s="22" t="e">
        <x:f>HYPERLINK("https://www.google.com/maps/dir/?api=1&amp;destination=%E5%9F%8E%E5%8D%97%E5%B3%B6%E6%B5%B7%E6%B5%9C%E5%85%AC%E5%9C%92&amp;travelmode=driving&amp;waypoints=HANEDA%20INNOVATION%20CITY%20%E8%B6%B3%E6%B9%AF%E3%82%B9%E3%82%AB%E3%82%A4%E3%83%87%E3%83%83%E3%82%AD%7C%E3%82%BD%E3%83%A9%E3%83%A0%E3%83%8A%E3%83%BC%E3%83%89%E7%BE%BD%E7%94%B0%E7%B7%91%E5%9C%B0","Plan B")</x:f>
      </x:c>
    </x:row>
    <x:row r="28" ht="42" customHeight="1">
      <x:c r="A28" s="22" t="str">
        <x:v>R134</x:v>
      </x:c>
      <x:c r="B28" s="22" t="str">
        <x:v>羽田3ターミナル比較</x:v>
      </x:c>
      <x:c r="C28" s="22" t="str">
        <x:v>飛行機／空港建築／雨天</x:v>
      </x:c>
      <x:c r="D28" s="22" t="str">
        <x:v>100～150分</x:v>
      </x:c>
      <x:c r="E28" s="22" t="n">
        <x:v>100</x:v>
      </x:c>
      <x:c r="F28" s="22" t="n">
        <x:v>125</x:v>
      </x:c>
      <x:c r="G28" s="22" t="n">
        <x:v>150</x:v>
      </x:c>
      <x:c r="H28" s="22" t="n">
        <x:v>3</x:v>
      </x:c>
      <x:c r="I28" s="22" t="str">
        <x:v>羽田空港 第1ターミナル展望デッキ</x:v>
      </x:c>
      <x:c r="J28" s="277" t="n">
        <x:v>0.9166666666666666</x:v>
      </x:c>
      <x:c r="K28" s="22" t="n">
        <x:v>1</x:v>
      </x:c>
      <x:c r="L28" s="22" t="n">
        <x:v>4</x:v>
      </x:c>
      <x:c r="M28" s="22" t="n">
        <x:v>5</x:v>
      </x:c>
      <x:c r="N28" s="22" t="n">
        <x:v>75</x:v>
      </x:c>
      <x:c r="O28" s="22" t="n">
        <x:v>80</x:v>
      </x:c>
      <x:c r="P28" s="22" t="n">
        <x:v>59</x:v>
      </x:c>
      <x:c r="Q28" s="22" t="n">
        <x:v>12</x:v>
      </x:c>
      <x:c r="R28" s="95" t="str">
        <x:v>羽田・航空</x:v>
      </x:c>
      <x:c r="S28" s="95" t="str">
        <x:v>役割明記</x:v>
      </x:c>
      <x:c r="T28" s="22" t="str">
        <x:v>城南島海浜公園</x:v>
      </x:c>
      <x:c r="U28" s="22" t="str">
        <x:v>22:00までに「羽田空港 第1ターミナル展望デッキ」へ到達。遅れたら経由地を省略。</x:v>
      </x:c>
      <x:c r="V28" s="22" t="str">
        <x:v>P3/P4等に1回駐車し、ターミナル間は無料連絡バスを基本とする。駐車場を3回入り直さない。</x:v>
      </x:c>
      <x:c r="W28" s="22" t="e">
        <x:f>HYPERLINK("https://www.google.com/maps/dir/?api=1&amp;destination=%E7%BE%BD%E7%94%B0%E7%A9%BA%E6%B8%AF%20%E7%AC%AC3%E3%82%BF%E3%83%BC%E3%83%9F%E3%83%8A%E3%83%AB%E5%B1%95%E6%9C%9B%E3%83%87%E3%83%83%E3%82%AD&amp;travelmode=driving&amp;waypoints=%E7%BE%BD%E7%94%B0%E7%A9%BA%E6%B8%AF%20%E7%AC%AC1%E3%82%BF%E3%83%BC%E3%83%9F%E3%83%8A%E3%83%AB%E5%B1%95%E6%9C%9B%E3%83%87%E3%83%83%E3%82%AD%7C%E7%BE%BD%E7%94%B0%E7%A9%BA%E6%B8%AF%20%E7%AC%AC2%E3%82%BF%E3%83%BC%E3%83%9F%E3%83%8A%E3%83%AB%E5%B1%95%E6%9C%9B%E3%83%87%E3%83%83%E3%82%AD%EF%BC%8FFLIGHT%20DECK%20TOKYO","開始")</x:f>
      </x:c>
      <x:c r="X28" s="22" t="e">
        <x:f>HYPERLINK("https://www.google.com/maps/dir/?api=1&amp;destination=%E5%9F%8E%E5%8D%97%E5%B3%B6%E6%B5%B7%E6%B5%9C%E5%85%AC%E5%9C%92&amp;travelmode=driving&amp;waypoints=%E7%BE%BD%E7%94%B0%E7%A9%BA%E6%B8%AF%20%E7%AC%AC1%E3%82%BF%E3%83%BC%E3%83%9F%E3%83%8A%E3%83%AB%E5%B1%95%E6%9C%9B%E3%83%87%E3%83%83%E3%82%AD%7C%E7%BE%BD%E7%94%B0%E7%A9%BA%E6%B8%AF%20%E7%AC%AC2%E3%82%BF%E3%83%BC%E3%83%9F%E3%83%8A%E3%83%AB%E5%B1%95%E6%9C%9B%E3%83%87%E3%83%83%E3%82%AD%EF%BC%8FFLIGHT%20DECK%20TOKYO","Plan B")</x:f>
      </x:c>
    </x:row>
    <x:row r="29" ht="42" customHeight="1">
      <x:c r="A29" s="22" t="str">
        <x:v>R135</x:v>
      </x:c>
      <x:c r="B29" s="22" t="str">
        <x:v>大森・海苔の海辺線</x:v>
      </x:c>
      <x:c r="C29" s="22" t="str">
        <x:v>平和Story／人工海浜／飛行機</x:v>
      </x:c>
      <x:c r="D29" s="22" t="str">
        <x:v>80～130分</x:v>
      </x:c>
      <x:c r="E29" s="22" t="n">
        <x:v>80</x:v>
      </x:c>
      <x:c r="F29" s="22" t="n">
        <x:v>105</x:v>
      </x:c>
      <x:c r="G29" s="22" t="n">
        <x:v>130</x:v>
      </x:c>
      <x:c r="H29" s="22" t="n">
        <x:v>3</x:v>
      </x:c>
      <x:c r="I29" s="22" t="str">
        <x:v>城南島海浜公園</x:v>
      </x:c>
      <x:c r="J29" s="277" t="n">
        <x:v>0.875</x:v>
      </x:c>
      <x:c r="K29" s="22" t="n">
        <x:v>3</x:v>
      </x:c>
      <x:c r="L29" s="22" t="n">
        <x:v>2</x:v>
      </x:c>
      <x:c r="M29" s="22" t="n">
        <x:v>5</x:v>
      </x:c>
      <x:c r="N29" s="22" t="n">
        <x:v>68</x:v>
      </x:c>
      <x:c r="O29" s="22" t="n">
        <x:v>79</x:v>
      </x:c>
      <x:c r="P29" s="22" t="n">
        <x:v>67</x:v>
      </x:c>
      <x:c r="Q29" s="22" t="n">
        <x:v>12</x:v>
      </x:c>
      <x:c r="R29" s="95" t="str">
        <x:v>羽田・航空</x:v>
      </x:c>
      <x:c r="S29" s="95" t="str">
        <x:v>維持</x:v>
      </x:c>
      <x:c r="T29" s="22" t="str">
        <x:v>城南島海浜公園</x:v>
      </x:c>
      <x:c r="U29" s="22" t="str">
        <x:v>21:00までに「城南島海浜公園」へ到達。遅れたら経由地を省略。</x:v>
      </x:c>
      <x:c r="V29" s="22" t="str">
        <x:v>浜辺21時閉門。公園共用駐車場の混雑時は城南島へ直行。</x:v>
      </x:c>
      <x:c r="W29" s="22" t="e">
        <x:f>HYPERLINK("https://www.google.com/maps/dir/?api=1&amp;destination=%E5%9F%8E%E5%8D%97%E5%B3%B6%E6%B5%B7%E6%B5%9C%E5%85%AC%E5%9C%92&amp;travelmode=driving&amp;waypoints=%E5%B9%B3%E5%92%8C%E3%81%AE%E6%A3%AE%E5%85%AC%E5%9C%92%7C%E5%A4%A7%E6%A3%AE%E3%81%B5%E3%82%8B%E3%81%95%E3%81%A8%E3%81%AE%E6%B5%9C%E8%BE%BA%E5%85%AC%E5%9C%92","開始")</x:f>
      </x:c>
      <x:c r="X29" s="22" t="e">
        <x:f>HYPERLINK("https://www.google.com/maps/dir/?api=1&amp;destination=%E5%9F%8E%E5%8D%97%E5%B3%B6%E6%B5%B7%E6%B5%9C%E5%85%AC%E5%9C%92&amp;travelmode=driving&amp;waypoints=%E5%B9%B3%E5%92%8C%E3%81%AE%E6%A3%AE%E5%85%AC%E5%9C%92%7C%E5%A4%A7%E6%A3%AE%E3%81%B5%E3%82%8B%E3%81%95%E3%81%A8%E3%81%AE%E6%B5%9C%E8%BE%BA%E5%85%AC%E5%9C%92","Plan B")</x:f>
      </x:c>
    </x:row>
    <x:row r="30" ht="42" customHeight="1">
      <x:c r="A30" s="22" t="str">
        <x:v>R136</x:v>
      </x:c>
      <x:c r="B30" s="22" t="str">
        <x:v>森ケ崎・屋上から足湯へ</x:v>
      </x:c>
      <x:c r="C30" s="22" t="str">
        <x:v>屋上公園／飛行機／足湯</x:v>
      </x:c>
      <x:c r="D30" s="22" t="str">
        <x:v>70～120分</x:v>
      </x:c>
      <x:c r="E30" s="22" t="n">
        <x:v>70</x:v>
      </x:c>
      <x:c r="F30" s="22" t="n">
        <x:v>95</x:v>
      </x:c>
      <x:c r="G30" s="22" t="n">
        <x:v>120</x:v>
      </x:c>
      <x:c r="H30" s="22" t="n">
        <x:v>3</x:v>
      </x:c>
      <x:c r="I30" s="22" t="str">
        <x:v>森ケ崎公園</x:v>
      </x:c>
      <x:c r="J30" s="277" t="n">
        <x:v>0.8958333333333334</x:v>
      </x:c>
      <x:c r="K30" s="22" t="n">
        <x:v>1</x:v>
      </x:c>
      <x:c r="L30" s="22" t="n">
        <x:v>4</x:v>
      </x:c>
      <x:c r="M30" s="22" t="n">
        <x:v>2</x:v>
      </x:c>
      <x:c r="N30" s="22" t="n">
        <x:v>77</x:v>
      </x:c>
      <x:c r="O30" s="22" t="n">
        <x:v>84</x:v>
      </x:c>
      <x:c r="P30" s="22" t="n">
        <x:v>61</x:v>
      </x:c>
      <x:c r="Q30" s="22" t="n">
        <x:v>21</x:v>
      </x:c>
      <x:c r="R30" s="95" t="str">
        <x:v>羽田・航空</x:v>
      </x:c>
      <x:c r="S30" s="95" t="str">
        <x:v>役割明記</x:v>
      </x:c>
      <x:c r="T30" s="22" t="str">
        <x:v>羽田空港 第3ターミナル展望デッキ</x:v>
      </x:c>
      <x:c r="U30" s="22" t="str">
        <x:v>21:30までに「森ケ崎公園」へ到達。遅れたら経由地を省略。</x:v>
      </x:c>
      <x:c r="V30" s="22" t="str">
        <x:v>森ケ崎の閉園時刻がHard Gate。最後は23:30まで。</x:v>
      </x:c>
      <x:c r="W30" s="22" t="e">
        <x:f>HYPERLINK("https://www.google.com/maps/dir/?api=1&amp;destination=HANEDA%20INNOVATION%20CITY%20%E8%B6%B3%E6%B9%AF%E3%82%B9%E3%82%AB%E3%82%A4%E3%83%87%E3%83%83%E3%82%AD&amp;travelmode=driving&amp;waypoints=%E6%A3%AE%E3%82%B1%E5%B4%8E%E5%85%AC%E5%9C%92%7C%E3%82%BD%E3%83%A9%E3%83%A0%E3%83%8A%E3%83%BC%E3%83%89%E7%BE%BD%E7%94%B0%E7%B7%91%E5%9C%B0","開始")</x:f>
      </x:c>
      <x:c r="X30" s="22" t="e">
        <x:f>HYPERLINK("https://www.google.com/maps/dir/?api=1&amp;destination=%E7%BE%BD%E7%94%B0%E7%A9%BA%E6%B8%AF%20%E7%AC%AC3%E3%82%BF%E3%83%BC%E3%83%9F%E3%83%8A%E3%83%AB%E5%B1%95%E6%9C%9B%E3%83%87%E3%83%83%E3%82%AD&amp;travelmode=driving&amp;waypoints=%E6%A3%AE%E3%82%B1%E5%B4%8E%E5%85%AC%E5%9C%92%7C%E3%82%BD%E3%83%A9%E3%83%A0%E3%83%8A%E3%83%BC%E3%83%89%E7%BE%BD%E7%94%B0%E7%B7%91%E5%9C%B0","Plan B")</x:f>
      </x:c>
    </x:row>
    <x:row r="31" ht="42" customHeight="1">
      <x:c r="A31" s="22" t="str">
        <x:v>R137</x:v>
      </x:c>
      <x:c r="B31" s="22" t="str">
        <x:v>多摩川・休日ショート</x:v>
      </x:c>
      <x:c r="C31" s="22" t="str">
        <x:v>河川敷／橋／高台</x:v>
      </x:c>
      <x:c r="D31" s="22" t="str">
        <x:v>70～120分</x:v>
      </x:c>
      <x:c r="E31" s="22" t="n">
        <x:v>70</x:v>
      </x:c>
      <x:c r="F31" s="22" t="n">
        <x:v>95</x:v>
      </x:c>
      <x:c r="G31" s="22" t="n">
        <x:v>120</x:v>
      </x:c>
      <x:c r="H31" s="22" t="n">
        <x:v>3</x:v>
      </x:c>
      <x:c r="I31" s="22" t="str">
        <x:v>多摩川浅間神社</x:v>
      </x:c>
      <x:c r="J31" s="277" t="n">
        <x:v>0.6666666666666666</x:v>
      </x:c>
      <x:c r="K31" s="22" t="n">
        <x:v>3</x:v>
      </x:c>
      <x:c r="L31" s="22" t="n">
        <x:v>2</x:v>
      </x:c>
      <x:c r="M31" s="22" t="n">
        <x:v>5</x:v>
      </x:c>
      <x:c r="N31" s="22" t="n">
        <x:v>73</x:v>
      </x:c>
      <x:c r="O31" s="22" t="n">
        <x:v>79</x:v>
      </x:c>
      <x:c r="P31" s="22" t="n">
        <x:v>85</x:v>
      </x:c>
      <x:c r="Q31" s="22" t="n">
        <x:v>0</x:v>
      </x:c>
      <x:c r="R31" s="95" t="str">
        <x:v>東京港・水辺</x:v>
      </x:c>
      <x:c r="S31" s="95" t="str">
        <x:v>役割明記</x:v>
      </x:c>
      <x:c r="T31" s="22" t="str">
        <x:v>羽田空港 第3ターミナル展望デッキ</x:v>
      </x:c>
      <x:c r="U31" s="22" t="str">
        <x:v>16:00までに「多摩川浅間神社」へ到達。遅れたら経由地を省略。</x:v>
      </x:c>
      <x:c r="V31" s="22" t="str">
        <x:v>河川敷駐車場は土日祝のみ。閉鎖時刻と増水情報を確認。</x:v>
      </x:c>
      <x:c r="W31" s="22" t="e">
        <x:f>HYPERLINK("https://www.google.com/maps/dir/?api=1&amp;destination=%E5%A4%9A%E6%91%A9%E5%B7%9D%E6%B5%85%E9%96%93%E7%A5%9E%E7%A4%BE&amp;travelmode=driving&amp;waypoints=%E5%A4%9A%E6%91%A9%E5%B7%9D%E5%85%AD%E9%83%B7%E6%A9%8B%E7%B7%91%E5%9C%B0%7C%E5%A4%9A%E6%91%A9%E5%B7%9D%E3%82%AC%E3%82%B9%E6%A9%8B%E7%B7%91%E5%9C%B0","開始")</x:f>
      </x:c>
      <x:c r="X31" s="22" t="e">
        <x:f>HYPERLINK("https://www.google.com/maps/dir/?api=1&amp;destination=%E7%BE%BD%E7%94%B0%E7%A9%BA%E6%B8%AF%20%E7%AC%AC3%E3%82%BF%E3%83%BC%E3%83%9F%E3%83%8A%E3%83%AB%E5%B1%95%E6%9C%9B%E3%83%87%E3%83%83%E3%82%AD&amp;travelmode=driving&amp;waypoints=%E5%A4%9A%E6%91%A9%E5%B7%9D%E5%85%AD%E9%83%B7%E6%A9%8B%E7%B7%91%E5%9C%B0%7C%E5%A4%9A%E6%91%A9%E5%B7%9D%E3%82%AC%E3%82%B9%E6%A9%8B%E7%B7%91%E5%9C%B0","Plan B")</x:f>
      </x:c>
    </x:row>
    <x:row r="32" ht="42" customHeight="1">
      <x:c r="A32" s="22" t="str">
        <x:v>R138</x:v>
      </x:c>
      <x:c r="B32" s="22" t="str">
        <x:v>池上から大森海岸へ</x:v>
      </x:c>
      <x:c r="C32" s="22" t="str">
        <x:v>庭園／平和Story／海辺</x:v>
      </x:c>
      <x:c r="D32" s="22" t="str">
        <x:v>80～130分</x:v>
      </x:c>
      <x:c r="E32" s="22" t="n">
        <x:v>80</x:v>
      </x:c>
      <x:c r="F32" s="22" t="n">
        <x:v>105</x:v>
      </x:c>
      <x:c r="G32" s="22" t="n">
        <x:v>130</x:v>
      </x:c>
      <x:c r="H32" s="22" t="n">
        <x:v>3</x:v>
      </x:c>
      <x:c r="I32" s="22" t="str">
        <x:v>池上梅園</x:v>
      </x:c>
      <x:c r="J32" s="277" t="n">
        <x:v>0.6875</x:v>
      </x:c>
      <x:c r="K32" s="22" t="n">
        <x:v>1</x:v>
      </x:c>
      <x:c r="L32" s="22" t="n">
        <x:v>2</x:v>
      </x:c>
      <x:c r="M32" s="22" t="n">
        <x:v>5</x:v>
      </x:c>
      <x:c r="N32" s="22" t="n">
        <x:v>70</x:v>
      </x:c>
      <x:c r="O32" s="22" t="n">
        <x:v>79</x:v>
      </x:c>
      <x:c r="P32" s="22" t="n">
        <x:v>76</x:v>
      </x:c>
      <x:c r="Q32" s="22" t="n">
        <x:v>3</x:v>
      </x:c>
      <x:c r="R32" s="95" t="str">
        <x:v>東京港・水辺</x:v>
      </x:c>
      <x:c r="S32" s="95" t="str">
        <x:v>役割明記</x:v>
      </x:c>
      <x:c r="T32" s="22" t="str">
        <x:v>平和の森公園</x:v>
      </x:c>
      <x:c r="U32" s="22" t="str">
        <x:v>16:30までに「池上梅園」へ到達。遅れたら経由地を省略。</x:v>
      </x:c>
      <x:c r="V32" s="22" t="str">
        <x:v>池上梅園16:30閉園。梅期休日は駐車場利用不可。</x:v>
      </x:c>
      <x:c r="W32" s="22" t="e">
        <x:f>HYPERLINK("https://www.google.com/maps/dir/?api=1&amp;destination=%E5%A4%A7%E6%A3%AE%E3%81%B5%E3%82%8B%E3%81%95%E3%81%A8%E3%81%AE%E6%B5%9C%E8%BE%BA%E5%85%AC%E5%9C%92&amp;travelmode=driving&amp;waypoints=%E6%B1%A0%E4%B8%8A%E6%A2%85%E5%9C%92%7C%E5%B9%B3%E5%92%8C%E3%81%AE%E6%A3%AE%E5%85%AC%E5%9C%92","開始")</x:f>
      </x:c>
      <x:c r="X32" s="22" t="e">
        <x:f>HYPERLINK("https://www.google.com/maps/dir/?api=1&amp;destination=%E5%B9%B3%E5%92%8C%E3%81%AE%E6%A3%AE%E5%85%AC%E5%9C%92&amp;travelmode=driving&amp;waypoints=%E6%B1%A0%E4%B8%8A%E6%A2%85%E5%9C%92%7C%E5%B9%B3%E5%92%8C%E3%81%AE%E6%A3%AE%E5%85%AC%E5%9C%92","Plan B")</x:f>
      </x:c>
    </x:row>
    <x:row r="33" ht="42" customHeight="1">
      <x:c r="A33" s="22" t="str">
        <x:v>R139</x:v>
      </x:c>
      <x:c r="B33" s="22" t="str">
        <x:v>大井・東京港ショート</x:v>
      </x:c>
      <x:c r="C33" s="22" t="str">
        <x:v>野鳥／飛行機／海</x:v>
      </x:c>
      <x:c r="D33" s="22" t="str">
        <x:v>80～130分</x:v>
      </x:c>
      <x:c r="E33" s="22" t="n">
        <x:v>80</x:v>
      </x:c>
      <x:c r="F33" s="22" t="n">
        <x:v>105</x:v>
      </x:c>
      <x:c r="G33" s="22" t="n">
        <x:v>130</x:v>
      </x:c>
      <x:c r="H33" s="22" t="n">
        <x:v>3</x:v>
      </x:c>
      <x:c r="I33" s="22" t="str">
        <x:v>東京港野鳥公園</x:v>
      </x:c>
      <x:c r="J33" s="277" t="n">
        <x:v>0.7083333333333334</x:v>
      </x:c>
      <x:c r="K33" s="22" t="n">
        <x:v>1</x:v>
      </x:c>
      <x:c r="L33" s="22" t="n">
        <x:v>2</x:v>
      </x:c>
      <x:c r="M33" s="22" t="n">
        <x:v>5</x:v>
      </x:c>
      <x:c r="N33" s="22" t="n">
        <x:v>64</x:v>
      </x:c>
      <x:c r="O33" s="22" t="n">
        <x:v>72</x:v>
      </x:c>
      <x:c r="P33" s="22" t="n">
        <x:v>64</x:v>
      </x:c>
      <x:c r="Q33" s="22" t="n">
        <x:v>15</x:v>
      </x:c>
      <x:c r="R33" s="95" t="str">
        <x:v>羽田・航空</x:v>
      </x:c>
      <x:c r="S33" s="95" t="str">
        <x:v>役割明記</x:v>
      </x:c>
      <x:c r="T33" s="22" t="str">
        <x:v>城南島海浜公園</x:v>
      </x:c>
      <x:c r="U33" s="22" t="str">
        <x:v>17:00までに「東京港野鳥公園」へ到達。遅れたら経由地を省略。</x:v>
      </x:c>
      <x:c r="V33" s="22" t="str">
        <x:v>野鳥公園の閉園時刻を優先し、夕方以降は京浜島から開始。</x:v>
      </x:c>
      <x:c r="W33" s="22" t="e">
        <x:f>HYPERLINK("https://www.google.com/maps/dir/?api=1&amp;destination=%E5%9F%8E%E5%8D%97%E5%B3%B6%E6%B5%B7%E6%B5%9C%E5%85%AC%E5%9C%92&amp;travelmode=driving&amp;waypoints=%E6%9D%B1%E4%BA%AC%E6%B8%AF%E9%87%8E%E9%B3%A5%E5%85%AC%E5%9C%92%7C%E4%BA%AC%E6%B5%9C%E5%B3%B6%E3%81%A4%E3%81%B0%E3%81%95%E5%85%AC%E5%9C%92","開始")</x:f>
      </x:c>
      <x:c r="X33" s="22" t="e">
        <x:f>HYPERLINK("https://www.google.com/maps/dir/?api=1&amp;destination=%E5%9F%8E%E5%8D%97%E5%B3%B6%E6%B5%B7%E6%B5%9C%E5%85%AC%E5%9C%92&amp;travelmode=driving&amp;waypoints=%E6%9D%B1%E4%BA%AC%E6%B8%AF%E9%87%8E%E9%B3%A5%E5%85%AC%E5%9C%92%7C%E4%BA%AC%E6%B5%9C%E5%B3%B6%E3%81%A4%E3%81%B0%E3%81%95%E5%85%AC%E5%9C%92","Plan B")</x:f>
      </x:c>
    </x:row>
    <x:row r="34" ht="42" customHeight="1">
      <x:c r="A34" s="22" t="str">
        <x:v>R140</x:v>
      </x:c>
      <x:c r="B34" s="22" t="str">
        <x:v>お台場から豊洲の水際夜景</x:v>
      </x:c>
      <x:c r="C34" s="22" t="str">
        <x:v>海浜／運河／都市夜景</x:v>
      </x:c>
      <x:c r="D34" s="22" t="str">
        <x:v>90～140分</x:v>
      </x:c>
      <x:c r="E34" s="22" t="n">
        <x:v>90</x:v>
      </x:c>
      <x:c r="F34" s="22" t="n">
        <x:v>115</x:v>
      </x:c>
      <x:c r="G34" s="22" t="n">
        <x:v>140</x:v>
      </x:c>
      <x:c r="H34" s="22" t="n">
        <x:v>3</x:v>
      </x:c>
      <x:c r="I34" s="22" t="str"/>
      <x:c r="J34" s="277"/>
      <x:c r="K34" s="22"/>
      <x:c r="L34" s="22" t="n">
        <x:v>2</x:v>
      </x:c>
      <x:c r="M34" s="22" t="n">
        <x:v>5</x:v>
      </x:c>
      <x:c r="N34" s="22" t="n">
        <x:v>71</x:v>
      </x:c>
      <x:c r="O34" s="22" t="n">
        <x:v>83</x:v>
      </x:c>
      <x:c r="P34" s="22" t="n">
        <x:v>71</x:v>
      </x:c>
      <x:c r="Q34" s="22" t="n">
        <x:v>0</x:v>
      </x:c>
      <x:c r="R34" s="95" t="str">
        <x:v>東京港・水辺</x:v>
      </x:c>
      <x:c r="S34" s="95" t="str">
        <x:v>差替え済</x:v>
      </x:c>
      <x:c r="T34" s="22" t="str">
        <x:v>城南島海浜公園</x:v>
      </x:c>
      <x:c r="U34" s="22" t="str">
        <x:v>明確なHard Gateなし。満車・天候・臨時閉鎖を確認。</x:v>
      </x:c>
      <x:c r="V34" s="22" t="str">
        <x:v>24時間駐車地点中心。イベント開催時はお台場を潮風公園へ、豊洲を晴海へ即時差替え。</x:v>
      </x:c>
      <x:c r="W34" s="22" t="e">
        <x:f>HYPERLINK("https://www.google.com/maps/dir/?api=1&amp;destination=%E6%99%B4%E6%B5%B7%E3%81%B5%E9%A0%AD%E5%85%AC%E5%9C%92&amp;travelmode=driving&amp;waypoints=%E3%81%8A%E5%8F%B0%E5%A0%B4%E6%B5%B7%E6%B5%9C%E5%85%AC%E5%9C%92%7C%E8%B1%8A%E6%B4%B2%E3%81%90%E3%82%8B%E3%82%8A%E5%85%AC%E5%9C%92","開始")</x:f>
      </x:c>
      <x:c r="X34" s="22" t="e">
        <x:f>HYPERLINK("https://www.google.com/maps/dir/?api=1&amp;destination=%E5%9F%8E%E5%8D%97%E5%B3%B6%E6%B5%B7%E6%B5%9C%E5%85%AC%E5%9C%92&amp;travelmode=driving&amp;waypoints=%E3%81%8A%E5%8F%B0%E5%A0%B4%E6%B5%B7%E6%B5%9C%E5%85%AC%E5%9C%92%7C%E8%B1%8A%E6%B4%B2%E3%81%90%E3%82%8B%E3%82%8A%E5%85%AC%E5%9C%92","Plan B")</x:f>
      </x:c>
    </x:row>
    <x:row r="35" ht="42" customHeight="1">
      <x:c r="A35" s="22" t="str">
        <x:v>R141</x:v>
      </x:c>
      <x:c r="B35" s="22" t="str">
        <x:v>雨天・羽田インドア線</x:v>
      </x:c>
      <x:c r="C35" s="22" t="str">
        <x:v>足湯／屋内展望／空港</x:v>
      </x:c>
      <x:c r="D35" s="22" t="str">
        <x:v>80～130分</x:v>
      </x:c>
      <x:c r="E35" s="22" t="n">
        <x:v>80</x:v>
      </x:c>
      <x:c r="F35" s="22" t="n">
        <x:v>105</x:v>
      </x:c>
      <x:c r="G35" s="22" t="n">
        <x:v>130</x:v>
      </x:c>
      <x:c r="H35" s="22" t="n">
        <x:v>3</x:v>
      </x:c>
      <x:c r="I35" s="22" t="str">
        <x:v>羽田空港 第2ターミナル展望デッキ／FLIGHT DECK TOKYO</x:v>
      </x:c>
      <x:c r="J35" s="277" t="n">
        <x:v>0.9583333333333334</x:v>
      </x:c>
      <x:c r="K35" s="22" t="n">
        <x:v>2</x:v>
      </x:c>
      <x:c r="L35" s="22" t="n">
        <x:v>4</x:v>
      </x:c>
      <x:c r="M35" s="22" t="n">
        <x:v>5</x:v>
      </x:c>
      <x:c r="N35" s="22" t="n">
        <x:v>72</x:v>
      </x:c>
      <x:c r="O35" s="22" t="n">
        <x:v>83</x:v>
      </x:c>
      <x:c r="P35" s="22" t="n">
        <x:v>41</x:v>
      </x:c>
      <x:c r="Q35" s="22" t="n">
        <x:v>30</x:v>
      </x:c>
      <x:c r="R35" s="95" t="str">
        <x:v>羽田・航空</x:v>
      </x:c>
      <x:c r="S35" s="95" t="str">
        <x:v>役割明記</x:v>
      </x:c>
      <x:c r="T35" s="22" t="str">
        <x:v>城南島海浜公園</x:v>
      </x:c>
      <x:c r="U35" s="22" t="str">
        <x:v>23:00までに「羽田空港 第2ターミナル展望デッキ／FLIGHT DECK TOKYO」へ到達。遅れたら経由地を省略。</x:v>
      </x:c>
      <x:c r="V35" s="22" t="str">
        <x:v>雨天はT2屋内FLIGHT DECKを主役にする。HIC足湯は強雨時に省略し、空港内移動を優先。</x:v>
      </x:c>
      <x:c r="W35" s="22" t="e">
        <x:f>HYPERLINK("https://www.google.com/maps/dir/?api=1&amp;destination=%E7%BE%BD%E7%94%B0%E7%A9%BA%E6%B8%AF%20%E7%AC%AC3%E3%82%BF%E3%83%BC%E3%83%9F%E3%83%8A%E3%83%AB%E5%B1%95%E6%9C%9B%E3%83%87%E3%83%83%E3%82%AD&amp;travelmode=driving&amp;waypoints=HANEDA%20INNOVATION%20CITY%20%E8%B6%B3%E6%B9%AF%E3%82%B9%E3%82%AB%E3%82%A4%E3%83%87%E3%83%83%E3%82%AD%7C%E7%BE%BD%E7%94%B0%E7%A9%BA%E6%B8%AF%20%E7%AC%AC2%E3%82%BF%E3%83%BC%E3%83%9F%E3%83%8A%E3%83%AB%E5%B1%95%E6%9C%9B%E3%83%87%E3%83%83%E3%82%AD%EF%BC%8FFLIGHT%20DECK%20TOKYO","開始")</x:f>
      </x:c>
      <x:c r="X35" s="22" t="e">
        <x:f>HYPERLINK("https://www.google.com/maps/dir/?api=1&amp;destination=%E5%9F%8E%E5%8D%97%E5%B3%B6%E6%B5%B7%E6%B5%9C%E5%85%AC%E5%9C%92&amp;travelmode=driving&amp;waypoints=HANEDA%20INNOVATION%20CITY%20%E8%B6%B3%E6%B9%AF%E3%82%B9%E3%82%AB%E3%82%A4%E3%83%87%E3%83%83%E3%82%AD%7C%E7%BE%BD%E7%94%B0%E7%A9%BA%E6%B8%AF%20%E7%AC%AC2%E3%82%BF%E3%83%BC%E3%83%9F%E3%83%8A%E3%83%AB%E5%B1%95%E6%9C%9B%E3%83%87%E3%83%83%E3%82%AD%EF%BC%8FFLIGHT%20DECK%20TOKYO","Plan B")</x:f>
      </x:c>
    </x:row>
    <x:row r="36" ht="42" customHeight="1">
      <x:c r="A36" s="22" t="str">
        <x:v>R142</x:v>
      </x:c>
      <x:c r="B36" s="22" t="str">
        <x:v>深夜2時間・羽田海辺</x:v>
      </x:c>
      <x:c r="C36" s="22" t="str">
        <x:v>空港／足湯／海</x:v>
      </x:c>
      <x:c r="D36" s="22" t="str">
        <x:v>80～120分</x:v>
      </x:c>
      <x:c r="E36" s="22" t="n">
        <x:v>80</x:v>
      </x:c>
      <x:c r="F36" s="22" t="n">
        <x:v>100</x:v>
      </x:c>
      <x:c r="G36" s="22" t="n">
        <x:v>120</x:v>
      </x:c>
      <x:c r="H36" s="22" t="n">
        <x:v>3</x:v>
      </x:c>
      <x:c r="I36" s="22" t="str">
        <x:v>城南島海浜公園</x:v>
      </x:c>
      <x:c r="J36" s="277" t="n">
        <x:v>0.875</x:v>
      </x:c>
      <x:c r="K36" s="22" t="n">
        <x:v>3</x:v>
      </x:c>
      <x:c r="L36" s="22" t="n">
        <x:v>4</x:v>
      </x:c>
      <x:c r="M36" s="22" t="n">
        <x:v>5</x:v>
      </x:c>
      <x:c r="N36" s="22" t="n">
        <x:v>73</x:v>
      </x:c>
      <x:c r="O36" s="22" t="n">
        <x:v>81</x:v>
      </x:c>
      <x:c r="P36" s="22" t="n">
        <x:v>49</x:v>
      </x:c>
      <x:c r="Q36" s="22" t="n">
        <x:v>30</x:v>
      </x:c>
      <x:c r="R36" s="95" t="str">
        <x:v>羽田・航空</x:v>
      </x:c>
      <x:c r="S36" s="95" t="str">
        <x:v>維持</x:v>
      </x:c>
      <x:c r="T36" s="22" t="str">
        <x:v>城南島海浜公園</x:v>
      </x:c>
      <x:c r="U36" s="22" t="str">
        <x:v>21:00までに「城南島海浜公園」へ到達。遅れたら経由地を省略。</x:v>
      </x:c>
      <x:c r="V36" s="22" t="str">
        <x:v>足湯23:30まで。城南島は夜間の利用可能区域・駐車場を当日確認。</x:v>
      </x:c>
      <x:c r="W36" s="22" t="e">
        <x:f>HYPERLINK("https://www.google.com/maps/dir/?api=1&amp;destination=%E5%9F%8E%E5%8D%97%E5%B3%B6%E6%B5%B7%E6%B5%9C%E5%85%AC%E5%9C%92&amp;travelmode=driving&amp;waypoints=%E7%BE%BD%E7%94%B0%E7%A9%BA%E6%B8%AF%20%E7%AC%AC3%E3%82%BF%E3%83%BC%E3%83%9F%E3%83%8A%E3%83%AB%E5%B1%95%E6%9C%9B%E3%83%87%E3%83%83%E3%82%AD%7CHANEDA%20INNOVATION%20CITY%20%E8%B6%B3%E6%B9%AF%E3%82%B9%E3%82%AB%E3%82%A4%E3%83%87%E3%83%83%E3%82%AD","開始")</x:f>
      </x:c>
      <x:c r="X36" s="22" t="e">
        <x:f>HYPERLINK("https://www.google.com/maps/dir/?api=1&amp;destination=%E5%9F%8E%E5%8D%97%E5%B3%B6%E6%B5%B7%E6%B5%9C%E5%85%AC%E5%9C%92&amp;travelmode=driving&amp;waypoints=%E7%BE%BD%E7%94%B0%E7%A9%BA%E6%B8%AF%20%E7%AC%AC3%E3%82%BF%E3%83%BC%E3%83%9F%E3%83%8A%E3%83%AB%E5%B1%95%E6%9C%9B%E3%83%87%E3%83%83%E3%82%AD%7CHANEDA%20INNOVATION%20CITY%20%E8%B6%B3%E6%B9%AF%E3%82%B9%E3%82%AB%E3%82%A4%E3%83%87%E3%83%83%E3%82%AD","Plan B")</x:f>
      </x:c>
    </x:row>
    <x:row r="37">
      <x:c r="A37" s="22" t="str">
        <x:v>R143</x:v>
      </x:c>
      <x:c r="B37" s="22" t="str">
        <x:v>羽田から川崎工場夜景へ</x:v>
      </x:c>
      <x:c r="C37" s="22" t="str">
        <x:v>足湯／高所工場夜景／港の行き止まり</x:v>
      </x:c>
      <x:c r="D37" s="22" t="str">
        <x:v>100～150分</x:v>
      </x:c>
      <x:c r="E37" s="22" t="n">
        <x:v>100</x:v>
      </x:c>
      <x:c r="F37" s="22" t="n">
        <x:v>125</x:v>
      </x:c>
      <x:c r="G37" s="22" t="n">
        <x:v>150</x:v>
      </x:c>
      <x:c r="H37" s="22" t="n">
        <x:v>3</x:v>
      </x:c>
      <x:c r="I37" s="22" t="str">
        <x:v>HANEDA INNOVATION CITY 足湯スカイデッキ</x:v>
      </x:c>
      <x:c r="J37" s="277" t="n">
        <x:v>0.9791666666666666</x:v>
      </x:c>
      <x:c r="K37" s="22" t="n">
        <x:v>1</x:v>
      </x:c>
      <x:c r="L37" s="22" t="n">
        <x:v>1</x:v>
      </x:c>
      <x:c r="M37" s="22" t="n">
        <x:v>5</x:v>
      </x:c>
      <x:c r="N37" s="22" t="n">
        <x:v>64</x:v>
      </x:c>
      <x:c r="O37" s="22" t="n">
        <x:v>82</x:v>
      </x:c>
      <x:c r="P37" s="22" t="n">
        <x:v>61</x:v>
      </x:c>
      <x:c r="Q37" s="22" t="n">
        <x:v>21</x:v>
      </x:c>
      <x:c r="R37" s="22" t="str">
        <x:v>川崎・工場夜景</x:v>
      </x:c>
      <x:c r="S37" s="22" t="str">
        <x:v>差替え済</x:v>
      </x:c>
      <x:c r="T37" s="22" t="str">
        <x:v>城南島海浜公園</x:v>
      </x:c>
      <x:c r="U37" s="22" t="str">
        <x:v>23:30までに「HANEDA INNOVATION CITY 足湯スカイデッキ」へ到達。遅れたら経由地を省略。</x:v>
      </x:c>
      <x:c r="V37" s="22" t="str">
        <x:v>川崎マリエン展望室は21時まで。遅れた場合はマリエンを省略し、24時間利用可能な東扇島西公園へ。</x:v>
      </x:c>
      <x:c r="W37" s="22" t="e">
        <x:f>HYPERLINK("https://www.google.com/maps/dir/?api=1&amp;destination=%E6%9D%B1%E6%89%87%E5%B3%B6%E8%A5%BF%E5%85%AC%E5%9C%92&amp;travelmode=driving&amp;waypoints=HANEDA%20INNOVATION%20CITY%20%E8%B6%B3%E6%B9%AF%E3%82%B9%E3%82%AB%E3%82%A4%E3%83%87%E3%83%83%E3%82%AD%7C%E5%B7%9D%E5%B4%8E%E3%83%9E%E3%83%AA%E3%82%A8%E3%83%B3","開始")</x:f>
      </x:c>
      <x:c r="X37" s="22" t="e">
        <x:f>HYPERLINK("https://www.google.com/maps/dir/?api=1&amp;destination=%E5%9F%8E%E5%8D%97%E5%B3%B6%E6%B5%B7%E6%B5%9C%E5%85%AC%E5%9C%92&amp;travelmode=driving&amp;waypoints=HANEDA%20INNOVATION%20CITY%20%E8%B6%B3%E6%B9%AF%E3%82%B9%E3%82%AB%E3%82%A4%E3%83%87%E3%83%83%E3%82%AD%7C%E5%B7%9D%E5%B4%8E%E3%83%9E%E3%83%AA%E3%82%A8%E3%83%B3","Plan B")</x:f>
      </x:c>
    </x:row>
    <x:row r="38">
      <x:c r="A38" s="22" t="str">
        <x:v>R144</x:v>
      </x:c>
      <x:c r="B38" s="22" t="str">
        <x:v>平日夜90分・最短リセット</x:v>
      </x:c>
      <x:c r="C38" s="22" t="str">
        <x:v>屋上公園／足湯／飛行機</x:v>
      </x:c>
      <x:c r="D38" s="22" t="str">
        <x:v>75～110分</x:v>
      </x:c>
      <x:c r="E38" s="22" t="n">
        <x:v>75</x:v>
      </x:c>
      <x:c r="F38" s="22" t="n">
        <x:v>92</x:v>
      </x:c>
      <x:c r="G38" s="22" t="n">
        <x:v>110</x:v>
      </x:c>
      <x:c r="H38" s="22" t="n">
        <x:v>3</x:v>
      </x:c>
      <x:c r="I38" s="22" t="str">
        <x:v>森ケ崎公園</x:v>
      </x:c>
      <x:c r="J38" s="277" t="n">
        <x:v>0.8958333333333334</x:v>
      </x:c>
      <x:c r="K38" s="22" t="n">
        <x:v>1</x:v>
      </x:c>
      <x:c r="L38" s="22" t="n">
        <x:v>4</x:v>
      </x:c>
      <x:c r="M38" s="22" t="n">
        <x:v>2</x:v>
      </x:c>
      <x:c r="N38" s="22" t="n">
        <x:v>74</x:v>
      </x:c>
      <x:c r="O38" s="22" t="n">
        <x:v>81</x:v>
      </x:c>
      <x:c r="P38" s="22" t="n">
        <x:v>52</x:v>
      </x:c>
      <x:c r="Q38" s="22" t="n">
        <x:v>30</x:v>
      </x:c>
      <x:c r="R38" s="22" t="str">
        <x:v>羽田・航空</x:v>
      </x:c>
      <x:c r="S38" s="22" t="str">
        <x:v>役割明記</x:v>
      </x:c>
      <x:c r="T38" s="22" t="str">
        <x:v>城南島海浜公園</x:v>
      </x:c>
      <x:c r="U38" s="22" t="str">
        <x:v>21:30までに「森ケ崎公園」へ到達。遅れたら経由地を省略。</x:v>
      </x:c>
      <x:c r="V38" s="22" t="str">
        <x:v>森ケ崎閉園に間に合わなければHICから開始。</x:v>
      </x:c>
      <x:c r="W38" s="22" t="e">
        <x:f>HYPERLINK("https://www.google.com/maps/dir/?api=1&amp;destination=%E7%BE%BD%E7%94%B0%E7%A9%BA%E6%B8%AF%20%E7%AC%AC3%E3%82%BF%E3%83%BC%E3%83%9F%E3%83%8A%E3%83%AB%E5%B1%95%E6%9C%9B%E3%83%87%E3%83%83%E3%82%AD&amp;travelmode=driving&amp;waypoints=%E6%A3%AE%E3%82%B1%E5%B4%8E%E5%85%AC%E5%9C%92%7CHANEDA%20INNOVATION%20CITY%20%E8%B6%B3%E6%B9%AF%E3%82%B9%E3%82%AB%E3%82%A4%E3%83%87%E3%83%83%E3%82%AD","開始")</x:f>
      </x:c>
      <x:c r="X38" s="22" t="e">
        <x:f>HYPERLINK("https://www.google.com/maps/dir/?api=1&amp;destination=%E5%9F%8E%E5%8D%97%E5%B3%B6%E6%B5%B7%E6%B5%9C%E5%85%AC%E5%9C%92&amp;travelmode=driving&amp;waypoints=%E6%A3%AE%E3%82%B1%E5%B4%8E%E5%85%AC%E5%9C%92%7CHANEDA%20INNOVATION%20CITY%20%E8%B6%B3%E6%B9%AF%E3%82%B9%E3%82%AB%E3%82%A4%E3%83%87%E3%83%83%E3%82%AD","Plan B")</x:f>
      </x:c>
    </x:row>
  </x:sheetData>
  <x:conditionalFormatting sqref="N2:N36">
    <x:cfRule type="colorScale" priority="1">
      <x:colorScale>
        <x:cfvo type="min"/>
        <x:cfvo type="percentile" val="50"/>
        <x:cfvo type="max"/>
        <x:color rgb="FFFEE2E2"/>
        <x:color rgb="FFFEF3C7"/>
        <x:color rgb="FFDCFCE7"/>
      </x:colorScale>
    </x:cfRule>
  </x:conditionalFormatting>
  <x:conditionalFormatting sqref="N2:O36">
    <x:cfRule type="colorScale" priority="2">
      <x:colorScale>
        <x:cfvo type="min"/>
        <x:cfvo type="percentile" val="50"/>
        <x:cfvo type="max"/>
        <x:color rgb="FFFEE2E2"/>
        <x:color rgb="FFFEF3C7"/>
        <x:color rgb="FFDCFCE7"/>
      </x:colorScale>
    </x:cfRule>
  </x:conditionalFormatting>
  <x:conditionalFormatting sqref="N2:Q38">
    <x:cfRule type="colorScale" priority="3">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706586a9445c458c"/>
  </x:tableParts>
</x:worksheet>
</file>

<file path=xl/worksheets/sheet27.xml><?xml version="1.0" encoding="utf-8"?>
<x:worksheet xmlns:x="http://schemas.openxmlformats.org/spreadsheetml/2006/main">
  <x:sheetFormatPr defaultRowHeight="15"/>
  <x:cols>
    <x:col min="1" max="1" width="10" hidden="0" customWidth="1"/>
    <x:col min="2" max="2" width="30" hidden="0" customWidth="1"/>
    <x:col min="3" max="3" width="18" hidden="0" customWidth="1"/>
    <x:col min="4" max="4" width="8" hidden="0" customWidth="1"/>
    <x:col min="5" max="5" width="30" hidden="0" customWidth="1"/>
    <x:col min="6" max="6" width="13" hidden="0" customWidth="1"/>
    <x:col min="7" max="7" width="14" hidden="0" customWidth="1"/>
    <x:col min="8" max="8" width="13" hidden="0" customWidth="1"/>
    <x:col min="9" max="9" width="14" hidden="0" customWidth="1"/>
    <x:col min="10" max="10" width="12" hidden="0" customWidth="1"/>
    <x:col min="11" max="11" width="13" hidden="0" customWidth="1"/>
    <x:col min="12" max="12" width="14" hidden="0" customWidth="1"/>
    <x:col min="13" max="13" width="36" hidden="0" customWidth="1"/>
    <x:col min="14" max="14" width="34" hidden="0" customWidth="1"/>
    <x:col min="15" max="15" width="14" hidden="0" customWidth="1"/>
  </x:cols>
  <x:sheetData>
    <x:row r="1">
      <x:c r="A1" s="323" t="str">
        <x:v>ルートID</x:v>
      </x:c>
      <x:c r="B1" s="323" t="str">
        <x:v>ルート名</x:v>
      </x:c>
      <x:c r="C1" s="323" t="str">
        <x:v>ルート区分</x:v>
      </x:c>
      <x:c r="D1" s="323" t="str">
        <x:v>位置</x:v>
      </x:c>
      <x:c r="E1" s="323" t="str">
        <x:v>経由地</x:v>
      </x:c>
      <x:c r="F1" s="323" t="str">
        <x:v>駐車確実性</x:v>
      </x:c>
      <x:c r="G1" s="323" t="str">
        <x:v>短時間立寄り</x:v>
      </x:c>
      <x:c r="H1" s="323" t="str">
        <x:v>時間帯適合</x:v>
      </x:c>
      <x:c r="I1" s="323" t="str">
        <x:v>テーマ連続性</x:v>
      </x:c>
      <x:c r="J1" s="323" t="str">
        <x:v>進行方向</x:v>
      </x:c>
      <x:c r="K1" s="323" t="str">
        <x:v>次地点との差</x:v>
      </x:c>
      <x:c r="L1" s="323" t="str">
        <x:v>経由地品質</x:v>
      </x:c>
      <x:c r="M1" s="323" t="str">
        <x:v>経由地の役割</x:v>
      </x:c>
      <x:c r="N1" s="323" t="str">
        <x:v>主な問題</x:v>
      </x:c>
      <x:c r="O1" s="323" t="str">
        <x:v>改善状態</x:v>
      </x:c>
    </x:row>
    <x:row r="2">
      <x:c r="A2" s="22" t="str">
        <x:v>R001</x:v>
      </x:c>
      <x:c r="B2" s="22" t="str">
        <x:v>羽田・航空機ショート</x:v>
      </x:c>
      <x:c r="C2" s="22" t="str">
        <x:v>通常</x:v>
      </x:c>
      <x:c r="D2" s="22" t="n">
        <x:v>1</x:v>
      </x:c>
      <x:c r="E2" s="22" t="str">
        <x:v>羽田イノベーションシティ</x:v>
      </x:c>
      <x:c r="F2" s="22" t="n">
        <x:v>1</x:v>
      </x:c>
      <x:c r="G2" s="22" t="n">
        <x:v>4</x:v>
      </x:c>
      <x:c r="H2" s="22" t="n">
        <x:v>3</x:v>
      </x:c>
      <x:c r="I2" s="22" t="n">
        <x:v>2</x:v>
      </x:c>
      <x:c r="J2" s="22" t="n">
        <x:v>4</x:v>
      </x:c>
      <x:c r="K2" s="22" t="n">
        <x:v>3</x:v>
      </x:c>
      <x:c r="L2" s="22" t="n">
        <x:v>53</x:v>
      </x:c>
      <x:c r="M2" s="22" t="str">
        <x:v>導入地点</x:v>
      </x:c>
      <x:c r="N2" s="22" t="str">
        <x:v>駐車が弱い／次地点との差が小さい</x:v>
      </x:c>
      <x:c r="O2" s="22" t="str">
        <x:v>維持</x:v>
      </x:c>
    </x:row>
    <x:row r="3">
      <x:c r="A3" s="22" t="str">
        <x:v>R001</x:v>
      </x:c>
      <x:c r="B3" s="22" t="str">
        <x:v>羽田・航空機ショート</x:v>
      </x:c>
      <x:c r="C3" s="22" t="str">
        <x:v>通常</x:v>
      </x:c>
      <x:c r="D3" s="22" t="n">
        <x:v>2</x:v>
      </x:c>
      <x:c r="E3" s="22" t="str">
        <x:v>羽田空港 第3ターミナル展望デッキ</x:v>
      </x:c>
      <x:c r="F3" s="22" t="n">
        <x:v>5</x:v>
      </x:c>
      <x:c r="G3" s="22" t="n">
        <x:v>5</x:v>
      </x:c>
      <x:c r="H3" s="22" t="n">
        <x:v>5</x:v>
      </x:c>
      <x:c r="I3" s="22" t="n">
        <x:v>3</x:v>
      </x:c>
      <x:c r="J3" s="22" t="n">
        <x:v>4</x:v>
      </x:c>
      <x:c r="K3" s="22" t="n">
        <x:v>4</x:v>
      </x:c>
      <x:c r="L3" s="22" t="n">
        <x:v>89</x:v>
      </x:c>
      <x:c r="M3" s="22" t="str">
        <x:v>最終目的地への助走</x:v>
      </x:c>
      <x:c r="N3" s="22" t="str">
        <x:v>大きな問題なし</x:v>
      </x:c>
      <x:c r="O3" s="22" t="str">
        <x:v>維持</x:v>
      </x:c>
    </x:row>
    <x:row r="4">
      <x:c r="A4" s="22" t="str">
        <x:v>R002</x:v>
      </x:c>
      <x:c r="B4" s="22" t="str">
        <x:v>大森海岸から飛行機へ</x:v>
      </x:c>
      <x:c r="C4" s="22" t="str">
        <x:v>通常</x:v>
      </x:c>
      <x:c r="D4" s="22" t="n">
        <x:v>1</x:v>
      </x:c>
      <x:c r="E4" s="22" t="str">
        <x:v>大森ふるさとの浜辺公園</x:v>
      </x:c>
      <x:c r="F4" s="22" t="n">
        <x:v>5</x:v>
      </x:c>
      <x:c r="G4" s="22" t="n">
        <x:v>4</x:v>
      </x:c>
      <x:c r="H4" s="22" t="n">
        <x:v>5</x:v>
      </x:c>
      <x:c r="I4" s="22" t="n">
        <x:v>4</x:v>
      </x:c>
      <x:c r="J4" s="22" t="n">
        <x:v>5</x:v>
      </x:c>
      <x:c r="K4" s="22" t="n">
        <x:v>5</x:v>
      </x:c>
      <x:c r="L4" s="22" t="n">
        <x:v>94</x:v>
      </x:c>
      <x:c r="M4" s="22" t="str">
        <x:v>導入地点</x:v>
      </x:c>
      <x:c r="N4" s="22" t="str">
        <x:v>大きな問題なし</x:v>
      </x:c>
      <x:c r="O4" s="22" t="str">
        <x:v>差替え済</x:v>
      </x:c>
    </x:row>
    <x:row r="5">
      <x:c r="A5" s="22" t="str">
        <x:v>R002</x:v>
      </x:c>
      <x:c r="B5" s="22" t="str">
        <x:v>大森海岸から飛行機へ</x:v>
      </x:c>
      <x:c r="C5" s="22" t="str">
        <x:v>通常</x:v>
      </x:c>
      <x:c r="D5" s="22" t="n">
        <x:v>2</x:v>
      </x:c>
      <x:c r="E5" s="22" t="str">
        <x:v>京浜島つばさ公園</x:v>
      </x:c>
      <x:c r="F5" s="22" t="n">
        <x:v>2</x:v>
      </x:c>
      <x:c r="G5" s="22" t="n">
        <x:v>5</x:v>
      </x:c>
      <x:c r="H5" s="22" t="n">
        <x:v>5</x:v>
      </x:c>
      <x:c r="I5" s="22" t="n">
        <x:v>3</x:v>
      </x:c>
      <x:c r="J5" s="22" t="n">
        <x:v>5</x:v>
      </x:c>
      <x:c r="K5" s="22" t="n">
        <x:v>4</x:v>
      </x:c>
      <x:c r="L5" s="22" t="n">
        <x:v>77</x:v>
      </x:c>
      <x:c r="M5" s="22" t="str">
        <x:v>最終目的地への助走</x:v>
      </x:c>
      <x:c r="N5" s="22" t="str">
        <x:v>駐車が弱い</x:v>
      </x:c>
      <x:c r="O5" s="22" t="str">
        <x:v>差替え済</x:v>
      </x:c>
    </x:row>
    <x:row r="6">
      <x:c r="A6" s="22" t="str">
        <x:v>R003</x:v>
      </x:c>
      <x:c r="B6" s="22" t="str">
        <x:v>東京港最奥ナイト</x:v>
      </x:c>
      <x:c r="C6" s="22" t="str">
        <x:v>通常</x:v>
      </x:c>
      <x:c r="D6" s="22" t="n">
        <x:v>1</x:v>
      </x:c>
      <x:c r="E6" s="22" t="str">
        <x:v>晴海ふ頭公園</x:v>
      </x:c>
      <x:c r="F6" s="22" t="n">
        <x:v>2</x:v>
      </x:c>
      <x:c r="G6" s="22" t="n">
        <x:v>5</x:v>
      </x:c>
      <x:c r="H6" s="22" t="n">
        <x:v>5</x:v>
      </x:c>
      <x:c r="I6" s="22" t="n">
        <x:v>4</x:v>
      </x:c>
      <x:c r="J6" s="22" t="n">
        <x:v>4</x:v>
      </x:c>
      <x:c r="K6" s="22" t="n">
        <x:v>4</x:v>
      </x:c>
      <x:c r="L6" s="22" t="n">
        <x:v>77</x:v>
      </x:c>
      <x:c r="M6" s="22" t="str">
        <x:v>導入地点</x:v>
      </x:c>
      <x:c r="N6" s="22" t="str">
        <x:v>駐車が弱い</x:v>
      </x:c>
      <x:c r="O6" s="22" t="str">
        <x:v>維持</x:v>
      </x:c>
    </x:row>
    <x:row r="7">
      <x:c r="A7" s="22" t="str">
        <x:v>R003</x:v>
      </x:c>
      <x:c r="B7" s="22" t="str">
        <x:v>東京港最奥ナイト</x:v>
      </x:c>
      <x:c r="C7" s="22" t="str">
        <x:v>通常</x:v>
      </x:c>
      <x:c r="D7" s="22" t="n">
        <x:v>2</x:v>
      </x:c>
      <x:c r="E7" s="22" t="str">
        <x:v>豊洲ぐるり公園</x:v>
      </x:c>
      <x:c r="F7" s="22" t="n">
        <x:v>5</x:v>
      </x:c>
      <x:c r="G7" s="22" t="n">
        <x:v>5</x:v>
      </x:c>
      <x:c r="H7" s="22" t="n">
        <x:v>5</x:v>
      </x:c>
      <x:c r="I7" s="22" t="n">
        <x:v>3</x:v>
      </x:c>
      <x:c r="J7" s="22" t="n">
        <x:v>4</x:v>
      </x:c>
      <x:c r="K7" s="22" t="n">
        <x:v>5</x:v>
      </x:c>
      <x:c r="L7" s="22" t="n">
        <x:v>91</x:v>
      </x:c>
      <x:c r="M7" s="22" t="str">
        <x:v>最終目的地への助走</x:v>
      </x:c>
      <x:c r="N7" s="22" t="str">
        <x:v>大きな問題なし</x:v>
      </x:c>
      <x:c r="O7" s="22" t="str">
        <x:v>維持</x:v>
      </x:c>
    </x:row>
    <x:row r="8">
      <x:c r="A8" s="22" t="str">
        <x:v>R004</x:v>
      </x:c>
      <x:c r="B8" s="22" t="str">
        <x:v>ゲートブリッジと海</x:v>
      </x:c>
      <x:c r="C8" s="22" t="str">
        <x:v>通常</x:v>
      </x:c>
      <x:c r="D8" s="22" t="n">
        <x:v>1</x:v>
      </x:c>
      <x:c r="E8" s="22" t="str">
        <x:v>東京ゲートブリッジ</x:v>
      </x:c>
      <x:c r="F8" s="22" t="n">
        <x:v>1</x:v>
      </x:c>
      <x:c r="G8" s="22" t="n">
        <x:v>4</x:v>
      </x:c>
      <x:c r="H8" s="22" t="n">
        <x:v>3</x:v>
      </x:c>
      <x:c r="I8" s="22" t="n">
        <x:v>2</x:v>
      </x:c>
      <x:c r="J8" s="22" t="n">
        <x:v>4</x:v>
      </x:c>
      <x:c r="K8" s="22" t="n">
        <x:v>3</x:v>
      </x:c>
      <x:c r="L8" s="22" t="n">
        <x:v>53</x:v>
      </x:c>
      <x:c r="M8" s="22" t="str">
        <x:v>導入地点</x:v>
      </x:c>
      <x:c r="N8" s="22" t="str">
        <x:v>駐車が弱い／次地点との差が小さい</x:v>
      </x:c>
      <x:c r="O8" s="22" t="str">
        <x:v>維持</x:v>
      </x:c>
    </x:row>
    <x:row r="9">
      <x:c r="A9" s="22" t="str">
        <x:v>R004</x:v>
      </x:c>
      <x:c r="B9" s="22" t="str">
        <x:v>ゲートブリッジと海</x:v>
      </x:c>
      <x:c r="C9" s="22" t="str">
        <x:v>通常</x:v>
      </x:c>
      <x:c r="D9" s="22" t="n">
        <x:v>2</x:v>
      </x:c>
      <x:c r="E9" s="22" t="str">
        <x:v>若洲海浜公園</x:v>
      </x:c>
      <x:c r="F9" s="22" t="n">
        <x:v>4</x:v>
      </x:c>
      <x:c r="G9" s="22" t="n">
        <x:v>4</x:v>
      </x:c>
      <x:c r="H9" s="22" t="n">
        <x:v>3</x:v>
      </x:c>
      <x:c r="I9" s="22" t="n">
        <x:v>3</x:v>
      </x:c>
      <x:c r="J9" s="22" t="n">
        <x:v>4</x:v>
      </x:c>
      <x:c r="K9" s="22" t="n">
        <x:v>4</x:v>
      </x:c>
      <x:c r="L9" s="22" t="n">
        <x:v>73</x:v>
      </x:c>
      <x:c r="M9" s="22" t="str">
        <x:v>最終目的地への助走</x:v>
      </x:c>
      <x:c r="N9" s="22" t="str">
        <x:v>大きな問題なし</x:v>
      </x:c>
      <x:c r="O9" s="22" t="str">
        <x:v>維持</x:v>
      </x:c>
    </x:row>
    <x:row r="10">
      <x:c r="A10" s="22" t="str">
        <x:v>R005</x:v>
      </x:c>
      <x:c r="B10" s="22" t="str">
        <x:v>東京港・昼の新景観</x:v>
      </x:c>
      <x:c r="C10" s="22" t="str">
        <x:v>昼専用</x:v>
      </x:c>
      <x:c r="D10" s="22" t="n">
        <x:v>1</x:v>
      </x:c>
      <x:c r="E10" s="22" t="str">
        <x:v>東京港野鳥公園</x:v>
      </x:c>
      <x:c r="F10" s="22" t="n">
        <x:v>4</x:v>
      </x:c>
      <x:c r="G10" s="22" t="n">
        <x:v>5</x:v>
      </x:c>
      <x:c r="H10" s="22" t="n">
        <x:v>5</x:v>
      </x:c>
      <x:c r="I10" s="22" t="n">
        <x:v>3</x:v>
      </x:c>
      <x:c r="J10" s="22" t="n">
        <x:v>4</x:v>
      </x:c>
      <x:c r="K10" s="22" t="n">
        <x:v>5</x:v>
      </x:c>
      <x:c r="L10" s="22" t="n">
        <x:v>86</x:v>
      </x:c>
      <x:c r="M10" s="22" t="str">
        <x:v>導入地点</x:v>
      </x:c>
      <x:c r="N10" s="22" t="str">
        <x:v>大きな問題なし</x:v>
      </x:c>
      <x:c r="O10" s="22" t="str">
        <x:v>役割明記</x:v>
      </x:c>
    </x:row>
    <x:row r="11">
      <x:c r="A11" s="22" t="str">
        <x:v>R005</x:v>
      </x:c>
      <x:c r="B11" s="22" t="str">
        <x:v>東京港・昼の新景観</x:v>
      </x:c>
      <x:c r="C11" s="22" t="str">
        <x:v>昼専用</x:v>
      </x:c>
      <x:c r="D11" s="22" t="n">
        <x:v>2</x:v>
      </x:c>
      <x:c r="E11" s="22" t="str">
        <x:v>海の森公園</x:v>
      </x:c>
      <x:c r="F11" s="22" t="n">
        <x:v>4</x:v>
      </x:c>
      <x:c r="G11" s="22" t="n">
        <x:v>4</x:v>
      </x:c>
      <x:c r="H11" s="22" t="n">
        <x:v>5</x:v>
      </x:c>
      <x:c r="I11" s="22" t="n">
        <x:v>3</x:v>
      </x:c>
      <x:c r="J11" s="22" t="n">
        <x:v>4</x:v>
      </x:c>
      <x:c r="K11" s="22" t="n">
        <x:v>4</x:v>
      </x:c>
      <x:c r="L11" s="22" t="n">
        <x:v>81</x:v>
      </x:c>
      <x:c r="M11" s="22" t="str">
        <x:v>最終目的地への助走</x:v>
      </x:c>
      <x:c r="N11" s="22" t="str">
        <x:v>大きな問題なし</x:v>
      </x:c>
      <x:c r="O11" s="22" t="str">
        <x:v>役割明記</x:v>
      </x:c>
    </x:row>
    <x:row r="12">
      <x:c r="A12" s="22" t="str">
        <x:v>R006</x:v>
      </x:c>
      <x:c r="B12" s="22" t="str">
        <x:v>京浜島から東扇島西端へ</x:v>
      </x:c>
      <x:c r="C12" s="22" t="str">
        <x:v>通常</x:v>
      </x:c>
      <x:c r="D12" s="22" t="n">
        <x:v>1</x:v>
      </x:c>
      <x:c r="E12" s="22" t="str">
        <x:v>京浜島つばさ公園</x:v>
      </x:c>
      <x:c r="F12" s="22" t="n">
        <x:v>2</x:v>
      </x:c>
      <x:c r="G12" s="22" t="n">
        <x:v>5</x:v>
      </x:c>
      <x:c r="H12" s="22" t="n">
        <x:v>5</x:v>
      </x:c>
      <x:c r="I12" s="22" t="n">
        <x:v>3</x:v>
      </x:c>
      <x:c r="J12" s="22" t="n">
        <x:v>5</x:v>
      </x:c>
      <x:c r="K12" s="22" t="n">
        <x:v>5</x:v>
      </x:c>
      <x:c r="L12" s="22" t="n">
        <x:v>79</x:v>
      </x:c>
      <x:c r="M12" s="22" t="str">
        <x:v>導入地点</x:v>
      </x:c>
      <x:c r="N12" s="22" t="str">
        <x:v>駐車が弱い</x:v>
      </x:c>
      <x:c r="O12" s="22" t="str">
        <x:v>差替え済</x:v>
      </x:c>
    </x:row>
    <x:row r="13">
      <x:c r="A13" s="22" t="str">
        <x:v>R006</x:v>
      </x:c>
      <x:c r="B13" s="22" t="str">
        <x:v>京浜島から東扇島西端へ</x:v>
      </x:c>
      <x:c r="C13" s="22" t="str">
        <x:v>通常</x:v>
      </x:c>
      <x:c r="D13" s="22" t="n">
        <x:v>2</x:v>
      </x:c>
      <x:c r="E13" s="22" t="str">
        <x:v>川崎マリエン</x:v>
      </x:c>
      <x:c r="F13" s="22" t="n">
        <x:v>5</x:v>
      </x:c>
      <x:c r="G13" s="22" t="n">
        <x:v>5</x:v>
      </x:c>
      <x:c r="H13" s="22" t="n">
        <x:v>5</x:v>
      </x:c>
      <x:c r="I13" s="22" t="n">
        <x:v>4</x:v>
      </x:c>
      <x:c r="J13" s="22" t="n">
        <x:v>5</x:v>
      </x:c>
      <x:c r="K13" s="22" t="n">
        <x:v>5</x:v>
      </x:c>
      <x:c r="L13" s="22" t="n">
        <x:v>97</x:v>
      </x:c>
      <x:c r="M13" s="22" t="str">
        <x:v>最終目的地への助走</x:v>
      </x:c>
      <x:c r="N13" s="22" t="str">
        <x:v>大きな問題なし</x:v>
      </x:c>
      <x:c r="O13" s="22" t="str">
        <x:v>差替え済</x:v>
      </x:c>
    </x:row>
    <x:row r="14">
      <x:c r="A14" s="22" t="str">
        <x:v>R007</x:v>
      </x:c>
      <x:c r="B14" s="22" t="str">
        <x:v>横浜高台から港へ</x:v>
      </x:c>
      <x:c r="C14" s="22" t="str">
        <x:v>通常</x:v>
      </x:c>
      <x:c r="D14" s="22" t="n">
        <x:v>1</x:v>
      </x:c>
      <x:c r="E14" s="22" t="str">
        <x:v>港の見える丘公園</x:v>
      </x:c>
      <x:c r="F14" s="22" t="n">
        <x:v>2</x:v>
      </x:c>
      <x:c r="G14" s="22" t="n">
        <x:v>5</x:v>
      </x:c>
      <x:c r="H14" s="22" t="n">
        <x:v>5</x:v>
      </x:c>
      <x:c r="I14" s="22" t="n">
        <x:v>4</x:v>
      </x:c>
      <x:c r="J14" s="22" t="n">
        <x:v>4</x:v>
      </x:c>
      <x:c r="K14" s="22" t="n">
        <x:v>3</x:v>
      </x:c>
      <x:c r="L14" s="22" t="n">
        <x:v>75</x:v>
      </x:c>
      <x:c r="M14" s="22" t="str">
        <x:v>導入地点</x:v>
      </x:c>
      <x:c r="N14" s="22" t="str">
        <x:v>駐車が弱い／次地点との差が小さい</x:v>
      </x:c>
      <x:c r="O14" s="22" t="str">
        <x:v>維持</x:v>
      </x:c>
    </x:row>
    <x:row r="15">
      <x:c r="A15" s="22" t="str">
        <x:v>R007</x:v>
      </x:c>
      <x:c r="B15" s="22" t="str">
        <x:v>横浜高台から港へ</x:v>
      </x:c>
      <x:c r="C15" s="22" t="str">
        <x:v>通常</x:v>
      </x:c>
      <x:c r="D15" s="22" t="n">
        <x:v>2</x:v>
      </x:c>
      <x:c r="E15" s="22" t="str">
        <x:v>本牧山頂公園</x:v>
      </x:c>
      <x:c r="F15" s="22" t="n">
        <x:v>4</x:v>
      </x:c>
      <x:c r="G15" s="22" t="n">
        <x:v>5</x:v>
      </x:c>
      <x:c r="H15" s="22" t="n">
        <x:v>3</x:v>
      </x:c>
      <x:c r="I15" s="22" t="n">
        <x:v>4</x:v>
      </x:c>
      <x:c r="J15" s="22" t="n">
        <x:v>4</x:v>
      </x:c>
      <x:c r="K15" s="22" t="n">
        <x:v>3</x:v>
      </x:c>
      <x:c r="L15" s="22" t="n">
        <x:v>77</x:v>
      </x:c>
      <x:c r="M15" s="22" t="str">
        <x:v>最終目的地への助走</x:v>
      </x:c>
      <x:c r="N15" s="22" t="str">
        <x:v>次地点との差が小さい</x:v>
      </x:c>
      <x:c r="O15" s="22" t="str">
        <x:v>維持</x:v>
      </x:c>
    </x:row>
    <x:row r="16">
      <x:c r="A16" s="22" t="str">
        <x:v>R008</x:v>
      </x:c>
      <x:c r="B16" s="22" t="str">
        <x:v>本牧ふ頭の行き止まり</x:v>
      </x:c>
      <x:c r="C16" s="22" t="str">
        <x:v>通常</x:v>
      </x:c>
      <x:c r="D16" s="22" t="n">
        <x:v>1</x:v>
      </x:c>
      <x:c r="E16" s="22" t="str">
        <x:v>横浜港大さん橋</x:v>
      </x:c>
      <x:c r="F16" s="22" t="n">
        <x:v>5</x:v>
      </x:c>
      <x:c r="G16" s="22" t="n">
        <x:v>5</x:v>
      </x:c>
      <x:c r="H16" s="22" t="n">
        <x:v>5</x:v>
      </x:c>
      <x:c r="I16" s="22" t="n">
        <x:v>3</x:v>
      </x:c>
      <x:c r="J16" s="22" t="n">
        <x:v>4</x:v>
      </x:c>
      <x:c r="K16" s="22" t="n">
        <x:v>3</x:v>
      </x:c>
      <x:c r="L16" s="22" t="n">
        <x:v>87</x:v>
      </x:c>
      <x:c r="M16" s="22" t="str">
        <x:v>導入地点</x:v>
      </x:c>
      <x:c r="N16" s="22" t="str">
        <x:v>次地点との差が小さい</x:v>
      </x:c>
      <x:c r="O16" s="22" t="str">
        <x:v>維持</x:v>
      </x:c>
    </x:row>
    <x:row r="17">
      <x:c r="A17" s="22" t="str">
        <x:v>R008</x:v>
      </x:c>
      <x:c r="B17" s="22" t="str">
        <x:v>本牧ふ頭の行き止まり</x:v>
      </x:c>
      <x:c r="C17" s="22" t="str">
        <x:v>通常</x:v>
      </x:c>
      <x:c r="D17" s="22" t="n">
        <x:v>2</x:v>
      </x:c>
      <x:c r="E17" s="22" t="str">
        <x:v>本牧山頂公園</x:v>
      </x:c>
      <x:c r="F17" s="22" t="n">
        <x:v>4</x:v>
      </x:c>
      <x:c r="G17" s="22" t="n">
        <x:v>5</x:v>
      </x:c>
      <x:c r="H17" s="22" t="n">
        <x:v>4</x:v>
      </x:c>
      <x:c r="I17" s="22" t="n">
        <x:v>3</x:v>
      </x:c>
      <x:c r="J17" s="22" t="n">
        <x:v>4</x:v>
      </x:c>
      <x:c r="K17" s="22" t="n">
        <x:v>3</x:v>
      </x:c>
      <x:c r="L17" s="22" t="n">
        <x:v>78</x:v>
      </x:c>
      <x:c r="M17" s="22" t="str">
        <x:v>最終目的地への助走</x:v>
      </x:c>
      <x:c r="N17" s="22" t="str">
        <x:v>次地点との差が小さい</x:v>
      </x:c>
      <x:c r="O17" s="22" t="str">
        <x:v>維持</x:v>
      </x:c>
    </x:row>
    <x:row r="18">
      <x:c r="A18" s="22" t="str">
        <x:v>R009</x:v>
      </x:c>
      <x:c r="B18" s="22" t="str">
        <x:v>金沢シーサイド</x:v>
      </x:c>
      <x:c r="C18" s="22" t="str">
        <x:v>通常</x:v>
      </x:c>
      <x:c r="D18" s="22" t="n">
        <x:v>1</x:v>
      </x:c>
      <x:c r="E18" s="22" t="str">
        <x:v>本牧山頂公園</x:v>
      </x:c>
      <x:c r="F18" s="22" t="n">
        <x:v>4</x:v>
      </x:c>
      <x:c r="G18" s="22" t="n">
        <x:v>5</x:v>
      </x:c>
      <x:c r="H18" s="22" t="n">
        <x:v>3</x:v>
      </x:c>
      <x:c r="I18" s="22" t="n">
        <x:v>3</x:v>
      </x:c>
      <x:c r="J18" s="22" t="n">
        <x:v>4</x:v>
      </x:c>
      <x:c r="K18" s="22" t="n">
        <x:v>4</x:v>
      </x:c>
      <x:c r="L18" s="22" t="n">
        <x:v>76</x:v>
      </x:c>
      <x:c r="M18" s="22" t="str">
        <x:v>導入地点</x:v>
      </x:c>
      <x:c r="N18" s="22" t="str">
        <x:v>大きな問題なし</x:v>
      </x:c>
      <x:c r="O18" s="22" t="str">
        <x:v>維持</x:v>
      </x:c>
    </x:row>
    <x:row r="19">
      <x:c r="A19" s="22" t="str">
        <x:v>R009</x:v>
      </x:c>
      <x:c r="B19" s="22" t="str">
        <x:v>金沢シーサイド</x:v>
      </x:c>
      <x:c r="C19" s="22" t="str">
        <x:v>通常</x:v>
      </x:c>
      <x:c r="D19" s="22" t="n">
        <x:v>2</x:v>
      </x:c>
      <x:c r="E19" s="22" t="str">
        <x:v>海の公園</x:v>
      </x:c>
      <x:c r="F19" s="22" t="n">
        <x:v>4</x:v>
      </x:c>
      <x:c r="G19" s="22" t="n">
        <x:v>5</x:v>
      </x:c>
      <x:c r="H19" s="22" t="n">
        <x:v>3</x:v>
      </x:c>
      <x:c r="I19" s="22" t="n">
        <x:v>3</x:v>
      </x:c>
      <x:c r="J19" s="22" t="n">
        <x:v>4</x:v>
      </x:c>
      <x:c r="K19" s="22" t="n">
        <x:v>4</x:v>
      </x:c>
      <x:c r="L19" s="22" t="n">
        <x:v>76</x:v>
      </x:c>
      <x:c r="M19" s="22" t="str">
        <x:v>最終目的地への助走</x:v>
      </x:c>
      <x:c r="N19" s="22" t="str">
        <x:v>大きな問題なし</x:v>
      </x:c>
      <x:c r="O19" s="22" t="str">
        <x:v>維持</x:v>
      </x:c>
    </x:row>
    <x:row r="20">
      <x:c r="A20" s="22" t="str">
        <x:v>R010</x:v>
      </x:c>
      <x:c r="B20" s="22" t="str">
        <x:v>横須賀・軍港から入り江へ</x:v>
      </x:c>
      <x:c r="C20" s="22" t="str">
        <x:v>通常</x:v>
      </x:c>
      <x:c r="D20" s="22" t="n">
        <x:v>1</x:v>
      </x:c>
      <x:c r="E20" s="22" t="str">
        <x:v>ヴェルニー公園</x:v>
      </x:c>
      <x:c r="F20" s="22" t="n">
        <x:v>2</x:v>
      </x:c>
      <x:c r="G20" s="22" t="n">
        <x:v>5</x:v>
      </x:c>
      <x:c r="H20" s="22" t="n">
        <x:v>5</x:v>
      </x:c>
      <x:c r="I20" s="22" t="n">
        <x:v>3</x:v>
      </x:c>
      <x:c r="J20" s="22" t="n">
        <x:v>4</x:v>
      </x:c>
      <x:c r="K20" s="22" t="n">
        <x:v>4</x:v>
      </x:c>
      <x:c r="L20" s="22" t="n">
        <x:v>74</x:v>
      </x:c>
      <x:c r="M20" s="22" t="str">
        <x:v>導入地点</x:v>
      </x:c>
      <x:c r="N20" s="22" t="str">
        <x:v>駐車が弱い</x:v>
      </x:c>
      <x:c r="O20" s="22" t="str">
        <x:v>維持</x:v>
      </x:c>
    </x:row>
    <x:row r="21">
      <x:c r="A21" s="22" t="str">
        <x:v>R010</x:v>
      </x:c>
      <x:c r="B21" s="22" t="str">
        <x:v>横須賀・軍港から入り江へ</x:v>
      </x:c>
      <x:c r="C21" s="22" t="str">
        <x:v>通常</x:v>
      </x:c>
      <x:c r="D21" s="22" t="n">
        <x:v>2</x:v>
      </x:c>
      <x:c r="E21" s="22" t="str">
        <x:v>うみかぜ公園</x:v>
      </x:c>
      <x:c r="F21" s="22" t="n">
        <x:v>5</x:v>
      </x:c>
      <x:c r="G21" s="22" t="n">
        <x:v>5</x:v>
      </x:c>
      <x:c r="H21" s="22" t="n">
        <x:v>5</x:v>
      </x:c>
      <x:c r="I21" s="22" t="n">
        <x:v>3</x:v>
      </x:c>
      <x:c r="J21" s="22" t="n">
        <x:v>4</x:v>
      </x:c>
      <x:c r="K21" s="22" t="n">
        <x:v>4</x:v>
      </x:c>
      <x:c r="L21" s="22" t="n">
        <x:v>89</x:v>
      </x:c>
      <x:c r="M21" s="22" t="str">
        <x:v>最終目的地への助走</x:v>
      </x:c>
      <x:c r="N21" s="22" t="str">
        <x:v>大きな問題なし</x:v>
      </x:c>
      <x:c r="O21" s="22" t="str">
        <x:v>維持</x:v>
      </x:c>
    </x:row>
    <x:row r="22">
      <x:c r="A22" s="22" t="str">
        <x:v>R011</x:v>
      </x:c>
      <x:c r="B22" s="22" t="str">
        <x:v>三浦西岸サンセット</x:v>
      </x:c>
      <x:c r="C22" s="22" t="str">
        <x:v>昼専用</x:v>
      </x:c>
      <x:c r="D22" s="22" t="n">
        <x:v>1</x:v>
      </x:c>
      <x:c r="E22" s="22" t="str">
        <x:v>披露山公園</x:v>
      </x:c>
      <x:c r="F22" s="22" t="n">
        <x:v>4</x:v>
      </x:c>
      <x:c r="G22" s="22" t="n">
        <x:v>5</x:v>
      </x:c>
      <x:c r="H22" s="22" t="n">
        <x:v>5</x:v>
      </x:c>
      <x:c r="I22" s="22" t="n">
        <x:v>3</x:v>
      </x:c>
      <x:c r="J22" s="22" t="n">
        <x:v>4</x:v>
      </x:c>
      <x:c r="K22" s="22" t="n">
        <x:v>3</x:v>
      </x:c>
      <x:c r="L22" s="22" t="n">
        <x:v>82</x:v>
      </x:c>
      <x:c r="M22" s="22" t="str">
        <x:v>導入地点</x:v>
      </x:c>
      <x:c r="N22" s="22" t="str">
        <x:v>次地点との差が小さい</x:v>
      </x:c>
      <x:c r="O22" s="22" t="str">
        <x:v>維持</x:v>
      </x:c>
    </x:row>
    <x:row r="23">
      <x:c r="A23" s="22" t="str">
        <x:v>R011</x:v>
      </x:c>
      <x:c r="B23" s="22" t="str">
        <x:v>三浦西岸サンセット</x:v>
      </x:c>
      <x:c r="C23" s="22" t="str">
        <x:v>昼専用</x:v>
      </x:c>
      <x:c r="D23" s="22" t="n">
        <x:v>2</x:v>
      </x:c>
      <x:c r="E23" s="22" t="str">
        <x:v>立石公園</x:v>
      </x:c>
      <x:c r="F23" s="22" t="n">
        <x:v>1</x:v>
      </x:c>
      <x:c r="G23" s="22" t="n">
        <x:v>4</x:v>
      </x:c>
      <x:c r="H23" s="22" t="n">
        <x:v>4</x:v>
      </x:c>
      <x:c r="I23" s="22" t="n">
        <x:v>2</x:v>
      </x:c>
      <x:c r="J23" s="22" t="n">
        <x:v>4</x:v>
      </x:c>
      <x:c r="K23" s="22" t="n">
        <x:v>3</x:v>
      </x:c>
      <x:c r="L23" s="22" t="n">
        <x:v>57</x:v>
      </x:c>
      <x:c r="M23" s="22" t="str">
        <x:v>最終目的地への助走</x:v>
      </x:c>
      <x:c r="N23" s="22" t="str">
        <x:v>駐車が弱い／次地点との差が小さい</x:v>
      </x:c>
      <x:c r="O23" s="22" t="str">
        <x:v>維持</x:v>
      </x:c>
    </x:row>
    <x:row r="24">
      <x:c r="A24" s="22" t="str">
        <x:v>R012</x:v>
      </x:c>
      <x:c r="B24" s="22" t="str">
        <x:v>三浦半島・南端到達</x:v>
      </x:c>
      <x:c r="C24" s="22" t="str">
        <x:v>昼専用</x:v>
      </x:c>
      <x:c r="D24" s="22" t="n">
        <x:v>1</x:v>
      </x:c>
      <x:c r="E24" s="22" t="str">
        <x:v>宮川公園</x:v>
      </x:c>
      <x:c r="F24" s="22" t="n">
        <x:v>4</x:v>
      </x:c>
      <x:c r="G24" s="22" t="n">
        <x:v>4</x:v>
      </x:c>
      <x:c r="H24" s="22" t="n">
        <x:v>4</x:v>
      </x:c>
      <x:c r="I24" s="22" t="n">
        <x:v>3</x:v>
      </x:c>
      <x:c r="J24" s="22" t="n">
        <x:v>4</x:v>
      </x:c>
      <x:c r="K24" s="22" t="n">
        <x:v>3</x:v>
      </x:c>
      <x:c r="L24" s="22" t="n">
        <x:v>75</x:v>
      </x:c>
      <x:c r="M24" s="22" t="str">
        <x:v>導入地点</x:v>
      </x:c>
      <x:c r="N24" s="22" t="str">
        <x:v>次地点との差が小さい</x:v>
      </x:c>
      <x:c r="O24" s="22" t="str">
        <x:v>維持</x:v>
      </x:c>
    </x:row>
    <x:row r="25">
      <x:c r="A25" s="22" t="str">
        <x:v>R012</x:v>
      </x:c>
      <x:c r="B25" s="22" t="str">
        <x:v>三浦半島・南端到達</x:v>
      </x:c>
      <x:c r="C25" s="22" t="str">
        <x:v>昼専用</x:v>
      </x:c>
      <x:c r="D25" s="22" t="n">
        <x:v>2</x:v>
      </x:c>
      <x:c r="E25" s="22" t="str">
        <x:v>三崎港 うらり</x:v>
      </x:c>
      <x:c r="F25" s="22" t="n">
        <x:v>1</x:v>
      </x:c>
      <x:c r="G25" s="22" t="n">
        <x:v>4</x:v>
      </x:c>
      <x:c r="H25" s="22" t="n">
        <x:v>4</x:v>
      </x:c>
      <x:c r="I25" s="22" t="n">
        <x:v>2</x:v>
      </x:c>
      <x:c r="J25" s="22" t="n">
        <x:v>4</x:v>
      </x:c>
      <x:c r="K25" s="22" t="n">
        <x:v>3</x:v>
      </x:c>
      <x:c r="L25" s="22" t="n">
        <x:v>57</x:v>
      </x:c>
      <x:c r="M25" s="22" t="str">
        <x:v>最終目的地への助走</x:v>
      </x:c>
      <x:c r="N25" s="22" t="str">
        <x:v>駐車が弱い／次地点との差が小さい</x:v>
      </x:c>
      <x:c r="O25" s="22" t="str">
        <x:v>維持</x:v>
      </x:c>
    </x:row>
    <x:row r="26">
      <x:c r="A26" s="22" t="str">
        <x:v>R013</x:v>
      </x:c>
      <x:c r="B26" s="22" t="str">
        <x:v>隅田川から水郷へ</x:v>
      </x:c>
      <x:c r="C26" s="22" t="str">
        <x:v>通常</x:v>
      </x:c>
      <x:c r="D26" s="22" t="n">
        <x:v>1</x:v>
      </x:c>
      <x:c r="E26" s="22" t="str">
        <x:v>汐入公園</x:v>
      </x:c>
      <x:c r="F26" s="22" t="n">
        <x:v>5</x:v>
      </x:c>
      <x:c r="G26" s="22" t="n">
        <x:v>5</x:v>
      </x:c>
      <x:c r="H26" s="22" t="n">
        <x:v>5</x:v>
      </x:c>
      <x:c r="I26" s="22" t="n">
        <x:v>3</x:v>
      </x:c>
      <x:c r="J26" s="22" t="n">
        <x:v>4</x:v>
      </x:c>
      <x:c r="K26" s="22" t="n">
        <x:v>4</x:v>
      </x:c>
      <x:c r="L26" s="22" t="n">
        <x:v>89</x:v>
      </x:c>
      <x:c r="M26" s="22" t="str">
        <x:v>導入地点</x:v>
      </x:c>
      <x:c r="N26" s="22" t="str">
        <x:v>大きな問題なし</x:v>
      </x:c>
      <x:c r="O26" s="22" t="str">
        <x:v>維持</x:v>
      </x:c>
    </x:row>
    <x:row r="27">
      <x:c r="A27" s="22" t="str">
        <x:v>R013</x:v>
      </x:c>
      <x:c r="B27" s="22" t="str">
        <x:v>隅田川から水郷へ</x:v>
      </x:c>
      <x:c r="C27" s="22" t="str">
        <x:v>通常</x:v>
      </x:c>
      <x:c r="D27" s="22" t="n">
        <x:v>2</x:v>
      </x:c>
      <x:c r="E27" s="22" t="str">
        <x:v>水元公園</x:v>
      </x:c>
      <x:c r="F27" s="22" t="n">
        <x:v>5</x:v>
      </x:c>
      <x:c r="G27" s="22" t="n">
        <x:v>4</x:v>
      </x:c>
      <x:c r="H27" s="22" t="n">
        <x:v>5</x:v>
      </x:c>
      <x:c r="I27" s="22" t="n">
        <x:v>3</x:v>
      </x:c>
      <x:c r="J27" s="22" t="n">
        <x:v>4</x:v>
      </x:c>
      <x:c r="K27" s="22" t="n">
        <x:v>4</x:v>
      </x:c>
      <x:c r="L27" s="22" t="n">
        <x:v>86</x:v>
      </x:c>
      <x:c r="M27" s="22" t="str">
        <x:v>最終目的地への助走</x:v>
      </x:c>
      <x:c r="N27" s="22" t="str">
        <x:v>大きな問題なし</x:v>
      </x:c>
      <x:c r="O27" s="22" t="str">
        <x:v>維持</x:v>
      </x:c>
    </x:row>
    <x:row r="28">
      <x:c r="A28" s="22" t="str">
        <x:v>R014</x:v>
      </x:c>
      <x:c r="B28" s="22" t="str">
        <x:v>北東京レイクショート</x:v>
      </x:c>
      <x:c r="C28" s="22" t="str">
        <x:v>通常</x:v>
      </x:c>
      <x:c r="D28" s="22" t="n">
        <x:v>1</x:v>
      </x:c>
      <x:c r="E28" s="22" t="str">
        <x:v>浮間公園</x:v>
      </x:c>
      <x:c r="F28" s="22" t="n">
        <x:v>5</x:v>
      </x:c>
      <x:c r="G28" s="22" t="n">
        <x:v>5</x:v>
      </x:c>
      <x:c r="H28" s="22" t="n">
        <x:v>5</x:v>
      </x:c>
      <x:c r="I28" s="22" t="n">
        <x:v>4</x:v>
      </x:c>
      <x:c r="J28" s="22" t="n">
        <x:v>4</x:v>
      </x:c>
      <x:c r="K28" s="22" t="n">
        <x:v>4</x:v>
      </x:c>
      <x:c r="L28" s="22" t="n">
        <x:v>92</x:v>
      </x:c>
      <x:c r="M28" s="22" t="str">
        <x:v>導入地点</x:v>
      </x:c>
      <x:c r="N28" s="22" t="str">
        <x:v>大きな問題なし</x:v>
      </x:c>
      <x:c r="O28" s="22" t="str">
        <x:v>維持</x:v>
      </x:c>
    </x:row>
    <x:row r="29">
      <x:c r="A29" s="22" t="str">
        <x:v>R014</x:v>
      </x:c>
      <x:c r="B29" s="22" t="str">
        <x:v>北東京レイクショート</x:v>
      </x:c>
      <x:c r="C29" s="22" t="str">
        <x:v>通常</x:v>
      </x:c>
      <x:c r="D29" s="22" t="n">
        <x:v>2</x:v>
      </x:c>
      <x:c r="E29" s="22" t="str">
        <x:v>舎人公園</x:v>
      </x:c>
      <x:c r="F29" s="22" t="n">
        <x:v>2</x:v>
      </x:c>
      <x:c r="G29" s="22" t="n">
        <x:v>5</x:v>
      </x:c>
      <x:c r="H29" s="22" t="n">
        <x:v>5</x:v>
      </x:c>
      <x:c r="I29" s="22" t="n">
        <x:v>3</x:v>
      </x:c>
      <x:c r="J29" s="22" t="n">
        <x:v>4</x:v>
      </x:c>
      <x:c r="K29" s="22" t="n">
        <x:v>4</x:v>
      </x:c>
      <x:c r="L29" s="22" t="n">
        <x:v>74</x:v>
      </x:c>
      <x:c r="M29" s="22" t="str">
        <x:v>最終目的地への助走</x:v>
      </x:c>
      <x:c r="N29" s="22" t="str">
        <x:v>駐車が弱い</x:v>
      </x:c>
      <x:c r="O29" s="22" t="str">
        <x:v>維持</x:v>
      </x:c>
    </x:row>
    <x:row r="30">
      <x:c r="A30" s="22" t="str">
        <x:v>R015</x:v>
      </x:c>
      <x:c r="B30" s="22" t="str">
        <x:v>彩湖と荒川の余白</x:v>
      </x:c>
      <x:c r="C30" s="22" t="str">
        <x:v>昼専用</x:v>
      </x:c>
      <x:c r="D30" s="22" t="n">
        <x:v>1</x:v>
      </x:c>
      <x:c r="E30" s="22" t="str">
        <x:v>浮間公園</x:v>
      </x:c>
      <x:c r="F30" s="22" t="n">
        <x:v>5</x:v>
      </x:c>
      <x:c r="G30" s="22" t="n">
        <x:v>5</x:v>
      </x:c>
      <x:c r="H30" s="22" t="n">
        <x:v>5</x:v>
      </x:c>
      <x:c r="I30" s="22" t="n">
        <x:v>3</x:v>
      </x:c>
      <x:c r="J30" s="22" t="n">
        <x:v>4</x:v>
      </x:c>
      <x:c r="K30" s="22" t="n">
        <x:v>4</x:v>
      </x:c>
      <x:c r="L30" s="22" t="n">
        <x:v>89</x:v>
      </x:c>
      <x:c r="M30" s="22" t="str">
        <x:v>導入地点</x:v>
      </x:c>
      <x:c r="N30" s="22" t="str">
        <x:v>大きな問題なし</x:v>
      </x:c>
      <x:c r="O30" s="22" t="str">
        <x:v>維持</x:v>
      </x:c>
    </x:row>
    <x:row r="31">
      <x:c r="A31" s="22" t="str">
        <x:v>R015</x:v>
      </x:c>
      <x:c r="B31" s="22" t="str">
        <x:v>彩湖と荒川の余白</x:v>
      </x:c>
      <x:c r="C31" s="22" t="str">
        <x:v>昼専用</x:v>
      </x:c>
      <x:c r="D31" s="22" t="n">
        <x:v>2</x:v>
      </x:c>
      <x:c r="E31" s="22" t="str">
        <x:v>彩湖・道満グリーンパーク</x:v>
      </x:c>
      <x:c r="F31" s="22" t="n">
        <x:v>4</x:v>
      </x:c>
      <x:c r="G31" s="22" t="n">
        <x:v>4</x:v>
      </x:c>
      <x:c r="H31" s="22" t="n">
        <x:v>4</x:v>
      </x:c>
      <x:c r="I31" s="22" t="n">
        <x:v>3</x:v>
      </x:c>
      <x:c r="J31" s="22" t="n">
        <x:v>4</x:v>
      </x:c>
      <x:c r="K31" s="22" t="n">
        <x:v>3</x:v>
      </x:c>
      <x:c r="L31" s="22" t="n">
        <x:v>75</x:v>
      </x:c>
      <x:c r="M31" s="22" t="str">
        <x:v>最終目的地への助走</x:v>
      </x:c>
      <x:c r="N31" s="22" t="str">
        <x:v>次地点との差が小さい</x:v>
      </x:c>
      <x:c r="O31" s="22" t="str">
        <x:v>維持</x:v>
      </x:c>
    </x:row>
    <x:row r="32">
      <x:c r="A32" s="22" t="str">
        <x:v>R016</x:v>
      </x:c>
      <x:c r="B32" s="22" t="str">
        <x:v>権現堂フラワーライン</x:v>
      </x:c>
      <x:c r="C32" s="22" t="str">
        <x:v>昼専用</x:v>
      </x:c>
      <x:c r="D32" s="22" t="n">
        <x:v>1</x:v>
      </x:c>
      <x:c r="E32" s="22" t="str">
        <x:v>水元公園</x:v>
      </x:c>
      <x:c r="F32" s="22" t="n">
        <x:v>5</x:v>
      </x:c>
      <x:c r="G32" s="22" t="n">
        <x:v>4</x:v>
      </x:c>
      <x:c r="H32" s="22" t="n">
        <x:v>5</x:v>
      </x:c>
      <x:c r="I32" s="22" t="n">
        <x:v>3</x:v>
      </x:c>
      <x:c r="J32" s="22" t="n">
        <x:v>4</x:v>
      </x:c>
      <x:c r="K32" s="22" t="n">
        <x:v>4</x:v>
      </x:c>
      <x:c r="L32" s="22" t="n">
        <x:v>86</x:v>
      </x:c>
      <x:c r="M32" s="22" t="str">
        <x:v>導入地点</x:v>
      </x:c>
      <x:c r="N32" s="22" t="str">
        <x:v>大きな問題なし</x:v>
      </x:c>
      <x:c r="O32" s="22" t="str">
        <x:v>維持</x:v>
      </x:c>
    </x:row>
    <x:row r="33">
      <x:c r="A33" s="22" t="str">
        <x:v>R016</x:v>
      </x:c>
      <x:c r="B33" s="22" t="str">
        <x:v>権現堂フラワーライン</x:v>
      </x:c>
      <x:c r="C33" s="22" t="str">
        <x:v>昼専用</x:v>
      </x:c>
      <x:c r="D33" s="22" t="n">
        <x:v>2</x:v>
      </x:c>
      <x:c r="E33" s="22" t="str">
        <x:v>みさと公園</x:v>
      </x:c>
      <x:c r="F33" s="22" t="n">
        <x:v>5</x:v>
      </x:c>
      <x:c r="G33" s="22" t="n">
        <x:v>5</x:v>
      </x:c>
      <x:c r="H33" s="22" t="n">
        <x:v>5</x:v>
      </x:c>
      <x:c r="I33" s="22" t="n">
        <x:v>3</x:v>
      </x:c>
      <x:c r="J33" s="22" t="n">
        <x:v>4</x:v>
      </x:c>
      <x:c r="K33" s="22" t="n">
        <x:v>3</x:v>
      </x:c>
      <x:c r="L33" s="22" t="n">
        <x:v>87</x:v>
      </x:c>
      <x:c r="M33" s="22" t="str">
        <x:v>最終目的地への助走</x:v>
      </x:c>
      <x:c r="N33" s="22" t="str">
        <x:v>次地点との差が小さい</x:v>
      </x:c>
      <x:c r="O33" s="22" t="str">
        <x:v>維持</x:v>
      </x:c>
    </x:row>
    <x:row r="34">
      <x:c r="A34" s="22" t="str">
        <x:v>R017</x:v>
      </x:c>
      <x:c r="B34" s="22" t="str">
        <x:v>多摩丘陵から津久井湖</x:v>
      </x:c>
      <x:c r="C34" s="22" t="str">
        <x:v>昼専用</x:v>
      </x:c>
      <x:c r="D34" s="22" t="n">
        <x:v>1</x:v>
      </x:c>
      <x:c r="E34" s="22" t="str">
        <x:v>桜ヶ丘公園 ゆうひの丘</x:v>
      </x:c>
      <x:c r="F34" s="22" t="n">
        <x:v>4</x:v>
      </x:c>
      <x:c r="G34" s="22" t="n">
        <x:v>5</x:v>
      </x:c>
      <x:c r="H34" s="22" t="n">
        <x:v>5</x:v>
      </x:c>
      <x:c r="I34" s="22" t="n">
        <x:v>3</x:v>
      </x:c>
      <x:c r="J34" s="22" t="n">
        <x:v>4</x:v>
      </x:c>
      <x:c r="K34" s="22" t="n">
        <x:v>3</x:v>
      </x:c>
      <x:c r="L34" s="22" t="n">
        <x:v>82</x:v>
      </x:c>
      <x:c r="M34" s="22" t="str">
        <x:v>導入地点</x:v>
      </x:c>
      <x:c r="N34" s="22" t="str">
        <x:v>次地点との差が小さい</x:v>
      </x:c>
      <x:c r="O34" s="22" t="str">
        <x:v>維持</x:v>
      </x:c>
    </x:row>
    <x:row r="35">
      <x:c r="A35" s="22" t="str">
        <x:v>R017</x:v>
      </x:c>
      <x:c r="B35" s="22" t="str">
        <x:v>多摩丘陵から津久井湖</x:v>
      </x:c>
      <x:c r="C35" s="22" t="str">
        <x:v>昼専用</x:v>
      </x:c>
      <x:c r="D35" s="22" t="n">
        <x:v>2</x:v>
      </x:c>
      <x:c r="E35" s="22" t="str">
        <x:v>津久井湖城山公園 水の苑地</x:v>
      </x:c>
      <x:c r="F35" s="22" t="n">
        <x:v>4</x:v>
      </x:c>
      <x:c r="G35" s="22" t="n">
        <x:v>5</x:v>
      </x:c>
      <x:c r="H35" s="22" t="n">
        <x:v>5</x:v>
      </x:c>
      <x:c r="I35" s="22" t="n">
        <x:v>3</x:v>
      </x:c>
      <x:c r="J35" s="22" t="n">
        <x:v>4</x:v>
      </x:c>
      <x:c r="K35" s="22" t="n">
        <x:v>3</x:v>
      </x:c>
      <x:c r="L35" s="22" t="n">
        <x:v>82</x:v>
      </x:c>
      <x:c r="M35" s="22" t="str">
        <x:v>最終目的地への助走</x:v>
      </x:c>
      <x:c r="N35" s="22" t="str">
        <x:v>次地点との差が小さい</x:v>
      </x:c>
      <x:c r="O35" s="22" t="str">
        <x:v>維持</x:v>
      </x:c>
    </x:row>
    <x:row r="36">
      <x:c r="A36" s="22" t="str">
        <x:v>R018</x:v>
      </x:c>
      <x:c r="B36" s="22" t="str">
        <x:v>宮ヶ瀬リカバリーライン</x:v>
      </x:c>
      <x:c r="C36" s="22" t="str">
        <x:v>昼専用</x:v>
      </x:c>
      <x:c r="D36" s="22" t="n">
        <x:v>1</x:v>
      </x:c>
      <x:c r="E36" s="22" t="str">
        <x:v>七沢森林公園</x:v>
      </x:c>
      <x:c r="F36" s="22" t="n">
        <x:v>4</x:v>
      </x:c>
      <x:c r="G36" s="22" t="n">
        <x:v>4</x:v>
      </x:c>
      <x:c r="H36" s="22" t="n">
        <x:v>5</x:v>
      </x:c>
      <x:c r="I36" s="22" t="n">
        <x:v>3</x:v>
      </x:c>
      <x:c r="J36" s="22" t="n">
        <x:v>4</x:v>
      </x:c>
      <x:c r="K36" s="22" t="n">
        <x:v>4</x:v>
      </x:c>
      <x:c r="L36" s="22" t="n">
        <x:v>81</x:v>
      </x:c>
      <x:c r="M36" s="22" t="str">
        <x:v>導入地点</x:v>
      </x:c>
      <x:c r="N36" s="22" t="str">
        <x:v>大きな問題なし</x:v>
      </x:c>
      <x:c r="O36" s="22" t="str">
        <x:v>維持</x:v>
      </x:c>
    </x:row>
    <x:row r="37">
      <x:c r="A37" s="22" t="str">
        <x:v>R018</x:v>
      </x:c>
      <x:c r="B37" s="22" t="str">
        <x:v>宮ヶ瀬リカバリーライン</x:v>
      </x:c>
      <x:c r="C37" s="22" t="str">
        <x:v>昼専用</x:v>
      </x:c>
      <x:c r="D37" s="22" t="n">
        <x:v>2</x:v>
      </x:c>
      <x:c r="E37" s="22" t="str">
        <x:v>宮ヶ瀬湖畔園地</x:v>
      </x:c>
      <x:c r="F37" s="22" t="n">
        <x:v>4</x:v>
      </x:c>
      <x:c r="G37" s="22" t="n">
        <x:v>5</x:v>
      </x:c>
      <x:c r="H37" s="22" t="n">
        <x:v>5</x:v>
      </x:c>
      <x:c r="I37" s="22" t="n">
        <x:v>2</x:v>
      </x:c>
      <x:c r="J37" s="22" t="n">
        <x:v>4</x:v>
      </x:c>
      <x:c r="K37" s="22" t="n">
        <x:v>4</x:v>
      </x:c>
      <x:c r="L37" s="22" t="n">
        <x:v>81</x:v>
      </x:c>
      <x:c r="M37" s="22" t="str">
        <x:v>最終目的地への助走</x:v>
      </x:c>
      <x:c r="N37" s="22" t="str">
        <x:v>大きな問題なし</x:v>
      </x:c>
      <x:c r="O37" s="22" t="str">
        <x:v>維持</x:v>
      </x:c>
    </x:row>
    <x:row r="38">
      <x:c r="A38" s="22" t="str">
        <x:v>R019</x:v>
      </x:c>
      <x:c r="B38" s="22" t="str">
        <x:v>浦安ベイナイト</x:v>
      </x:c>
      <x:c r="C38" s="22" t="str">
        <x:v>通常</x:v>
      </x:c>
      <x:c r="D38" s="22" t="n">
        <x:v>1</x:v>
      </x:c>
      <x:c r="E38" s="22" t="str">
        <x:v>浦安市総合公園</x:v>
      </x:c>
      <x:c r="F38" s="22" t="n">
        <x:v>5</x:v>
      </x:c>
      <x:c r="G38" s="22" t="n">
        <x:v>4</x:v>
      </x:c>
      <x:c r="H38" s="22" t="n">
        <x:v>5</x:v>
      </x:c>
      <x:c r="I38" s="22" t="n">
        <x:v>3</x:v>
      </x:c>
      <x:c r="J38" s="22" t="n">
        <x:v>4</x:v>
      </x:c>
      <x:c r="K38" s="22" t="n">
        <x:v>3</x:v>
      </x:c>
      <x:c r="L38" s="22" t="n">
        <x:v>84</x:v>
      </x:c>
      <x:c r="M38" s="22" t="str">
        <x:v>導入地点</x:v>
      </x:c>
      <x:c r="N38" s="22" t="str">
        <x:v>次地点との差が小さい</x:v>
      </x:c>
      <x:c r="O38" s="22" t="str">
        <x:v>維持</x:v>
      </x:c>
    </x:row>
    <x:row r="39">
      <x:c r="A39" s="22" t="str">
        <x:v>R019</x:v>
      </x:c>
      <x:c r="B39" s="22" t="str">
        <x:v>浦安ベイナイト</x:v>
      </x:c>
      <x:c r="C39" s="22" t="str">
        <x:v>通常</x:v>
      </x:c>
      <x:c r="D39" s="22" t="n">
        <x:v>2</x:v>
      </x:c>
      <x:c r="E39" s="22" t="str">
        <x:v>幕張海浜公園 Cブロック</x:v>
      </x:c>
      <x:c r="F39" s="22" t="n">
        <x:v>2</x:v>
      </x:c>
      <x:c r="G39" s="22" t="n">
        <x:v>4</x:v>
      </x:c>
      <x:c r="H39" s="22" t="n">
        <x:v>5</x:v>
      </x:c>
      <x:c r="I39" s="22" t="n">
        <x:v>3</x:v>
      </x:c>
      <x:c r="J39" s="22" t="n">
        <x:v>4</x:v>
      </x:c>
      <x:c r="K39" s="22" t="n">
        <x:v>4</x:v>
      </x:c>
      <x:c r="L39" s="22" t="n">
        <x:v>71</x:v>
      </x:c>
      <x:c r="M39" s="22" t="str">
        <x:v>最終目的地への助走</x:v>
      </x:c>
      <x:c r="N39" s="22" t="str">
        <x:v>駐車が弱い</x:v>
      </x:c>
      <x:c r="O39" s="22" t="str">
        <x:v>維持</x:v>
      </x:c>
    </x:row>
    <x:row r="40">
      <x:c r="A40" s="22" t="str">
        <x:v>R020</x:v>
      </x:c>
      <x:c r="B40" s="22" t="str">
        <x:v>三番瀬から千葉港へ</x:v>
      </x:c>
      <x:c r="C40" s="22" t="str">
        <x:v>通常</x:v>
      </x:c>
      <x:c r="D40" s="22" t="n">
        <x:v>1</x:v>
      </x:c>
      <x:c r="E40" s="22" t="str">
        <x:v>ふなばし三番瀬海浜公園</x:v>
      </x:c>
      <x:c r="F40" s="22" t="n">
        <x:v>4</x:v>
      </x:c>
      <x:c r="G40" s="22" t="n">
        <x:v>5</x:v>
      </x:c>
      <x:c r="H40" s="22" t="n">
        <x:v>3</x:v>
      </x:c>
      <x:c r="I40" s="22" t="n">
        <x:v>3</x:v>
      </x:c>
      <x:c r="J40" s="22" t="n">
        <x:v>4</x:v>
      </x:c>
      <x:c r="K40" s="22" t="n">
        <x:v>4</x:v>
      </x:c>
      <x:c r="L40" s="22" t="n">
        <x:v>76</x:v>
      </x:c>
      <x:c r="M40" s="22" t="str">
        <x:v>導入地点</x:v>
      </x:c>
      <x:c r="N40" s="22" t="str">
        <x:v>大きな問題なし</x:v>
      </x:c>
      <x:c r="O40" s="22" t="str">
        <x:v>維持</x:v>
      </x:c>
    </x:row>
    <x:row r="41">
      <x:c r="A41" s="22" t="str">
        <x:v>R020</x:v>
      </x:c>
      <x:c r="B41" s="22" t="str">
        <x:v>三番瀬から千葉港へ</x:v>
      </x:c>
      <x:c r="C41" s="22" t="str">
        <x:v>通常</x:v>
      </x:c>
      <x:c r="D41" s="22" t="n">
        <x:v>2</x:v>
      </x:c>
      <x:c r="E41" s="22" t="str">
        <x:v>幕張海浜公園 Cブロック</x:v>
      </x:c>
      <x:c r="F41" s="22" t="n">
        <x:v>2</x:v>
      </x:c>
      <x:c r="G41" s="22" t="n">
        <x:v>4</x:v>
      </x:c>
      <x:c r="H41" s="22" t="n">
        <x:v>5</x:v>
      </x:c>
      <x:c r="I41" s="22" t="n">
        <x:v>3</x:v>
      </x:c>
      <x:c r="J41" s="22" t="n">
        <x:v>4</x:v>
      </x:c>
      <x:c r="K41" s="22" t="n">
        <x:v>4</x:v>
      </x:c>
      <x:c r="L41" s="22" t="n">
        <x:v>71</x:v>
      </x:c>
      <x:c r="M41" s="22" t="str">
        <x:v>最終目的地への助走</x:v>
      </x:c>
      <x:c r="N41" s="22" t="str">
        <x:v>駐車が弱い</x:v>
      </x:c>
      <x:c r="O41" s="22" t="str">
        <x:v>維持</x:v>
      </x:c>
    </x:row>
    <x:row r="42">
      <x:c r="A42" s="22" t="str">
        <x:v>R021</x:v>
      </x:c>
      <x:c r="B42" s="22" t="str">
        <x:v>千葉ベイ・サンセット</x:v>
      </x:c>
      <x:c r="C42" s="22" t="str">
        <x:v>通常</x:v>
      </x:c>
      <x:c r="D42" s="22" t="n">
        <x:v>1</x:v>
      </x:c>
      <x:c r="E42" s="22" t="str">
        <x:v>稲毛海浜公園・いなげの浜</x:v>
      </x:c>
      <x:c r="F42" s="22" t="n">
        <x:v>4</x:v>
      </x:c>
      <x:c r="G42" s="22" t="n">
        <x:v>4</x:v>
      </x:c>
      <x:c r="H42" s="22" t="n">
        <x:v>5</x:v>
      </x:c>
      <x:c r="I42" s="22" t="n">
        <x:v>3</x:v>
      </x:c>
      <x:c r="J42" s="22" t="n">
        <x:v>4</x:v>
      </x:c>
      <x:c r="K42" s="22" t="n">
        <x:v>4</x:v>
      </x:c>
      <x:c r="L42" s="22" t="n">
        <x:v>81</x:v>
      </x:c>
      <x:c r="M42" s="22" t="str">
        <x:v>導入地点</x:v>
      </x:c>
      <x:c r="N42" s="22" t="str">
        <x:v>大きな問題なし</x:v>
      </x:c>
      <x:c r="O42" s="22" t="str">
        <x:v>維持</x:v>
      </x:c>
    </x:row>
    <x:row r="43">
      <x:c r="A43" s="22" t="str">
        <x:v>R021</x:v>
      </x:c>
      <x:c r="B43" s="22" t="str">
        <x:v>千葉ベイ・サンセット</x:v>
      </x:c>
      <x:c r="C43" s="22" t="str">
        <x:v>通常</x:v>
      </x:c>
      <x:c r="D43" s="22" t="n">
        <x:v>2</x:v>
      </x:c>
      <x:c r="E43" s="22" t="str">
        <x:v>千葉ポートパーク</x:v>
      </x:c>
      <x:c r="F43" s="22" t="n">
        <x:v>4</x:v>
      </x:c>
      <x:c r="G43" s="22" t="n">
        <x:v>5</x:v>
      </x:c>
      <x:c r="H43" s="22" t="n">
        <x:v>4</x:v>
      </x:c>
      <x:c r="I43" s="22" t="n">
        <x:v>4</x:v>
      </x:c>
      <x:c r="J43" s="22" t="n">
        <x:v>4</x:v>
      </x:c>
      <x:c r="K43" s="22" t="n">
        <x:v>3</x:v>
      </x:c>
      <x:c r="L43" s="22" t="n">
        <x:v>81</x:v>
      </x:c>
      <x:c r="M43" s="22" t="str">
        <x:v>最終目的地への助走</x:v>
      </x:c>
      <x:c r="N43" s="22" t="str">
        <x:v>次地点との差が小さい</x:v>
      </x:c>
      <x:c r="O43" s="22" t="str">
        <x:v>維持</x:v>
      </x:c>
    </x:row>
    <x:row r="44">
      <x:c r="A44" s="22" t="str">
        <x:v>R022</x:v>
      </x:c>
      <x:c r="B44" s="22" t="str">
        <x:v>アクアライン後の静けさ</x:v>
      </x:c>
      <x:c r="C44" s="22" t="str">
        <x:v>通常</x:v>
      </x:c>
      <x:c r="D44" s="22" t="n">
        <x:v>1</x:v>
      </x:c>
      <x:c r="E44" s="22" t="str">
        <x:v>海ほたるPA</x:v>
      </x:c>
      <x:c r="F44" s="22" t="n">
        <x:v>5</x:v>
      </x:c>
      <x:c r="G44" s="22" t="n">
        <x:v>5</x:v>
      </x:c>
      <x:c r="H44" s="22" t="n">
        <x:v>5</x:v>
      </x:c>
      <x:c r="I44" s="22" t="n">
        <x:v>4</x:v>
      </x:c>
      <x:c r="J44" s="22" t="n">
        <x:v>4</x:v>
      </x:c>
      <x:c r="K44" s="22" t="n">
        <x:v>3</x:v>
      </x:c>
      <x:c r="L44" s="22" t="n">
        <x:v>90</x:v>
      </x:c>
      <x:c r="M44" s="22" t="str">
        <x:v>導入地点</x:v>
      </x:c>
      <x:c r="N44" s="22" t="str">
        <x:v>次地点との差が小さい</x:v>
      </x:c>
      <x:c r="O44" s="22" t="str">
        <x:v>維持</x:v>
      </x:c>
    </x:row>
    <x:row r="45">
      <x:c r="A45" s="22" t="str">
        <x:v>R022</x:v>
      </x:c>
      <x:c r="B45" s="22" t="str">
        <x:v>アクアライン後の静けさ</x:v>
      </x:c>
      <x:c r="C45" s="22" t="str">
        <x:v>通常</x:v>
      </x:c>
      <x:c r="D45" s="22" t="n">
        <x:v>2</x:v>
      </x:c>
      <x:c r="E45" s="22" t="str">
        <x:v>袖ケ浦海浜公園</x:v>
      </x:c>
      <x:c r="F45" s="22" t="n">
        <x:v>4</x:v>
      </x:c>
      <x:c r="G45" s="22" t="n">
        <x:v>5</x:v>
      </x:c>
      <x:c r="H45" s="22" t="n">
        <x:v>3</x:v>
      </x:c>
      <x:c r="I45" s="22" t="n">
        <x:v>5</x:v>
      </x:c>
      <x:c r="J45" s="22" t="n">
        <x:v>4</x:v>
      </x:c>
      <x:c r="K45" s="22" t="n">
        <x:v>4</x:v>
      </x:c>
      <x:c r="L45" s="22" t="n">
        <x:v>82</x:v>
      </x:c>
      <x:c r="M45" s="22" t="str">
        <x:v>最終目的地への助走</x:v>
      </x:c>
      <x:c r="N45" s="22" t="str">
        <x:v>大きな問題なし</x:v>
      </x:c>
      <x:c r="O45" s="22" t="str">
        <x:v>維持</x:v>
      </x:c>
    </x:row>
    <x:row r="46">
      <x:c r="A46" s="22" t="str">
        <x:v>R023</x:v>
      </x:c>
      <x:c r="B46" s="22" t="str">
        <x:v>房総湾岸ロング</x:v>
      </x:c>
      <x:c r="C46" s="22" t="str">
        <x:v>通常</x:v>
      </x:c>
      <x:c r="D46" s="22" t="n">
        <x:v>1</x:v>
      </x:c>
      <x:c r="E46" s="22" t="str">
        <x:v>千葉ポートパーク</x:v>
      </x:c>
      <x:c r="F46" s="22" t="n">
        <x:v>4</x:v>
      </x:c>
      <x:c r="G46" s="22" t="n">
        <x:v>5</x:v>
      </x:c>
      <x:c r="H46" s="22" t="n">
        <x:v>4</x:v>
      </x:c>
      <x:c r="I46" s="22" t="n">
        <x:v>3</x:v>
      </x:c>
      <x:c r="J46" s="22" t="n">
        <x:v>4</x:v>
      </x:c>
      <x:c r="K46" s="22" t="n">
        <x:v>4</x:v>
      </x:c>
      <x:c r="L46" s="22" t="n">
        <x:v>80</x:v>
      </x:c>
      <x:c r="M46" s="22" t="str">
        <x:v>導入地点</x:v>
      </x:c>
      <x:c r="N46" s="22" t="str">
        <x:v>大きな問題なし</x:v>
      </x:c>
      <x:c r="O46" s="22" t="str">
        <x:v>維持</x:v>
      </x:c>
    </x:row>
    <x:row r="47">
      <x:c r="A47" s="22" t="str">
        <x:v>R023</x:v>
      </x:c>
      <x:c r="B47" s="22" t="str">
        <x:v>房総湾岸ロング</x:v>
      </x:c>
      <x:c r="C47" s="22" t="str">
        <x:v>通常</x:v>
      </x:c>
      <x:c r="D47" s="22" t="n">
        <x:v>2</x:v>
      </x:c>
      <x:c r="E47" s="22" t="str">
        <x:v>稲毛海浜公園・いなげの浜</x:v>
      </x:c>
      <x:c r="F47" s="22" t="n">
        <x:v>4</x:v>
      </x:c>
      <x:c r="G47" s="22" t="n">
        <x:v>4</x:v>
      </x:c>
      <x:c r="H47" s="22" t="n">
        <x:v>5</x:v>
      </x:c>
      <x:c r="I47" s="22" t="n">
        <x:v>3</x:v>
      </x:c>
      <x:c r="J47" s="22" t="n">
        <x:v>4</x:v>
      </x:c>
      <x:c r="K47" s="22" t="n">
        <x:v>4</x:v>
      </x:c>
      <x:c r="L47" s="22" t="n">
        <x:v>81</x:v>
      </x:c>
      <x:c r="M47" s="22" t="str">
        <x:v>景観転換点</x:v>
      </x:c>
      <x:c r="N47" s="22" t="str">
        <x:v>大きな問題なし</x:v>
      </x:c>
      <x:c r="O47" s="22" t="str">
        <x:v>維持</x:v>
      </x:c>
    </x:row>
    <x:row r="48">
      <x:c r="A48" s="22" t="str">
        <x:v>R023</x:v>
      </x:c>
      <x:c r="B48" s="22" t="str">
        <x:v>房総湾岸ロング</x:v>
      </x:c>
      <x:c r="C48" s="22" t="str">
        <x:v>通常</x:v>
      </x:c>
      <x:c r="D48" s="22" t="n">
        <x:v>3</x:v>
      </x:c>
      <x:c r="E48" s="22" t="str">
        <x:v>袖ケ浦海浜公園</x:v>
      </x:c>
      <x:c r="F48" s="22" t="n">
        <x:v>4</x:v>
      </x:c>
      <x:c r="G48" s="22" t="n">
        <x:v>5</x:v>
      </x:c>
      <x:c r="H48" s="22" t="n">
        <x:v>3</x:v>
      </x:c>
      <x:c r="I48" s="22" t="n">
        <x:v>3</x:v>
      </x:c>
      <x:c r="J48" s="22" t="n">
        <x:v>4</x:v>
      </x:c>
      <x:c r="K48" s="22" t="n">
        <x:v>3</x:v>
      </x:c>
      <x:c r="L48" s="22" t="n">
        <x:v>74</x:v>
      </x:c>
      <x:c r="M48" s="22" t="str">
        <x:v>最終目的地への助走</x:v>
      </x:c>
      <x:c r="N48" s="22" t="str">
        <x:v>次地点との差が小さい</x:v>
      </x:c>
      <x:c r="O48" s="22" t="str">
        <x:v>維持</x:v>
      </x:c>
    </x:row>
    <x:row r="49">
      <x:c r="A49" s="22" t="str">
        <x:v>R024</x:v>
      </x:c>
      <x:c r="B49" s="22" t="str">
        <x:v>東側24時間公園巡回</x:v>
      </x:c>
      <x:c r="C49" s="22" t="str">
        <x:v>通常</x:v>
      </x:c>
      <x:c r="D49" s="22" t="n">
        <x:v>1</x:v>
      </x:c>
      <x:c r="E49" s="22" t="str">
        <x:v>舎人公園</x:v>
      </x:c>
      <x:c r="F49" s="22" t="n">
        <x:v>2</x:v>
      </x:c>
      <x:c r="G49" s="22" t="n">
        <x:v>5</x:v>
      </x:c>
      <x:c r="H49" s="22" t="n">
        <x:v>5</x:v>
      </x:c>
      <x:c r="I49" s="22" t="n">
        <x:v>3</x:v>
      </x:c>
      <x:c r="J49" s="22" t="n">
        <x:v>4</x:v>
      </x:c>
      <x:c r="K49" s="22" t="n">
        <x:v>3</x:v>
      </x:c>
      <x:c r="L49" s="22" t="n">
        <x:v>72</x:v>
      </x:c>
      <x:c r="M49" s="22" t="str">
        <x:v>導入地点</x:v>
      </x:c>
      <x:c r="N49" s="22" t="str">
        <x:v>駐車が弱い／次地点との差が小さい</x:v>
      </x:c>
      <x:c r="O49" s="22" t="str">
        <x:v>維持</x:v>
      </x:c>
    </x:row>
    <x:row r="50">
      <x:c r="A50" s="22" t="str">
        <x:v>R024</x:v>
      </x:c>
      <x:c r="B50" s="22" t="str">
        <x:v>東側24時間公園巡回</x:v>
      </x:c>
      <x:c r="C50" s="22" t="str">
        <x:v>通常</x:v>
      </x:c>
      <x:c r="D50" s="22" t="n">
        <x:v>2</x:v>
      </x:c>
      <x:c r="E50" s="22" t="str">
        <x:v>みさと公園</x:v>
      </x:c>
      <x:c r="F50" s="22" t="n">
        <x:v>5</x:v>
      </x:c>
      <x:c r="G50" s="22" t="n">
        <x:v>5</x:v>
      </x:c>
      <x:c r="H50" s="22" t="n">
        <x:v>5</x:v>
      </x:c>
      <x:c r="I50" s="22" t="n">
        <x:v>3</x:v>
      </x:c>
      <x:c r="J50" s="22" t="n">
        <x:v>4</x:v>
      </x:c>
      <x:c r="K50" s="22" t="n">
        <x:v>4</x:v>
      </x:c>
      <x:c r="L50" s="22" t="n">
        <x:v>89</x:v>
      </x:c>
      <x:c r="M50" s="22" t="str">
        <x:v>最終目的地への助走</x:v>
      </x:c>
      <x:c r="N50" s="22" t="str">
        <x:v>大きな問題なし</x:v>
      </x:c>
      <x:c r="O50" s="22" t="str">
        <x:v>維持</x:v>
      </x:c>
    </x:row>
    <x:row r="51">
      <x:c r="A51" s="22" t="str">
        <x:v>R025</x:v>
      </x:c>
      <x:c r="B51" s="22" t="str">
        <x:v>首都高ミニマム・ナイト</x:v>
      </x:c>
      <x:c r="C51" s="22" t="str">
        <x:v>高速方向制約</x:v>
      </x:c>
      <x:c r="D51" s="22" t="n">
        <x:v>1</x:v>
      </x:c>
      <x:c r="E51" s="22" t="str">
        <x:v>平和島PA（上り）</x:v>
      </x:c>
      <x:c r="F51" s="22" t="n">
        <x:v>5</x:v>
      </x:c>
      <x:c r="G51" s="22" t="n">
        <x:v>5</x:v>
      </x:c>
      <x:c r="H51" s="22" t="n">
        <x:v>5</x:v>
      </x:c>
      <x:c r="I51" s="22" t="n">
        <x:v>3</x:v>
      </x:c>
      <x:c r="J51" s="22" t="n">
        <x:v>4</x:v>
      </x:c>
      <x:c r="K51" s="22" t="n">
        <x:v>4</x:v>
      </x:c>
      <x:c r="L51" s="22" t="n">
        <x:v>89</x:v>
      </x:c>
      <x:c r="M51" s="22" t="str">
        <x:v>導入地点</x:v>
      </x:c>
      <x:c r="N51" s="22" t="str">
        <x:v>大きな問題なし</x:v>
      </x:c>
      <x:c r="O51" s="22" t="str">
        <x:v>維持</x:v>
      </x:c>
    </x:row>
    <x:row r="52">
      <x:c r="A52" s="22" t="str">
        <x:v>R025</x:v>
      </x:c>
      <x:c r="B52" s="22" t="str">
        <x:v>首都高ミニマム・ナイト</x:v>
      </x:c>
      <x:c r="C52" s="22" t="str">
        <x:v>高速方向制約</x:v>
      </x:c>
      <x:c r="D52" s="22" t="n">
        <x:v>2</x:v>
      </x:c>
      <x:c r="E52" s="22" t="str">
        <x:v>芝浦PA</x:v>
      </x:c>
      <x:c r="F52" s="22" t="n">
        <x:v>2</x:v>
      </x:c>
      <x:c r="G52" s="22" t="n">
        <x:v>5</x:v>
      </x:c>
      <x:c r="H52" s="22" t="n">
        <x:v>5</x:v>
      </x:c>
      <x:c r="I52" s="22" t="n">
        <x:v>3</x:v>
      </x:c>
      <x:c r="J52" s="22" t="n">
        <x:v>4</x:v>
      </x:c>
      <x:c r="K52" s="22" t="n">
        <x:v>3</x:v>
      </x:c>
      <x:c r="L52" s="22" t="n">
        <x:v>72</x:v>
      </x:c>
      <x:c r="M52" s="22" t="str">
        <x:v>最終目的地への助走</x:v>
      </x:c>
      <x:c r="N52" s="22" t="str">
        <x:v>駐車が弱い／次地点との差が小さい</x:v>
      </x:c>
      <x:c r="O52" s="22" t="str">
        <x:v>維持</x:v>
      </x:c>
    </x:row>
    <x:row r="53">
      <x:c r="A53" s="22" t="str">
        <x:v>R026</x:v>
      </x:c>
      <x:c r="B53" s="22" t="str">
        <x:v>湾岸PAコレクション</x:v>
      </x:c>
      <x:c r="C53" s="22" t="str">
        <x:v>高速方向制約</x:v>
      </x:c>
      <x:c r="D53" s="22" t="n">
        <x:v>1</x:v>
      </x:c>
      <x:c r="E53" s="22" t="str">
        <x:v>大井PA（東行き）</x:v>
      </x:c>
      <x:c r="F53" s="22" t="n">
        <x:v>5</x:v>
      </x:c>
      <x:c r="G53" s="22" t="n">
        <x:v>5</x:v>
      </x:c>
      <x:c r="H53" s="22" t="n">
        <x:v>5</x:v>
      </x:c>
      <x:c r="I53" s="22" t="n">
        <x:v>4</x:v>
      </x:c>
      <x:c r="J53" s="22" t="n">
        <x:v>4</x:v>
      </x:c>
      <x:c r="K53" s="22" t="n">
        <x:v>4</x:v>
      </x:c>
      <x:c r="L53" s="22" t="n">
        <x:v>92</x:v>
      </x:c>
      <x:c r="M53" s="22" t="str">
        <x:v>導入地点</x:v>
      </x:c>
      <x:c r="N53" s="22" t="str">
        <x:v>大きな問題なし</x:v>
      </x:c>
      <x:c r="O53" s="22" t="str">
        <x:v>維持</x:v>
      </x:c>
    </x:row>
    <x:row r="54">
      <x:c r="A54" s="22" t="str">
        <x:v>R026</x:v>
      </x:c>
      <x:c r="B54" s="22" t="str">
        <x:v>湾岸PAコレクション</x:v>
      </x:c>
      <x:c r="C54" s="22" t="str">
        <x:v>高速方向制約</x:v>
      </x:c>
      <x:c r="D54" s="22" t="n">
        <x:v>2</x:v>
      </x:c>
      <x:c r="E54" s="22" t="str">
        <x:v>辰巳第一PA</x:v>
      </x:c>
      <x:c r="F54" s="22" t="n">
        <x:v>5</x:v>
      </x:c>
      <x:c r="G54" s="22" t="n">
        <x:v>5</x:v>
      </x:c>
      <x:c r="H54" s="22" t="n">
        <x:v>5</x:v>
      </x:c>
      <x:c r="I54" s="22" t="n">
        <x:v>4</x:v>
      </x:c>
      <x:c r="J54" s="22" t="n">
        <x:v>4</x:v>
      </x:c>
      <x:c r="K54" s="22" t="n">
        <x:v>4</x:v>
      </x:c>
      <x:c r="L54" s="22" t="n">
        <x:v>92</x:v>
      </x:c>
      <x:c r="M54" s="22" t="str">
        <x:v>最終目的地への助走</x:v>
      </x:c>
      <x:c r="N54" s="22" t="str">
        <x:v>大きな問題なし</x:v>
      </x:c>
      <x:c r="O54" s="22" t="str">
        <x:v>維持</x:v>
      </x:c>
    </x:row>
    <x:row r="55">
      <x:c r="A55" s="22" t="str">
        <x:v>R027</x:v>
      </x:c>
      <x:c r="B55" s="22" t="str">
        <x:v>木更津港と高台</x:v>
      </x:c>
      <x:c r="C55" s="22" t="str">
        <x:v>通常</x:v>
      </x:c>
      <x:c r="D55" s="22" t="n">
        <x:v>1</x:v>
      </x:c>
      <x:c r="E55" s="22" t="str">
        <x:v>鳥居崎海浜公園</x:v>
      </x:c>
      <x:c r="F55" s="22" t="n">
        <x:v>4</x:v>
      </x:c>
      <x:c r="G55" s="22" t="n">
        <x:v>4</x:v>
      </x:c>
      <x:c r="H55" s="22" t="n">
        <x:v>3</x:v>
      </x:c>
      <x:c r="I55" s="22" t="n">
        <x:v>3</x:v>
      </x:c>
      <x:c r="J55" s="22" t="n">
        <x:v>4</x:v>
      </x:c>
      <x:c r="K55" s="22" t="n">
        <x:v>3</x:v>
      </x:c>
      <x:c r="L55" s="22" t="n">
        <x:v>71</x:v>
      </x:c>
      <x:c r="M55" s="22" t="str">
        <x:v>導入地点</x:v>
      </x:c>
      <x:c r="N55" s="22" t="str">
        <x:v>次地点との差が小さい</x:v>
      </x:c>
      <x:c r="O55" s="22" t="str">
        <x:v>維持</x:v>
      </x:c>
    </x:row>
    <x:row r="56">
      <x:c r="A56" s="22" t="str">
        <x:v>R027</x:v>
      </x:c>
      <x:c r="B56" s="22" t="str">
        <x:v>木更津港と高台</x:v>
      </x:c>
      <x:c r="C56" s="22" t="str">
        <x:v>通常</x:v>
      </x:c>
      <x:c r="D56" s="22" t="n">
        <x:v>2</x:v>
      </x:c>
      <x:c r="E56" s="22" t="str">
        <x:v>中の島公園</x:v>
      </x:c>
      <x:c r="F56" s="22" t="n">
        <x:v>4</x:v>
      </x:c>
      <x:c r="G56" s="22" t="n">
        <x:v>4</x:v>
      </x:c>
      <x:c r="H56" s="22" t="n">
        <x:v>5</x:v>
      </x:c>
      <x:c r="I56" s="22" t="n">
        <x:v>3</x:v>
      </x:c>
      <x:c r="J56" s="22" t="n">
        <x:v>4</x:v>
      </x:c>
      <x:c r="K56" s="22" t="n">
        <x:v>5</x:v>
      </x:c>
      <x:c r="L56" s="22" t="n">
        <x:v>83</x:v>
      </x:c>
      <x:c r="M56" s="22" t="str">
        <x:v>最終目的地への助走</x:v>
      </x:c>
      <x:c r="N56" s="22" t="str">
        <x:v>大きな問題なし</x:v>
      </x:c>
      <x:c r="O56" s="22" t="str">
        <x:v>維持</x:v>
      </x:c>
    </x:row>
    <x:row r="57">
      <x:c r="A57" s="22" t="str">
        <x:v>R028</x:v>
      </x:c>
      <x:c r="B57" s="22" t="str">
        <x:v>木更津・海から川へ</x:v>
      </x:c>
      <x:c r="C57" s="22" t="str">
        <x:v>通常</x:v>
      </x:c>
      <x:c r="D57" s="22" t="n">
        <x:v>1</x:v>
      </x:c>
      <x:c r="E57" s="22" t="str">
        <x:v>鳥居崎海浜公園</x:v>
      </x:c>
      <x:c r="F57" s="22" t="n">
        <x:v>4</x:v>
      </x:c>
      <x:c r="G57" s="22" t="n">
        <x:v>4</x:v>
      </x:c>
      <x:c r="H57" s="22" t="n">
        <x:v>4</x:v>
      </x:c>
      <x:c r="I57" s="22" t="n">
        <x:v>3</x:v>
      </x:c>
      <x:c r="J57" s="22" t="n">
        <x:v>4</x:v>
      </x:c>
      <x:c r="K57" s="22" t="n">
        <x:v>5</x:v>
      </x:c>
      <x:c r="L57" s="22" t="n">
        <x:v>79</x:v>
      </x:c>
      <x:c r="M57" s="22" t="str">
        <x:v>導入地点</x:v>
      </x:c>
      <x:c r="N57" s="22" t="str">
        <x:v>大きな問題なし</x:v>
      </x:c>
      <x:c r="O57" s="22" t="str">
        <x:v>維持</x:v>
      </x:c>
    </x:row>
    <x:row r="58">
      <x:c r="A58" s="22" t="str">
        <x:v>R028</x:v>
      </x:c>
      <x:c r="B58" s="22" t="str">
        <x:v>木更津・海から川へ</x:v>
      </x:c>
      <x:c r="C58" s="22" t="str">
        <x:v>通常</x:v>
      </x:c>
      <x:c r="D58" s="22" t="n">
        <x:v>2</x:v>
      </x:c>
      <x:c r="E58" s="22" t="str">
        <x:v>太田山公園</x:v>
      </x:c>
      <x:c r="F58" s="22" t="n">
        <x:v>4</x:v>
      </x:c>
      <x:c r="G58" s="22" t="n">
        <x:v>5</x:v>
      </x:c>
      <x:c r="H58" s="22" t="n">
        <x:v>5</x:v>
      </x:c>
      <x:c r="I58" s="22" t="n">
        <x:v>2</x:v>
      </x:c>
      <x:c r="J58" s="22" t="n">
        <x:v>4</x:v>
      </x:c>
      <x:c r="K58" s="22" t="n">
        <x:v>5</x:v>
      </x:c>
      <x:c r="L58" s="22" t="n">
        <x:v>83</x:v>
      </x:c>
      <x:c r="M58" s="22" t="str">
        <x:v>最終目的地への助走</x:v>
      </x:c>
      <x:c r="N58" s="22" t="str">
        <x:v>大きな問題なし</x:v>
      </x:c>
      <x:c r="O58" s="22" t="str">
        <x:v>維持</x:v>
      </x:c>
    </x:row>
    <x:row r="59">
      <x:c r="A59" s="22" t="str">
        <x:v>R029</x:v>
      </x:c>
      <x:c r="B59" s="22" t="str">
        <x:v>房総丘陵パノラマ</x:v>
      </x:c>
      <x:c r="C59" s="22" t="str">
        <x:v>昼専用</x:v>
      </x:c>
      <x:c r="D59" s="22" t="n">
        <x:v>1</x:v>
      </x:c>
      <x:c r="E59" s="22" t="str">
        <x:v>太田山公園</x:v>
      </x:c>
      <x:c r="F59" s="22" t="n">
        <x:v>4</x:v>
      </x:c>
      <x:c r="G59" s="22" t="n">
        <x:v>5</x:v>
      </x:c>
      <x:c r="H59" s="22" t="n">
        <x:v>5</x:v>
      </x:c>
      <x:c r="I59" s="22" t="n">
        <x:v>3</x:v>
      </x:c>
      <x:c r="J59" s="22" t="n">
        <x:v>4</x:v>
      </x:c>
      <x:c r="K59" s="22" t="n">
        <x:v>4</x:v>
      </x:c>
      <x:c r="L59" s="22" t="n">
        <x:v>84</x:v>
      </x:c>
      <x:c r="M59" s="22" t="str">
        <x:v>導入地点</x:v>
      </x:c>
      <x:c r="N59" s="22" t="str">
        <x:v>大きな問題なし</x:v>
      </x:c>
      <x:c r="O59" s="22" t="str">
        <x:v>維持</x:v>
      </x:c>
    </x:row>
    <x:row r="60">
      <x:c r="A60" s="22" t="str">
        <x:v>R029</x:v>
      </x:c>
      <x:c r="B60" s="22" t="str">
        <x:v>房総丘陵パノラマ</x:v>
      </x:c>
      <x:c r="C60" s="22" t="str">
        <x:v>昼専用</x:v>
      </x:c>
      <x:c r="D60" s="22" t="n">
        <x:v>2</x:v>
      </x:c>
      <x:c r="E60" s="22" t="str">
        <x:v>鹿野山 九十九谷展望公園</x:v>
      </x:c>
      <x:c r="F60" s="22" t="n">
        <x:v>4</x:v>
      </x:c>
      <x:c r="G60" s="22" t="n">
        <x:v>5</x:v>
      </x:c>
      <x:c r="H60" s="22" t="n">
        <x:v>5</x:v>
      </x:c>
      <x:c r="I60" s="22" t="n">
        <x:v>3</x:v>
      </x:c>
      <x:c r="J60" s="22" t="n">
        <x:v>4</x:v>
      </x:c>
      <x:c r="K60" s="22" t="n">
        <x:v>4</x:v>
      </x:c>
      <x:c r="L60" s="22" t="n">
        <x:v>84</x:v>
      </x:c>
      <x:c r="M60" s="22" t="str">
        <x:v>最終目的地への助走</x:v>
      </x:c>
      <x:c r="N60" s="22" t="str">
        <x:v>大きな問題なし</x:v>
      </x:c>
      <x:c r="O60" s="22" t="str">
        <x:v>維持</x:v>
      </x:c>
    </x:row>
    <x:row r="61">
      <x:c r="A61" s="22" t="str">
        <x:v>R030</x:v>
      </x:c>
      <x:c r="B61" s="22" t="str">
        <x:v>房総内陸・水の道</x:v>
      </x:c>
      <x:c r="C61" s="22" t="str">
        <x:v>昼専用</x:v>
      </x:c>
      <x:c r="D61" s="22" t="n">
        <x:v>1</x:v>
      </x:c>
      <x:c r="E61" s="22" t="str">
        <x:v>濃溝の滝・亀岩の洞窟</x:v>
      </x:c>
      <x:c r="F61" s="22" t="n">
        <x:v>4</x:v>
      </x:c>
      <x:c r="G61" s="22" t="n">
        <x:v>4</x:v>
      </x:c>
      <x:c r="H61" s="22" t="n">
        <x:v>4</x:v>
      </x:c>
      <x:c r="I61" s="22" t="n">
        <x:v>3</x:v>
      </x:c>
      <x:c r="J61" s="22" t="n">
        <x:v>4</x:v>
      </x:c>
      <x:c r="K61" s="22" t="n">
        <x:v>4</x:v>
      </x:c>
      <x:c r="L61" s="22" t="n">
        <x:v>77</x:v>
      </x:c>
      <x:c r="M61" s="22" t="str">
        <x:v>導入地点</x:v>
      </x:c>
      <x:c r="N61" s="22" t="str">
        <x:v>大きな問題なし</x:v>
      </x:c>
      <x:c r="O61" s="22" t="str">
        <x:v>維持</x:v>
      </x:c>
    </x:row>
    <x:row r="62">
      <x:c r="A62" s="22" t="str">
        <x:v>R030</x:v>
      </x:c>
      <x:c r="B62" s="22" t="str">
        <x:v>房総内陸・水の道</x:v>
      </x:c>
      <x:c r="C62" s="22" t="str">
        <x:v>昼専用</x:v>
      </x:c>
      <x:c r="D62" s="22" t="n">
        <x:v>2</x:v>
      </x:c>
      <x:c r="E62" s="22" t="str">
        <x:v>亀山湖・亀山ダム周辺</x:v>
      </x:c>
      <x:c r="F62" s="22" t="n">
        <x:v>5</x:v>
      </x:c>
      <x:c r="G62" s="22" t="n">
        <x:v>5</x:v>
      </x:c>
      <x:c r="H62" s="22" t="n">
        <x:v>5</x:v>
      </x:c>
      <x:c r="I62" s="22" t="n">
        <x:v>2</x:v>
      </x:c>
      <x:c r="J62" s="22" t="n">
        <x:v>4</x:v>
      </x:c>
      <x:c r="K62" s="22" t="n">
        <x:v>4</x:v>
      </x:c>
      <x:c r="L62" s="22" t="n">
        <x:v>86</x:v>
      </x:c>
      <x:c r="M62" s="22" t="str">
        <x:v>最終目的地への助走</x:v>
      </x:c>
      <x:c r="N62" s="22" t="str">
        <x:v>大きな問題なし</x:v>
      </x:c>
      <x:c r="O62" s="22" t="str">
        <x:v>維持</x:v>
      </x:c>
    </x:row>
    <x:row r="63">
      <x:c r="A63" s="22" t="str">
        <x:v>R031</x:v>
      </x:c>
      <x:c r="B63" s="22" t="str">
        <x:v>千葉内陸リカバリー</x:v>
      </x:c>
      <x:c r="C63" s="22" t="str">
        <x:v>昼専用</x:v>
      </x:c>
      <x:c r="D63" s="22" t="n">
        <x:v>1</x:v>
      </x:c>
      <x:c r="E63" s="22" t="str">
        <x:v>泉自然公園</x:v>
      </x:c>
      <x:c r="F63" s="22" t="n">
        <x:v>4</x:v>
      </x:c>
      <x:c r="G63" s="22" t="n">
        <x:v>4</x:v>
      </x:c>
      <x:c r="H63" s="22" t="n">
        <x:v>5</x:v>
      </x:c>
      <x:c r="I63" s="22" t="n">
        <x:v>3</x:v>
      </x:c>
      <x:c r="J63" s="22" t="n">
        <x:v>4</x:v>
      </x:c>
      <x:c r="K63" s="22" t="n">
        <x:v>4</x:v>
      </x:c>
      <x:c r="L63" s="22" t="n">
        <x:v>81</x:v>
      </x:c>
      <x:c r="M63" s="22" t="str">
        <x:v>導入地点</x:v>
      </x:c>
      <x:c r="N63" s="22" t="str">
        <x:v>大きな問題なし</x:v>
      </x:c>
      <x:c r="O63" s="22" t="str">
        <x:v>維持</x:v>
      </x:c>
    </x:row>
    <x:row r="64">
      <x:c r="A64" s="22" t="str">
        <x:v>R031</x:v>
      </x:c>
      <x:c r="B64" s="22" t="str">
        <x:v>千葉内陸リカバリー</x:v>
      </x:c>
      <x:c r="C64" s="22" t="str">
        <x:v>昼専用</x:v>
      </x:c>
      <x:c r="D64" s="22" t="n">
        <x:v>2</x:v>
      </x:c>
      <x:c r="E64" s="22" t="str">
        <x:v>昭和の森</x:v>
      </x:c>
      <x:c r="F64" s="22" t="n">
        <x:v>4</x:v>
      </x:c>
      <x:c r="G64" s="22" t="n">
        <x:v>5</x:v>
      </x:c>
      <x:c r="H64" s="22" t="n">
        <x:v>5</x:v>
      </x:c>
      <x:c r="I64" s="22" t="n">
        <x:v>4</x:v>
      </x:c>
      <x:c r="J64" s="22" t="n">
        <x:v>4</x:v>
      </x:c>
      <x:c r="K64" s="22" t="n">
        <x:v>4</x:v>
      </x:c>
      <x:c r="L64" s="22" t="n">
        <x:v>87</x:v>
      </x:c>
      <x:c r="M64" s="22" t="str">
        <x:v>最終目的地への助走</x:v>
      </x:c>
      <x:c r="N64" s="22" t="str">
        <x:v>大きな問題なし</x:v>
      </x:c>
      <x:c r="O64" s="22" t="str">
        <x:v>維持</x:v>
      </x:c>
    </x:row>
    <x:row r="65">
      <x:c r="A65" s="22" t="str">
        <x:v>R032</x:v>
      </x:c>
      <x:c r="B65" s="22" t="str">
        <x:v>横浜・谷戸から高台へ</x:v>
      </x:c>
      <x:c r="C65" s="22" t="str">
        <x:v>通常</x:v>
      </x:c>
      <x:c r="D65" s="22" t="n">
        <x:v>1</x:v>
      </x:c>
      <x:c r="E65" s="22" t="str">
        <x:v>県立四季の森公園</x:v>
      </x:c>
      <x:c r="F65" s="22" t="n">
        <x:v>4</x:v>
      </x:c>
      <x:c r="G65" s="22" t="n">
        <x:v>4</x:v>
      </x:c>
      <x:c r="H65" s="22" t="n">
        <x:v>3</x:v>
      </x:c>
      <x:c r="I65" s="22" t="n">
        <x:v>3</x:v>
      </x:c>
      <x:c r="J65" s="22" t="n">
        <x:v>4</x:v>
      </x:c>
      <x:c r="K65" s="22" t="n">
        <x:v>5</x:v>
      </x:c>
      <x:c r="L65" s="22" t="n">
        <x:v>75</x:v>
      </x:c>
      <x:c r="M65" s="22" t="str">
        <x:v>導入地点</x:v>
      </x:c>
      <x:c r="N65" s="22" t="str">
        <x:v>大きな問題なし</x:v>
      </x:c>
      <x:c r="O65" s="22" t="str">
        <x:v>維持</x:v>
      </x:c>
    </x:row>
    <x:row r="66">
      <x:c r="A66" s="22" t="str">
        <x:v>R032</x:v>
      </x:c>
      <x:c r="B66" s="22" t="str">
        <x:v>横浜・谷戸から高台へ</x:v>
      </x:c>
      <x:c r="C66" s="22" t="str">
        <x:v>通常</x:v>
      </x:c>
      <x:c r="D66" s="22" t="n">
        <x:v>2</x:v>
      </x:c>
      <x:c r="E66" s="22" t="str">
        <x:v>根岸森林公園</x:v>
      </x:c>
      <x:c r="F66" s="22" t="n">
        <x:v>4</x:v>
      </x:c>
      <x:c r="G66" s="22" t="n">
        <x:v>5</x:v>
      </x:c>
      <x:c r="H66" s="22" t="n">
        <x:v>5</x:v>
      </x:c>
      <x:c r="I66" s="22" t="n">
        <x:v>2</x:v>
      </x:c>
      <x:c r="J66" s="22" t="n">
        <x:v>4</x:v>
      </x:c>
      <x:c r="K66" s="22" t="n">
        <x:v>4</x:v>
      </x:c>
      <x:c r="L66" s="22" t="n">
        <x:v>81</x:v>
      </x:c>
      <x:c r="M66" s="22" t="str">
        <x:v>最終目的地への助走</x:v>
      </x:c>
      <x:c r="N66" s="22" t="str">
        <x:v>大きな問題なし</x:v>
      </x:c>
      <x:c r="O66" s="22" t="str">
        <x:v>維持</x:v>
      </x:c>
    </x:row>
    <x:row r="67">
      <x:c r="A67" s="22" t="str">
        <x:v>R033</x:v>
      </x:c>
      <x:c r="B67" s="22" t="str">
        <x:v>丹沢入口リカバリー</x:v>
      </x:c>
      <x:c r="C67" s="22" t="str">
        <x:v>通常</x:v>
      </x:c>
      <x:c r="D67" s="22" t="n">
        <x:v>1</x:v>
      </x:c>
      <x:c r="E67" s="22" t="str">
        <x:v>茅ケ崎里山公園</x:v>
      </x:c>
      <x:c r="F67" s="22" t="n">
        <x:v>4</x:v>
      </x:c>
      <x:c r="G67" s="22" t="n">
        <x:v>5</x:v>
      </x:c>
      <x:c r="H67" s="22" t="n">
        <x:v>4</x:v>
      </x:c>
      <x:c r="I67" s="22" t="n">
        <x:v>3</x:v>
      </x:c>
      <x:c r="J67" s="22" t="n">
        <x:v>4</x:v>
      </x:c>
      <x:c r="K67" s="22" t="n">
        <x:v>5</x:v>
      </x:c>
      <x:c r="L67" s="22" t="n">
        <x:v>82</x:v>
      </x:c>
      <x:c r="M67" s="22" t="str">
        <x:v>導入地点</x:v>
      </x:c>
      <x:c r="N67" s="22" t="str">
        <x:v>大きな問題なし</x:v>
      </x:c>
      <x:c r="O67" s="22" t="str">
        <x:v>維持</x:v>
      </x:c>
    </x:row>
    <x:row r="68">
      <x:c r="A68" s="22" t="str">
        <x:v>R033</x:v>
      </x:c>
      <x:c r="B68" s="22" t="str">
        <x:v>丹沢入口リカバリー</x:v>
      </x:c>
      <x:c r="C68" s="22" t="str">
        <x:v>通常</x:v>
      </x:c>
      <x:c r="D68" s="22" t="n">
        <x:v>2</x:v>
      </x:c>
      <x:c r="E68" s="22" t="str">
        <x:v>県立秦野戸川公園</x:v>
      </x:c>
      <x:c r="F68" s="22" t="n">
        <x:v>4</x:v>
      </x:c>
      <x:c r="G68" s="22" t="n">
        <x:v>4</x:v>
      </x:c>
      <x:c r="H68" s="22" t="n">
        <x:v>4</x:v>
      </x:c>
      <x:c r="I68" s="22" t="n">
        <x:v>3</x:v>
      </x:c>
      <x:c r="J68" s="22" t="n">
        <x:v>4</x:v>
      </x:c>
      <x:c r="K68" s="22" t="n">
        <x:v>5</x:v>
      </x:c>
      <x:c r="L68" s="22" t="n">
        <x:v>79</x:v>
      </x:c>
      <x:c r="M68" s="22" t="str">
        <x:v>最終目的地への助走</x:v>
      </x:c>
      <x:c r="N68" s="22" t="str">
        <x:v>大きな問題なし</x:v>
      </x:c>
      <x:c r="O68" s="22" t="str">
        <x:v>維持</x:v>
      </x:c>
    </x:row>
    <x:row r="69">
      <x:c r="A69" s="22" t="str">
        <x:v>R034</x:v>
      </x:c>
      <x:c r="B69" s="22" t="str">
        <x:v>多摩湖・丘陵ライン</x:v>
      </x:c>
      <x:c r="C69" s="22" t="str">
        <x:v>昼専用</x:v>
      </x:c>
      <x:c r="D69" s="22" t="n">
        <x:v>1</x:v>
      </x:c>
      <x:c r="E69" s="22" t="str">
        <x:v>狭山公園</x:v>
      </x:c>
      <x:c r="F69" s="22" t="n">
        <x:v>4</x:v>
      </x:c>
      <x:c r="G69" s="22" t="n">
        <x:v>5</x:v>
      </x:c>
      <x:c r="H69" s="22" t="n">
        <x:v>5</x:v>
      </x:c>
      <x:c r="I69" s="22" t="n">
        <x:v>3</x:v>
      </x:c>
      <x:c r="J69" s="22" t="n">
        <x:v>4</x:v>
      </x:c>
      <x:c r="K69" s="22" t="n">
        <x:v>4</x:v>
      </x:c>
      <x:c r="L69" s="22" t="n">
        <x:v>84</x:v>
      </x:c>
      <x:c r="M69" s="22" t="str">
        <x:v>導入地点</x:v>
      </x:c>
      <x:c r="N69" s="22" t="str">
        <x:v>大きな問題なし</x:v>
      </x:c>
      <x:c r="O69" s="22" t="str">
        <x:v>維持</x:v>
      </x:c>
    </x:row>
    <x:row r="70">
      <x:c r="A70" s="22" t="str">
        <x:v>R034</x:v>
      </x:c>
      <x:c r="B70" s="22" t="str">
        <x:v>多摩湖・丘陵ライン</x:v>
      </x:c>
      <x:c r="C70" s="22" t="str">
        <x:v>昼専用</x:v>
      </x:c>
      <x:c r="D70" s="22" t="n">
        <x:v>2</x:v>
      </x:c>
      <x:c r="E70" s="22" t="str">
        <x:v>野山北・六道山公園</x:v>
      </x:c>
      <x:c r="F70" s="22" t="n">
        <x:v>4</x:v>
      </x:c>
      <x:c r="G70" s="22" t="n">
        <x:v>5</x:v>
      </x:c>
      <x:c r="H70" s="22" t="n">
        <x:v>4</x:v>
      </x:c>
      <x:c r="I70" s="22" t="n">
        <x:v>3</x:v>
      </x:c>
      <x:c r="J70" s="22" t="n">
        <x:v>4</x:v>
      </x:c>
      <x:c r="K70" s="22" t="n">
        <x:v>4</x:v>
      </x:c>
      <x:c r="L70" s="22" t="n">
        <x:v>80</x:v>
      </x:c>
      <x:c r="M70" s="22" t="str">
        <x:v>最終目的地への助走</x:v>
      </x:c>
      <x:c r="N70" s="22" t="str">
        <x:v>大きな問題なし</x:v>
      </x:c>
      <x:c r="O70" s="22" t="str">
        <x:v>維持</x:v>
      </x:c>
    </x:row>
    <x:row r="71">
      <x:c r="A71" s="22" t="str">
        <x:v>R035</x:v>
      </x:c>
      <x:c r="B71" s="22" t="str">
        <x:v>湾岸から房総の夜景へ</x:v>
      </x:c>
      <x:c r="C71" s="22" t="str">
        <x:v>高速方向制約</x:v>
      </x:c>
      <x:c r="D71" s="22" t="n">
        <x:v>1</x:v>
      </x:c>
      <x:c r="E71" s="22" t="str">
        <x:v>海ほたるPA</x:v>
      </x:c>
      <x:c r="F71" s="22" t="n">
        <x:v>5</x:v>
      </x:c>
      <x:c r="G71" s="22" t="n">
        <x:v>5</x:v>
      </x:c>
      <x:c r="H71" s="22" t="n">
        <x:v>5</x:v>
      </x:c>
      <x:c r="I71" s="22" t="n">
        <x:v>4</x:v>
      </x:c>
      <x:c r="J71" s="22" t="n">
        <x:v>4</x:v>
      </x:c>
      <x:c r="K71" s="22" t="n">
        <x:v>4</x:v>
      </x:c>
      <x:c r="L71" s="22" t="n">
        <x:v>92</x:v>
      </x:c>
      <x:c r="M71" s="22" t="str">
        <x:v>導入地点</x:v>
      </x:c>
      <x:c r="N71" s="22" t="str">
        <x:v>大きな問題なし</x:v>
      </x:c>
      <x:c r="O71" s="22" t="str">
        <x:v>維持</x:v>
      </x:c>
    </x:row>
    <x:row r="72">
      <x:c r="A72" s="22" t="str">
        <x:v>R035</x:v>
      </x:c>
      <x:c r="B72" s="22" t="str">
        <x:v>湾岸から房総の夜景へ</x:v>
      </x:c>
      <x:c r="C72" s="22" t="str">
        <x:v>高速方向制約</x:v>
      </x:c>
      <x:c r="D72" s="22" t="n">
        <x:v>2</x:v>
      </x:c>
      <x:c r="E72" s="22" t="str">
        <x:v>鳥居崎海浜公園</x:v>
      </x:c>
      <x:c r="F72" s="22" t="n">
        <x:v>4</x:v>
      </x:c>
      <x:c r="G72" s="22" t="n">
        <x:v>4</x:v>
      </x:c>
      <x:c r="H72" s="22" t="n">
        <x:v>3</x:v>
      </x:c>
      <x:c r="I72" s="22" t="n">
        <x:v>3</x:v>
      </x:c>
      <x:c r="J72" s="22" t="n">
        <x:v>4</x:v>
      </x:c>
      <x:c r="K72" s="22" t="n">
        <x:v>5</x:v>
      </x:c>
      <x:c r="L72" s="22" t="n">
        <x:v>75</x:v>
      </x:c>
      <x:c r="M72" s="22" t="str">
        <x:v>最終目的地への助走</x:v>
      </x:c>
      <x:c r="N72" s="22" t="str">
        <x:v>大きな問題なし</x:v>
      </x:c>
      <x:c r="O72" s="22" t="str">
        <x:v>維持</x:v>
      </x:c>
    </x:row>
    <x:row r="73">
      <x:c r="A73" s="22" t="str">
        <x:v>R036</x:v>
      </x:c>
      <x:c r="B73" s="22" t="str">
        <x:v>首都高と横浜港の余韻</x:v>
      </x:c>
      <x:c r="C73" s="22" t="str">
        <x:v>高速方向制約</x:v>
      </x:c>
      <x:c r="D73" s="22" t="n">
        <x:v>1</x:v>
      </x:c>
      <x:c r="E73" s="22" t="str">
        <x:v>芝浦PA</x:v>
      </x:c>
      <x:c r="F73" s="22" t="n">
        <x:v>2</x:v>
      </x:c>
      <x:c r="G73" s="22" t="n">
        <x:v>5</x:v>
      </x:c>
      <x:c r="H73" s="22" t="n">
        <x:v>5</x:v>
      </x:c>
      <x:c r="I73" s="22" t="n">
        <x:v>4</x:v>
      </x:c>
      <x:c r="J73" s="22" t="n">
        <x:v>4</x:v>
      </x:c>
      <x:c r="K73" s="22" t="n">
        <x:v>4</x:v>
      </x:c>
      <x:c r="L73" s="22" t="n">
        <x:v>77</x:v>
      </x:c>
      <x:c r="M73" s="22" t="str">
        <x:v>導入地点</x:v>
      </x:c>
      <x:c r="N73" s="22" t="str">
        <x:v>駐車が弱い</x:v>
      </x:c>
      <x:c r="O73" s="22" t="str">
        <x:v>維持</x:v>
      </x:c>
    </x:row>
    <x:row r="74">
      <x:c r="A74" s="22" t="str">
        <x:v>R036</x:v>
      </x:c>
      <x:c r="B74" s="22" t="str">
        <x:v>首都高と横浜港の余韻</x:v>
      </x:c>
      <x:c r="C74" s="22" t="str">
        <x:v>高速方向制約</x:v>
      </x:c>
      <x:c r="D74" s="22" t="n">
        <x:v>2</x:v>
      </x:c>
      <x:c r="E74" s="22" t="str">
        <x:v>大黒PA</x:v>
      </x:c>
      <x:c r="F74" s="22" t="n">
        <x:v>5</x:v>
      </x:c>
      <x:c r="G74" s="22" t="n">
        <x:v>5</x:v>
      </x:c>
      <x:c r="H74" s="22" t="n">
        <x:v>5</x:v>
      </x:c>
      <x:c r="I74" s="22" t="n">
        <x:v>3</x:v>
      </x:c>
      <x:c r="J74" s="22" t="n">
        <x:v>4</x:v>
      </x:c>
      <x:c r="K74" s="22" t="n">
        <x:v>5</x:v>
      </x:c>
      <x:c r="L74" s="22" t="n">
        <x:v>91</x:v>
      </x:c>
      <x:c r="M74" s="22" t="str">
        <x:v>最終目的地への助走</x:v>
      </x:c>
      <x:c r="N74" s="22" t="str">
        <x:v>大きな問題なし</x:v>
      </x:c>
      <x:c r="O74" s="22" t="str">
        <x:v>維持</x:v>
      </x:c>
    </x:row>
    <x:row r="75">
      <x:c r="A75" s="22" t="str">
        <x:v>R037</x:v>
      </x:c>
      <x:c r="B75" s="22" t="str">
        <x:v>東東京・水辺ナイト</x:v>
      </x:c>
      <x:c r="C75" s="22" t="str">
        <x:v>通常</x:v>
      </x:c>
      <x:c r="D75" s="22" t="n">
        <x:v>1</x:v>
      </x:c>
      <x:c r="E75" s="22" t="str">
        <x:v>木場公園</x:v>
      </x:c>
      <x:c r="F75" s="22" t="n">
        <x:v>5</x:v>
      </x:c>
      <x:c r="G75" s="22" t="n">
        <x:v>4</x:v>
      </x:c>
      <x:c r="H75" s="22" t="n">
        <x:v>5</x:v>
      </x:c>
      <x:c r="I75" s="22" t="n">
        <x:v>3</x:v>
      </x:c>
      <x:c r="J75" s="22" t="n">
        <x:v>4</x:v>
      </x:c>
      <x:c r="K75" s="22" t="n">
        <x:v>4</x:v>
      </x:c>
      <x:c r="L75" s="22" t="n">
        <x:v>86</x:v>
      </x:c>
      <x:c r="M75" s="22" t="str">
        <x:v>導入地点</x:v>
      </x:c>
      <x:c r="N75" s="22" t="str">
        <x:v>大きな問題なし</x:v>
      </x:c>
      <x:c r="O75" s="22" t="str">
        <x:v>維持</x:v>
      </x:c>
    </x:row>
    <x:row r="76">
      <x:c r="A76" s="22" t="str">
        <x:v>R037</x:v>
      </x:c>
      <x:c r="B76" s="22" t="str">
        <x:v>東東京・水辺ナイト</x:v>
      </x:c>
      <x:c r="C76" s="22" t="str">
        <x:v>通常</x:v>
      </x:c>
      <x:c r="D76" s="22" t="n">
        <x:v>2</x:v>
      </x:c>
      <x:c r="E76" s="22" t="str">
        <x:v>大島小松川公園</x:v>
      </x:c>
      <x:c r="F76" s="22" t="n">
        <x:v>5</x:v>
      </x:c>
      <x:c r="G76" s="22" t="n">
        <x:v>4</x:v>
      </x:c>
      <x:c r="H76" s="22" t="n">
        <x:v>5</x:v>
      </x:c>
      <x:c r="I76" s="22" t="n">
        <x:v>3</x:v>
      </x:c>
      <x:c r="J76" s="22" t="n">
        <x:v>4</x:v>
      </x:c>
      <x:c r="K76" s="22" t="n">
        <x:v>4</x:v>
      </x:c>
      <x:c r="L76" s="22" t="n">
        <x:v>86</x:v>
      </x:c>
      <x:c r="M76" s="22" t="str">
        <x:v>最終目的地への助走</x:v>
      </x:c>
      <x:c r="N76" s="22" t="str">
        <x:v>大きな問題なし</x:v>
      </x:c>
      <x:c r="O76" s="22" t="str">
        <x:v>維持</x:v>
      </x:c>
    </x:row>
    <x:row r="77">
      <x:c r="A77" s="22" t="str">
        <x:v>R038</x:v>
      </x:c>
      <x:c r="B77" s="22" t="str">
        <x:v>都市型道の駅から手賀沼へ</x:v>
      </x:c>
      <x:c r="C77" s="22" t="str">
        <x:v>通常</x:v>
      </x:c>
      <x:c r="D77" s="22" t="n">
        <x:v>1</x:v>
      </x:c>
      <x:c r="E77" s="22" t="str">
        <x:v>道の駅 いちかわ</x:v>
      </x:c>
      <x:c r="F77" s="22" t="n">
        <x:v>4</x:v>
      </x:c>
      <x:c r="G77" s="22" t="n">
        <x:v>5</x:v>
      </x:c>
      <x:c r="H77" s="22" t="n">
        <x:v>4</x:v>
      </x:c>
      <x:c r="I77" s="22" t="n">
        <x:v>3</x:v>
      </x:c>
      <x:c r="J77" s="22" t="n">
        <x:v>4</x:v>
      </x:c>
      <x:c r="K77" s="22" t="n">
        <x:v>4</x:v>
      </x:c>
      <x:c r="L77" s="22" t="n">
        <x:v>80</x:v>
      </x:c>
      <x:c r="M77" s="22" t="str">
        <x:v>導入地点</x:v>
      </x:c>
      <x:c r="N77" s="22" t="str">
        <x:v>大きな問題なし</x:v>
      </x:c>
      <x:c r="O77" s="22" t="str">
        <x:v>維持</x:v>
      </x:c>
    </x:row>
    <x:row r="78">
      <x:c r="A78" s="22" t="str">
        <x:v>R038</x:v>
      </x:c>
      <x:c r="B78" s="22" t="str">
        <x:v>都市型道の駅から手賀沼へ</x:v>
      </x:c>
      <x:c r="C78" s="22" t="str">
        <x:v>通常</x:v>
      </x:c>
      <x:c r="D78" s="22" t="n">
        <x:v>2</x:v>
      </x:c>
      <x:c r="E78" s="22" t="str">
        <x:v>道の駅 しょうなん</x:v>
      </x:c>
      <x:c r="F78" s="22" t="n">
        <x:v>5</x:v>
      </x:c>
      <x:c r="G78" s="22" t="n">
        <x:v>5</x:v>
      </x:c>
      <x:c r="H78" s="22" t="n">
        <x:v>1</x:v>
      </x:c>
      <x:c r="I78" s="22" t="n">
        <x:v>3</x:v>
      </x:c>
      <x:c r="J78" s="22" t="n">
        <x:v>4</x:v>
      </x:c>
      <x:c r="K78" s="22" t="n">
        <x:v>4</x:v>
      </x:c>
      <x:c r="L78" s="22" t="n">
        <x:v>73</x:v>
      </x:c>
      <x:c r="M78" s="22" t="str">
        <x:v>最終目的地への助走</x:v>
      </x:c>
      <x:c r="N78" s="22" t="str">
        <x:v>時間帯不一致</x:v>
      </x:c>
      <x:c r="O78" s="22" t="str">
        <x:v>維持</x:v>
      </x:c>
    </x:row>
    <x:row r="79">
      <x:c r="A79" s="22" t="str">
        <x:v>R039</x:v>
      </x:c>
      <x:c r="B79" s="22" t="str">
        <x:v>手賀沼・印旛沼ライン</x:v>
      </x:c>
      <x:c r="C79" s="22" t="str">
        <x:v>昼専用</x:v>
      </x:c>
      <x:c r="D79" s="22" t="n">
        <x:v>1</x:v>
      </x:c>
      <x:c r="E79" s="22" t="str">
        <x:v>道の駅 しょうなん</x:v>
      </x:c>
      <x:c r="F79" s="22" t="n">
        <x:v>5</x:v>
      </x:c>
      <x:c r="G79" s="22" t="n">
        <x:v>5</x:v>
      </x:c>
      <x:c r="H79" s="22" t="n">
        <x:v>5</x:v>
      </x:c>
      <x:c r="I79" s="22" t="n">
        <x:v>3</x:v>
      </x:c>
      <x:c r="J79" s="22" t="n">
        <x:v>4</x:v>
      </x:c>
      <x:c r="K79" s="22" t="n">
        <x:v>4</x:v>
      </x:c>
      <x:c r="L79" s="22" t="n">
        <x:v>89</x:v>
      </x:c>
      <x:c r="M79" s="22" t="str">
        <x:v>導入地点</x:v>
      </x:c>
      <x:c r="N79" s="22" t="str">
        <x:v>大きな問題なし</x:v>
      </x:c>
      <x:c r="O79" s="22" t="str">
        <x:v>維持</x:v>
      </x:c>
    </x:row>
    <x:row r="80">
      <x:c r="A80" s="22" t="str">
        <x:v>R039</x:v>
      </x:c>
      <x:c r="B80" s="22" t="str">
        <x:v>手賀沼・印旛沼ライン</x:v>
      </x:c>
      <x:c r="C80" s="22" t="str">
        <x:v>昼専用</x:v>
      </x:c>
      <x:c r="D80" s="22" t="n">
        <x:v>2</x:v>
      </x:c>
      <x:c r="E80" s="22" t="str">
        <x:v>手賀沼公園</x:v>
      </x:c>
      <x:c r="F80" s="22" t="n">
        <x:v>5</x:v>
      </x:c>
      <x:c r="G80" s="22" t="n">
        <x:v>5</x:v>
      </x:c>
      <x:c r="H80" s="22" t="n">
        <x:v>5</x:v>
      </x:c>
      <x:c r="I80" s="22" t="n">
        <x:v>3</x:v>
      </x:c>
      <x:c r="J80" s="22" t="n">
        <x:v>4</x:v>
      </x:c>
      <x:c r="K80" s="22" t="n">
        <x:v>4</x:v>
      </x:c>
      <x:c r="L80" s="22" t="n">
        <x:v>89</x:v>
      </x:c>
      <x:c r="M80" s="22" t="str">
        <x:v>最終目的地への助走</x:v>
      </x:c>
      <x:c r="N80" s="22" t="str">
        <x:v>大きな問題なし</x:v>
      </x:c>
      <x:c r="O80" s="22" t="str">
        <x:v>維持</x:v>
      </x:c>
    </x:row>
    <x:row r="81">
      <x:c r="A81" s="22" t="str">
        <x:v>R040</x:v>
      </x:c>
      <x:c r="B81" s="22" t="str">
        <x:v>成田・航空機ロング</x:v>
      </x:c>
      <x:c r="C81" s="22" t="str">
        <x:v>通常</x:v>
      </x:c>
      <x:c r="D81" s="22" t="n">
        <x:v>1</x:v>
      </x:c>
      <x:c r="E81" s="22" t="str">
        <x:v>道の駅 いちかわ</x:v>
      </x:c>
      <x:c r="F81" s="22" t="n">
        <x:v>4</x:v>
      </x:c>
      <x:c r="G81" s="22" t="n">
        <x:v>5</x:v>
      </x:c>
      <x:c r="H81" s="22" t="n">
        <x:v>5</x:v>
      </x:c>
      <x:c r="I81" s="22" t="n">
        <x:v>2</x:v>
      </x:c>
      <x:c r="J81" s="22" t="n">
        <x:v>4</x:v>
      </x:c>
      <x:c r="K81" s="22" t="n">
        <x:v>4</x:v>
      </x:c>
      <x:c r="L81" s="22" t="n">
        <x:v>81</x:v>
      </x:c>
      <x:c r="M81" s="22" t="str">
        <x:v>導入地点</x:v>
      </x:c>
      <x:c r="N81" s="22" t="str">
        <x:v>大きな問題なし</x:v>
      </x:c>
      <x:c r="O81" s="22" t="str">
        <x:v>維持</x:v>
      </x:c>
    </x:row>
    <x:row r="82">
      <x:c r="A82" s="22" t="str">
        <x:v>R040</x:v>
      </x:c>
      <x:c r="B82" s="22" t="str">
        <x:v>成田・航空機ロング</x:v>
      </x:c>
      <x:c r="C82" s="22" t="str">
        <x:v>通常</x:v>
      </x:c>
      <x:c r="D82" s="22" t="n">
        <x:v>2</x:v>
      </x:c>
      <x:c r="E82" s="22" t="str">
        <x:v>佐倉ふるさと広場</x:v>
      </x:c>
      <x:c r="F82" s="22" t="n">
        <x:v>2</x:v>
      </x:c>
      <x:c r="G82" s="22" t="n">
        <x:v>5</x:v>
      </x:c>
      <x:c r="H82" s="22" t="n">
        <x:v>4</x:v>
      </x:c>
      <x:c r="I82" s="22" t="n">
        <x:v>2</x:v>
      </x:c>
      <x:c r="J82" s="22" t="n">
        <x:v>4</x:v>
      </x:c>
      <x:c r="K82" s="22" t="n">
        <x:v>4</x:v>
      </x:c>
      <x:c r="L82" s="22" t="n">
        <x:v>67</x:v>
      </x:c>
      <x:c r="M82" s="22" t="str">
        <x:v>最終目的地への助走</x:v>
      </x:c>
      <x:c r="N82" s="22" t="str">
        <x:v>駐車が弱い</x:v>
      </x:c>
      <x:c r="O82" s="22" t="str">
        <x:v>維持</x:v>
      </x:c>
    </x:row>
    <x:row r="83">
      <x:c r="A83" s="22" t="str">
        <x:v>R041</x:v>
      </x:c>
      <x:c r="B83" s="22" t="str">
        <x:v>房総内陸・里山ライン</x:v>
      </x:c>
      <x:c r="C83" s="22" t="str">
        <x:v>通常</x:v>
      </x:c>
      <x:c r="D83" s="22" t="n">
        <x:v>1</x:v>
      </x:c>
      <x:c r="E83" s="22" t="str">
        <x:v>道の駅 木更津うまくたの里</x:v>
      </x:c>
      <x:c r="F83" s="22" t="n">
        <x:v>5</x:v>
      </x:c>
      <x:c r="G83" s="22" t="n">
        <x:v>5</x:v>
      </x:c>
      <x:c r="H83" s="22" t="n">
        <x:v>5</x:v>
      </x:c>
      <x:c r="I83" s="22" t="n">
        <x:v>2</x:v>
      </x:c>
      <x:c r="J83" s="22" t="n">
        <x:v>4</x:v>
      </x:c>
      <x:c r="K83" s="22" t="n">
        <x:v>4</x:v>
      </x:c>
      <x:c r="L83" s="22" t="n">
        <x:v>86</x:v>
      </x:c>
      <x:c r="M83" s="22" t="str">
        <x:v>導入地点</x:v>
      </x:c>
      <x:c r="N83" s="22" t="str">
        <x:v>大きな問題なし</x:v>
      </x:c>
      <x:c r="O83" s="22" t="str">
        <x:v>維持</x:v>
      </x:c>
    </x:row>
    <x:row r="84">
      <x:c r="A84" s="22" t="str">
        <x:v>R041</x:v>
      </x:c>
      <x:c r="B84" s="22" t="str">
        <x:v>房総内陸・里山ライン</x:v>
      </x:c>
      <x:c r="C84" s="22" t="str">
        <x:v>通常</x:v>
      </x:c>
      <x:c r="D84" s="22" t="n">
        <x:v>2</x:v>
      </x:c>
      <x:c r="E84" s="22" t="str">
        <x:v>東京ドイツ村</x:v>
      </x:c>
      <x:c r="F84" s="22" t="n">
        <x:v>4</x:v>
      </x:c>
      <x:c r="G84" s="22" t="n">
        <x:v>5</x:v>
      </x:c>
      <x:c r="H84" s="22" t="n">
        <x:v>3</x:v>
      </x:c>
      <x:c r="I84" s="22" t="n">
        <x:v>3</x:v>
      </x:c>
      <x:c r="J84" s="22" t="n">
        <x:v>4</x:v>
      </x:c>
      <x:c r="K84" s="22" t="n">
        <x:v>5</x:v>
      </x:c>
      <x:c r="L84" s="22" t="n">
        <x:v>78</x:v>
      </x:c>
      <x:c r="M84" s="22" t="str">
        <x:v>最終目的地への助走</x:v>
      </x:c>
      <x:c r="N84" s="22" t="str">
        <x:v>大きな問題なし</x:v>
      </x:c>
      <x:c r="O84" s="22" t="str">
        <x:v>維持</x:v>
      </x:c>
    </x:row>
    <x:row r="85">
      <x:c r="A85" s="22" t="str">
        <x:v>R042</x:v>
      </x:c>
      <x:c r="B85" s="22" t="str">
        <x:v>木更津・夜の休憩線</x:v>
      </x:c>
      <x:c r="C85" s="22" t="str">
        <x:v>通常</x:v>
      </x:c>
      <x:c r="D85" s="22" t="n">
        <x:v>1</x:v>
      </x:c>
      <x:c r="E85" s="22" t="str">
        <x:v>海ほたるPA</x:v>
      </x:c>
      <x:c r="F85" s="22" t="n">
        <x:v>5</x:v>
      </x:c>
      <x:c r="G85" s="22" t="n">
        <x:v>5</x:v>
      </x:c>
      <x:c r="H85" s="22" t="n">
        <x:v>5</x:v>
      </x:c>
      <x:c r="I85" s="22" t="n">
        <x:v>3</x:v>
      </x:c>
      <x:c r="J85" s="22" t="n">
        <x:v>4</x:v>
      </x:c>
      <x:c r="K85" s="22" t="n">
        <x:v>4</x:v>
      </x:c>
      <x:c r="L85" s="22" t="n">
        <x:v>89</x:v>
      </x:c>
      <x:c r="M85" s="22" t="str">
        <x:v>導入地点</x:v>
      </x:c>
      <x:c r="N85" s="22" t="str">
        <x:v>大きな問題なし</x:v>
      </x:c>
      <x:c r="O85" s="22" t="str">
        <x:v>維持</x:v>
      </x:c>
    </x:row>
    <x:row r="86">
      <x:c r="A86" s="22" t="str">
        <x:v>R042</x:v>
      </x:c>
      <x:c r="B86" s="22" t="str">
        <x:v>木更津・夜の休憩線</x:v>
      </x:c>
      <x:c r="C86" s="22" t="str">
        <x:v>通常</x:v>
      </x:c>
      <x:c r="D86" s="22" t="n">
        <x:v>2</x:v>
      </x:c>
      <x:c r="E86" s="22" t="str">
        <x:v>中の島公園・中の島大橋</x:v>
      </x:c>
      <x:c r="F86" s="22" t="n">
        <x:v>4</x:v>
      </x:c>
      <x:c r="G86" s="22" t="n">
        <x:v>4</x:v>
      </x:c>
      <x:c r="H86" s="22" t="n">
        <x:v>5</x:v>
      </x:c>
      <x:c r="I86" s="22" t="n">
        <x:v>3</x:v>
      </x:c>
      <x:c r="J86" s="22" t="n">
        <x:v>4</x:v>
      </x:c>
      <x:c r="K86" s="22" t="n">
        <x:v>4</x:v>
      </x:c>
      <x:c r="L86" s="22" t="n">
        <x:v>81</x:v>
      </x:c>
      <x:c r="M86" s="22" t="str">
        <x:v>最終目的地への助走</x:v>
      </x:c>
      <x:c r="N86" s="22" t="str">
        <x:v>大きな問題なし</x:v>
      </x:c>
      <x:c r="O86" s="22" t="str">
        <x:v>維持</x:v>
      </x:c>
    </x:row>
    <x:row r="87">
      <x:c r="A87" s="22" t="str">
        <x:v>R043</x:v>
      </x:c>
      <x:c r="B87" s="22" t="str">
        <x:v>東京西部・24時間休憩</x:v>
      </x:c>
      <x:c r="C87" s="22" t="str">
        <x:v>通常</x:v>
      </x:c>
      <x:c r="D87" s="22" t="n">
        <x:v>1</x:v>
      </x:c>
      <x:c r="E87" s="22" t="str">
        <x:v>小金井公園</x:v>
      </x:c>
      <x:c r="F87" s="22" t="n">
        <x:v>5</x:v>
      </x:c>
      <x:c r="G87" s="22" t="n">
        <x:v>4</x:v>
      </x:c>
      <x:c r="H87" s="22" t="n">
        <x:v>5</x:v>
      </x:c>
      <x:c r="I87" s="22" t="n">
        <x:v>3</x:v>
      </x:c>
      <x:c r="J87" s="22" t="n">
        <x:v>4</x:v>
      </x:c>
      <x:c r="K87" s="22" t="n">
        <x:v>4</x:v>
      </x:c>
      <x:c r="L87" s="22" t="n">
        <x:v>86</x:v>
      </x:c>
      <x:c r="M87" s="22" t="str">
        <x:v>導入地点</x:v>
      </x:c>
      <x:c r="N87" s="22" t="str">
        <x:v>大きな問題なし</x:v>
      </x:c>
      <x:c r="O87" s="22" t="str">
        <x:v>維持</x:v>
      </x:c>
    </x:row>
    <x:row r="88">
      <x:c r="A88" s="22" t="str">
        <x:v>R043</x:v>
      </x:c>
      <x:c r="B88" s="22" t="str">
        <x:v>東京西部・24時間休憩</x:v>
      </x:c>
      <x:c r="C88" s="22" t="str">
        <x:v>通常</x:v>
      </x:c>
      <x:c r="D88" s="22" t="n">
        <x:v>2</x:v>
      </x:c>
      <x:c r="E88" s="22" t="str">
        <x:v>道の駅 八王子滝山</x:v>
      </x:c>
      <x:c r="F88" s="22" t="n">
        <x:v>5</x:v>
      </x:c>
      <x:c r="G88" s="22" t="n">
        <x:v>5</x:v>
      </x:c>
      <x:c r="H88" s="22" t="n">
        <x:v>5</x:v>
      </x:c>
      <x:c r="I88" s="22" t="n">
        <x:v>2</x:v>
      </x:c>
      <x:c r="J88" s="22" t="n">
        <x:v>4</x:v>
      </x:c>
      <x:c r="K88" s="22" t="n">
        <x:v>4</x:v>
      </x:c>
      <x:c r="L88" s="22" t="n">
        <x:v>86</x:v>
      </x:c>
      <x:c r="M88" s="22" t="str">
        <x:v>最終目的地への助走</x:v>
      </x:c>
      <x:c r="N88" s="22" t="str">
        <x:v>大きな問題なし</x:v>
      </x:c>
      <x:c r="O88" s="22" t="str">
        <x:v>維持</x:v>
      </x:c>
    </x:row>
    <x:row r="89">
      <x:c r="A89" s="22" t="str">
        <x:v>R044</x:v>
      </x:c>
      <x:c r="B89" s="22" t="str">
        <x:v>八王子・山城から温泉へ</x:v>
      </x:c>
      <x:c r="C89" s="22" t="str">
        <x:v>昼専用</x:v>
      </x:c>
      <x:c r="D89" s="22" t="n">
        <x:v>1</x:v>
      </x:c>
      <x:c r="E89" s="22" t="str">
        <x:v>道の駅 八王子滝山</x:v>
      </x:c>
      <x:c r="F89" s="22" t="n">
        <x:v>5</x:v>
      </x:c>
      <x:c r="G89" s="22" t="n">
        <x:v>5</x:v>
      </x:c>
      <x:c r="H89" s="22" t="n">
        <x:v>5</x:v>
      </x:c>
      <x:c r="I89" s="22" t="n">
        <x:v>3</x:v>
      </x:c>
      <x:c r="J89" s="22" t="n">
        <x:v>4</x:v>
      </x:c>
      <x:c r="K89" s="22" t="n">
        <x:v>5</x:v>
      </x:c>
      <x:c r="L89" s="22" t="n">
        <x:v>91</x:v>
      </x:c>
      <x:c r="M89" s="22" t="str">
        <x:v>導入地点</x:v>
      </x:c>
      <x:c r="N89" s="22" t="str">
        <x:v>大きな問題なし</x:v>
      </x:c>
      <x:c r="O89" s="22" t="str">
        <x:v>維持</x:v>
      </x:c>
    </x:row>
    <x:row r="90">
      <x:c r="A90" s="22" t="str">
        <x:v>R044</x:v>
      </x:c>
      <x:c r="B90" s="22" t="str">
        <x:v>八王子・山城から温泉へ</x:v>
      </x:c>
      <x:c r="C90" s="22" t="str">
        <x:v>昼専用</x:v>
      </x:c>
      <x:c r="D90" s="22" t="n">
        <x:v>2</x:v>
      </x:c>
      <x:c r="E90" s="22" t="str">
        <x:v>八王子城跡</x:v>
      </x:c>
      <x:c r="F90" s="22" t="n">
        <x:v>4</x:v>
      </x:c>
      <x:c r="G90" s="22" t="n">
        <x:v>5</x:v>
      </x:c>
      <x:c r="H90" s="22" t="n">
        <x:v>5</x:v>
      </x:c>
      <x:c r="I90" s="22" t="n">
        <x:v>3</x:v>
      </x:c>
      <x:c r="J90" s="22" t="n">
        <x:v>4</x:v>
      </x:c>
      <x:c r="K90" s="22" t="n">
        <x:v>5</x:v>
      </x:c>
      <x:c r="L90" s="22" t="n">
        <x:v>86</x:v>
      </x:c>
      <x:c r="M90" s="22" t="str">
        <x:v>最終目的地への助走</x:v>
      </x:c>
      <x:c r="N90" s="22" t="str">
        <x:v>大きな問題なし</x:v>
      </x:c>
      <x:c r="O90" s="22" t="str">
        <x:v>維持</x:v>
      </x:c>
    </x:row>
    <x:row r="91">
      <x:c r="A91" s="22" t="str">
        <x:v>R045</x:v>
      </x:c>
      <x:c r="B91" s="22" t="str">
        <x:v>東京唯一の滝へ</x:v>
      </x:c>
      <x:c r="C91" s="22" t="str">
        <x:v>昼専用</x:v>
      </x:c>
      <x:c r="D91" s="22" t="n">
        <x:v>1</x:v>
      </x:c>
      <x:c r="E91" s="22" t="str">
        <x:v>八王子城跡</x:v>
      </x:c>
      <x:c r="F91" s="22" t="n">
        <x:v>4</x:v>
      </x:c>
      <x:c r="G91" s="22" t="n">
        <x:v>5</x:v>
      </x:c>
      <x:c r="H91" s="22" t="n">
        <x:v>5</x:v>
      </x:c>
      <x:c r="I91" s="22" t="n">
        <x:v>3</x:v>
      </x:c>
      <x:c r="J91" s="22" t="n">
        <x:v>4</x:v>
      </x:c>
      <x:c r="K91" s="22" t="n">
        <x:v>5</x:v>
      </x:c>
      <x:c r="L91" s="22" t="n">
        <x:v>86</x:v>
      </x:c>
      <x:c r="M91" s="22" t="str">
        <x:v>導入地点</x:v>
      </x:c>
      <x:c r="N91" s="22" t="str">
        <x:v>大きな問題なし</x:v>
      </x:c>
      <x:c r="O91" s="22" t="str">
        <x:v>維持</x:v>
      </x:c>
    </x:row>
    <x:row r="92">
      <x:c r="A92" s="22" t="str">
        <x:v>R045</x:v>
      </x:c>
      <x:c r="B92" s="22" t="str">
        <x:v>東京唯一の滝へ</x:v>
      </x:c>
      <x:c r="C92" s="22" t="str">
        <x:v>昼専用</x:v>
      </x:c>
      <x:c r="D92" s="22" t="n">
        <x:v>2</x:v>
      </x:c>
      <x:c r="E92" s="22" t="str">
        <x:v>払沢の滝</x:v>
      </x:c>
      <x:c r="F92" s="22" t="n">
        <x:v>4</x:v>
      </x:c>
      <x:c r="G92" s="22" t="n">
        <x:v>4</x:v>
      </x:c>
      <x:c r="H92" s="22" t="n">
        <x:v>4</x:v>
      </x:c>
      <x:c r="I92" s="22" t="n">
        <x:v>2</x:v>
      </x:c>
      <x:c r="J92" s="22" t="n">
        <x:v>4</x:v>
      </x:c>
      <x:c r="K92" s="22" t="n">
        <x:v>5</x:v>
      </x:c>
      <x:c r="L92" s="22" t="n">
        <x:v>76</x:v>
      </x:c>
      <x:c r="M92" s="22" t="str">
        <x:v>最終目的地への助走</x:v>
      </x:c>
      <x:c r="N92" s="22" t="str">
        <x:v>大きな問題なし</x:v>
      </x:c>
      <x:c r="O92" s="22" t="str">
        <x:v>維持</x:v>
      </x:c>
    </x:row>
    <x:row r="93">
      <x:c r="A93" s="22" t="str">
        <x:v>R046</x:v>
      </x:c>
      <x:c r="B93" s="22" t="str">
        <x:v>丹沢から相模湾へ</x:v>
      </x:c>
      <x:c r="C93" s="22" t="str">
        <x:v>通常</x:v>
      </x:c>
      <x:c r="D93" s="22" t="n">
        <x:v>1</x:v>
      </x:c>
      <x:c r="E93" s="22" t="str">
        <x:v>道の駅 清川</x:v>
      </x:c>
      <x:c r="F93" s="22" t="n">
        <x:v>5</x:v>
      </x:c>
      <x:c r="G93" s="22" t="n">
        <x:v>5</x:v>
      </x:c>
      <x:c r="H93" s="22" t="n">
        <x:v>5</x:v>
      </x:c>
      <x:c r="I93" s="22" t="n">
        <x:v>2</x:v>
      </x:c>
      <x:c r="J93" s="22" t="n">
        <x:v>4</x:v>
      </x:c>
      <x:c r="K93" s="22" t="n">
        <x:v>5</x:v>
      </x:c>
      <x:c r="L93" s="22" t="n">
        <x:v>88</x:v>
      </x:c>
      <x:c r="M93" s="22" t="str">
        <x:v>導入地点</x:v>
      </x:c>
      <x:c r="N93" s="22" t="str">
        <x:v>大きな問題なし</x:v>
      </x:c>
      <x:c r="O93" s="22" t="str">
        <x:v>維持</x:v>
      </x:c>
    </x:row>
    <x:row r="94">
      <x:c r="A94" s="22" t="str">
        <x:v>R046</x:v>
      </x:c>
      <x:c r="B94" s="22" t="str">
        <x:v>丹沢から相模湾へ</x:v>
      </x:c>
      <x:c r="C94" s="22" t="str">
        <x:v>通常</x:v>
      </x:c>
      <x:c r="D94" s="22" t="n">
        <x:v>2</x:v>
      </x:c>
      <x:c r="E94" s="22" t="str">
        <x:v>菜の花台展望台</x:v>
      </x:c>
      <x:c r="F94" s="22" t="n">
        <x:v>2</x:v>
      </x:c>
      <x:c r="G94" s="22" t="n">
        <x:v>5</x:v>
      </x:c>
      <x:c r="H94" s="22" t="n">
        <x:v>3</x:v>
      </x:c>
      <x:c r="I94" s="22" t="n">
        <x:v>3</x:v>
      </x:c>
      <x:c r="J94" s="22" t="n">
        <x:v>4</x:v>
      </x:c>
      <x:c r="K94" s="22" t="n">
        <x:v>5</x:v>
      </x:c>
      <x:c r="L94" s="22" t="n">
        <x:v>68</x:v>
      </x:c>
      <x:c r="M94" s="22" t="str">
        <x:v>最終目的地への助走</x:v>
      </x:c>
      <x:c r="N94" s="22" t="str">
        <x:v>駐車が弱い</x:v>
      </x:c>
      <x:c r="O94" s="22" t="str">
        <x:v>維持</x:v>
      </x:c>
    </x:row>
    <x:row r="95">
      <x:c r="A95" s="22" t="str">
        <x:v>R047</x:v>
      </x:c>
      <x:c r="B95" s="22" t="str">
        <x:v>小田原合戦・高台Ending</x:v>
      </x:c>
      <x:c r="C95" s="22" t="str">
        <x:v>昼専用</x:v>
      </x:c>
      <x:c r="D95" s="22" t="n">
        <x:v>1</x:v>
      </x:c>
      <x:c r="E95" s="22" t="str">
        <x:v>大磯港</x:v>
      </x:c>
      <x:c r="F95" s="22" t="n">
        <x:v>5</x:v>
      </x:c>
      <x:c r="G95" s="22" t="n">
        <x:v>4</x:v>
      </x:c>
      <x:c r="H95" s="22" t="n">
        <x:v>5</x:v>
      </x:c>
      <x:c r="I95" s="22" t="n">
        <x:v>3</x:v>
      </x:c>
      <x:c r="J95" s="22" t="n">
        <x:v>4</x:v>
      </x:c>
      <x:c r="K95" s="22" t="n">
        <x:v>3</x:v>
      </x:c>
      <x:c r="L95" s="22" t="n">
        <x:v>84</x:v>
      </x:c>
      <x:c r="M95" s="22" t="str">
        <x:v>導入地点</x:v>
      </x:c>
      <x:c r="N95" s="22" t="str">
        <x:v>次地点との差が小さい</x:v>
      </x:c>
      <x:c r="O95" s="22" t="str">
        <x:v>維持</x:v>
      </x:c>
    </x:row>
    <x:row r="96">
      <x:c r="A96" s="22" t="str">
        <x:v>R047</x:v>
      </x:c>
      <x:c r="B96" s="22" t="str">
        <x:v>小田原合戦・高台Ending</x:v>
      </x:c>
      <x:c r="C96" s="22" t="str">
        <x:v>昼専用</x:v>
      </x:c>
      <x:c r="D96" s="22" t="n">
        <x:v>2</x:v>
      </x:c>
      <x:c r="E96" s="22" t="str">
        <x:v>小田原漁港</x:v>
      </x:c>
      <x:c r="F96" s="22" t="n">
        <x:v>1</x:v>
      </x:c>
      <x:c r="G96" s="22" t="n">
        <x:v>4</x:v>
      </x:c>
      <x:c r="H96" s="22" t="n">
        <x:v>4</x:v>
      </x:c>
      <x:c r="I96" s="22" t="n">
        <x:v>2</x:v>
      </x:c>
      <x:c r="J96" s="22" t="n">
        <x:v>4</x:v>
      </x:c>
      <x:c r="K96" s="22" t="n">
        <x:v>3</x:v>
      </x:c>
      <x:c r="L96" s="22" t="n">
        <x:v>57</x:v>
      </x:c>
      <x:c r="M96" s="22" t="str">
        <x:v>最終目的地への助走</x:v>
      </x:c>
      <x:c r="N96" s="22" t="str">
        <x:v>駐車が弱い／次地点との差が小さい</x:v>
      </x:c>
      <x:c r="O96" s="22" t="str">
        <x:v>維持</x:v>
      </x:c>
    </x:row>
    <x:row r="97">
      <x:c r="A97" s="22" t="str">
        <x:v>R048</x:v>
      </x:c>
      <x:c r="B97" s="22" t="str">
        <x:v>東側・確実な休憩ルート</x:v>
      </x:c>
      <x:c r="C97" s="22" t="str">
        <x:v>通常</x:v>
      </x:c>
      <x:c r="D97" s="22" t="n">
        <x:v>1</x:v>
      </x:c>
      <x:c r="E97" s="22" t="str">
        <x:v>木場公園</x:v>
      </x:c>
      <x:c r="F97" s="22" t="n">
        <x:v>5</x:v>
      </x:c>
      <x:c r="G97" s="22" t="n">
        <x:v>4</x:v>
      </x:c>
      <x:c r="H97" s="22" t="n">
        <x:v>5</x:v>
      </x:c>
      <x:c r="I97" s="22" t="n">
        <x:v>3</x:v>
      </x:c>
      <x:c r="J97" s="22" t="n">
        <x:v>4</x:v>
      </x:c>
      <x:c r="K97" s="22" t="n">
        <x:v>4</x:v>
      </x:c>
      <x:c r="L97" s="22" t="n">
        <x:v>86</x:v>
      </x:c>
      <x:c r="M97" s="22" t="str">
        <x:v>導入地点</x:v>
      </x:c>
      <x:c r="N97" s="22" t="str">
        <x:v>大きな問題なし</x:v>
      </x:c>
      <x:c r="O97" s="22" t="str">
        <x:v>維持</x:v>
      </x:c>
    </x:row>
    <x:row r="98">
      <x:c r="A98" s="22" t="str">
        <x:v>R048</x:v>
      </x:c>
      <x:c r="B98" s="22" t="str">
        <x:v>東側・確実な休憩ルート</x:v>
      </x:c>
      <x:c r="C98" s="22" t="str">
        <x:v>通常</x:v>
      </x:c>
      <x:c r="D98" s="22" t="n">
        <x:v>2</x:v>
      </x:c>
      <x:c r="E98" s="22" t="str">
        <x:v>大島小松川公園</x:v>
      </x:c>
      <x:c r="F98" s="22" t="n">
        <x:v>5</x:v>
      </x:c>
      <x:c r="G98" s="22" t="n">
        <x:v>4</x:v>
      </x:c>
      <x:c r="H98" s="22" t="n">
        <x:v>5</x:v>
      </x:c>
      <x:c r="I98" s="22" t="n">
        <x:v>3</x:v>
      </x:c>
      <x:c r="J98" s="22" t="n">
        <x:v>4</x:v>
      </x:c>
      <x:c r="K98" s="22" t="n">
        <x:v>4</x:v>
      </x:c>
      <x:c r="L98" s="22" t="n">
        <x:v>86</x:v>
      </x:c>
      <x:c r="M98" s="22" t="str">
        <x:v>最終目的地への助走</x:v>
      </x:c>
      <x:c r="N98" s="22" t="str">
        <x:v>大きな問題なし</x:v>
      </x:c>
      <x:c r="O98" s="22" t="str">
        <x:v>維持</x:v>
      </x:c>
    </x:row>
    <x:row r="99">
      <x:c r="A99" s="22" t="str">
        <x:v>R049</x:v>
      </x:c>
      <x:c r="B99" s="22" t="str">
        <x:v>羽田河口から川崎港へ</x:v>
      </x:c>
      <x:c r="C99" s="22" t="str">
        <x:v>通常</x:v>
      </x:c>
      <x:c r="D99" s="22" t="n">
        <x:v>1</x:v>
      </x:c>
      <x:c r="E99" s="22" t="str">
        <x:v>HANEDA INNOVATION CITY 足湯スカイデッキ</x:v>
      </x:c>
      <x:c r="F99" s="22" t="n">
        <x:v>5</x:v>
      </x:c>
      <x:c r="G99" s="22" t="n">
        <x:v>5</x:v>
      </x:c>
      <x:c r="H99" s="22" t="n">
        <x:v>5</x:v>
      </x:c>
      <x:c r="I99" s="22" t="n">
        <x:v>4</x:v>
      </x:c>
      <x:c r="J99" s="22" t="n">
        <x:v>5</x:v>
      </x:c>
      <x:c r="K99" s="22" t="n">
        <x:v>4</x:v>
      </x:c>
      <x:c r="L99" s="22" t="n">
        <x:v>95</x:v>
      </x:c>
      <x:c r="M99" s="22" t="str">
        <x:v>導入地点</x:v>
      </x:c>
      <x:c r="N99" s="22" t="str">
        <x:v>大きな問題なし</x:v>
      </x:c>
      <x:c r="O99" s="22" t="str">
        <x:v>差替え済</x:v>
      </x:c>
    </x:row>
    <x:row r="100">
      <x:c r="A100" s="22" t="str">
        <x:v>R049</x:v>
      </x:c>
      <x:c r="B100" s="22" t="str">
        <x:v>羽田河口から川崎港へ</x:v>
      </x:c>
      <x:c r="C100" s="22" t="str">
        <x:v>通常</x:v>
      </x:c>
      <x:c r="D100" s="22" t="n">
        <x:v>2</x:v>
      </x:c>
      <x:c r="E100" s="22" t="str">
        <x:v>ソラムナード羽田緑地</x:v>
      </x:c>
      <x:c r="F100" s="22" t="n">
        <x:v>1</x:v>
      </x:c>
      <x:c r="G100" s="22" t="n">
        <x:v>4</x:v>
      </x:c>
      <x:c r="H100" s="22" t="n">
        <x:v>5</x:v>
      </x:c>
      <x:c r="I100" s="22" t="n">
        <x:v>4</x:v>
      </x:c>
      <x:c r="J100" s="22" t="n">
        <x:v>5</x:v>
      </x:c>
      <x:c r="K100" s="22" t="n">
        <x:v>4</x:v>
      </x:c>
      <x:c r="L100" s="22" t="n">
        <x:v>72</x:v>
      </x:c>
      <x:c r="M100" s="22" t="str">
        <x:v>最終目的地への助走</x:v>
      </x:c>
      <x:c r="N100" s="22" t="str">
        <x:v>駐車が弱い</x:v>
      </x:c>
      <x:c r="O100" s="22" t="str">
        <x:v>差替え済</x:v>
      </x:c>
    </x:row>
    <x:row r="101">
      <x:c r="A101" s="22" t="str">
        <x:v>R050</x:v>
      </x:c>
      <x:c r="B101" s="22" t="str">
        <x:v>鶴見から生田へ丘陵公園線</x:v>
      </x:c>
      <x:c r="C101" s="22" t="str">
        <x:v>昼専用</x:v>
      </x:c>
      <x:c r="D101" s="22" t="n">
        <x:v>1</x:v>
      </x:c>
      <x:c r="E101" s="22" t="str">
        <x:v>県立三ツ池公園</x:v>
      </x:c>
      <x:c r="F101" s="22" t="n">
        <x:v>2</x:v>
      </x:c>
      <x:c r="G101" s="22" t="n">
        <x:v>4</x:v>
      </x:c>
      <x:c r="H101" s="22" t="n">
        <x:v>5</x:v>
      </x:c>
      <x:c r="I101" s="22" t="n">
        <x:v>3</x:v>
      </x:c>
      <x:c r="J101" s="22" t="n">
        <x:v>5</x:v>
      </x:c>
      <x:c r="K101" s="22" t="n">
        <x:v>4</x:v>
      </x:c>
      <x:c r="L101" s="22" t="n">
        <x:v>74</x:v>
      </x:c>
      <x:c r="M101" s="22" t="str">
        <x:v>導入地点</x:v>
      </x:c>
      <x:c r="N101" s="22" t="str">
        <x:v>駐車が弱い</x:v>
      </x:c>
      <x:c r="O101" s="22" t="str">
        <x:v>差替え済</x:v>
      </x:c>
    </x:row>
    <x:row r="102">
      <x:c r="A102" s="22" t="str">
        <x:v>R050</x:v>
      </x:c>
      <x:c r="B102" s="22" t="str">
        <x:v>鶴見から生田へ丘陵公園線</x:v>
      </x:c>
      <x:c r="C102" s="22" t="str">
        <x:v>昼専用</x:v>
      </x:c>
      <x:c r="D102" s="22" t="n">
        <x:v>2</x:v>
      </x:c>
      <x:c r="E102" s="22" t="str">
        <x:v>県立東高根森林公園</x:v>
      </x:c>
      <x:c r="F102" s="22" t="n">
        <x:v>4</x:v>
      </x:c>
      <x:c r="G102" s="22" t="n">
        <x:v>4</x:v>
      </x:c>
      <x:c r="H102" s="22" t="n">
        <x:v>5</x:v>
      </x:c>
      <x:c r="I102" s="22" t="n">
        <x:v>3</x:v>
      </x:c>
      <x:c r="J102" s="22" t="n">
        <x:v>5</x:v>
      </x:c>
      <x:c r="K102" s="22" t="n">
        <x:v>5</x:v>
      </x:c>
      <x:c r="L102" s="22" t="n">
        <x:v>86</x:v>
      </x:c>
      <x:c r="M102" s="22" t="str">
        <x:v>最終目的地への助走</x:v>
      </x:c>
      <x:c r="N102" s="22" t="str">
        <x:v>大きな問題なし</x:v>
      </x:c>
      <x:c r="O102" s="22" t="str">
        <x:v>差替え済</x:v>
      </x:c>
    </x:row>
    <x:row r="103">
      <x:c r="A103" s="22" t="str">
        <x:v>R051</x:v>
      </x:c>
      <x:c r="B103" s="22" t="str">
        <x:v>東京西部・公園ナイト</x:v>
      </x:c>
      <x:c r="C103" s="22" t="str">
        <x:v>通常</x:v>
      </x:c>
      <x:c r="D103" s="22" t="n">
        <x:v>1</x:v>
      </x:c>
      <x:c r="E103" s="22" t="str">
        <x:v>砧公園</x:v>
      </x:c>
      <x:c r="F103" s="22" t="n">
        <x:v>4</x:v>
      </x:c>
      <x:c r="G103" s="22" t="n">
        <x:v>5</x:v>
      </x:c>
      <x:c r="H103" s="22" t="n">
        <x:v>3</x:v>
      </x:c>
      <x:c r="I103" s="22" t="n">
        <x:v>2</x:v>
      </x:c>
      <x:c r="J103" s="22" t="n">
        <x:v>4</x:v>
      </x:c>
      <x:c r="K103" s="22" t="n">
        <x:v>4</x:v>
      </x:c>
      <x:c r="L103" s="22" t="n">
        <x:v>73</x:v>
      </x:c>
      <x:c r="M103" s="22" t="str">
        <x:v>導入地点</x:v>
      </x:c>
      <x:c r="N103" s="22" t="str">
        <x:v>大きな問題なし</x:v>
      </x:c>
      <x:c r="O103" s="22" t="str">
        <x:v>維持</x:v>
      </x:c>
    </x:row>
    <x:row r="104">
      <x:c r="A104" s="22" t="str">
        <x:v>R051</x:v>
      </x:c>
      <x:c r="B104" s="22" t="str">
        <x:v>東京西部・公園ナイト</x:v>
      </x:c>
      <x:c r="C104" s="22" t="str">
        <x:v>通常</x:v>
      </x:c>
      <x:c r="D104" s="22" t="n">
        <x:v>2</x:v>
      </x:c>
      <x:c r="E104" s="22" t="str">
        <x:v>武蔵野公園</x:v>
      </x:c>
      <x:c r="F104" s="22" t="n">
        <x:v>5</x:v>
      </x:c>
      <x:c r="G104" s="22" t="n">
        <x:v>4</x:v>
      </x:c>
      <x:c r="H104" s="22" t="n">
        <x:v>5</x:v>
      </x:c>
      <x:c r="I104" s="22" t="n">
        <x:v>3</x:v>
      </x:c>
      <x:c r="J104" s="22" t="n">
        <x:v>4</x:v>
      </x:c>
      <x:c r="K104" s="22" t="n">
        <x:v>4</x:v>
      </x:c>
      <x:c r="L104" s="22" t="n">
        <x:v>86</x:v>
      </x:c>
      <x:c r="M104" s="22" t="str">
        <x:v>最終目的地への助走</x:v>
      </x:c>
      <x:c r="N104" s="22" t="str">
        <x:v>大きな問題なし</x:v>
      </x:c>
      <x:c r="O104" s="22" t="str">
        <x:v>維持</x:v>
      </x:c>
    </x:row>
    <x:row r="105">
      <x:c r="A105" s="22" t="str">
        <x:v>R052</x:v>
      </x:c>
      <x:c r="B105" s="22" t="str">
        <x:v>千葉湾岸・車内展望</x:v>
      </x:c>
      <x:c r="C105" s="22" t="str">
        <x:v>通常</x:v>
      </x:c>
      <x:c r="D105" s="22" t="n">
        <x:v>1</x:v>
      </x:c>
      <x:c r="E105" s="22" t="str">
        <x:v>海浜大通り展望駐車場</x:v>
      </x:c>
      <x:c r="F105" s="22" t="n">
        <x:v>2</x:v>
      </x:c>
      <x:c r="G105" s="22" t="n">
        <x:v>5</x:v>
      </x:c>
      <x:c r="H105" s="22" t="n">
        <x:v>3</x:v>
      </x:c>
      <x:c r="I105" s="22" t="n">
        <x:v>4</x:v>
      </x:c>
      <x:c r="J105" s="22" t="n">
        <x:v>4</x:v>
      </x:c>
      <x:c r="K105" s="22" t="n">
        <x:v>3</x:v>
      </x:c>
      <x:c r="L105" s="22" t="n">
        <x:v>67</x:v>
      </x:c>
      <x:c r="M105" s="22" t="str">
        <x:v>導入地点</x:v>
      </x:c>
      <x:c r="N105" s="22" t="str">
        <x:v>駐車が弱い／次地点との差が小さい</x:v>
      </x:c>
      <x:c r="O105" s="22" t="str">
        <x:v>維持</x:v>
      </x:c>
    </x:row>
    <x:row r="106">
      <x:c r="A106" s="22" t="str">
        <x:v>R052</x:v>
      </x:c>
      <x:c r="B106" s="22" t="str">
        <x:v>千葉湾岸・車内展望</x:v>
      </x:c>
      <x:c r="C106" s="22" t="str">
        <x:v>通常</x:v>
      </x:c>
      <x:c r="D106" s="22" t="n">
        <x:v>2</x:v>
      </x:c>
      <x:c r="E106" s="22" t="str">
        <x:v>千葉ポートタワー</x:v>
      </x:c>
      <x:c r="F106" s="22" t="n">
        <x:v>4</x:v>
      </x:c>
      <x:c r="G106" s="22" t="n">
        <x:v>5</x:v>
      </x:c>
      <x:c r="H106" s="22" t="n">
        <x:v>4</x:v>
      </x:c>
      <x:c r="I106" s="22" t="n">
        <x:v>4</x:v>
      </x:c>
      <x:c r="J106" s="22" t="n">
        <x:v>4</x:v>
      </x:c>
      <x:c r="K106" s="22" t="n">
        <x:v>5</x:v>
      </x:c>
      <x:c r="L106" s="22" t="n">
        <x:v>85</x:v>
      </x:c>
      <x:c r="M106" s="22" t="str">
        <x:v>最終目的地への助走</x:v>
      </x:c>
      <x:c r="N106" s="22" t="str">
        <x:v>大きな問題なし</x:v>
      </x:c>
      <x:c r="O106" s="22" t="str">
        <x:v>維持</x:v>
      </x:c>
    </x:row>
    <x:row r="107">
      <x:c r="A107" s="22" t="str">
        <x:v>R053</x:v>
      </x:c>
      <x:c r="B107" s="22" t="str">
        <x:v>千葉・城と港の夜</x:v>
      </x:c>
      <x:c r="C107" s="22" t="str">
        <x:v>通常</x:v>
      </x:c>
      <x:c r="D107" s="22" t="n">
        <x:v>1</x:v>
      </x:c>
      <x:c r="E107" s="22" t="str">
        <x:v>亥鼻公園</x:v>
      </x:c>
      <x:c r="F107" s="22" t="n">
        <x:v>3</x:v>
      </x:c>
      <x:c r="G107" s="22" t="n">
        <x:v>5</x:v>
      </x:c>
      <x:c r="H107" s="22" t="n">
        <x:v>5</x:v>
      </x:c>
      <x:c r="I107" s="22" t="n">
        <x:v>4</x:v>
      </x:c>
      <x:c r="J107" s="22" t="n">
        <x:v>4</x:v>
      </x:c>
      <x:c r="K107" s="22" t="n">
        <x:v>4</x:v>
      </x:c>
      <x:c r="L107" s="22" t="n">
        <x:v>82</x:v>
      </x:c>
      <x:c r="M107" s="22" t="str">
        <x:v>導入地点</x:v>
      </x:c>
      <x:c r="N107" s="22" t="str">
        <x:v>大きな問題なし</x:v>
      </x:c>
      <x:c r="O107" s="22" t="str">
        <x:v>維持</x:v>
      </x:c>
    </x:row>
    <x:row r="108">
      <x:c r="A108" s="22" t="str">
        <x:v>R053</x:v>
      </x:c>
      <x:c r="B108" s="22" t="str">
        <x:v>千葉・城と港の夜</x:v>
      </x:c>
      <x:c r="C108" s="22" t="str">
        <x:v>通常</x:v>
      </x:c>
      <x:c r="D108" s="22" t="n">
        <x:v>2</x:v>
      </x:c>
      <x:c r="E108" s="22" t="str">
        <x:v>千葉ポートタワー</x:v>
      </x:c>
      <x:c r="F108" s="22" t="n">
        <x:v>4</x:v>
      </x:c>
      <x:c r="G108" s="22" t="n">
        <x:v>5</x:v>
      </x:c>
      <x:c r="H108" s="22" t="n">
        <x:v>4</x:v>
      </x:c>
      <x:c r="I108" s="22" t="n">
        <x:v>3</x:v>
      </x:c>
      <x:c r="J108" s="22" t="n">
        <x:v>4</x:v>
      </x:c>
      <x:c r="K108" s="22" t="n">
        <x:v>5</x:v>
      </x:c>
      <x:c r="L108" s="22" t="n">
        <x:v>82</x:v>
      </x:c>
      <x:c r="M108" s="22" t="str">
        <x:v>最終目的地への助走</x:v>
      </x:c>
      <x:c r="N108" s="22" t="str">
        <x:v>大きな問題なし</x:v>
      </x:c>
      <x:c r="O108" s="22" t="str">
        <x:v>維持</x:v>
      </x:c>
    </x:row>
    <x:row r="109">
      <x:c r="A109" s="22" t="str">
        <x:v>R054</x:v>
      </x:c>
      <x:c r="B109" s="22" t="str">
        <x:v>木更津高台ナイト</x:v>
      </x:c>
      <x:c r="C109" s="22" t="str">
        <x:v>通常</x:v>
      </x:c>
      <x:c r="D109" s="22" t="n">
        <x:v>1</x:v>
      </x:c>
      <x:c r="E109" s="22" t="str">
        <x:v>海ほたるPA</x:v>
      </x:c>
      <x:c r="F109" s="22" t="n">
        <x:v>5</x:v>
      </x:c>
      <x:c r="G109" s="22" t="n">
        <x:v>5</x:v>
      </x:c>
      <x:c r="H109" s="22" t="n">
        <x:v>5</x:v>
      </x:c>
      <x:c r="I109" s="22" t="n">
        <x:v>4</x:v>
      </x:c>
      <x:c r="J109" s="22" t="n">
        <x:v>4</x:v>
      </x:c>
      <x:c r="K109" s="22" t="n">
        <x:v>4</x:v>
      </x:c>
      <x:c r="L109" s="22" t="n">
        <x:v>92</x:v>
      </x:c>
      <x:c r="M109" s="22" t="str">
        <x:v>導入地点</x:v>
      </x:c>
      <x:c r="N109" s="22" t="str">
        <x:v>大きな問題なし</x:v>
      </x:c>
      <x:c r="O109" s="22" t="str">
        <x:v>維持</x:v>
      </x:c>
    </x:row>
    <x:row r="110">
      <x:c r="A110" s="22" t="str">
        <x:v>R054</x:v>
      </x:c>
      <x:c r="B110" s="22" t="str">
        <x:v>木更津高台ナイト</x:v>
      </x:c>
      <x:c r="C110" s="22" t="str">
        <x:v>通常</x:v>
      </x:c>
      <x:c r="D110" s="22" t="n">
        <x:v>2</x:v>
      </x:c>
      <x:c r="E110" s="22" t="str">
        <x:v>中の島公園・中の島大橋</x:v>
      </x:c>
      <x:c r="F110" s="22" t="n">
        <x:v>4</x:v>
      </x:c>
      <x:c r="G110" s="22" t="n">
        <x:v>4</x:v>
      </x:c>
      <x:c r="H110" s="22" t="n">
        <x:v>5</x:v>
      </x:c>
      <x:c r="I110" s="22" t="n">
        <x:v>3</x:v>
      </x:c>
      <x:c r="J110" s="22" t="n">
        <x:v>4</x:v>
      </x:c>
      <x:c r="K110" s="22" t="n">
        <x:v>5</x:v>
      </x:c>
      <x:c r="L110" s="22" t="n">
        <x:v>83</x:v>
      </x:c>
      <x:c r="M110" s="22" t="str">
        <x:v>最終目的地への助走</x:v>
      </x:c>
      <x:c r="N110" s="22" t="str">
        <x:v>大きな問題なし</x:v>
      </x:c>
      <x:c r="O110" s="22" t="str">
        <x:v>維持</x:v>
      </x:c>
    </x:row>
    <x:row r="111">
      <x:c r="A111" s="22" t="str">
        <x:v>R055</x:v>
      </x:c>
      <x:c r="B111" s="22" t="str">
        <x:v>鶴見・川崎近距離回復</x:v>
      </x:c>
      <x:c r="C111" s="22" t="str">
        <x:v>通常</x:v>
      </x:c>
      <x:c r="D111" s="22" t="n">
        <x:v>1</x:v>
      </x:c>
      <x:c r="E111" s="22" t="str">
        <x:v>県立三ツ池公園</x:v>
      </x:c>
      <x:c r="F111" s="22" t="n">
        <x:v>2</x:v>
      </x:c>
      <x:c r="G111" s="22" t="n">
        <x:v>4</x:v>
      </x:c>
      <x:c r="H111" s="22" t="n">
        <x:v>5</x:v>
      </x:c>
      <x:c r="I111" s="22" t="n">
        <x:v>3</x:v>
      </x:c>
      <x:c r="J111" s="22" t="n">
        <x:v>4</x:v>
      </x:c>
      <x:c r="K111" s="22" t="n">
        <x:v>4</x:v>
      </x:c>
      <x:c r="L111" s="22" t="n">
        <x:v>71</x:v>
      </x:c>
      <x:c r="M111" s="22" t="str">
        <x:v>導入地点</x:v>
      </x:c>
      <x:c r="N111" s="22" t="str">
        <x:v>駐車が弱い</x:v>
      </x:c>
      <x:c r="O111" s="22" t="str">
        <x:v>維持</x:v>
      </x:c>
    </x:row>
    <x:row r="112">
      <x:c r="A112" s="22" t="str">
        <x:v>R055</x:v>
      </x:c>
      <x:c r="B112" s="22" t="str">
        <x:v>鶴見・川崎近距離回復</x:v>
      </x:c>
      <x:c r="C112" s="22" t="str">
        <x:v>通常</x:v>
      </x:c>
      <x:c r="D112" s="22" t="n">
        <x:v>2</x:v>
      </x:c>
      <x:c r="E112" s="22" t="str">
        <x:v>富士見公園</x:v>
      </x:c>
      <x:c r="F112" s="22" t="n">
        <x:v>4</x:v>
      </x:c>
      <x:c r="G112" s="22" t="n">
        <x:v>4</x:v>
      </x:c>
      <x:c r="H112" s="22" t="n">
        <x:v>4</x:v>
      </x:c>
      <x:c r="I112" s="22" t="n">
        <x:v>3</x:v>
      </x:c>
      <x:c r="J112" s="22" t="n">
        <x:v>4</x:v>
      </x:c>
      <x:c r="K112" s="22" t="n">
        <x:v>4</x:v>
      </x:c>
      <x:c r="L112" s="22" t="n">
        <x:v>77</x:v>
      </x:c>
      <x:c r="M112" s="22" t="str">
        <x:v>最終目的地への助走</x:v>
      </x:c>
      <x:c r="N112" s="22" t="str">
        <x:v>大きな問題なし</x:v>
      </x:c>
      <x:c r="O112" s="22" t="str">
        <x:v>維持</x:v>
      </x:c>
    </x:row>
    <x:row r="113">
      <x:c r="A113" s="22" t="str">
        <x:v>R056</x:v>
      </x:c>
      <x:c r="B113" s="22" t="str">
        <x:v>横浜港から丘陵公園へ</x:v>
      </x:c>
      <x:c r="C113" s="22" t="str">
        <x:v>通常</x:v>
      </x:c>
      <x:c r="D113" s="22" t="n">
        <x:v>1</x:v>
      </x:c>
      <x:c r="E113" s="22" t="str">
        <x:v>横浜港大さん橋</x:v>
      </x:c>
      <x:c r="F113" s="22" t="n">
        <x:v>5</x:v>
      </x:c>
      <x:c r="G113" s="22" t="n">
        <x:v>5</x:v>
      </x:c>
      <x:c r="H113" s="22" t="n">
        <x:v>5</x:v>
      </x:c>
      <x:c r="I113" s="22" t="n">
        <x:v>3</x:v>
      </x:c>
      <x:c r="J113" s="22" t="n">
        <x:v>5</x:v>
      </x:c>
      <x:c r="K113" s="22" t="n">
        <x:v>4</x:v>
      </x:c>
      <x:c r="L113" s="22" t="n">
        <x:v>92</x:v>
      </x:c>
      <x:c r="M113" s="22" t="str">
        <x:v>導入地点</x:v>
      </x:c>
      <x:c r="N113" s="22" t="str">
        <x:v>大きな問題なし</x:v>
      </x:c>
      <x:c r="O113" s="22" t="str">
        <x:v>差替え済</x:v>
      </x:c>
    </x:row>
    <x:row r="114">
      <x:c r="A114" s="22" t="str">
        <x:v>R056</x:v>
      </x:c>
      <x:c r="B114" s="22" t="str">
        <x:v>横浜港から丘陵公園へ</x:v>
      </x:c>
      <x:c r="C114" s="22" t="str">
        <x:v>通常</x:v>
      </x:c>
      <x:c r="D114" s="22" t="n">
        <x:v>2</x:v>
      </x:c>
      <x:c r="E114" s="22" t="str">
        <x:v>根岸森林公園</x:v>
      </x:c>
      <x:c r="F114" s="22" t="n">
        <x:v>4</x:v>
      </x:c>
      <x:c r="G114" s="22" t="n">
        <x:v>5</x:v>
      </x:c>
      <x:c r="H114" s="22" t="n">
        <x:v>5</x:v>
      </x:c>
      <x:c r="I114" s="22" t="n">
        <x:v>3</x:v>
      </x:c>
      <x:c r="J114" s="22" t="n">
        <x:v>5</x:v>
      </x:c>
      <x:c r="K114" s="22" t="n">
        <x:v>5</x:v>
      </x:c>
      <x:c r="L114" s="22" t="n">
        <x:v>89</x:v>
      </x:c>
      <x:c r="M114" s="22" t="str">
        <x:v>最終目的地への助走</x:v>
      </x:c>
      <x:c r="N114" s="22" t="str">
        <x:v>大きな問題なし</x:v>
      </x:c>
      <x:c r="O114" s="22" t="str">
        <x:v>差替え済</x:v>
      </x:c>
    </x:row>
    <x:row r="115">
      <x:c r="A115" s="22" t="str">
        <x:v>R057</x:v>
      </x:c>
      <x:c r="B115" s="22" t="str">
        <x:v>埼玉東部・空の広さ</x:v>
      </x:c>
      <x:c r="C115" s="22" t="str">
        <x:v>通常</x:v>
      </x:c>
      <x:c r="D115" s="22" t="n">
        <x:v>1</x:v>
      </x:c>
      <x:c r="E115" s="22" t="str">
        <x:v>みさと公園</x:v>
      </x:c>
      <x:c r="F115" s="22" t="n">
        <x:v>5</x:v>
      </x:c>
      <x:c r="G115" s="22" t="n">
        <x:v>5</x:v>
      </x:c>
      <x:c r="H115" s="22" t="n">
        <x:v>5</x:v>
      </x:c>
      <x:c r="I115" s="22" t="n">
        <x:v>3</x:v>
      </x:c>
      <x:c r="J115" s="22" t="n">
        <x:v>4</x:v>
      </x:c>
      <x:c r="K115" s="22" t="n">
        <x:v>4</x:v>
      </x:c>
      <x:c r="L115" s="22" t="n">
        <x:v>89</x:v>
      </x:c>
      <x:c r="M115" s="22" t="str">
        <x:v>導入地点</x:v>
      </x:c>
      <x:c r="N115" s="22" t="str">
        <x:v>大きな問題なし</x:v>
      </x:c>
      <x:c r="O115" s="22" t="str">
        <x:v>維持</x:v>
      </x:c>
    </x:row>
    <x:row r="116">
      <x:c r="A116" s="22" t="str">
        <x:v>R057</x:v>
      </x:c>
      <x:c r="B116" s="22" t="str">
        <x:v>埼玉東部・空の広さ</x:v>
      </x:c>
      <x:c r="C116" s="22" t="str">
        <x:v>通常</x:v>
      </x:c>
      <x:c r="D116" s="22" t="n">
        <x:v>2</x:v>
      </x:c>
      <x:c r="E116" s="22" t="str">
        <x:v>まつぶし緑の丘公園</x:v>
      </x:c>
      <x:c r="F116" s="22" t="n">
        <x:v>4</x:v>
      </x:c>
      <x:c r="G116" s="22" t="n">
        <x:v>5</x:v>
      </x:c>
      <x:c r="H116" s="22" t="n">
        <x:v>4</x:v>
      </x:c>
      <x:c r="I116" s="22" t="n">
        <x:v>3</x:v>
      </x:c>
      <x:c r="J116" s="22" t="n">
        <x:v>4</x:v>
      </x:c>
      <x:c r="K116" s="22" t="n">
        <x:v>4</x:v>
      </x:c>
      <x:c r="L116" s="22" t="n">
        <x:v>80</x:v>
      </x:c>
      <x:c r="M116" s="22" t="str">
        <x:v>最終目的地への助走</x:v>
      </x:c>
      <x:c r="N116" s="22" t="str">
        <x:v>大きな問題なし</x:v>
      </x:c>
      <x:c r="O116" s="22" t="str">
        <x:v>維持</x:v>
      </x:c>
    </x:row>
    <x:row r="117">
      <x:c r="A117" s="22" t="str">
        <x:v>R058</x:v>
      </x:c>
      <x:c r="B117" s="22" t="str">
        <x:v>見沼・松伏自然線</x:v>
      </x:c>
      <x:c r="C117" s="22" t="str">
        <x:v>昼専用</x:v>
      </x:c>
      <x:c r="D117" s="22" t="n">
        <x:v>1</x:v>
      </x:c>
      <x:c r="E117" s="22" t="str">
        <x:v>見沼自然公園</x:v>
      </x:c>
      <x:c r="F117" s="22" t="n">
        <x:v>4</x:v>
      </x:c>
      <x:c r="G117" s="22" t="n">
        <x:v>4</x:v>
      </x:c>
      <x:c r="H117" s="22" t="n">
        <x:v>4</x:v>
      </x:c>
      <x:c r="I117" s="22" t="n">
        <x:v>3</x:v>
      </x:c>
      <x:c r="J117" s="22" t="n">
        <x:v>4</x:v>
      </x:c>
      <x:c r="K117" s="22" t="n">
        <x:v>5</x:v>
      </x:c>
      <x:c r="L117" s="22" t="n">
        <x:v>79</x:v>
      </x:c>
      <x:c r="M117" s="22" t="str">
        <x:v>導入地点</x:v>
      </x:c>
      <x:c r="N117" s="22" t="str">
        <x:v>大きな問題なし</x:v>
      </x:c>
      <x:c r="O117" s="22" t="str">
        <x:v>維持</x:v>
      </x:c>
    </x:row>
    <x:row r="118">
      <x:c r="A118" s="22" t="str">
        <x:v>R058</x:v>
      </x:c>
      <x:c r="B118" s="22" t="str">
        <x:v>見沼・松伏自然線</x:v>
      </x:c>
      <x:c r="C118" s="22" t="str">
        <x:v>昼専用</x:v>
      </x:c>
      <x:c r="D118" s="22" t="n">
        <x:v>2</x:v>
      </x:c>
      <x:c r="E118" s="22" t="str">
        <x:v>まつぶし緑の丘公園</x:v>
      </x:c>
      <x:c r="F118" s="22" t="n">
        <x:v>4</x:v>
      </x:c>
      <x:c r="G118" s="22" t="n">
        <x:v>5</x:v>
      </x:c>
      <x:c r="H118" s="22" t="n">
        <x:v>4</x:v>
      </x:c>
      <x:c r="I118" s="22" t="n">
        <x:v>2</x:v>
      </x:c>
      <x:c r="J118" s="22" t="n">
        <x:v>4</x:v>
      </x:c>
      <x:c r="K118" s="22" t="n">
        <x:v>4</x:v>
      </x:c>
      <x:c r="L118" s="22" t="n">
        <x:v>77</x:v>
      </x:c>
      <x:c r="M118" s="22" t="str">
        <x:v>最終目的地への助走</x:v>
      </x:c>
      <x:c r="N118" s="22" t="str">
        <x:v>大きな問題なし</x:v>
      </x:c>
      <x:c r="O118" s="22" t="str">
        <x:v>維持</x:v>
      </x:c>
    </x:row>
    <x:row r="119">
      <x:c r="A119" s="22" t="str">
        <x:v>R059</x:v>
      </x:c>
      <x:c r="B119" s="22" t="str">
        <x:v>川崎Storyショート</x:v>
      </x:c>
      <x:c r="C119" s="22" t="str">
        <x:v>通常</x:v>
      </x:c>
      <x:c r="D119" s="22" t="n">
        <x:v>1</x:v>
      </x:c>
      <x:c r="E119" s="22" t="str">
        <x:v>大師公園</x:v>
      </x:c>
      <x:c r="F119" s="22" t="n">
        <x:v>3</x:v>
      </x:c>
      <x:c r="G119" s="22" t="n">
        <x:v>4</x:v>
      </x:c>
      <x:c r="H119" s="22" t="n">
        <x:v>5</x:v>
      </x:c>
      <x:c r="I119" s="22" t="n">
        <x:v>3</x:v>
      </x:c>
      <x:c r="J119" s="22" t="n">
        <x:v>4</x:v>
      </x:c>
      <x:c r="K119" s="22" t="n">
        <x:v>4</x:v>
      </x:c>
      <x:c r="L119" s="22" t="n">
        <x:v>76</x:v>
      </x:c>
      <x:c r="M119" s="22" t="str">
        <x:v>導入地点</x:v>
      </x:c>
      <x:c r="N119" s="22" t="str">
        <x:v>大きな問題なし</x:v>
      </x:c>
      <x:c r="O119" s="22" t="str">
        <x:v>維持</x:v>
      </x:c>
    </x:row>
    <x:row r="120">
      <x:c r="A120" s="22" t="str">
        <x:v>R059</x:v>
      </x:c>
      <x:c r="B120" s="22" t="str">
        <x:v>川崎Storyショート</x:v>
      </x:c>
      <x:c r="C120" s="22" t="str">
        <x:v>通常</x:v>
      </x:c>
      <x:c r="D120" s="22" t="n">
        <x:v>2</x:v>
      </x:c>
      <x:c r="E120" s="22" t="str">
        <x:v>富士見公園</x:v>
      </x:c>
      <x:c r="F120" s="22" t="n">
        <x:v>4</x:v>
      </x:c>
      <x:c r="G120" s="22" t="n">
        <x:v>4</x:v>
      </x:c>
      <x:c r="H120" s="22" t="n">
        <x:v>3</x:v>
      </x:c>
      <x:c r="I120" s="22" t="n">
        <x:v>4</x:v>
      </x:c>
      <x:c r="J120" s="22" t="n">
        <x:v>4</x:v>
      </x:c>
      <x:c r="K120" s="22" t="n">
        <x:v>4</x:v>
      </x:c>
      <x:c r="L120" s="22" t="n">
        <x:v>76</x:v>
      </x:c>
      <x:c r="M120" s="22" t="str">
        <x:v>最終目的地への助走</x:v>
      </x:c>
      <x:c r="N120" s="22" t="str">
        <x:v>大きな問題なし</x:v>
      </x:c>
      <x:c r="O120" s="22" t="str">
        <x:v>維持</x:v>
      </x:c>
    </x:row>
    <x:row r="121">
      <x:c r="A121" s="22" t="str">
        <x:v>R060</x:v>
      </x:c>
      <x:c r="B121" s="22" t="str">
        <x:v>千葉ロング・飛行機前夜</x:v>
      </x:c>
      <x:c r="C121" s="22" t="str">
        <x:v>通常</x:v>
      </x:c>
      <x:c r="D121" s="22" t="n">
        <x:v>1</x:v>
      </x:c>
      <x:c r="E121" s="22" t="str">
        <x:v>海浜大通り展望駐車場</x:v>
      </x:c>
      <x:c r="F121" s="22" t="n">
        <x:v>2</x:v>
      </x:c>
      <x:c r="G121" s="22" t="n">
        <x:v>5</x:v>
      </x:c>
      <x:c r="H121" s="22" t="n">
        <x:v>3</x:v>
      </x:c>
      <x:c r="I121" s="22" t="n">
        <x:v>3</x:v>
      </x:c>
      <x:c r="J121" s="22" t="n">
        <x:v>4</x:v>
      </x:c>
      <x:c r="K121" s="22" t="n">
        <x:v>4</x:v>
      </x:c>
      <x:c r="L121" s="22" t="n">
        <x:v>66</x:v>
      </x:c>
      <x:c r="M121" s="22" t="str">
        <x:v>導入地点</x:v>
      </x:c>
      <x:c r="N121" s="22" t="str">
        <x:v>駐車が弱い</x:v>
      </x:c>
      <x:c r="O121" s="22" t="str">
        <x:v>維持</x:v>
      </x:c>
    </x:row>
    <x:row r="122">
      <x:c r="A122" s="22" t="str">
        <x:v>R060</x:v>
      </x:c>
      <x:c r="B122" s="22" t="str">
        <x:v>千葉ロング・飛行機前夜</x:v>
      </x:c>
      <x:c r="C122" s="22" t="str">
        <x:v>通常</x:v>
      </x:c>
      <x:c r="D122" s="22" t="n">
        <x:v>2</x:v>
      </x:c>
      <x:c r="E122" s="22" t="str">
        <x:v>亥鼻公園</x:v>
      </x:c>
      <x:c r="F122" s="22" t="n">
        <x:v>3</x:v>
      </x:c>
      <x:c r="G122" s="22" t="n">
        <x:v>5</x:v>
      </x:c>
      <x:c r="H122" s="22" t="n">
        <x:v>5</x:v>
      </x:c>
      <x:c r="I122" s="22" t="n">
        <x:v>3</x:v>
      </x:c>
      <x:c r="J122" s="22" t="n">
        <x:v>4</x:v>
      </x:c>
      <x:c r="K122" s="22" t="n">
        <x:v>4</x:v>
      </x:c>
      <x:c r="L122" s="22" t="n">
        <x:v>79</x:v>
      </x:c>
      <x:c r="M122" s="22" t="str">
        <x:v>最終目的地への助走</x:v>
      </x:c>
      <x:c r="N122" s="22" t="str">
        <x:v>大きな問題なし</x:v>
      </x:c>
      <x:c r="O122" s="22" t="str">
        <x:v>維持</x:v>
      </x:c>
    </x:row>
    <x:row r="123">
      <x:c r="A123" s="22" t="str">
        <x:v>R061</x:v>
      </x:c>
      <x:c r="B123" s="22" t="str">
        <x:v>東京西部・航空と大公園</x:v>
      </x:c>
      <x:c r="C123" s="22" t="str">
        <x:v>通常</x:v>
      </x:c>
      <x:c r="D123" s="22" t="n">
        <x:v>1</x:v>
      </x:c>
      <x:c r="E123" s="22" t="str">
        <x:v>所沢航空記念公園</x:v>
      </x:c>
      <x:c r="F123" s="22" t="n">
        <x:v>5</x:v>
      </x:c>
      <x:c r="G123" s="22" t="n">
        <x:v>5</x:v>
      </x:c>
      <x:c r="H123" s="22" t="n">
        <x:v>5</x:v>
      </x:c>
      <x:c r="I123" s="22" t="n">
        <x:v>4</x:v>
      </x:c>
      <x:c r="J123" s="22" t="n">
        <x:v>4</x:v>
      </x:c>
      <x:c r="K123" s="22" t="n">
        <x:v>5</x:v>
      </x:c>
      <x:c r="L123" s="22" t="n">
        <x:v>94</x:v>
      </x:c>
      <x:c r="M123" s="22" t="str">
        <x:v>導入地点</x:v>
      </x:c>
      <x:c r="N123" s="22" t="str">
        <x:v>大きな問題なし</x:v>
      </x:c>
      <x:c r="O123" s="22" t="str">
        <x:v>維持</x:v>
      </x:c>
    </x:row>
    <x:row r="124">
      <x:c r="A124" s="22" t="str">
        <x:v>R061</x:v>
      </x:c>
      <x:c r="B124" s="22" t="str">
        <x:v>東京西部・航空と大公園</x:v>
      </x:c>
      <x:c r="C124" s="22" t="str">
        <x:v>通常</x:v>
      </x:c>
      <x:c r="D124" s="22" t="n">
        <x:v>2</x:v>
      </x:c>
      <x:c r="E124" s="22" t="str">
        <x:v>国営昭和記念公園</x:v>
      </x:c>
      <x:c r="F124" s="22" t="n">
        <x:v>4</x:v>
      </x:c>
      <x:c r="G124" s="22" t="n">
        <x:v>4</x:v>
      </x:c>
      <x:c r="H124" s="22" t="n">
        <x:v>3</x:v>
      </x:c>
      <x:c r="I124" s="22" t="n">
        <x:v>3</x:v>
      </x:c>
      <x:c r="J124" s="22" t="n">
        <x:v>4</x:v>
      </x:c>
      <x:c r="K124" s="22" t="n">
        <x:v>4</x:v>
      </x:c>
      <x:c r="L124" s="22" t="n">
        <x:v>73</x:v>
      </x:c>
      <x:c r="M124" s="22" t="str">
        <x:v>最終目的地への助走</x:v>
      </x:c>
      <x:c r="N124" s="22" t="str">
        <x:v>大きな問題なし</x:v>
      </x:c>
      <x:c r="O124" s="22" t="str">
        <x:v>維持</x:v>
      </x:c>
    </x:row>
    <x:row r="125">
      <x:c r="A125" s="22" t="str">
        <x:v>R062</x:v>
      </x:c>
      <x:c r="B125" s="22" t="str">
        <x:v>北欧Storyと高麗川</x:v>
      </x:c>
      <x:c r="C125" s="22" t="str">
        <x:v>昼専用</x:v>
      </x:c>
      <x:c r="D125" s="22" t="n">
        <x:v>1</x:v>
      </x:c>
      <x:c r="E125" s="22" t="str">
        <x:v>トーベ・ヤンソンあけぼの子どもの森公園</x:v>
      </x:c>
      <x:c r="F125" s="22" t="n">
        <x:v>4</x:v>
      </x:c>
      <x:c r="G125" s="22" t="n">
        <x:v>4</x:v>
      </x:c>
      <x:c r="H125" s="22" t="n">
        <x:v>5</x:v>
      </x:c>
      <x:c r="I125" s="22" t="n">
        <x:v>4</x:v>
      </x:c>
      <x:c r="J125" s="22" t="n">
        <x:v>4</x:v>
      </x:c>
      <x:c r="K125" s="22" t="n">
        <x:v>4</x:v>
      </x:c>
      <x:c r="L125" s="22" t="n">
        <x:v>84</x:v>
      </x:c>
      <x:c r="M125" s="22" t="str">
        <x:v>導入地点</x:v>
      </x:c>
      <x:c r="N125" s="22" t="str">
        <x:v>大きな問題なし</x:v>
      </x:c>
      <x:c r="O125" s="22" t="str">
        <x:v>維持</x:v>
      </x:c>
    </x:row>
    <x:row r="126">
      <x:c r="A126" s="22" t="str">
        <x:v>R063</x:v>
      </x:c>
      <x:c r="B126" s="22" t="str">
        <x:v>埼玉・城址から古墳へ</x:v>
      </x:c>
      <x:c r="C126" s="22" t="str">
        <x:v>通常</x:v>
      </x:c>
      <x:c r="D126" s="22" t="n">
        <x:v>1</x:v>
      </x:c>
      <x:c r="E126" s="22" t="str">
        <x:v>岩槻城址公園</x:v>
      </x:c>
      <x:c r="F126" s="22" t="n">
        <x:v>4</x:v>
      </x:c>
      <x:c r="G126" s="22" t="n">
        <x:v>5</x:v>
      </x:c>
      <x:c r="H126" s="22" t="n">
        <x:v>5</x:v>
      </x:c>
      <x:c r="I126" s="22" t="n">
        <x:v>3</x:v>
      </x:c>
      <x:c r="J126" s="22" t="n">
        <x:v>4</x:v>
      </x:c>
      <x:c r="K126" s="22" t="n">
        <x:v>4</x:v>
      </x:c>
      <x:c r="L126" s="22" t="n">
        <x:v>84</x:v>
      </x:c>
      <x:c r="M126" s="22" t="str">
        <x:v>導入地点</x:v>
      </x:c>
      <x:c r="N126" s="22" t="str">
        <x:v>大きな問題なし</x:v>
      </x:c>
      <x:c r="O126" s="22" t="str">
        <x:v>維持</x:v>
      </x:c>
    </x:row>
    <x:row r="127">
      <x:c r="A127" s="22" t="str">
        <x:v>R064</x:v>
      </x:c>
      <x:c r="B127" s="22" t="str">
        <x:v>相模原グリーンライン</x:v>
      </x:c>
      <x:c r="C127" s="22" t="str">
        <x:v>昼専用</x:v>
      </x:c>
      <x:c r="D127" s="22" t="n">
        <x:v>1</x:v>
      </x:c>
      <x:c r="E127" s="22" t="str">
        <x:v>県立座間谷戸山公園</x:v>
      </x:c>
      <x:c r="F127" s="22" t="n">
        <x:v>2</x:v>
      </x:c>
      <x:c r="G127" s="22" t="n">
        <x:v>5</x:v>
      </x:c>
      <x:c r="H127" s="22" t="n">
        <x:v>5</x:v>
      </x:c>
      <x:c r="I127" s="22" t="n">
        <x:v>3</x:v>
      </x:c>
      <x:c r="J127" s="22" t="n">
        <x:v>4</x:v>
      </x:c>
      <x:c r="K127" s="22" t="n">
        <x:v>3</x:v>
      </x:c>
      <x:c r="L127" s="22" t="n">
        <x:v>72</x:v>
      </x:c>
      <x:c r="M127" s="22" t="str">
        <x:v>導入地点</x:v>
      </x:c>
      <x:c r="N127" s="22" t="str">
        <x:v>駐車が弱い／次地点との差が小さい</x:v>
      </x:c>
      <x:c r="O127" s="22" t="str">
        <x:v>維持</x:v>
      </x:c>
    </x:row>
    <x:row r="128">
      <x:c r="A128" s="22" t="str">
        <x:v>R064</x:v>
      </x:c>
      <x:c r="B128" s="22" t="str">
        <x:v>相模原グリーンライン</x:v>
      </x:c>
      <x:c r="C128" s="22" t="str">
        <x:v>昼専用</x:v>
      </x:c>
      <x:c r="D128" s="22" t="n">
        <x:v>2</x:v>
      </x:c>
      <x:c r="E128" s="22" t="str">
        <x:v>相模原公園</x:v>
      </x:c>
      <x:c r="F128" s="22" t="n">
        <x:v>4</x:v>
      </x:c>
      <x:c r="G128" s="22" t="n">
        <x:v>4</x:v>
      </x:c>
      <x:c r="H128" s="22" t="n">
        <x:v>5</x:v>
      </x:c>
      <x:c r="I128" s="22" t="n">
        <x:v>3</x:v>
      </x:c>
      <x:c r="J128" s="22" t="n">
        <x:v>4</x:v>
      </x:c>
      <x:c r="K128" s="22" t="n">
        <x:v>5</x:v>
      </x:c>
      <x:c r="L128" s="22" t="n">
        <x:v>83</x:v>
      </x:c>
      <x:c r="M128" s="22" t="str">
        <x:v>最終目的地への助走</x:v>
      </x:c>
      <x:c r="N128" s="22" t="str">
        <x:v>大きな問題なし</x:v>
      </x:c>
      <x:c r="O128" s="22" t="str">
        <x:v>維持</x:v>
      </x:c>
    </x:row>
    <x:row r="129">
      <x:c r="A129" s="22" t="str">
        <x:v>R065</x:v>
      </x:c>
      <x:c r="B129" s="22" t="str">
        <x:v>厚木基地・飛行機と里山</x:v>
      </x:c>
      <x:c r="C129" s="22" t="str">
        <x:v>通常</x:v>
      </x:c>
      <x:c r="D129" s="22" t="n">
        <x:v>1</x:v>
      </x:c>
      <x:c r="E129" s="22" t="str">
        <x:v>綾瀬スポーツ公園</x:v>
      </x:c>
      <x:c r="F129" s="22" t="n">
        <x:v>4</x:v>
      </x:c>
      <x:c r="G129" s="22" t="n">
        <x:v>5</x:v>
      </x:c>
      <x:c r="H129" s="22" t="n">
        <x:v>5</x:v>
      </x:c>
      <x:c r="I129" s="22" t="n">
        <x:v>4</x:v>
      </x:c>
      <x:c r="J129" s="22" t="n">
        <x:v>4</x:v>
      </x:c>
      <x:c r="K129" s="22" t="n">
        <x:v>5</x:v>
      </x:c>
      <x:c r="L129" s="22" t="n">
        <x:v>89</x:v>
      </x:c>
      <x:c r="M129" s="22" t="str">
        <x:v>導入地点</x:v>
      </x:c>
      <x:c r="N129" s="22" t="str">
        <x:v>大きな問題なし</x:v>
      </x:c>
      <x:c r="O129" s="22" t="str">
        <x:v>維持</x:v>
      </x:c>
    </x:row>
    <x:row r="130">
      <x:c r="A130" s="22" t="str">
        <x:v>R065</x:v>
      </x:c>
      <x:c r="B130" s="22" t="str">
        <x:v>厚木基地・飛行機と里山</x:v>
      </x:c>
      <x:c r="C130" s="22" t="str">
        <x:v>通常</x:v>
      </x:c>
      <x:c r="D130" s="22" t="n">
        <x:v>2</x:v>
      </x:c>
      <x:c r="E130" s="22" t="str">
        <x:v>県立座間谷戸山公園</x:v>
      </x:c>
      <x:c r="F130" s="22" t="n">
        <x:v>2</x:v>
      </x:c>
      <x:c r="G130" s="22" t="n">
        <x:v>5</x:v>
      </x:c>
      <x:c r="H130" s="22" t="n">
        <x:v>3</x:v>
      </x:c>
      <x:c r="I130" s="22" t="n">
        <x:v>4</x:v>
      </x:c>
      <x:c r="J130" s="22" t="n">
        <x:v>4</x:v>
      </x:c>
      <x:c r="K130" s="22" t="n">
        <x:v>3</x:v>
      </x:c>
      <x:c r="L130" s="22" t="n">
        <x:v>67</x:v>
      </x:c>
      <x:c r="M130" s="22" t="str">
        <x:v>最終目的地への助走</x:v>
      </x:c>
      <x:c r="N130" s="22" t="str">
        <x:v>駐車が弱い／次地点との差が小さい</x:v>
      </x:c>
      <x:c r="O130" s="22" t="str">
        <x:v>維持</x:v>
      </x:c>
    </x:row>
    <x:row r="131">
      <x:c r="A131" s="22" t="str">
        <x:v>R066</x:v>
      </x:c>
      <x:c r="B131" s="22" t="str">
        <x:v>湘南サンセット三段階</x:v>
      </x:c>
      <x:c r="C131" s="22" t="str">
        <x:v>昼専用</x:v>
      </x:c>
      <x:c r="D131" s="22" t="n">
        <x:v>1</x:v>
      </x:c>
      <x:c r="E131" s="22" t="str">
        <x:v>七里ヶ浜海岸駐車場</x:v>
      </x:c>
      <x:c r="F131" s="22" t="n">
        <x:v>4</x:v>
      </x:c>
      <x:c r="G131" s="22" t="n">
        <x:v>4</x:v>
      </x:c>
      <x:c r="H131" s="22" t="n">
        <x:v>5</x:v>
      </x:c>
      <x:c r="I131" s="22" t="n">
        <x:v>3</x:v>
      </x:c>
      <x:c r="J131" s="22" t="n">
        <x:v>4</x:v>
      </x:c>
      <x:c r="K131" s="22" t="n">
        <x:v>3</x:v>
      </x:c>
      <x:c r="L131" s="22" t="n">
        <x:v>79</x:v>
      </x:c>
      <x:c r="M131" s="22" t="str">
        <x:v>導入地点</x:v>
      </x:c>
      <x:c r="N131" s="22" t="str">
        <x:v>次地点との差が小さい</x:v>
      </x:c>
      <x:c r="O131" s="22" t="str">
        <x:v>維持</x:v>
      </x:c>
    </x:row>
    <x:row r="132">
      <x:c r="A132" s="22" t="str">
        <x:v>R066</x:v>
      </x:c>
      <x:c r="B132" s="22" t="str">
        <x:v>湘南サンセット三段階</x:v>
      </x:c>
      <x:c r="C132" s="22" t="str">
        <x:v>昼専用</x:v>
      </x:c>
      <x:c r="D132" s="22" t="n">
        <x:v>2</x:v>
      </x:c>
      <x:c r="E132" s="22" t="str">
        <x:v>長者ヶ崎駐車場</x:v>
      </x:c>
      <x:c r="F132" s="22" t="n">
        <x:v>4</x:v>
      </x:c>
      <x:c r="G132" s="22" t="n">
        <x:v>4</x:v>
      </x:c>
      <x:c r="H132" s="22" t="n">
        <x:v>5</x:v>
      </x:c>
      <x:c r="I132" s="22" t="n">
        <x:v>3</x:v>
      </x:c>
      <x:c r="J132" s="22" t="n">
        <x:v>4</x:v>
      </x:c>
      <x:c r="K132" s="22" t="n">
        <x:v>5</x:v>
      </x:c>
      <x:c r="L132" s="22" t="n">
        <x:v>83</x:v>
      </x:c>
      <x:c r="M132" s="22" t="str">
        <x:v>最終目的地への助走</x:v>
      </x:c>
      <x:c r="N132" s="22" t="str">
        <x:v>大きな問題なし</x:v>
      </x:c>
      <x:c r="O132" s="22" t="str">
        <x:v>維持</x:v>
      </x:c>
    </x:row>
    <x:row r="133">
      <x:c r="A133" s="22" t="str">
        <x:v>R067</x:v>
      </x:c>
      <x:c r="B133" s="22" t="str">
        <x:v>成田B滑走路ナイト</x:v>
      </x:c>
      <x:c r="C133" s="22" t="str">
        <x:v>通常</x:v>
      </x:c>
      <x:c r="D133" s="22" t="n">
        <x:v>1</x:v>
      </x:c>
      <x:c r="E133" s="22" t="str">
        <x:v>十余三 東雲の丘</x:v>
      </x:c>
      <x:c r="F133" s="22" t="n">
        <x:v>4</x:v>
      </x:c>
      <x:c r="G133" s="22" t="n">
        <x:v>5</x:v>
      </x:c>
      <x:c r="H133" s="22" t="n">
        <x:v>4</x:v>
      </x:c>
      <x:c r="I133" s="22" t="n">
        <x:v>3</x:v>
      </x:c>
      <x:c r="J133" s="22" t="n">
        <x:v>4</x:v>
      </x:c>
      <x:c r="K133" s="22" t="n">
        <x:v>4</x:v>
      </x:c>
      <x:c r="L133" s="22" t="n">
        <x:v>80</x:v>
      </x:c>
      <x:c r="M133" s="22" t="str">
        <x:v>導入地点</x:v>
      </x:c>
      <x:c r="N133" s="22" t="str">
        <x:v>大きな問題なし</x:v>
      </x:c>
      <x:c r="O133" s="22" t="str">
        <x:v>維持</x:v>
      </x:c>
    </x:row>
    <x:row r="134">
      <x:c r="A134" s="22" t="str">
        <x:v>R068</x:v>
      </x:c>
      <x:c r="B134" s="22" t="str">
        <x:v>成田A滑走路Story</x:v>
      </x:c>
      <x:c r="C134" s="22" t="str">
        <x:v>通常</x:v>
      </x:c>
      <x:c r="D134" s="22" t="n">
        <x:v>1</x:v>
      </x:c>
      <x:c r="E134" s="22" t="str">
        <x:v>三里塚さくらの丘</x:v>
      </x:c>
      <x:c r="F134" s="22" t="n">
        <x:v>4</x:v>
      </x:c>
      <x:c r="G134" s="22" t="n">
        <x:v>5</x:v>
      </x:c>
      <x:c r="H134" s="22" t="n">
        <x:v>4</x:v>
      </x:c>
      <x:c r="I134" s="22" t="n">
        <x:v>3</x:v>
      </x:c>
      <x:c r="J134" s="22" t="n">
        <x:v>4</x:v>
      </x:c>
      <x:c r="K134" s="22" t="n">
        <x:v>4</x:v>
      </x:c>
      <x:c r="L134" s="22" t="n">
        <x:v>80</x:v>
      </x:c>
      <x:c r="M134" s="22" t="str">
        <x:v>導入地点</x:v>
      </x:c>
      <x:c r="N134" s="22" t="str">
        <x:v>大きな問題なし</x:v>
      </x:c>
      <x:c r="O134" s="22" t="str">
        <x:v>維持</x:v>
      </x:c>
    </x:row>
    <x:row r="135">
      <x:c r="A135" s="22" t="str">
        <x:v>R069</x:v>
      </x:c>
      <x:c r="B135" s="22" t="str">
        <x:v>印旛沼・城址サンセット</x:v>
      </x:c>
      <x:c r="C135" s="22" t="str">
        <x:v>昼専用</x:v>
      </x:c>
      <x:c r="D135" s="22" t="n">
        <x:v>1</x:v>
      </x:c>
      <x:c r="E135" s="22" t="str">
        <x:v>宿内公園</x:v>
      </x:c>
      <x:c r="F135" s="22" t="n">
        <x:v>4</x:v>
      </x:c>
      <x:c r="G135" s="22" t="n">
        <x:v>5</x:v>
      </x:c>
      <x:c r="H135" s="22" t="n">
        <x:v>4</x:v>
      </x:c>
      <x:c r="I135" s="22" t="n">
        <x:v>3</x:v>
      </x:c>
      <x:c r="J135" s="22" t="n">
        <x:v>4</x:v>
      </x:c>
      <x:c r="K135" s="22" t="n">
        <x:v>4</x:v>
      </x:c>
      <x:c r="L135" s="22" t="n">
        <x:v>80</x:v>
      </x:c>
      <x:c r="M135" s="22" t="str">
        <x:v>導入地点</x:v>
      </x:c>
      <x:c r="N135" s="22" t="str">
        <x:v>大きな問題なし</x:v>
      </x:c>
      <x:c r="O135" s="22" t="str">
        <x:v>維持</x:v>
      </x:c>
    </x:row>
    <x:row r="136">
      <x:c r="A136" s="22" t="str">
        <x:v>R069</x:v>
      </x:c>
      <x:c r="B136" s="22" t="str">
        <x:v>印旛沼・城址サンセット</x:v>
      </x:c>
      <x:c r="C136" s="22" t="str">
        <x:v>昼専用</x:v>
      </x:c>
      <x:c r="D136" s="22" t="n">
        <x:v>2</x:v>
      </x:c>
      <x:c r="E136" s="22" t="str">
        <x:v>印旛沼サンセットヒルズ</x:v>
      </x:c>
      <x:c r="F136" s="22" t="n">
        <x:v>4</x:v>
      </x:c>
      <x:c r="G136" s="22" t="n">
        <x:v>5</x:v>
      </x:c>
      <x:c r="H136" s="22" t="n">
        <x:v>4</x:v>
      </x:c>
      <x:c r="I136" s="22" t="n">
        <x:v>2</x:v>
      </x:c>
      <x:c r="J136" s="22" t="n">
        <x:v>4</x:v>
      </x:c>
      <x:c r="K136" s="22" t="n">
        <x:v>4</x:v>
      </x:c>
      <x:c r="L136" s="22" t="n">
        <x:v>77</x:v>
      </x:c>
      <x:c r="M136" s="22" t="str">
        <x:v>最終目的地への助走</x:v>
      </x:c>
      <x:c r="N136" s="22" t="str">
        <x:v>大きな問題なし</x:v>
      </x:c>
      <x:c r="O136" s="22" t="str">
        <x:v>維持</x:v>
      </x:c>
    </x:row>
    <x:row r="137">
      <x:c r="A137" s="22" t="str">
        <x:v>R070</x:v>
      </x:c>
      <x:c r="B137" s="22" t="str">
        <x:v>東東京24時間水辺線</x:v>
      </x:c>
      <x:c r="C137" s="22" t="str">
        <x:v>通常</x:v>
      </x:c>
      <x:c r="D137" s="22" t="n">
        <x:v>1</x:v>
      </x:c>
      <x:c r="E137" s="22" t="str">
        <x:v>東綾瀬公園</x:v>
      </x:c>
      <x:c r="F137" s="22" t="n">
        <x:v>5</x:v>
      </x:c>
      <x:c r="G137" s="22" t="n">
        <x:v>4</x:v>
      </x:c>
      <x:c r="H137" s="22" t="n">
        <x:v>5</x:v>
      </x:c>
      <x:c r="I137" s="22" t="n">
        <x:v>3</x:v>
      </x:c>
      <x:c r="J137" s="22" t="n">
        <x:v>4</x:v>
      </x:c>
      <x:c r="K137" s="22" t="n">
        <x:v>3</x:v>
      </x:c>
      <x:c r="L137" s="22" t="n">
        <x:v>84</x:v>
      </x:c>
      <x:c r="M137" s="22" t="str">
        <x:v>導入地点</x:v>
      </x:c>
      <x:c r="N137" s="22" t="str">
        <x:v>次地点との差が小さい</x:v>
      </x:c>
      <x:c r="O137" s="22" t="str">
        <x:v>維持</x:v>
      </x:c>
    </x:row>
    <x:row r="138">
      <x:c r="A138" s="22" t="str">
        <x:v>R070</x:v>
      </x:c>
      <x:c r="B138" s="22" t="str">
        <x:v>東東京24時間水辺線</x:v>
      </x:c>
      <x:c r="C138" s="22" t="str">
        <x:v>通常</x:v>
      </x:c>
      <x:c r="D138" s="22" t="n">
        <x:v>2</x:v>
      </x:c>
      <x:c r="E138" s="22" t="str">
        <x:v>水元公園</x:v>
      </x:c>
      <x:c r="F138" s="22" t="n">
        <x:v>5</x:v>
      </x:c>
      <x:c r="G138" s="22" t="n">
        <x:v>4</x:v>
      </x:c>
      <x:c r="H138" s="22" t="n">
        <x:v>5</x:v>
      </x:c>
      <x:c r="I138" s="22" t="n">
        <x:v>3</x:v>
      </x:c>
      <x:c r="J138" s="22" t="n">
        <x:v>4</x:v>
      </x:c>
      <x:c r="K138" s="22" t="n">
        <x:v>4</x:v>
      </x:c>
      <x:c r="L138" s="22" t="n">
        <x:v>86</x:v>
      </x:c>
      <x:c r="M138" s="22" t="str">
        <x:v>最終目的地への助走</x:v>
      </x:c>
      <x:c r="N138" s="22" t="str">
        <x:v>大きな問題なし</x:v>
      </x:c>
      <x:c r="O138" s="22" t="str">
        <x:v>維持</x:v>
      </x:c>
    </x:row>
    <x:row r="139">
      <x:c r="A139" s="22" t="str">
        <x:v>R071</x:v>
      </x:c>
      <x:c r="B139" s="22" t="str">
        <x:v>丹沢・富士山高台Ending</x:v>
      </x:c>
      <x:c r="C139" s="22" t="str">
        <x:v>昼専用</x:v>
      </x:c>
      <x:c r="D139" s="22" t="n">
        <x:v>1</x:v>
      </x:c>
      <x:c r="E139" s="22" t="str">
        <x:v>県立秦野戸川公園</x:v>
      </x:c>
      <x:c r="F139" s="22" t="n">
        <x:v>4</x:v>
      </x:c>
      <x:c r="G139" s="22" t="n">
        <x:v>4</x:v>
      </x:c>
      <x:c r="H139" s="22" t="n">
        <x:v>4</x:v>
      </x:c>
      <x:c r="I139" s="22" t="n">
        <x:v>2</x:v>
      </x:c>
      <x:c r="J139" s="22" t="n">
        <x:v>4</x:v>
      </x:c>
      <x:c r="K139" s="22" t="n">
        <x:v>5</x:v>
      </x:c>
      <x:c r="L139" s="22" t="n">
        <x:v>76</x:v>
      </x:c>
      <x:c r="M139" s="22" t="str">
        <x:v>導入地点</x:v>
      </x:c>
      <x:c r="N139" s="22" t="str">
        <x:v>大きな問題なし</x:v>
      </x:c>
      <x:c r="O139" s="22" t="str">
        <x:v>維持</x:v>
      </x:c>
    </x:row>
    <x:row r="140">
      <x:c r="A140" s="22" t="str">
        <x:v>R071</x:v>
      </x:c>
      <x:c r="B140" s="22" t="str">
        <x:v>丹沢・富士山高台Ending</x:v>
      </x:c>
      <x:c r="C140" s="22" t="str">
        <x:v>昼専用</x:v>
      </x:c>
      <x:c r="D140" s="22" t="n">
        <x:v>2</x:v>
      </x:c>
      <x:c r="E140" s="22" t="str">
        <x:v>菜の花台展望台</x:v>
      </x:c>
      <x:c r="F140" s="22" t="n">
        <x:v>2</x:v>
      </x:c>
      <x:c r="G140" s="22" t="n">
        <x:v>5</x:v>
      </x:c>
      <x:c r="H140" s="22" t="n">
        <x:v>4</x:v>
      </x:c>
      <x:c r="I140" s="22" t="n">
        <x:v>3</x:v>
      </x:c>
      <x:c r="J140" s="22" t="n">
        <x:v>4</x:v>
      </x:c>
      <x:c r="K140" s="22" t="n">
        <x:v>3</x:v>
      </x:c>
      <x:c r="L140" s="22" t="n">
        <x:v>68</x:v>
      </x:c>
      <x:c r="M140" s="22" t="str">
        <x:v>最終目的地への助走</x:v>
      </x:c>
      <x:c r="N140" s="22" t="str">
        <x:v>駐車が弱い／次地点との差が小さい</x:v>
      </x:c>
      <x:c r="O140" s="22" t="str">
        <x:v>維持</x:v>
      </x:c>
    </x:row>
    <x:row r="141">
      <x:c r="A141" s="22" t="str">
        <x:v>R072</x:v>
      </x:c>
      <x:c r="B141" s="22" t="str">
        <x:v>東京東部から成田空港へ</x:v>
      </x:c>
      <x:c r="C141" s="22" t="str">
        <x:v>通常</x:v>
      </x:c>
      <x:c r="D141" s="22" t="n">
        <x:v>1</x:v>
      </x:c>
      <x:c r="E141" s="22" t="str">
        <x:v>東綾瀬公園</x:v>
      </x:c>
      <x:c r="F141" s="22" t="n">
        <x:v>5</x:v>
      </x:c>
      <x:c r="G141" s="22" t="n">
        <x:v>4</x:v>
      </x:c>
      <x:c r="H141" s="22" t="n">
        <x:v>5</x:v>
      </x:c>
      <x:c r="I141" s="22" t="n">
        <x:v>3</x:v>
      </x:c>
      <x:c r="J141" s="22" t="n">
        <x:v>4</x:v>
      </x:c>
      <x:c r="K141" s="22" t="n">
        <x:v>4</x:v>
      </x:c>
      <x:c r="L141" s="22" t="n">
        <x:v>86</x:v>
      </x:c>
      <x:c r="M141" s="22" t="str">
        <x:v>導入地点</x:v>
      </x:c>
      <x:c r="N141" s="22" t="str">
        <x:v>大きな問題なし</x:v>
      </x:c>
      <x:c r="O141" s="22" t="str">
        <x:v>維持</x:v>
      </x:c>
    </x:row>
    <x:row r="142">
      <x:c r="A142" s="22" t="str">
        <x:v>R072</x:v>
      </x:c>
      <x:c r="B142" s="22" t="str">
        <x:v>東京東部から成田空港へ</x:v>
      </x:c>
      <x:c r="C142" s="22" t="str">
        <x:v>通常</x:v>
      </x:c>
      <x:c r="D142" s="22" t="n">
        <x:v>2</x:v>
      </x:c>
      <x:c r="E142" s="22" t="str">
        <x:v>道の駅 いちかわ</x:v>
      </x:c>
      <x:c r="F142" s="22" t="n">
        <x:v>4</x:v>
      </x:c>
      <x:c r="G142" s="22" t="n">
        <x:v>5</x:v>
      </x:c>
      <x:c r="H142" s="22" t="n">
        <x:v>4</x:v>
      </x:c>
      <x:c r="I142" s="22" t="n">
        <x:v>2</x:v>
      </x:c>
      <x:c r="J142" s="22" t="n">
        <x:v>4</x:v>
      </x:c>
      <x:c r="K142" s="22" t="n">
        <x:v>4</x:v>
      </x:c>
      <x:c r="L142" s="22" t="n">
        <x:v>77</x:v>
      </x:c>
      <x:c r="M142" s="22" t="str">
        <x:v>最終目的地への助走</x:v>
      </x:c>
      <x:c r="N142" s="22" t="str">
        <x:v>大きな問題なし</x:v>
      </x:c>
      <x:c r="O142" s="22" t="str">
        <x:v>維持</x:v>
      </x:c>
    </x:row>
    <x:row r="143">
      <x:c r="A143" s="22" t="str">
        <x:v>R073</x:v>
      </x:c>
      <x:c r="B143" s="22" t="str">
        <x:v>調布航空ナイト</x:v>
      </x:c>
      <x:c r="C143" s="22" t="str">
        <x:v>通常</x:v>
      </x:c>
      <x:c r="D143" s="22" t="n">
        <x:v>1</x:v>
      </x:c>
      <x:c r="E143" s="22" t="str">
        <x:v>武蔵野の森公園</x:v>
      </x:c>
      <x:c r="F143" s="22" t="n">
        <x:v>5</x:v>
      </x:c>
      <x:c r="G143" s="22" t="n">
        <x:v>5</x:v>
      </x:c>
      <x:c r="H143" s="22" t="n">
        <x:v>5</x:v>
      </x:c>
      <x:c r="I143" s="22" t="n">
        <x:v>3</x:v>
      </x:c>
      <x:c r="J143" s="22" t="n">
        <x:v>4</x:v>
      </x:c>
      <x:c r="K143" s="22" t="n">
        <x:v>4</x:v>
      </x:c>
      <x:c r="L143" s="22" t="n">
        <x:v>89</x:v>
      </x:c>
      <x:c r="M143" s="22" t="str">
        <x:v>導入地点</x:v>
      </x:c>
      <x:c r="N143" s="22" t="str">
        <x:v>大きな問題なし</x:v>
      </x:c>
      <x:c r="O143" s="22" t="str">
        <x:v>維持</x:v>
      </x:c>
    </x:row>
    <x:row r="144">
      <x:c r="A144" s="22" t="str">
        <x:v>R073</x:v>
      </x:c>
      <x:c r="B144" s="22" t="str">
        <x:v>調布航空ナイト</x:v>
      </x:c>
      <x:c r="C144" s="22" t="str">
        <x:v>通常</x:v>
      </x:c>
      <x:c r="D144" s="22" t="n">
        <x:v>2</x:v>
      </x:c>
      <x:c r="E144" s="22" t="str">
        <x:v>府中の森公園</x:v>
      </x:c>
      <x:c r="F144" s="22" t="n">
        <x:v>5</x:v>
      </x:c>
      <x:c r="G144" s="22" t="n">
        <x:v>5</x:v>
      </x:c>
      <x:c r="H144" s="22" t="n">
        <x:v>5</x:v>
      </x:c>
      <x:c r="I144" s="22" t="n">
        <x:v>2</x:v>
      </x:c>
      <x:c r="J144" s="22" t="n">
        <x:v>4</x:v>
      </x:c>
      <x:c r="K144" s="22" t="n">
        <x:v>4</x:v>
      </x:c>
      <x:c r="L144" s="22" t="n">
        <x:v>86</x:v>
      </x:c>
      <x:c r="M144" s="22" t="str">
        <x:v>最終目的地への助走</x:v>
      </x:c>
      <x:c r="N144" s="22" t="str">
        <x:v>大きな問題なし</x:v>
      </x:c>
      <x:c r="O144" s="22" t="str">
        <x:v>維持</x:v>
      </x:c>
    </x:row>
    <x:row r="145">
      <x:c r="A145" s="22" t="str">
        <x:v>R074</x:v>
      </x:c>
      <x:c r="B145" s="22" t="str">
        <x:v>東京オリンピック建築線</x:v>
      </x:c>
      <x:c r="C145" s="22" t="str">
        <x:v>通常</x:v>
      </x:c>
      <x:c r="D145" s="22" t="n">
        <x:v>1</x:v>
      </x:c>
      <x:c r="E145" s="22" t="str">
        <x:v>駒沢オリンピック公園</x:v>
      </x:c>
      <x:c r="F145" s="22" t="n">
        <x:v>5</x:v>
      </x:c>
      <x:c r="G145" s="22" t="n">
        <x:v>5</x:v>
      </x:c>
      <x:c r="H145" s="22" t="n">
        <x:v>5</x:v>
      </x:c>
      <x:c r="I145" s="22" t="n">
        <x:v>3</x:v>
      </x:c>
      <x:c r="J145" s="22" t="n">
        <x:v>4</x:v>
      </x:c>
      <x:c r="K145" s="22" t="n">
        <x:v>3</x:v>
      </x:c>
      <x:c r="L145" s="22" t="n">
        <x:v>87</x:v>
      </x:c>
      <x:c r="M145" s="22" t="str">
        <x:v>導入地点</x:v>
      </x:c>
      <x:c r="N145" s="22" t="str">
        <x:v>次地点との差が小さい</x:v>
      </x:c>
      <x:c r="O145" s="22" t="str">
        <x:v>維持</x:v>
      </x:c>
    </x:row>
    <x:row r="146">
      <x:c r="A146" s="22" t="str">
        <x:v>R074</x:v>
      </x:c>
      <x:c r="B146" s="22" t="str">
        <x:v>東京オリンピック建築線</x:v>
      </x:c>
      <x:c r="C146" s="22" t="str">
        <x:v>通常</x:v>
      </x:c>
      <x:c r="D146" s="22" t="n">
        <x:v>2</x:v>
      </x:c>
      <x:c r="E146" s="22" t="str">
        <x:v>代々木公園</x:v>
      </x:c>
      <x:c r="F146" s="22" t="n">
        <x:v>1</x:v>
      </x:c>
      <x:c r="G146" s="22" t="n">
        <x:v>4</x:v>
      </x:c>
      <x:c r="H146" s="22" t="n">
        <x:v>3</x:v>
      </x:c>
      <x:c r="I146" s="22" t="n">
        <x:v>2</x:v>
      </x:c>
      <x:c r="J146" s="22" t="n">
        <x:v>4</x:v>
      </x:c>
      <x:c r="K146" s="22" t="n">
        <x:v>3</x:v>
      </x:c>
      <x:c r="L146" s="22" t="n">
        <x:v>53</x:v>
      </x:c>
      <x:c r="M146" s="22" t="str">
        <x:v>最終目的地への助走</x:v>
      </x:c>
      <x:c r="N146" s="22" t="str">
        <x:v>駐車が弱い／次地点との差が小さい</x:v>
      </x:c>
      <x:c r="O146" s="22" t="str">
        <x:v>維持</x:v>
      </x:c>
    </x:row>
    <x:row r="147">
      <x:c r="A147" s="22" t="str">
        <x:v>R075</x:v>
      </x:c>
      <x:c r="B147" s="22" t="str">
        <x:v>川崎港・西端Ending</x:v>
      </x:c>
      <x:c r="C147" s="22" t="str">
        <x:v>通常</x:v>
      </x:c>
      <x:c r="D147" s="22" t="n">
        <x:v>1</x:v>
      </x:c>
      <x:c r="E147" s="22" t="str">
        <x:v>ちどり公園</x:v>
      </x:c>
      <x:c r="F147" s="22" t="n">
        <x:v>4</x:v>
      </x:c>
      <x:c r="G147" s="22" t="n">
        <x:v>4</x:v>
      </x:c>
      <x:c r="H147" s="22" t="n">
        <x:v>1</x:v>
      </x:c>
      <x:c r="I147" s="22" t="n">
        <x:v>3</x:v>
      </x:c>
      <x:c r="J147" s="22" t="n">
        <x:v>4</x:v>
      </x:c>
      <x:c r="K147" s="22" t="n">
        <x:v>3</x:v>
      </x:c>
      <x:c r="L147" s="22" t="n">
        <x:v>63</x:v>
      </x:c>
      <x:c r="M147" s="22" t="str">
        <x:v>導入地点</x:v>
      </x:c>
      <x:c r="N147" s="22" t="str">
        <x:v>時間帯不一致／次地点との差が小さい</x:v>
      </x:c>
      <x:c r="O147" s="22" t="str">
        <x:v>維持</x:v>
      </x:c>
    </x:row>
    <x:row r="148">
      <x:c r="A148" s="22" t="str">
        <x:v>R075</x:v>
      </x:c>
      <x:c r="B148" s="22" t="str">
        <x:v>川崎港・西端Ending</x:v>
      </x:c>
      <x:c r="C148" s="22" t="str">
        <x:v>通常</x:v>
      </x:c>
      <x:c r="D148" s="22" t="n">
        <x:v>2</x:v>
      </x:c>
      <x:c r="E148" s="22" t="str">
        <x:v>東扇島東公園</x:v>
      </x:c>
      <x:c r="F148" s="22" t="n">
        <x:v>4</x:v>
      </x:c>
      <x:c r="G148" s="22" t="n">
        <x:v>4</x:v>
      </x:c>
      <x:c r="H148" s="22" t="n">
        <x:v>3</x:v>
      </x:c>
      <x:c r="I148" s="22" t="n">
        <x:v>3</x:v>
      </x:c>
      <x:c r="J148" s="22" t="n">
        <x:v>4</x:v>
      </x:c>
      <x:c r="K148" s="22" t="n">
        <x:v>3</x:v>
      </x:c>
      <x:c r="L148" s="22" t="n">
        <x:v>71</x:v>
      </x:c>
      <x:c r="M148" s="22" t="str">
        <x:v>最終目的地への助走</x:v>
      </x:c>
      <x:c r="N148" s="22" t="str">
        <x:v>次地点との差が小さい</x:v>
      </x:c>
      <x:c r="O148" s="22" t="str">
        <x:v>維持</x:v>
      </x:c>
    </x:row>
    <x:row r="149">
      <x:c r="A149" s="22" t="str">
        <x:v>R076</x:v>
      </x:c>
      <x:c r="B149" s="22" t="str">
        <x:v>富津岬・巨大観音</x:v>
      </x:c>
      <x:c r="C149" s="22" t="str">
        <x:v>通常</x:v>
      </x:c>
      <x:c r="D149" s="22" t="n">
        <x:v>1</x:v>
      </x:c>
      <x:c r="E149" s="22" t="str">
        <x:v>富津公園 明治百年記念展望塔</x:v>
      </x:c>
      <x:c r="F149" s="22" t="n">
        <x:v>4</x:v>
      </x:c>
      <x:c r="G149" s="22" t="n">
        <x:v>5</x:v>
      </x:c>
      <x:c r="H149" s="22" t="n">
        <x:v>5</x:v>
      </x:c>
      <x:c r="I149" s="22" t="n">
        <x:v>3</x:v>
      </x:c>
      <x:c r="J149" s="22" t="n">
        <x:v>4</x:v>
      </x:c>
      <x:c r="K149" s="22" t="n">
        <x:v>3</x:v>
      </x:c>
      <x:c r="L149" s="22" t="n">
        <x:v>82</x:v>
      </x:c>
      <x:c r="M149" s="22" t="str">
        <x:v>導入地点</x:v>
      </x:c>
      <x:c r="N149" s="22" t="str">
        <x:v>次地点との差が小さい</x:v>
      </x:c>
      <x:c r="O149" s="22" t="str">
        <x:v>維持</x:v>
      </x:c>
    </x:row>
    <x:row r="150">
      <x:c r="A150" s="22" t="str">
        <x:v>R077</x:v>
      </x:c>
      <x:c r="B150" s="22" t="str">
        <x:v>富津・静かな海岸Ending</x:v>
      </x:c>
      <x:c r="C150" s="22" t="str">
        <x:v>昼専用</x:v>
      </x:c>
      <x:c r="D150" s="22" t="n">
        <x:v>1</x:v>
      </x:c>
      <x:c r="E150" s="22" t="str">
        <x:v>富津公園 明治百年記念展望塔</x:v>
      </x:c>
      <x:c r="F150" s="22" t="n">
        <x:v>4</x:v>
      </x:c>
      <x:c r="G150" s="22" t="n">
        <x:v>5</x:v>
      </x:c>
      <x:c r="H150" s="22" t="n">
        <x:v>5</x:v>
      </x:c>
      <x:c r="I150" s="22" t="n">
        <x:v>2</x:v>
      </x:c>
      <x:c r="J150" s="22" t="n">
        <x:v>4</x:v>
      </x:c>
      <x:c r="K150" s="22" t="n">
        <x:v>3</x:v>
      </x:c>
      <x:c r="L150" s="22" t="n">
        <x:v>79</x:v>
      </x:c>
      <x:c r="M150" s="22" t="str">
        <x:v>導入地点</x:v>
      </x:c>
      <x:c r="N150" s="22" t="str">
        <x:v>次地点との差が小さい</x:v>
      </x:c>
      <x:c r="O150" s="22" t="str">
        <x:v>維持</x:v>
      </x:c>
    </x:row>
    <x:row r="151">
      <x:c r="A151" s="22" t="str">
        <x:v>R077</x:v>
      </x:c>
      <x:c r="B151" s="22" t="str">
        <x:v>富津・静かな海岸Ending</x:v>
      </x:c>
      <x:c r="C151" s="22" t="str">
        <x:v>昼専用</x:v>
      </x:c>
      <x:c r="D151" s="22" t="n">
        <x:v>2</x:v>
      </x:c>
      <x:c r="E151" s="22" t="str">
        <x:v>東京湾観音</x:v>
      </x:c>
      <x:c r="F151" s="22" t="n">
        <x:v>4</x:v>
      </x:c>
      <x:c r="G151" s="22" t="n">
        <x:v>5</x:v>
      </x:c>
      <x:c r="H151" s="22" t="n">
        <x:v>5</x:v>
      </x:c>
      <x:c r="I151" s="22" t="n">
        <x:v>2</x:v>
      </x:c>
      <x:c r="J151" s="22" t="n">
        <x:v>4</x:v>
      </x:c>
      <x:c r="K151" s="22" t="n">
        <x:v>5</x:v>
      </x:c>
      <x:c r="L151" s="22" t="n">
        <x:v>83</x:v>
      </x:c>
      <x:c r="M151" s="22" t="str">
        <x:v>最終目的地への助走</x:v>
      </x:c>
      <x:c r="N151" s="22" t="str">
        <x:v>大きな問題なし</x:v>
      </x:c>
      <x:c r="O151" s="22" t="str">
        <x:v>維持</x:v>
      </x:c>
    </x:row>
    <x:row r="152">
      <x:c r="A152" s="22" t="str">
        <x:v>R078</x:v>
      </x:c>
      <x:c r="B152" s="22" t="str">
        <x:v>横須賀鉄道と海</x:v>
      </x:c>
      <x:c r="C152" s="22" t="str">
        <x:v>通常</x:v>
      </x:c>
      <x:c r="D152" s="22" t="n">
        <x:v>1</x:v>
      </x:c>
      <x:c r="E152" s="22" t="str">
        <x:v>久里浜1丁目第2公園</x:v>
      </x:c>
      <x:c r="F152" s="22" t="n">
        <x:v>2</x:v>
      </x:c>
      <x:c r="G152" s="22" t="n">
        <x:v>5</x:v>
      </x:c>
      <x:c r="H152" s="22" t="n">
        <x:v>1</x:v>
      </x:c>
      <x:c r="I152" s="22" t="n">
        <x:v>2</x:v>
      </x:c>
      <x:c r="J152" s="22" t="n">
        <x:v>4</x:v>
      </x:c>
      <x:c r="K152" s="22" t="n">
        <x:v>3</x:v>
      </x:c>
      <x:c r="L152" s="22" t="n">
        <x:v>53</x:v>
      </x:c>
      <x:c r="M152" s="22" t="str">
        <x:v>導入地点</x:v>
      </x:c>
      <x:c r="N152" s="22" t="str">
        <x:v>駐車が弱い／時間帯不一致／次地点との差が小さい</x:v>
      </x:c>
      <x:c r="O152" s="22" t="str">
        <x:v>維持</x:v>
      </x:c>
    </x:row>
    <x:row r="153">
      <x:c r="A153" s="22" t="str">
        <x:v>R078</x:v>
      </x:c>
      <x:c r="B153" s="22" t="str">
        <x:v>横須賀鉄道と海</x:v>
      </x:c>
      <x:c r="C153" s="22" t="str">
        <x:v>通常</x:v>
      </x:c>
      <x:c r="D153" s="22" t="n">
        <x:v>2</x:v>
      </x:c>
      <x:c r="E153" s="22" t="str">
        <x:v>ペリー公園</x:v>
      </x:c>
      <x:c r="F153" s="22" t="n">
        <x:v>1</x:v>
      </x:c>
      <x:c r="G153" s="22" t="n">
        <x:v>4</x:v>
      </x:c>
      <x:c r="H153" s="22" t="n">
        <x:v>3</x:v>
      </x:c>
      <x:c r="I153" s="22" t="n">
        <x:v>2</x:v>
      </x:c>
      <x:c r="J153" s="22" t="n">
        <x:v>4</x:v>
      </x:c>
      <x:c r="K153" s="22" t="n">
        <x:v>3</x:v>
      </x:c>
      <x:c r="L153" s="22" t="n">
        <x:v>53</x:v>
      </x:c>
      <x:c r="M153" s="22" t="str">
        <x:v>最終目的地への助走</x:v>
      </x:c>
      <x:c r="N153" s="22" t="str">
        <x:v>駐車が弱い／次地点との差が小さい</x:v>
      </x:c>
      <x:c r="O153" s="22" t="str">
        <x:v>維持</x:v>
      </x:c>
    </x:row>
    <x:row r="154">
      <x:c r="A154" s="22" t="str">
        <x:v>R079</x:v>
      </x:c>
      <x:c r="B154" s="22" t="str">
        <x:v>多摩丘陵・里山と夕景</x:v>
      </x:c>
      <x:c r="C154" s="22" t="str">
        <x:v>通常</x:v>
      </x:c>
      <x:c r="D154" s="22" t="n">
        <x:v>1</x:v>
      </x:c>
      <x:c r="E154" s="22" t="str">
        <x:v>王禅寺ふるさと公園</x:v>
      </x:c>
      <x:c r="F154" s="22" t="n">
        <x:v>4</x:v>
      </x:c>
      <x:c r="G154" s="22" t="n">
        <x:v>5</x:v>
      </x:c>
      <x:c r="H154" s="22" t="n">
        <x:v>3</x:v>
      </x:c>
      <x:c r="I154" s="22" t="n">
        <x:v>3</x:v>
      </x:c>
      <x:c r="J154" s="22" t="n">
        <x:v>4</x:v>
      </x:c>
      <x:c r="K154" s="22" t="n">
        <x:v>5</x:v>
      </x:c>
      <x:c r="L154" s="22" t="n">
        <x:v>78</x:v>
      </x:c>
      <x:c r="M154" s="22" t="str">
        <x:v>導入地点</x:v>
      </x:c>
      <x:c r="N154" s="22" t="str">
        <x:v>大きな問題なし</x:v>
      </x:c>
      <x:c r="O154" s="22" t="str">
        <x:v>維持</x:v>
      </x:c>
    </x:row>
    <x:row r="155">
      <x:c r="A155" s="22" t="str">
        <x:v>R079</x:v>
      </x:c>
      <x:c r="B155" s="22" t="str">
        <x:v>多摩丘陵・里山と夕景</x:v>
      </x:c>
      <x:c r="C155" s="22" t="str">
        <x:v>通常</x:v>
      </x:c>
      <x:c r="D155" s="22" t="n">
        <x:v>2</x:v>
      </x:c>
      <x:c r="E155" s="22" t="str">
        <x:v>北八朔公園</x:v>
      </x:c>
      <x:c r="F155" s="22" t="n">
        <x:v>5</x:v>
      </x:c>
      <x:c r="G155" s="22" t="n">
        <x:v>4</x:v>
      </x:c>
      <x:c r="H155" s="22" t="n">
        <x:v>5</x:v>
      </x:c>
      <x:c r="I155" s="22" t="n">
        <x:v>2</x:v>
      </x:c>
      <x:c r="J155" s="22" t="n">
        <x:v>4</x:v>
      </x:c>
      <x:c r="K155" s="22" t="n">
        <x:v>5</x:v>
      </x:c>
      <x:c r="L155" s="22" t="n">
        <x:v>85</x:v>
      </x:c>
      <x:c r="M155" s="22" t="str">
        <x:v>最終目的地への助走</x:v>
      </x:c>
      <x:c r="N155" s="22" t="str">
        <x:v>大きな問題なし</x:v>
      </x:c>
      <x:c r="O155" s="22" t="str">
        <x:v>維持</x:v>
      </x:c>
    </x:row>
    <x:row r="156">
      <x:c r="A156" s="22" t="str">
        <x:v>R080</x:v>
      </x:c>
      <x:c r="B156" s="22" t="str">
        <x:v>深大寺Storyナイト</x:v>
      </x:c>
      <x:c r="C156" s="22" t="str">
        <x:v>通常</x:v>
      </x:c>
      <x:c r="D156" s="22" t="n">
        <x:v>1</x:v>
      </x:c>
      <x:c r="E156" s="22" t="str">
        <x:v>神代植物公園・深大寺</x:v>
      </x:c>
      <x:c r="F156" s="22" t="n">
        <x:v>5</x:v>
      </x:c>
      <x:c r="G156" s="22" t="n">
        <x:v>2</x:v>
      </x:c>
      <x:c r="H156" s="22" t="n">
        <x:v>5</x:v>
      </x:c>
      <x:c r="I156" s="22" t="n">
        <x:v>2</x:v>
      </x:c>
      <x:c r="J156" s="22" t="n">
        <x:v>4</x:v>
      </x:c>
      <x:c r="K156" s="22" t="n">
        <x:v>5</x:v>
      </x:c>
      <x:c r="L156" s="22" t="n">
        <x:v>79</x:v>
      </x:c>
      <x:c r="M156" s="22" t="str">
        <x:v>導入地点</x:v>
      </x:c>
      <x:c r="N156" s="22" t="str">
        <x:v>短時間立寄りに重い</x:v>
      </x:c>
      <x:c r="O156" s="22" t="str">
        <x:v>維持</x:v>
      </x:c>
    </x:row>
    <x:row r="157">
      <x:c r="A157" s="22" t="str">
        <x:v>R080</x:v>
      </x:c>
      <x:c r="B157" s="22" t="str">
        <x:v>深大寺Storyナイト</x:v>
      </x:c>
      <x:c r="C157" s="22" t="str">
        <x:v>通常</x:v>
      </x:c>
      <x:c r="D157" s="22" t="n">
        <x:v>2</x:v>
      </x:c>
      <x:c r="E157" s="22" t="str">
        <x:v>武蔵野の森公園</x:v>
      </x:c>
      <x:c r="F157" s="22" t="n">
        <x:v>5</x:v>
      </x:c>
      <x:c r="G157" s="22" t="n">
        <x:v>5</x:v>
      </x:c>
      <x:c r="H157" s="22" t="n">
        <x:v>5</x:v>
      </x:c>
      <x:c r="I157" s="22" t="n">
        <x:v>3</x:v>
      </x:c>
      <x:c r="J157" s="22" t="n">
        <x:v>4</x:v>
      </x:c>
      <x:c r="K157" s="22" t="n">
        <x:v>4</x:v>
      </x:c>
      <x:c r="L157" s="22" t="n">
        <x:v>89</x:v>
      </x:c>
      <x:c r="M157" s="22" t="str">
        <x:v>最終目的地への助走</x:v>
      </x:c>
      <x:c r="N157" s="22" t="str">
        <x:v>大きな問題なし</x:v>
      </x:c>
      <x:c r="O157" s="22" t="str">
        <x:v>維持</x:v>
      </x:c>
    </x:row>
    <x:row r="158">
      <x:c r="A158" s="22" t="str">
        <x:v>R081</x:v>
      </x:c>
      <x:c r="B158" s="22" t="str">
        <x:v>千葉文化公園ナイト</x:v>
      </x:c>
      <x:c r="C158" s="22" t="str">
        <x:v>通常</x:v>
      </x:c>
      <x:c r="D158" s="22" t="n">
        <x:v>1</x:v>
      </x:c>
      <x:c r="E158" s="22" t="str">
        <x:v>青葉の森公園</x:v>
      </x:c>
      <x:c r="F158" s="22" t="n">
        <x:v>5</x:v>
      </x:c>
      <x:c r="G158" s="22" t="n">
        <x:v>4</x:v>
      </x:c>
      <x:c r="H158" s="22" t="n">
        <x:v>5</x:v>
      </x:c>
      <x:c r="I158" s="22" t="n">
        <x:v>3</x:v>
      </x:c>
      <x:c r="J158" s="22" t="n">
        <x:v>4</x:v>
      </x:c>
      <x:c r="K158" s="22" t="n">
        <x:v>3</x:v>
      </x:c>
      <x:c r="L158" s="22" t="n">
        <x:v>84</x:v>
      </x:c>
      <x:c r="M158" s="22" t="str">
        <x:v>導入地点</x:v>
      </x:c>
      <x:c r="N158" s="22" t="str">
        <x:v>次地点との差が小さい</x:v>
      </x:c>
      <x:c r="O158" s="22" t="str">
        <x:v>維持</x:v>
      </x:c>
    </x:row>
    <x:row r="159">
      <x:c r="A159" s="22" t="str">
        <x:v>R081</x:v>
      </x:c>
      <x:c r="B159" s="22" t="str">
        <x:v>千葉文化公園ナイト</x:v>
      </x:c>
      <x:c r="C159" s="22" t="str">
        <x:v>通常</x:v>
      </x:c>
      <x:c r="D159" s="22" t="n">
        <x:v>2</x:v>
      </x:c>
      <x:c r="E159" s="22" t="str">
        <x:v>千葉公園</x:v>
      </x:c>
      <x:c r="F159" s="22" t="n">
        <x:v>4</x:v>
      </x:c>
      <x:c r="G159" s="22" t="n">
        <x:v>4</x:v>
      </x:c>
      <x:c r="H159" s="22" t="n">
        <x:v>5</x:v>
      </x:c>
      <x:c r="I159" s="22" t="n">
        <x:v>3</x:v>
      </x:c>
      <x:c r="J159" s="22" t="n">
        <x:v>4</x:v>
      </x:c>
      <x:c r="K159" s="22" t="n">
        <x:v>5</x:v>
      </x:c>
      <x:c r="L159" s="22" t="n">
        <x:v>83</x:v>
      </x:c>
      <x:c r="M159" s="22" t="str">
        <x:v>最終目的地への助走</x:v>
      </x:c>
      <x:c r="N159" s="22" t="str">
        <x:v>大きな問題なし</x:v>
      </x:c>
      <x:c r="O159" s="22" t="str">
        <x:v>維持</x:v>
      </x:c>
    </x:row>
    <x:row r="160">
      <x:c r="A160" s="22" t="str">
        <x:v>R082</x:v>
      </x:c>
      <x:c r="B160" s="22" t="str">
        <x:v>行田・古代史ライン</x:v>
      </x:c>
      <x:c r="C160" s="22" t="str">
        <x:v>昼専用</x:v>
      </x:c>
      <x:c r="D160" s="22" t="n">
        <x:v>1</x:v>
      </x:c>
      <x:c r="E160" s="22" t="str">
        <x:v>さきたま古墳公園</x:v>
      </x:c>
      <x:c r="F160" s="22" t="n">
        <x:v>5</x:v>
      </x:c>
      <x:c r="G160" s="22" t="n">
        <x:v>4</x:v>
      </x:c>
      <x:c r="H160" s="22" t="n">
        <x:v>5</x:v>
      </x:c>
      <x:c r="I160" s="22" t="n">
        <x:v>2</x:v>
      </x:c>
      <x:c r="J160" s="22" t="n">
        <x:v>4</x:v>
      </x:c>
      <x:c r="K160" s="22" t="n">
        <x:v>5</x:v>
      </x:c>
      <x:c r="L160" s="22" t="n">
        <x:v>85</x:v>
      </x:c>
      <x:c r="M160" s="22" t="str">
        <x:v>導入地点</x:v>
      </x:c>
      <x:c r="N160" s="22" t="str">
        <x:v>大きな問題なし</x:v>
      </x:c>
      <x:c r="O160" s="22" t="str">
        <x:v>維持</x:v>
      </x:c>
    </x:row>
    <x:row r="161">
      <x:c r="A161" s="22" t="str">
        <x:v>R083</x:v>
      </x:c>
      <x:c r="B161" s="22" t="str">
        <x:v>川崎都市史ショート</x:v>
      </x:c>
      <x:c r="C161" s="22" t="str">
        <x:v>通常</x:v>
      </x:c>
      <x:c r="D161" s="22" t="n">
        <x:v>1</x:v>
      </x:c>
      <x:c r="E161" s="22" t="str">
        <x:v>川崎市役所 展望ロビー・スカイデッキ</x:v>
      </x:c>
      <x:c r="F161" s="22" t="n">
        <x:v>4</x:v>
      </x:c>
      <x:c r="G161" s="22" t="n">
        <x:v>5</x:v>
      </x:c>
      <x:c r="H161" s="22" t="n">
        <x:v>4</x:v>
      </x:c>
      <x:c r="I161" s="22" t="n">
        <x:v>3</x:v>
      </x:c>
      <x:c r="J161" s="22" t="n">
        <x:v>4</x:v>
      </x:c>
      <x:c r="K161" s="22" t="n">
        <x:v>4</x:v>
      </x:c>
      <x:c r="L161" s="22" t="n">
        <x:v>80</x:v>
      </x:c>
      <x:c r="M161" s="22" t="str">
        <x:v>導入地点</x:v>
      </x:c>
      <x:c r="N161" s="22" t="str">
        <x:v>大きな問題なし</x:v>
      </x:c>
      <x:c r="O161" s="22" t="str">
        <x:v>維持</x:v>
      </x:c>
    </x:row>
    <x:row r="162">
      <x:c r="A162" s="22" t="str">
        <x:v>R083</x:v>
      </x:c>
      <x:c r="B162" s="22" t="str">
        <x:v>川崎都市史ショート</x:v>
      </x:c>
      <x:c r="C162" s="22" t="str">
        <x:v>通常</x:v>
      </x:c>
      <x:c r="D162" s="22" t="n">
        <x:v>2</x:v>
      </x:c>
      <x:c r="E162" s="22" t="str">
        <x:v>稲田公園</x:v>
      </x:c>
      <x:c r="F162" s="22" t="n">
        <x:v>4</x:v>
      </x:c>
      <x:c r="G162" s="22" t="n">
        <x:v>5</x:v>
      </x:c>
      <x:c r="H162" s="22" t="n">
        <x:v>4</x:v>
      </x:c>
      <x:c r="I162" s="22" t="n">
        <x:v>3</x:v>
      </x:c>
      <x:c r="J162" s="22" t="n">
        <x:v>4</x:v>
      </x:c>
      <x:c r="K162" s="22" t="n">
        <x:v>4</x:v>
      </x:c>
      <x:c r="L162" s="22" t="n">
        <x:v>80</x:v>
      </x:c>
      <x:c r="M162" s="22" t="str">
        <x:v>最終目的地への助走</x:v>
      </x:c>
      <x:c r="N162" s="22" t="str">
        <x:v>大きな問題なし</x:v>
      </x:c>
      <x:c r="O162" s="22" t="str">
        <x:v>維持</x:v>
      </x:c>
    </x:row>
    <x:row r="163">
      <x:c r="A163" s="22" t="str">
        <x:v>R084</x:v>
      </x:c>
      <x:c r="B163" s="22" t="str">
        <x:v>特別枠・秩父夜景</x:v>
      </x:c>
      <x:c r="C163" s="22" t="str">
        <x:v>通常</x:v>
      </x:c>
      <x:c r="D163" s="22" t="n">
        <x:v>1</x:v>
      </x:c>
      <x:c r="E163" s="22" t="str">
        <x:v>さきたま古墳公園</x:v>
      </x:c>
      <x:c r="F163" s="22" t="n">
        <x:v>5</x:v>
      </x:c>
      <x:c r="G163" s="22" t="n">
        <x:v>4</x:v>
      </x:c>
      <x:c r="H163" s="22" t="n">
        <x:v>5</x:v>
      </x:c>
      <x:c r="I163" s="22" t="n">
        <x:v>2</x:v>
      </x:c>
      <x:c r="J163" s="22" t="n">
        <x:v>4</x:v>
      </x:c>
      <x:c r="K163" s="22" t="n">
        <x:v>5</x:v>
      </x:c>
      <x:c r="L163" s="22" t="n">
        <x:v>85</x:v>
      </x:c>
      <x:c r="M163" s="22" t="str">
        <x:v>導入地点</x:v>
      </x:c>
      <x:c r="N163" s="22" t="str">
        <x:v>大きな問題なし</x:v>
      </x:c>
      <x:c r="O163" s="22" t="str">
        <x:v>維持</x:v>
      </x:c>
    </x:row>
    <x:row r="164">
      <x:c r="A164" s="22" t="str">
        <x:v>R085</x:v>
      </x:c>
      <x:c r="B164" s="22" t="str">
        <x:v>金沢・海と明治史</x:v>
      </x:c>
      <x:c r="C164" s="22" t="str">
        <x:v>通常</x:v>
      </x:c>
      <x:c r="D164" s="22" t="n">
        <x:v>1</x:v>
      </x:c>
      <x:c r="E164" s="22" t="str">
        <x:v>海の公園</x:v>
      </x:c>
      <x:c r="F164" s="22" t="n">
        <x:v>4</x:v>
      </x:c>
      <x:c r="G164" s="22" t="n">
        <x:v>5</x:v>
      </x:c>
      <x:c r="H164" s="22" t="n">
        <x:v>4</x:v>
      </x:c>
      <x:c r="I164" s="22" t="n">
        <x:v>3</x:v>
      </x:c>
      <x:c r="J164" s="22" t="n">
        <x:v>4</x:v>
      </x:c>
      <x:c r="K164" s="22" t="n">
        <x:v>4</x:v>
      </x:c>
      <x:c r="L164" s="22" t="n">
        <x:v>80</x:v>
      </x:c>
      <x:c r="M164" s="22" t="str">
        <x:v>導入地点</x:v>
      </x:c>
      <x:c r="N164" s="22" t="str">
        <x:v>大きな問題なし</x:v>
      </x:c>
      <x:c r="O164" s="22" t="str">
        <x:v>維持</x:v>
      </x:c>
    </x:row>
    <x:row r="165">
      <x:c r="A165" s="22" t="str">
        <x:v>R085</x:v>
      </x:c>
      <x:c r="B165" s="22" t="str">
        <x:v>金沢・海と明治史</x:v>
      </x:c>
      <x:c r="C165" s="22" t="str">
        <x:v>通常</x:v>
      </x:c>
      <x:c r="D165" s="22" t="n">
        <x:v>2</x:v>
      </x:c>
      <x:c r="E165" s="22" t="str">
        <x:v>野島公園</x:v>
      </x:c>
      <x:c r="F165" s="22" t="n">
        <x:v>4</x:v>
      </x:c>
      <x:c r="G165" s="22" t="n">
        <x:v>4</x:v>
      </x:c>
      <x:c r="H165" s="22" t="n">
        <x:v>5</x:v>
      </x:c>
      <x:c r="I165" s="22" t="n">
        <x:v>4</x:v>
      </x:c>
      <x:c r="J165" s="22" t="n">
        <x:v>4</x:v>
      </x:c>
      <x:c r="K165" s="22" t="n">
        <x:v>3</x:v>
      </x:c>
      <x:c r="L165" s="22" t="n">
        <x:v>82</x:v>
      </x:c>
      <x:c r="M165" s="22" t="str">
        <x:v>最終目的地への助走</x:v>
      </x:c>
      <x:c r="N165" s="22" t="str">
        <x:v>次地点との差が小さい</x:v>
      </x:c>
      <x:c r="O165" s="22" t="str">
        <x:v>維持</x:v>
      </x:c>
    </x:row>
    <x:row r="166">
      <x:c r="A166" s="22" t="str">
        <x:v>R086</x:v>
      </x:c>
      <x:c r="B166" s="22" t="str">
        <x:v>三浦西岸サンセット</x:v>
      </x:c>
      <x:c r="C166" s="22" t="str">
        <x:v>通常</x:v>
      </x:c>
      <x:c r="D166" s="22" t="n">
        <x:v>1</x:v>
      </x:c>
      <x:c r="E166" s="22" t="str">
        <x:v>荒崎公園</x:v>
      </x:c>
      <x:c r="F166" s="22" t="n">
        <x:v>4</x:v>
      </x:c>
      <x:c r="G166" s="22" t="n">
        <x:v>5</x:v>
      </x:c>
      <x:c r="H166" s="22" t="n">
        <x:v>3</x:v>
      </x:c>
      <x:c r="I166" s="22" t="n">
        <x:v>2</x:v>
      </x:c>
      <x:c r="J166" s="22" t="n">
        <x:v>4</x:v>
      </x:c>
      <x:c r="K166" s="22" t="n">
        <x:v>4</x:v>
      </x:c>
      <x:c r="L166" s="22" t="n">
        <x:v>73</x:v>
      </x:c>
      <x:c r="M166" s="22" t="str">
        <x:v>導入地点</x:v>
      </x:c>
      <x:c r="N166" s="22" t="str">
        <x:v>大きな問題なし</x:v>
      </x:c>
      <x:c r="O166" s="22" t="str">
        <x:v>維持</x:v>
      </x:c>
    </x:row>
    <x:row r="167">
      <x:c r="A167" s="22" t="str">
        <x:v>R086</x:v>
      </x:c>
      <x:c r="B167" s="22" t="str">
        <x:v>三浦西岸サンセット</x:v>
      </x:c>
      <x:c r="C167" s="22" t="str">
        <x:v>通常</x:v>
      </x:c>
      <x:c r="D167" s="22" t="n">
        <x:v>2</x:v>
      </x:c>
      <x:c r="E167" s="22" t="str">
        <x:v>長者ヶ崎駐車場</x:v>
      </x:c>
      <x:c r="F167" s="22" t="n">
        <x:v>4</x:v>
      </x:c>
      <x:c r="G167" s="22" t="n">
        <x:v>4</x:v>
      </x:c>
      <x:c r="H167" s="22" t="n">
        <x:v>3</x:v>
      </x:c>
      <x:c r="I167" s="22" t="n">
        <x:v>3</x:v>
      </x:c>
      <x:c r="J167" s="22" t="n">
        <x:v>4</x:v>
      </x:c>
      <x:c r="K167" s="22" t="n">
        <x:v>3</x:v>
      </x:c>
      <x:c r="L167" s="22" t="n">
        <x:v>71</x:v>
      </x:c>
      <x:c r="M167" s="22" t="str">
        <x:v>最終目的地への助走</x:v>
      </x:c>
      <x:c r="N167" s="22" t="str">
        <x:v>次地点との差が小さい</x:v>
      </x:c>
      <x:c r="O167" s="22" t="str">
        <x:v>維持</x:v>
      </x:c>
    </x:row>
    <x:row r="168">
      <x:c r="A168" s="22" t="str">
        <x:v>R087</x:v>
      </x:c>
      <x:c r="B168" s="22" t="str">
        <x:v>大磯・近代史ライン</x:v>
      </x:c>
      <x:c r="C168" s="22" t="str">
        <x:v>昼専用</x:v>
      </x:c>
      <x:c r="D168" s="22" t="n">
        <x:v>1</x:v>
      </x:c>
      <x:c r="E168" s="22" t="str">
        <x:v>大磯城山公園</x:v>
      </x:c>
      <x:c r="F168" s="22" t="n">
        <x:v>4</x:v>
      </x:c>
      <x:c r="G168" s="22" t="n">
        <x:v>5</x:v>
      </x:c>
      <x:c r="H168" s="22" t="n">
        <x:v>5</x:v>
      </x:c>
      <x:c r="I168" s="22" t="n">
        <x:v>3</x:v>
      </x:c>
      <x:c r="J168" s="22" t="n">
        <x:v>4</x:v>
      </x:c>
      <x:c r="K168" s="22" t="n">
        <x:v>5</x:v>
      </x:c>
      <x:c r="L168" s="22" t="n">
        <x:v>86</x:v>
      </x:c>
      <x:c r="M168" s="22" t="str">
        <x:v>導入地点</x:v>
      </x:c>
      <x:c r="N168" s="22" t="str">
        <x:v>大きな問題なし</x:v>
      </x:c>
      <x:c r="O168" s="22" t="str">
        <x:v>維持</x:v>
      </x:c>
    </x:row>
    <x:row r="169">
      <x:c r="A169" s="22" t="str">
        <x:v>R087</x:v>
      </x:c>
      <x:c r="B169" s="22" t="str">
        <x:v>大磯・近代史ライン</x:v>
      </x:c>
      <x:c r="C169" s="22" t="str">
        <x:v>昼専用</x:v>
      </x:c>
      <x:c r="D169" s="22" t="n">
        <x:v>2</x:v>
      </x:c>
      <x:c r="E169" s="22" t="str">
        <x:v>大磯港</x:v>
      </x:c>
      <x:c r="F169" s="22" t="n">
        <x:v>5</x:v>
      </x:c>
      <x:c r="G169" s="22" t="n">
        <x:v>4</x:v>
      </x:c>
      <x:c r="H169" s="22" t="n">
        <x:v>5</x:v>
      </x:c>
      <x:c r="I169" s="22" t="n">
        <x:v>3</x:v>
      </x:c>
      <x:c r="J169" s="22" t="n">
        <x:v>4</x:v>
      </x:c>
      <x:c r="K169" s="22" t="n">
        <x:v>5</x:v>
      </x:c>
      <x:c r="L169" s="22" t="n">
        <x:v>88</x:v>
      </x:c>
      <x:c r="M169" s="22" t="str">
        <x:v>最終目的地への助走</x:v>
      </x:c>
      <x:c r="N169" s="22" t="str">
        <x:v>大きな問題なし</x:v>
      </x:c>
      <x:c r="O169" s="22" t="str">
        <x:v>維持</x:v>
      </x:c>
    </x:row>
    <x:row r="170">
      <x:c r="A170" s="22" t="str">
        <x:v>R088</x:v>
      </x:c>
      <x:c r="B170" s="22" t="str">
        <x:v>横浜港・ふ頭三連</x:v>
      </x:c>
      <x:c r="C170" s="22" t="str">
        <x:v>通常</x:v>
      </x:c>
      <x:c r="D170" s="22" t="n">
        <x:v>1</x:v>
      </x:c>
      <x:c r="E170" s="22" t="str">
        <x:v>本牧海づり施設</x:v>
      </x:c>
      <x:c r="F170" s="22" t="n">
        <x:v>4</x:v>
      </x:c>
      <x:c r="G170" s="22" t="n">
        <x:v>4</x:v>
      </x:c>
      <x:c r="H170" s="22" t="n">
        <x:v>3</x:v>
      </x:c>
      <x:c r="I170" s="22" t="n">
        <x:v>3</x:v>
      </x:c>
      <x:c r="J170" s="22" t="n">
        <x:v>4</x:v>
      </x:c>
      <x:c r="K170" s="22" t="n">
        <x:v>3</x:v>
      </x:c>
      <x:c r="L170" s="22" t="n">
        <x:v>71</x:v>
      </x:c>
      <x:c r="M170" s="22" t="str">
        <x:v>導入地点</x:v>
      </x:c>
      <x:c r="N170" s="22" t="str">
        <x:v>次地点との差が小さい</x:v>
      </x:c>
      <x:c r="O170" s="22" t="str">
        <x:v>維持</x:v>
      </x:c>
    </x:row>
    <x:row r="171">
      <x:c r="A171" s="22" t="str">
        <x:v>R088</x:v>
      </x:c>
      <x:c r="B171" s="22" t="str">
        <x:v>横浜港・ふ頭三連</x:v>
      </x:c>
      <x:c r="C171" s="22" t="str">
        <x:v>通常</x:v>
      </x:c>
      <x:c r="D171" s="22" t="n">
        <x:v>2</x:v>
      </x:c>
      <x:c r="E171" s="22" t="str">
        <x:v>大黒海づり施設</x:v>
      </x:c>
      <x:c r="F171" s="22" t="n">
        <x:v>4</x:v>
      </x:c>
      <x:c r="G171" s="22" t="n">
        <x:v>4</x:v>
      </x:c>
      <x:c r="H171" s="22" t="n">
        <x:v>3</x:v>
      </x:c>
      <x:c r="I171" s="22" t="n">
        <x:v>3</x:v>
      </x:c>
      <x:c r="J171" s="22" t="n">
        <x:v>4</x:v>
      </x:c>
      <x:c r="K171" s="22" t="n">
        <x:v>5</x:v>
      </x:c>
      <x:c r="L171" s="22" t="n">
        <x:v>75</x:v>
      </x:c>
      <x:c r="M171" s="22" t="str">
        <x:v>最終目的地への助走</x:v>
      </x:c>
      <x:c r="N171" s="22" t="str">
        <x:v>大きな問題なし</x:v>
      </x:c>
      <x:c r="O171" s="22" t="str">
        <x:v>維持</x:v>
      </x:c>
    </x:row>
    <x:row r="172">
      <x:c r="A172" s="22" t="str">
        <x:v>R089</x:v>
      </x:c>
      <x:c r="B172" s="22" t="str">
        <x:v>根岸湾工業景観</x:v>
      </x:c>
      <x:c r="C172" s="22" t="str">
        <x:v>通常</x:v>
      </x:c>
      <x:c r="D172" s="22" t="n">
        <x:v>1</x:v>
      </x:c>
      <x:c r="E172" s="22" t="str">
        <x:v>磯子海づり施設</x:v>
      </x:c>
      <x:c r="F172" s="22" t="n">
        <x:v>4</x:v>
      </x:c>
      <x:c r="G172" s="22" t="n">
        <x:v>5</x:v>
      </x:c>
      <x:c r="H172" s="22" t="n">
        <x:v>3</x:v>
      </x:c>
      <x:c r="I172" s="22" t="n">
        <x:v>4</x:v>
      </x:c>
      <x:c r="J172" s="22" t="n">
        <x:v>4</x:v>
      </x:c>
      <x:c r="K172" s="22" t="n">
        <x:v>4</x:v>
      </x:c>
      <x:c r="L172" s="22" t="n">
        <x:v>79</x:v>
      </x:c>
      <x:c r="M172" s="22" t="str">
        <x:v>導入地点</x:v>
      </x:c>
      <x:c r="N172" s="22" t="str">
        <x:v>大きな問題なし</x:v>
      </x:c>
      <x:c r="O172" s="22" t="str">
        <x:v>維持</x:v>
      </x:c>
    </x:row>
    <x:row r="173">
      <x:c r="A173" s="22" t="str">
        <x:v>R089</x:v>
      </x:c>
      <x:c r="B173" s="22" t="str">
        <x:v>根岸湾工業景観</x:v>
      </x:c>
      <x:c r="C173" s="22" t="str">
        <x:v>通常</x:v>
      </x:c>
      <x:c r="D173" s="22" t="n">
        <x:v>2</x:v>
      </x:c>
      <x:c r="E173" s="22" t="str">
        <x:v>本牧山頂公園</x:v>
      </x:c>
      <x:c r="F173" s="22" t="n">
        <x:v>4</x:v>
      </x:c>
      <x:c r="G173" s="22" t="n">
        <x:v>5</x:v>
      </x:c>
      <x:c r="H173" s="22" t="n">
        <x:v>4</x:v>
      </x:c>
      <x:c r="I173" s="22" t="n">
        <x:v>4</x:v>
      </x:c>
      <x:c r="J173" s="22" t="n">
        <x:v>4</x:v>
      </x:c>
      <x:c r="K173" s="22" t="n">
        <x:v>3</x:v>
      </x:c>
      <x:c r="L173" s="22" t="n">
        <x:v>81</x:v>
      </x:c>
      <x:c r="M173" s="22" t="str">
        <x:v>最終目的地への助走</x:v>
      </x:c>
      <x:c r="N173" s="22" t="str">
        <x:v>次地点との差が小さい</x:v>
      </x:c>
      <x:c r="O173" s="22" t="str">
        <x:v>維持</x:v>
      </x:c>
    </x:row>
    <x:row r="174">
      <x:c r="A174" s="22" t="str">
        <x:v>R090</x:v>
      </x:c>
      <x:c r="B174" s="22" t="str">
        <x:v>千葉・森の深度変化</x:v>
      </x:c>
      <x:c r="C174" s="22" t="str">
        <x:v>昼専用</x:v>
      </x:c>
      <x:c r="D174" s="22" t="n">
        <x:v>1</x:v>
      </x:c>
      <x:c r="E174" s="22" t="str">
        <x:v>泉自然公園</x:v>
      </x:c>
      <x:c r="F174" s="22" t="n">
        <x:v>4</x:v>
      </x:c>
      <x:c r="G174" s="22" t="n">
        <x:v>4</x:v>
      </x:c>
      <x:c r="H174" s="22" t="n">
        <x:v>5</x:v>
      </x:c>
      <x:c r="I174" s="22" t="n">
        <x:v>3</x:v>
      </x:c>
      <x:c r="J174" s="22" t="n">
        <x:v>4</x:v>
      </x:c>
      <x:c r="K174" s="22" t="n">
        <x:v>4</x:v>
      </x:c>
      <x:c r="L174" s="22" t="n">
        <x:v>81</x:v>
      </x:c>
      <x:c r="M174" s="22" t="str">
        <x:v>導入地点</x:v>
      </x:c>
      <x:c r="N174" s="22" t="str">
        <x:v>大きな問題なし</x:v>
      </x:c>
      <x:c r="O174" s="22" t="str">
        <x:v>維持</x:v>
      </x:c>
    </x:row>
    <x:row r="175">
      <x:c r="A175" s="22" t="str">
        <x:v>R091</x:v>
      </x:c>
      <x:c r="B175" s="22" t="str">
        <x:v>内房・工場夜景Ending</x:v>
      </x:c>
      <x:c r="C175" s="22" t="str">
        <x:v>通常</x:v>
      </x:c>
      <x:c r="D175" s="22" t="n">
        <x:v>1</x:v>
      </x:c>
      <x:c r="E175" s="22" t="str">
        <x:v>袖ケ浦海浜公園</x:v>
      </x:c>
      <x:c r="F175" s="22" t="n">
        <x:v>4</x:v>
      </x:c>
      <x:c r="G175" s="22" t="n">
        <x:v>5</x:v>
      </x:c>
      <x:c r="H175" s="22" t="n">
        <x:v>3</x:v>
      </x:c>
      <x:c r="I175" s="22" t="n">
        <x:v>4</x:v>
      </x:c>
      <x:c r="J175" s="22" t="n">
        <x:v>4</x:v>
      </x:c>
      <x:c r="K175" s="22" t="n">
        <x:v>3</x:v>
      </x:c>
      <x:c r="L175" s="22" t="n">
        <x:v>77</x:v>
      </x:c>
      <x:c r="M175" s="22" t="str">
        <x:v>導入地点</x:v>
      </x:c>
      <x:c r="N175" s="22" t="str">
        <x:v>次地点との差が小さい</x:v>
      </x:c>
      <x:c r="O175" s="22" t="str">
        <x:v>維持</x:v>
      </x:c>
    </x:row>
    <x:row r="176">
      <x:c r="A176" s="22" t="str">
        <x:v>R091</x:v>
      </x:c>
      <x:c r="B176" s="22" t="str">
        <x:v>内房・工場夜景Ending</x:v>
      </x:c>
      <x:c r="C176" s="22" t="str">
        <x:v>通常</x:v>
      </x:c>
      <x:c r="D176" s="22" t="n">
        <x:v>2</x:v>
      </x:c>
      <x:c r="E176" s="22" t="str">
        <x:v>千葉ポートタワー</x:v>
      </x:c>
      <x:c r="F176" s="22" t="n">
        <x:v>4</x:v>
      </x:c>
      <x:c r="G176" s="22" t="n">
        <x:v>5</x:v>
      </x:c>
      <x:c r="H176" s="22" t="n">
        <x:v>4</x:v>
      </x:c>
      <x:c r="I176" s="22" t="n">
        <x:v>4</x:v>
      </x:c>
      <x:c r="J176" s="22" t="n">
        <x:v>4</x:v>
      </x:c>
      <x:c r="K176" s="22" t="n">
        <x:v>3</x:v>
      </x:c>
      <x:c r="L176" s="22" t="n">
        <x:v>81</x:v>
      </x:c>
      <x:c r="M176" s="22" t="str">
        <x:v>最終目的地への助走</x:v>
      </x:c>
      <x:c r="N176" s="22" t="str">
        <x:v>次地点との差が小さい</x:v>
      </x:c>
      <x:c r="O176" s="22" t="str">
        <x:v>維持</x:v>
      </x:c>
    </x:row>
    <x:row r="177">
      <x:c r="A177" s="22" t="str">
        <x:v>R092</x:v>
      </x:c>
      <x:c r="B177" s="22" t="str">
        <x:v>東京北西24時間公園線</x:v>
      </x:c>
      <x:c r="C177" s="22" t="str">
        <x:v>通常</x:v>
      </x:c>
      <x:c r="D177" s="22" t="n">
        <x:v>1</x:v>
      </x:c>
      <x:c r="E177" s="22" t="str">
        <x:v>高井戸公園</x:v>
      </x:c>
      <x:c r="F177" s="22" t="n">
        <x:v>5</x:v>
      </x:c>
      <x:c r="G177" s="22" t="n">
        <x:v>5</x:v>
      </x:c>
      <x:c r="H177" s="22" t="n">
        <x:v>5</x:v>
      </x:c>
      <x:c r="I177" s="22" t="n">
        <x:v>2</x:v>
      </x:c>
      <x:c r="J177" s="22" t="n">
        <x:v>4</x:v>
      </x:c>
      <x:c r="K177" s="22" t="n">
        <x:v>4</x:v>
      </x:c>
      <x:c r="L177" s="22" t="n">
        <x:v>86</x:v>
      </x:c>
      <x:c r="M177" s="22" t="str">
        <x:v>導入地点</x:v>
      </x:c>
      <x:c r="N177" s="22" t="str">
        <x:v>大きな問題なし</x:v>
      </x:c>
      <x:c r="O177" s="22" t="str">
        <x:v>維持</x:v>
      </x:c>
    </x:row>
    <x:row r="178">
      <x:c r="A178" s="22" t="str">
        <x:v>R092</x:v>
      </x:c>
      <x:c r="B178" s="22" t="str">
        <x:v>東京北西24時間公園線</x:v>
      </x:c>
      <x:c r="C178" s="22" t="str">
        <x:v>通常</x:v>
      </x:c>
      <x:c r="D178" s="22" t="n">
        <x:v>2</x:v>
      </x:c>
      <x:c r="E178" s="22" t="str">
        <x:v>光が丘公園</x:v>
      </x:c>
      <x:c r="F178" s="22" t="n">
        <x:v>5</x:v>
      </x:c>
      <x:c r="G178" s="22" t="n">
        <x:v>5</x:v>
      </x:c>
      <x:c r="H178" s="22" t="n">
        <x:v>5</x:v>
      </x:c>
      <x:c r="I178" s="22" t="n">
        <x:v>2</x:v>
      </x:c>
      <x:c r="J178" s="22" t="n">
        <x:v>4</x:v>
      </x:c>
      <x:c r="K178" s="22" t="n">
        <x:v>4</x:v>
      </x:c>
      <x:c r="L178" s="22" t="n">
        <x:v>86</x:v>
      </x:c>
      <x:c r="M178" s="22" t="str">
        <x:v>最終目的地への助走</x:v>
      </x:c>
      <x:c r="N178" s="22" t="str">
        <x:v>大きな問題なし</x:v>
      </x:c>
      <x:c r="O178" s="22" t="str">
        <x:v>維持</x:v>
      </x:c>
    </x:row>
    <x:row r="179">
      <x:c r="A179" s="22" t="str">
        <x:v>R093</x:v>
      </x:c>
      <x:c r="B179" s="22" t="str">
        <x:v>東京北東24時間公園線</x:v>
      </x:c>
      <x:c r="C179" s="22" t="str">
        <x:v>通常</x:v>
      </x:c>
      <x:c r="D179" s="22" t="n">
        <x:v>1</x:v>
      </x:c>
      <x:c r="E179" s="22" t="str">
        <x:v>城北中央公園</x:v>
      </x:c>
      <x:c r="F179" s="22" t="n">
        <x:v>2</x:v>
      </x:c>
      <x:c r="G179" s="22" t="n">
        <x:v>4</x:v>
      </x:c>
      <x:c r="H179" s="22" t="n">
        <x:v>5</x:v>
      </x:c>
      <x:c r="I179" s="22" t="n">
        <x:v>4</x:v>
      </x:c>
      <x:c r="J179" s="22" t="n">
        <x:v>4</x:v>
      </x:c>
      <x:c r="K179" s="22" t="n">
        <x:v>4</x:v>
      </x:c>
      <x:c r="L179" s="22" t="n">
        <x:v>74</x:v>
      </x:c>
      <x:c r="M179" s="22" t="str">
        <x:v>導入地点</x:v>
      </x:c>
      <x:c r="N179" s="22" t="str">
        <x:v>駐車が弱い</x:v>
      </x:c>
      <x:c r="O179" s="22" t="str">
        <x:v>維持</x:v>
      </x:c>
    </x:row>
    <x:row r="180">
      <x:c r="A180" s="22" t="str">
        <x:v>R093</x:v>
      </x:c>
      <x:c r="B180" s="22" t="str">
        <x:v>東京北東24時間公園線</x:v>
      </x:c>
      <x:c r="C180" s="22" t="str">
        <x:v>通常</x:v>
      </x:c>
      <x:c r="D180" s="22" t="n">
        <x:v>2</x:v>
      </x:c>
      <x:c r="E180" s="22" t="str">
        <x:v>舎人公園</x:v>
      </x:c>
      <x:c r="F180" s="22" t="n">
        <x:v>2</x:v>
      </x:c>
      <x:c r="G180" s="22" t="n">
        <x:v>5</x:v>
      </x:c>
      <x:c r="H180" s="22" t="n">
        <x:v>5</x:v>
      </x:c>
      <x:c r="I180" s="22" t="n">
        <x:v>3</x:v>
      </x:c>
      <x:c r="J180" s="22" t="n">
        <x:v>4</x:v>
      </x:c>
      <x:c r="K180" s="22" t="n">
        <x:v>4</x:v>
      </x:c>
      <x:c r="L180" s="22" t="n">
        <x:v>74</x:v>
      </x:c>
      <x:c r="M180" s="22" t="str">
        <x:v>最終目的地への助走</x:v>
      </x:c>
      <x:c r="N180" s="22" t="str">
        <x:v>駐車が弱い</x:v>
      </x:c>
      <x:c r="O180" s="22" t="str">
        <x:v>維持</x:v>
      </x:c>
    </x:row>
    <x:row r="181">
      <x:c r="A181" s="22" t="str">
        <x:v>R094</x:v>
      </x:c>
      <x:c r="B181" s="22" t="str">
        <x:v>荒川・湖・河川敷</x:v>
      </x:c>
      <x:c r="C181" s="22" t="str">
        <x:v>昼専用</x:v>
      </x:c>
      <x:c r="D181" s="22" t="n">
        <x:v>1</x:v>
      </x:c>
      <x:c r="E181" s="22" t="str">
        <x:v>秋ヶ瀬公園</x:v>
      </x:c>
      <x:c r="F181" s="22" t="n">
        <x:v>4</x:v>
      </x:c>
      <x:c r="G181" s="22" t="n">
        <x:v>4</x:v>
      </x:c>
      <x:c r="H181" s="22" t="n">
        <x:v>4</x:v>
      </x:c>
      <x:c r="I181" s="22" t="n">
        <x:v>3</x:v>
      </x:c>
      <x:c r="J181" s="22" t="n">
        <x:v>4</x:v>
      </x:c>
      <x:c r="K181" s="22" t="n">
        <x:v>3</x:v>
      </x:c>
      <x:c r="L181" s="22" t="n">
        <x:v>75</x:v>
      </x:c>
      <x:c r="M181" s="22" t="str">
        <x:v>導入地点</x:v>
      </x:c>
      <x:c r="N181" s="22" t="str">
        <x:v>次地点との差が小さい</x:v>
      </x:c>
      <x:c r="O181" s="22" t="str">
        <x:v>維持</x:v>
      </x:c>
    </x:row>
    <x:row r="182">
      <x:c r="A182" s="22" t="str">
        <x:v>R094</x:v>
      </x:c>
      <x:c r="B182" s="22" t="str">
        <x:v>荒川・湖・河川敷</x:v>
      </x:c>
      <x:c r="C182" s="22" t="str">
        <x:v>昼専用</x:v>
      </x:c>
      <x:c r="D182" s="22" t="n">
        <x:v>2</x:v>
      </x:c>
      <x:c r="E182" s="22" t="str">
        <x:v>彩湖・道満グリーンパーク</x:v>
      </x:c>
      <x:c r="F182" s="22" t="n">
        <x:v>4</x:v>
      </x:c>
      <x:c r="G182" s="22" t="n">
        <x:v>4</x:v>
      </x:c>
      <x:c r="H182" s="22" t="n">
        <x:v>4</x:v>
      </x:c>
      <x:c r="I182" s="22" t="n">
        <x:v>3</x:v>
      </x:c>
      <x:c r="J182" s="22" t="n">
        <x:v>4</x:v>
      </x:c>
      <x:c r="K182" s="22" t="n">
        <x:v>4</x:v>
      </x:c>
      <x:c r="L182" s="22" t="n">
        <x:v>77</x:v>
      </x:c>
      <x:c r="M182" s="22" t="str">
        <x:v>最終目的地への助走</x:v>
      </x:c>
      <x:c r="N182" s="22" t="str">
        <x:v>大きな問題なし</x:v>
      </x:c>
      <x:c r="O182" s="22" t="str">
        <x:v>維持</x:v>
      </x:c>
    </x:row>
    <x:row r="183">
      <x:c r="A183" s="22" t="str">
        <x:v>R095</x:v>
      </x:c>
      <x:c r="B183" s="22" t="str">
        <x:v>埼玉東部・堤と古墳</x:v>
      </x:c>
      <x:c r="C183" s="22" t="str">
        <x:v>昼専用</x:v>
      </x:c>
      <x:c r="D183" s="22" t="n">
        <x:v>1</x:v>
      </x:c>
      <x:c r="E183" s="22" t="str">
        <x:v>権現堂公園</x:v>
      </x:c>
      <x:c r="F183" s="22" t="n">
        <x:v>4</x:v>
      </x:c>
      <x:c r="G183" s="22" t="n">
        <x:v>4</x:v>
      </x:c>
      <x:c r="H183" s="22" t="n">
        <x:v>4</x:v>
      </x:c>
      <x:c r="I183" s="22" t="n">
        <x:v>2</x:v>
      </x:c>
      <x:c r="J183" s="22" t="n">
        <x:v>4</x:v>
      </x:c>
      <x:c r="K183" s="22" t="n">
        <x:v>3</x:v>
      </x:c>
      <x:c r="L183" s="22" t="n">
        <x:v>72</x:v>
      </x:c>
      <x:c r="M183" s="22" t="str">
        <x:v>導入地点</x:v>
      </x:c>
      <x:c r="N183" s="22" t="str">
        <x:v>次地点との差が小さい</x:v>
      </x:c>
      <x:c r="O183" s="22" t="str">
        <x:v>維持</x:v>
      </x:c>
    </x:row>
    <x:row r="184">
      <x:c r="A184" s="22" t="str">
        <x:v>R095</x:v>
      </x:c>
      <x:c r="B184" s="22" t="str">
        <x:v>埼玉東部・堤と古墳</x:v>
      </x:c>
      <x:c r="C184" s="22" t="str">
        <x:v>昼専用</x:v>
      </x:c>
      <x:c r="D184" s="22" t="n">
        <x:v>2</x:v>
      </x:c>
      <x:c r="E184" s="22" t="str">
        <x:v>さきたま古墳公園</x:v>
      </x:c>
      <x:c r="F184" s="22" t="n">
        <x:v>5</x:v>
      </x:c>
      <x:c r="G184" s="22" t="n">
        <x:v>4</x:v>
      </x:c>
      <x:c r="H184" s="22" t="n">
        <x:v>5</x:v>
      </x:c>
      <x:c r="I184" s="22" t="n">
        <x:v>2</x:v>
      </x:c>
      <x:c r="J184" s="22" t="n">
        <x:v>4</x:v>
      </x:c>
      <x:c r="K184" s="22" t="n">
        <x:v>5</x:v>
      </x:c>
      <x:c r="L184" s="22" t="n">
        <x:v>85</x:v>
      </x:c>
      <x:c r="M184" s="22" t="str">
        <x:v>最終目的地への助走</x:v>
      </x:c>
      <x:c r="N184" s="22" t="str">
        <x:v>大きな問題なし</x:v>
      </x:c>
      <x:c r="O184" s="22" t="str">
        <x:v>維持</x:v>
      </x:c>
    </x:row>
    <x:row r="185">
      <x:c r="A185" s="22" t="str">
        <x:v>R096</x:v>
      </x:c>
      <x:c r="B185" s="22" t="str">
        <x:v>横浜南部・海から港へ</x:v>
      </x:c>
      <x:c r="C185" s="22" t="str">
        <x:v>通常</x:v>
      </x:c>
      <x:c r="D185" s="22" t="n">
        <x:v>1</x:v>
      </x:c>
      <x:c r="E185" s="22" t="str">
        <x:v>海の公園</x:v>
      </x:c>
      <x:c r="F185" s="22" t="n">
        <x:v>4</x:v>
      </x:c>
      <x:c r="G185" s="22" t="n">
        <x:v>5</x:v>
      </x:c>
      <x:c r="H185" s="22" t="n">
        <x:v>4</x:v>
      </x:c>
      <x:c r="I185" s="22" t="n">
        <x:v>3</x:v>
      </x:c>
      <x:c r="J185" s="22" t="n">
        <x:v>4</x:v>
      </x:c>
      <x:c r="K185" s="22" t="n">
        <x:v>4</x:v>
      </x:c>
      <x:c r="L185" s="22" t="n">
        <x:v>80</x:v>
      </x:c>
      <x:c r="M185" s="22" t="str">
        <x:v>導入地点</x:v>
      </x:c>
      <x:c r="N185" s="22" t="str">
        <x:v>大きな問題なし</x:v>
      </x:c>
      <x:c r="O185" s="22" t="str">
        <x:v>維持</x:v>
      </x:c>
    </x:row>
    <x:row r="186">
      <x:c r="A186" s="22" t="str">
        <x:v>R096</x:v>
      </x:c>
      <x:c r="B186" s="22" t="str">
        <x:v>横浜南部・海から港へ</x:v>
      </x:c>
      <x:c r="C186" s="22" t="str">
        <x:v>通常</x:v>
      </x:c>
      <x:c r="D186" s="22" t="n">
        <x:v>2</x:v>
      </x:c>
      <x:c r="E186" s="22" t="str">
        <x:v>野島公園</x:v>
      </x:c>
      <x:c r="F186" s="22" t="n">
        <x:v>4</x:v>
      </x:c>
      <x:c r="G186" s="22" t="n">
        <x:v>4</x:v>
      </x:c>
      <x:c r="H186" s="22" t="n">
        <x:v>5</x:v>
      </x:c>
      <x:c r="I186" s="22" t="n">
        <x:v>3</x:v>
      </x:c>
      <x:c r="J186" s="22" t="n">
        <x:v>4</x:v>
      </x:c>
      <x:c r="K186" s="22" t="n">
        <x:v>4</x:v>
      </x:c>
      <x:c r="L186" s="22" t="n">
        <x:v>81</x:v>
      </x:c>
      <x:c r="M186" s="22" t="str">
        <x:v>景観転換点</x:v>
      </x:c>
      <x:c r="N186" s="22" t="str">
        <x:v>大きな問題なし</x:v>
      </x:c>
      <x:c r="O186" s="22" t="str">
        <x:v>維持</x:v>
      </x:c>
    </x:row>
    <x:row r="187">
      <x:c r="A187" s="22" t="str">
        <x:v>R096</x:v>
      </x:c>
      <x:c r="B187" s="22" t="str">
        <x:v>横浜南部・海から港へ</x:v>
      </x:c>
      <x:c r="C187" s="22" t="str">
        <x:v>通常</x:v>
      </x:c>
      <x:c r="D187" s="22" t="n">
        <x:v>3</x:v>
      </x:c>
      <x:c r="E187" s="22" t="str">
        <x:v>磯子海づり施設</x:v>
      </x:c>
      <x:c r="F187" s="22" t="n">
        <x:v>4</x:v>
      </x:c>
      <x:c r="G187" s="22" t="n">
        <x:v>5</x:v>
      </x:c>
      <x:c r="H187" s="22" t="n">
        <x:v>3</x:v>
      </x:c>
      <x:c r="I187" s="22" t="n">
        <x:v>3</x:v>
      </x:c>
      <x:c r="J187" s="22" t="n">
        <x:v>4</x:v>
      </x:c>
      <x:c r="K187" s="22" t="n">
        <x:v>3</x:v>
      </x:c>
      <x:c r="L187" s="22" t="n">
        <x:v>74</x:v>
      </x:c>
      <x:c r="M187" s="22" t="str">
        <x:v>最終目的地への助走</x:v>
      </x:c>
      <x:c r="N187" s="22" t="str">
        <x:v>次地点との差が小さい</x:v>
      </x:c>
      <x:c r="O187" s="22" t="str">
        <x:v>維持</x:v>
      </x:c>
    </x:row>
    <x:row r="188">
      <x:c r="A188" s="22" t="str">
        <x:v>R097</x:v>
      </x:c>
      <x:c r="B188" s="22" t="str">
        <x:v>浦安ベイ・24時間海辺線</x:v>
      </x:c>
      <x:c r="C188" s="22" t="str">
        <x:v>通常</x:v>
      </x:c>
      <x:c r="D188" s="22" t="n">
        <x:v>1</x:v>
      </x:c>
      <x:c r="E188" s="22" t="str">
        <x:v>高洲海浜公園</x:v>
      </x:c>
      <x:c r="F188" s="22" t="n">
        <x:v>5</x:v>
      </x:c>
      <x:c r="G188" s="22" t="n">
        <x:v>5</x:v>
      </x:c>
      <x:c r="H188" s="22" t="n">
        <x:v>5</x:v>
      </x:c>
      <x:c r="I188" s="22" t="n">
        <x:v>4</x:v>
      </x:c>
      <x:c r="J188" s="22" t="n">
        <x:v>4</x:v>
      </x:c>
      <x:c r="K188" s="22" t="n">
        <x:v>4</x:v>
      </x:c>
      <x:c r="L188" s="22" t="n">
        <x:v>92</x:v>
      </x:c>
      <x:c r="M188" s="22" t="str">
        <x:v>導入地点</x:v>
      </x:c>
      <x:c r="N188" s="22" t="str">
        <x:v>大きな問題なし</x:v>
      </x:c>
      <x:c r="O188" s="22" t="str">
        <x:v>維持</x:v>
      </x:c>
    </x:row>
    <x:row r="189">
      <x:c r="A189" s="22" t="str">
        <x:v>R097</x:v>
      </x:c>
      <x:c r="B189" s="22" t="str">
        <x:v>浦安ベイ・24時間海辺線</x:v>
      </x:c>
      <x:c r="C189" s="22" t="str">
        <x:v>通常</x:v>
      </x:c>
      <x:c r="D189" s="22" t="n">
        <x:v>2</x:v>
      </x:c>
      <x:c r="E189" s="22" t="str">
        <x:v>浦安市総合公園</x:v>
      </x:c>
      <x:c r="F189" s="22" t="n">
        <x:v>5</x:v>
      </x:c>
      <x:c r="G189" s="22" t="n">
        <x:v>4</x:v>
      </x:c>
      <x:c r="H189" s="22" t="n">
        <x:v>5</x:v>
      </x:c>
      <x:c r="I189" s="22" t="n">
        <x:v>3</x:v>
      </x:c>
      <x:c r="J189" s="22" t="n">
        <x:v>4</x:v>
      </x:c>
      <x:c r="K189" s="22" t="n">
        <x:v>3</x:v>
      </x:c>
      <x:c r="L189" s="22" t="n">
        <x:v>84</x:v>
      </x:c>
      <x:c r="M189" s="22" t="str">
        <x:v>景観転換点</x:v>
      </x:c>
      <x:c r="N189" s="22" t="str">
        <x:v>次地点との差が小さい</x:v>
      </x:c>
      <x:c r="O189" s="22" t="str">
        <x:v>維持</x:v>
      </x:c>
    </x:row>
    <x:row r="190">
      <x:c r="A190" s="22" t="str">
        <x:v>R097</x:v>
      </x:c>
      <x:c r="B190" s="22" t="str">
        <x:v>浦安ベイ・24時間海辺線</x:v>
      </x:c>
      <x:c r="C190" s="22" t="str">
        <x:v>通常</x:v>
      </x:c>
      <x:c r="D190" s="22" t="n">
        <x:v>3</x:v>
      </x:c>
      <x:c r="E190" s="22" t="str">
        <x:v>葛西臨海公園</x:v>
      </x:c>
      <x:c r="F190" s="22" t="n">
        <x:v>5</x:v>
      </x:c>
      <x:c r="G190" s="22" t="n">
        <x:v>4</x:v>
      </x:c>
      <x:c r="H190" s="22" t="n">
        <x:v>5</x:v>
      </x:c>
      <x:c r="I190" s="22" t="n">
        <x:v>3</x:v>
      </x:c>
      <x:c r="J190" s="22" t="n">
        <x:v>4</x:v>
      </x:c>
      <x:c r="K190" s="22" t="n">
        <x:v>4</x:v>
      </x:c>
      <x:c r="L190" s="22" t="n">
        <x:v>86</x:v>
      </x:c>
      <x:c r="M190" s="22" t="str">
        <x:v>最終目的地への助走</x:v>
      </x:c>
      <x:c r="N190" s="22" t="str">
        <x:v>大きな問題なし</x:v>
      </x:c>
      <x:c r="O190" s="22" t="str">
        <x:v>維持</x:v>
      </x:c>
    </x:row>
    <x:row r="191">
      <x:c r="A191" s="22" t="str">
        <x:v>R098</x:v>
      </x:c>
      <x:c r="B191" s="22" t="str">
        <x:v>習志野ベイ・人工海浜線</x:v>
      </x:c>
      <x:c r="C191" s="22" t="str">
        <x:v>昼専用</x:v>
      </x:c>
      <x:c r="D191" s="22" t="n">
        <x:v>1</x:v>
      </x:c>
      <x:c r="E191" s="22" t="str">
        <x:v>香澄公園</x:v>
      </x:c>
      <x:c r="F191" s="22" t="n">
        <x:v>4</x:v>
      </x:c>
      <x:c r="G191" s="22" t="n">
        <x:v>5</x:v>
      </x:c>
      <x:c r="H191" s="22" t="n">
        <x:v>5</x:v>
      </x:c>
      <x:c r="I191" s="22" t="n">
        <x:v>3</x:v>
      </x:c>
      <x:c r="J191" s="22" t="n">
        <x:v>4</x:v>
      </x:c>
      <x:c r="K191" s="22" t="n">
        <x:v>5</x:v>
      </x:c>
      <x:c r="L191" s="22" t="n">
        <x:v>86</x:v>
      </x:c>
      <x:c r="M191" s="22" t="str">
        <x:v>導入地点</x:v>
      </x:c>
      <x:c r="N191" s="22" t="str">
        <x:v>大きな問題なし</x:v>
      </x:c>
      <x:c r="O191" s="22" t="str">
        <x:v>維持</x:v>
      </x:c>
    </x:row>
    <x:row r="192">
      <x:c r="A192" s="22" t="str">
        <x:v>R098</x:v>
      </x:c>
      <x:c r="B192" s="22" t="str">
        <x:v>習志野ベイ・人工海浜線</x:v>
      </x:c>
      <x:c r="C192" s="22" t="str">
        <x:v>昼専用</x:v>
      </x:c>
      <x:c r="D192" s="22" t="n">
        <x:v>2</x:v>
      </x:c>
      <x:c r="E192" s="22" t="str">
        <x:v>茜浜緑地・海浜公園</x:v>
      </x:c>
      <x:c r="F192" s="22" t="n">
        <x:v>4</x:v>
      </x:c>
      <x:c r="G192" s="22" t="n">
        <x:v>5</x:v>
      </x:c>
      <x:c r="H192" s="22" t="n">
        <x:v>5</x:v>
      </x:c>
      <x:c r="I192" s="22" t="n">
        <x:v>3</x:v>
      </x:c>
      <x:c r="J192" s="22" t="n">
        <x:v>4</x:v>
      </x:c>
      <x:c r="K192" s="22" t="n">
        <x:v>3</x:v>
      </x:c>
      <x:c r="L192" s="22" t="n">
        <x:v>82</x:v>
      </x:c>
      <x:c r="M192" s="22" t="str">
        <x:v>景観転換点</x:v>
      </x:c>
      <x:c r="N192" s="22" t="str">
        <x:v>次地点との差が小さい</x:v>
      </x:c>
      <x:c r="O192" s="22" t="str">
        <x:v>維持</x:v>
      </x:c>
    </x:row>
    <x:row r="193">
      <x:c r="A193" s="22" t="str">
        <x:v>R098</x:v>
      </x:c>
      <x:c r="B193" s="22" t="str">
        <x:v>習志野ベイ・人工海浜線</x:v>
      </x:c>
      <x:c r="C193" s="22" t="str">
        <x:v>昼専用</x:v>
      </x:c>
      <x:c r="D193" s="22" t="n">
        <x:v>3</x:v>
      </x:c>
      <x:c r="E193" s="22" t="str">
        <x:v>検見川の浜・稲毛ヨットハーバー</x:v>
      </x:c>
      <x:c r="F193" s="22" t="n">
        <x:v>4</x:v>
      </x:c>
      <x:c r="G193" s="22" t="n">
        <x:v>5</x:v>
      </x:c>
      <x:c r="H193" s="22" t="n">
        <x:v>5</x:v>
      </x:c>
      <x:c r="I193" s="22" t="n">
        <x:v>3</x:v>
      </x:c>
      <x:c r="J193" s="22" t="n">
        <x:v>4</x:v>
      </x:c>
      <x:c r="K193" s="22" t="n">
        <x:v>4</x:v>
      </x:c>
      <x:c r="L193" s="22" t="n">
        <x:v>84</x:v>
      </x:c>
      <x:c r="M193" s="22" t="str">
        <x:v>最終目的地への助走</x:v>
      </x:c>
      <x:c r="N193" s="22" t="str">
        <x:v>大きな問題なし</x:v>
      </x:c>
      <x:c r="O193" s="22" t="str">
        <x:v>維持</x:v>
      </x:c>
    </x:row>
    <x:row r="194">
      <x:c r="A194" s="22" t="str">
        <x:v>R099</x:v>
      </x:c>
      <x:c r="B194" s="22" t="str">
        <x:v>房総へのSAグルメライン</x:v>
      </x:c>
      <x:c r="C194" s="22" t="str">
        <x:v>高速方向制約</x:v>
      </x:c>
      <x:c r="D194" s="22" t="n">
        <x:v>1</x:v>
      </x:c>
      <x:c r="E194" s="22" t="str">
        <x:v>Pasar幕張（下り）</x:v>
      </x:c>
      <x:c r="F194" s="22" t="n">
        <x:v>2</x:v>
      </x:c>
      <x:c r="G194" s="22" t="n">
        <x:v>5</x:v>
      </x:c>
      <x:c r="H194" s="22" t="n">
        <x:v>5</x:v>
      </x:c>
      <x:c r="I194" s="22" t="n">
        <x:v>3</x:v>
      </x:c>
      <x:c r="J194" s="22" t="n">
        <x:v>4</x:v>
      </x:c>
      <x:c r="K194" s="22" t="n">
        <x:v>3</x:v>
      </x:c>
      <x:c r="L194" s="22" t="n">
        <x:v>72</x:v>
      </x:c>
      <x:c r="M194" s="22" t="str">
        <x:v>導入地点</x:v>
      </x:c>
      <x:c r="N194" s="22" t="str">
        <x:v>駐車が弱い／次地点との差が小さい</x:v>
      </x:c>
      <x:c r="O194" s="22" t="str">
        <x:v>維持</x:v>
      </x:c>
    </x:row>
    <x:row r="195">
      <x:c r="A195" s="22" t="str">
        <x:v>R099</x:v>
      </x:c>
      <x:c r="B195" s="22" t="str">
        <x:v>房総へのSAグルメライン</x:v>
      </x:c>
      <x:c r="C195" s="22" t="str">
        <x:v>高速方向制約</x:v>
      </x:c>
      <x:c r="D195" s="22" t="n">
        <x:v>2</x:v>
      </x:c>
      <x:c r="E195" s="22" t="str">
        <x:v>市原SA（下り）</x:v>
      </x:c>
      <x:c r="F195" s="22" t="n">
        <x:v>5</x:v>
      </x:c>
      <x:c r="G195" s="22" t="n">
        <x:v>5</x:v>
      </x:c>
      <x:c r="H195" s="22" t="n">
        <x:v>5</x:v>
      </x:c>
      <x:c r="I195" s="22" t="n">
        <x:v>3</x:v>
      </x:c>
      <x:c r="J195" s="22" t="n">
        <x:v>4</x:v>
      </x:c>
      <x:c r="K195" s="22" t="n">
        <x:v>5</x:v>
      </x:c>
      <x:c r="L195" s="22" t="n">
        <x:v>91</x:v>
      </x:c>
      <x:c r="M195" s="22" t="str">
        <x:v>景観転換点</x:v>
      </x:c>
      <x:c r="N195" s="22" t="str">
        <x:v>大きな問題なし</x:v>
      </x:c>
      <x:c r="O195" s="22" t="str">
        <x:v>維持</x:v>
      </x:c>
    </x:row>
    <x:row r="196">
      <x:c r="A196" s="22" t="str">
        <x:v>R099</x:v>
      </x:c>
      <x:c r="B196" s="22" t="str">
        <x:v>房総へのSAグルメライン</x:v>
      </x:c>
      <x:c r="C196" s="22" t="str">
        <x:v>高速方向制約</x:v>
      </x:c>
      <x:c r="D196" s="22" t="n">
        <x:v>3</x:v>
      </x:c>
      <x:c r="E196" s="22" t="str">
        <x:v>袖ケ浦公園</x:v>
      </x:c>
      <x:c r="F196" s="22" t="n">
        <x:v>5</x:v>
      </x:c>
      <x:c r="G196" s="22" t="n">
        <x:v>4</x:v>
      </x:c>
      <x:c r="H196" s="22" t="n">
        <x:v>5</x:v>
      </x:c>
      <x:c r="I196" s="22" t="n">
        <x:v>2</x:v>
      </x:c>
      <x:c r="J196" s="22" t="n">
        <x:v>4</x:v>
      </x:c>
      <x:c r="K196" s="22" t="n">
        <x:v>4</x:v>
      </x:c>
      <x:c r="L196" s="22" t="n">
        <x:v>83</x:v>
      </x:c>
      <x:c r="M196" s="22" t="str">
        <x:v>最終目的地への助走</x:v>
      </x:c>
      <x:c r="N196" s="22" t="str">
        <x:v>大きな問題なし</x:v>
      </x:c>
      <x:c r="O196" s="22" t="str">
        <x:v>維持</x:v>
      </x:c>
    </x:row>
    <x:row r="197">
      <x:c r="A197" s="22" t="str">
        <x:v>R100</x:v>
      </x:c>
      <x:c r="B197" s="22" t="str">
        <x:v>房総帰路・三段回復</x:v>
      </x:c>
      <x:c r="C197" s="22" t="str">
        <x:v>高速方向制約</x:v>
      </x:c>
      <x:c r="D197" s="22" t="n">
        <x:v>1</x:v>
      </x:c>
      <x:c r="E197" s="22" t="str">
        <x:v>市原SA（上り）</x:v>
      </x:c>
      <x:c r="F197" s="22" t="n">
        <x:v>5</x:v>
      </x:c>
      <x:c r="G197" s="22" t="n">
        <x:v>5</x:v>
      </x:c>
      <x:c r="H197" s="22" t="n">
        <x:v>5</x:v>
      </x:c>
      <x:c r="I197" s="22" t="n">
        <x:v>3</x:v>
      </x:c>
      <x:c r="J197" s="22" t="n">
        <x:v>4</x:v>
      </x:c>
      <x:c r="K197" s="22" t="n">
        <x:v>3</x:v>
      </x:c>
      <x:c r="L197" s="22" t="n">
        <x:v>87</x:v>
      </x:c>
      <x:c r="M197" s="22" t="str">
        <x:v>導入地点</x:v>
      </x:c>
      <x:c r="N197" s="22" t="str">
        <x:v>次地点との差が小さい</x:v>
      </x:c>
      <x:c r="O197" s="22" t="str">
        <x:v>維持</x:v>
      </x:c>
    </x:row>
    <x:row r="198">
      <x:c r="A198" s="22" t="str">
        <x:v>R100</x:v>
      </x:c>
      <x:c r="B198" s="22" t="str">
        <x:v>房総帰路・三段回復</x:v>
      </x:c>
      <x:c r="C198" s="22" t="str">
        <x:v>高速方向制約</x:v>
      </x:c>
      <x:c r="D198" s="22" t="n">
        <x:v>2</x:v>
      </x:c>
      <x:c r="E198" s="22" t="str">
        <x:v>Pasar幕張（上り）</x:v>
      </x:c>
      <x:c r="F198" s="22" t="n">
        <x:v>5</x:v>
      </x:c>
      <x:c r="G198" s="22" t="n">
        <x:v>5</x:v>
      </x:c>
      <x:c r="H198" s="22" t="n">
        <x:v>5</x:v>
      </x:c>
      <x:c r="I198" s="22" t="n">
        <x:v>3</x:v>
      </x:c>
      <x:c r="J198" s="22" t="n">
        <x:v>4</x:v>
      </x:c>
      <x:c r="K198" s="22" t="n">
        <x:v>4</x:v>
      </x:c>
      <x:c r="L198" s="22" t="n">
        <x:v>89</x:v>
      </x:c>
      <x:c r="M198" s="22" t="str">
        <x:v>景観転換点</x:v>
      </x:c>
      <x:c r="N198" s="22" t="str">
        <x:v>大きな問題なし</x:v>
      </x:c>
      <x:c r="O198" s="22" t="str">
        <x:v>維持</x:v>
      </x:c>
    </x:row>
    <x:row r="199">
      <x:c r="A199" s="22" t="str">
        <x:v>R100</x:v>
      </x:c>
      <x:c r="B199" s="22" t="str">
        <x:v>房総帰路・三段回復</x:v>
      </x:c>
      <x:c r="C199" s="22" t="str">
        <x:v>高速方向制約</x:v>
      </x:c>
      <x:c r="D199" s="22" t="n">
        <x:v>3</x:v>
      </x:c>
      <x:c r="E199" s="22" t="str">
        <x:v>湾岸幕張PA（上り）</x:v>
      </x:c>
      <x:c r="F199" s="22" t="n">
        <x:v>5</x:v>
      </x:c>
      <x:c r="G199" s="22" t="n">
        <x:v>5</x:v>
      </x:c>
      <x:c r="H199" s="22" t="n">
        <x:v>5</x:v>
      </x:c>
      <x:c r="I199" s="22" t="n">
        <x:v>3</x:v>
      </x:c>
      <x:c r="J199" s="22" t="n">
        <x:v>4</x:v>
      </x:c>
      <x:c r="K199" s="22" t="n">
        <x:v>4</x:v>
      </x:c>
      <x:c r="L199" s="22" t="n">
        <x:v>89</x:v>
      </x:c>
      <x:c r="M199" s="22" t="str">
        <x:v>最終目的地への助走</x:v>
      </x:c>
      <x:c r="N199" s="22" t="str">
        <x:v>大きな問題なし</x:v>
      </x:c>
      <x:c r="O199" s="22" t="str">
        <x:v>維持</x:v>
      </x:c>
    </x:row>
    <x:row r="200">
      <x:c r="A200" s="22" t="str">
        <x:v>R101</x:v>
      </x:c>
      <x:c r="B200" s="22" t="str">
        <x:v>観音崎アートと灯台</x:v>
      </x:c>
      <x:c r="C200" s="22" t="str">
        <x:v>昼専用</x:v>
      </x:c>
      <x:c r="D200" s="22" t="n">
        <x:v>1</x:v>
      </x:c>
      <x:c r="E200" s="22" t="str">
        <x:v>横須賀美術館 海の広場</x:v>
      </x:c>
      <x:c r="F200" s="22" t="n">
        <x:v>4</x:v>
      </x:c>
      <x:c r="G200" s="22" t="n">
        <x:v>2</x:v>
      </x:c>
      <x:c r="H200" s="22" t="n">
        <x:v>5</x:v>
      </x:c>
      <x:c r="I200" s="22" t="n">
        <x:v>3</x:v>
      </x:c>
      <x:c r="J200" s="22" t="n">
        <x:v>4</x:v>
      </x:c>
      <x:c r="K200" s="22" t="n">
        <x:v>4</x:v>
      </x:c>
      <x:c r="L200" s="22" t="n">
        <x:v>75</x:v>
      </x:c>
      <x:c r="M200" s="22" t="str">
        <x:v>導入地点</x:v>
      </x:c>
      <x:c r="N200" s="22" t="str">
        <x:v>短時間立寄りに重い</x:v>
      </x:c>
      <x:c r="O200" s="22" t="str">
        <x:v>維持</x:v>
      </x:c>
    </x:row>
    <x:row r="201">
      <x:c r="A201" s="22" t="str">
        <x:v>R101</x:v>
      </x:c>
      <x:c r="B201" s="22" t="str">
        <x:v>観音崎アートと灯台</x:v>
      </x:c>
      <x:c r="C201" s="22" t="str">
        <x:v>昼専用</x:v>
      </x:c>
      <x:c r="D201" s="22" t="n">
        <x:v>2</x:v>
      </x:c>
      <x:c r="E201" s="22" t="str">
        <x:v>観音埼灯台</x:v>
      </x:c>
      <x:c r="F201" s="22" t="n">
        <x:v>4</x:v>
      </x:c>
      <x:c r="G201" s="22" t="n">
        <x:v>5</x:v>
      </x:c>
      <x:c r="H201" s="22" t="n">
        <x:v>5</x:v>
      </x:c>
      <x:c r="I201" s="22" t="n">
        <x:v>2</x:v>
      </x:c>
      <x:c r="J201" s="22" t="n">
        <x:v>4</x:v>
      </x:c>
      <x:c r="K201" s="22" t="n">
        <x:v>4</x:v>
      </x:c>
      <x:c r="L201" s="22" t="n">
        <x:v>81</x:v>
      </x:c>
      <x:c r="M201" s="22" t="str">
        <x:v>景観転換点</x:v>
      </x:c>
      <x:c r="N201" s="22" t="str">
        <x:v>大きな問題なし</x:v>
      </x:c>
      <x:c r="O201" s="22" t="str">
        <x:v>維持</x:v>
      </x:c>
    </x:row>
    <x:row r="202">
      <x:c r="A202" s="22" t="str">
        <x:v>R101</x:v>
      </x:c>
      <x:c r="B202" s="22" t="str">
        <x:v>観音崎アートと灯台</x:v>
      </x:c>
      <x:c r="C202" s="22" t="str">
        <x:v>昼専用</x:v>
      </x:c>
      <x:c r="D202" s="22" t="n">
        <x:v>3</x:v>
      </x:c>
      <x:c r="E202" s="22" t="str">
        <x:v>観音崎公園</x:v>
      </x:c>
      <x:c r="F202" s="22" t="n">
        <x:v>4</x:v>
      </x:c>
      <x:c r="G202" s="22" t="n">
        <x:v>5</x:v>
      </x:c>
      <x:c r="H202" s="22" t="n">
        <x:v>5</x:v>
      </x:c>
      <x:c r="I202" s="22" t="n">
        <x:v>3</x:v>
      </x:c>
      <x:c r="J202" s="22" t="n">
        <x:v>4</x:v>
      </x:c>
      <x:c r="K202" s="22" t="n">
        <x:v>4</x:v>
      </x:c>
      <x:c r="L202" s="22" t="n">
        <x:v>84</x:v>
      </x:c>
      <x:c r="M202" s="22" t="str">
        <x:v>最終目的地への助走</x:v>
      </x:c>
      <x:c r="N202" s="22" t="str">
        <x:v>大きな問題なし</x:v>
      </x:c>
      <x:c r="O202" s="22" t="str">
        <x:v>維持</x:v>
      </x:c>
    </x:row>
    <x:row r="203">
      <x:c r="A203" s="22" t="str">
        <x:v>R102</x:v>
      </x:c>
      <x:c r="B203" s="22" t="str">
        <x:v>浦賀水道・近代化の物語</x:v>
      </x:c>
      <x:c r="C203" s="22" t="str">
        <x:v>通常</x:v>
      </x:c>
      <x:c r="D203" s="22" t="n">
        <x:v>1</x:v>
      </x:c>
      <x:c r="E203" s="22" t="str">
        <x:v>ヴェルニー公園</x:v>
      </x:c>
      <x:c r="F203" s="22" t="n">
        <x:v>2</x:v>
      </x:c>
      <x:c r="G203" s="22" t="n">
        <x:v>5</x:v>
      </x:c>
      <x:c r="H203" s="22" t="n">
        <x:v>5</x:v>
      </x:c>
      <x:c r="I203" s="22" t="n">
        <x:v>3</x:v>
      </x:c>
      <x:c r="J203" s="22" t="n">
        <x:v>4</x:v>
      </x:c>
      <x:c r="K203" s="22" t="n">
        <x:v>4</x:v>
      </x:c>
      <x:c r="L203" s="22" t="n">
        <x:v>74</x:v>
      </x:c>
      <x:c r="M203" s="22" t="str">
        <x:v>導入地点</x:v>
      </x:c>
      <x:c r="N203" s="22" t="str">
        <x:v>駐車が弱い</x:v>
      </x:c>
      <x:c r="O203" s="22" t="str">
        <x:v>維持</x:v>
      </x:c>
    </x:row>
    <x:row r="204">
      <x:c r="A204" s="22" t="str">
        <x:v>R102</x:v>
      </x:c>
      <x:c r="B204" s="22" t="str">
        <x:v>浦賀水道・近代化の物語</x:v>
      </x:c>
      <x:c r="C204" s="22" t="str">
        <x:v>通常</x:v>
      </x:c>
      <x:c r="D204" s="22" t="n">
        <x:v>2</x:v>
      </x:c>
      <x:c r="E204" s="22" t="str">
        <x:v>観音埼灯台</x:v>
      </x:c>
      <x:c r="F204" s="22" t="n">
        <x:v>4</x:v>
      </x:c>
      <x:c r="G204" s="22" t="n">
        <x:v>5</x:v>
      </x:c>
      <x:c r="H204" s="22" t="n">
        <x:v>1</x:v>
      </x:c>
      <x:c r="I204" s="22" t="n">
        <x:v>2</x:v>
      </x:c>
      <x:c r="J204" s="22" t="n">
        <x:v>4</x:v>
      </x:c>
      <x:c r="K204" s="22" t="n">
        <x:v>4</x:v>
      </x:c>
      <x:c r="L204" s="22" t="n">
        <x:v>65</x:v>
      </x:c>
      <x:c r="M204" s="22" t="str">
        <x:v>景観転換点</x:v>
      </x:c>
      <x:c r="N204" s="22" t="str">
        <x:v>時間帯不一致</x:v>
      </x:c>
      <x:c r="O204" s="22" t="str">
        <x:v>維持</x:v>
      </x:c>
    </x:row>
    <x:row r="205">
      <x:c r="A205" s="22" t="str">
        <x:v>R102</x:v>
      </x:c>
      <x:c r="B205" s="22" t="str">
        <x:v>浦賀水道・近代化の物語</x:v>
      </x:c>
      <x:c r="C205" s="22" t="str">
        <x:v>通常</x:v>
      </x:c>
      <x:c r="D205" s="22" t="n">
        <x:v>3</x:v>
      </x:c>
      <x:c r="E205" s="22" t="str">
        <x:v>燈明堂緑地</x:v>
      </x:c>
      <x:c r="F205" s="22" t="n">
        <x:v>4</x:v>
      </x:c>
      <x:c r="G205" s="22" t="n">
        <x:v>4</x:v>
      </x:c>
      <x:c r="H205" s="22" t="n">
        <x:v>3</x:v>
      </x:c>
      <x:c r="I205" s="22" t="n">
        <x:v>3</x:v>
      </x:c>
      <x:c r="J205" s="22" t="n">
        <x:v>4</x:v>
      </x:c>
      <x:c r="K205" s="22" t="n">
        <x:v>3</x:v>
      </x:c>
      <x:c r="L205" s="22" t="n">
        <x:v>71</x:v>
      </x:c>
      <x:c r="M205" s="22" t="str">
        <x:v>最終目的地への助走</x:v>
      </x:c>
      <x:c r="N205" s="22" t="str">
        <x:v>次地点との差が小さい</x:v>
      </x:c>
      <x:c r="O205" s="22" t="str">
        <x:v>維持</x:v>
      </x:c>
    </x:row>
    <x:row r="206">
      <x:c r="A206" s="22" t="str">
        <x:v>R103</x:v>
      </x:c>
      <x:c r="B206" s="22" t="str">
        <x:v>葉山・美術と御用邸の庭</x:v>
      </x:c>
      <x:c r="C206" s="22" t="str">
        <x:v>昼専用</x:v>
      </x:c>
      <x:c r="D206" s="22" t="n">
        <x:v>1</x:v>
      </x:c>
      <x:c r="E206" s="22" t="str">
        <x:v>神奈川県立近代美術館 葉山館</x:v>
      </x:c>
      <x:c r="F206" s="22" t="n">
        <x:v>4</x:v>
      </x:c>
      <x:c r="G206" s="22" t="n">
        <x:v>2</x:v>
      </x:c>
      <x:c r="H206" s="22" t="n">
        <x:v>5</x:v>
      </x:c>
      <x:c r="I206" s="22" t="n">
        <x:v>4</x:v>
      </x:c>
      <x:c r="J206" s="22" t="n">
        <x:v>4</x:v>
      </x:c>
      <x:c r="K206" s="22" t="n">
        <x:v>5</x:v>
      </x:c>
      <x:c r="L206" s="22" t="n">
        <x:v>80</x:v>
      </x:c>
      <x:c r="M206" s="22" t="str">
        <x:v>導入地点</x:v>
      </x:c>
      <x:c r="N206" s="22" t="str">
        <x:v>短時間立寄りに重い</x:v>
      </x:c>
      <x:c r="O206" s="22" t="str">
        <x:v>維持</x:v>
      </x:c>
    </x:row>
    <x:row r="207">
      <x:c r="A207" s="22" t="str">
        <x:v>R103</x:v>
      </x:c>
      <x:c r="B207" s="22" t="str">
        <x:v>葉山・美術と御用邸の庭</x:v>
      </x:c>
      <x:c r="C207" s="22" t="str">
        <x:v>昼専用</x:v>
      </x:c>
      <x:c r="D207" s="22" t="n">
        <x:v>2</x:v>
      </x:c>
      <x:c r="E207" s="22" t="str">
        <x:v>葉山しおさい公園</x:v>
      </x:c>
      <x:c r="F207" s="22" t="n">
        <x:v>4</x:v>
      </x:c>
      <x:c r="G207" s="22" t="n">
        <x:v>2</x:v>
      </x:c>
      <x:c r="H207" s="22" t="n">
        <x:v>5</x:v>
      </x:c>
      <x:c r="I207" s="22" t="n">
        <x:v>4</x:v>
      </x:c>
      <x:c r="J207" s="22" t="n">
        <x:v>4</x:v>
      </x:c>
      <x:c r="K207" s="22" t="n">
        <x:v>3</x:v>
      </x:c>
      <x:c r="L207" s="22" t="n">
        <x:v>76</x:v>
      </x:c>
      <x:c r="M207" s="22" t="str">
        <x:v>景観転換点</x:v>
      </x:c>
      <x:c r="N207" s="22" t="str">
        <x:v>短時間立寄りに重い／次地点との差が小さい</x:v>
      </x:c>
      <x:c r="O207" s="22" t="str">
        <x:v>維持</x:v>
      </x:c>
    </x:row>
    <x:row r="208">
      <x:c r="A208" s="22" t="str">
        <x:v>R103</x:v>
      </x:c>
      <x:c r="B208" s="22" t="str">
        <x:v>葉山・美術と御用邸の庭</x:v>
      </x:c>
      <x:c r="C208" s="22" t="str">
        <x:v>昼専用</x:v>
      </x:c>
      <x:c r="D208" s="22" t="n">
        <x:v>3</x:v>
      </x:c>
      <x:c r="E208" s="22" t="str">
        <x:v>県立葉山公園</x:v>
      </x:c>
      <x:c r="F208" s="22" t="n">
        <x:v>1</x:v>
      </x:c>
      <x:c r="G208" s="22" t="n">
        <x:v>4</x:v>
      </x:c>
      <x:c r="H208" s="22" t="n">
        <x:v>4</x:v>
      </x:c>
      <x:c r="I208" s="22" t="n">
        <x:v>2</x:v>
      </x:c>
      <x:c r="J208" s="22" t="n">
        <x:v>4</x:v>
      </x:c>
      <x:c r="K208" s="22" t="n">
        <x:v>3</x:v>
      </x:c>
      <x:c r="L208" s="22" t="n">
        <x:v>57</x:v>
      </x:c>
      <x:c r="M208" s="22" t="str">
        <x:v>最終目的地への助走</x:v>
      </x:c>
      <x:c r="N208" s="22" t="str">
        <x:v>駐車が弱い／次地点との差が小さい</x:v>
      </x:c>
      <x:c r="O208" s="22" t="str">
        <x:v>維持</x:v>
      </x:c>
    </x:row>
    <x:row r="209">
      <x:c r="A209" s="22" t="str">
        <x:v>R104</x:v>
      </x:c>
      <x:c r="B209" s="22" t="str">
        <x:v>宮ヶ瀬ダム構造体験</x:v>
      </x:c>
      <x:c r="C209" s="22" t="str">
        <x:v>昼専用</x:v>
      </x:c>
      <x:c r="D209" s="22" t="n">
        <x:v>1</x:v>
      </x:c>
      <x:c r="E209" s="22" t="str">
        <x:v>県立あいかわ公園</x:v>
      </x:c>
      <x:c r="F209" s="22" t="n">
        <x:v>4</x:v>
      </x:c>
      <x:c r="G209" s="22" t="n">
        <x:v>5</x:v>
      </x:c>
      <x:c r="H209" s="22" t="n">
        <x:v>4</x:v>
      </x:c>
      <x:c r="I209" s="22" t="n">
        <x:v>3</x:v>
      </x:c>
      <x:c r="J209" s="22" t="n">
        <x:v>4</x:v>
      </x:c>
      <x:c r="K209" s="22" t="n">
        <x:v>4</x:v>
      </x:c>
      <x:c r="L209" s="22" t="n">
        <x:v>80</x:v>
      </x:c>
      <x:c r="M209" s="22" t="str">
        <x:v>導入地点</x:v>
      </x:c>
      <x:c r="N209" s="22" t="str">
        <x:v>大きな問題なし</x:v>
      </x:c>
      <x:c r="O209" s="22" t="str">
        <x:v>維持</x:v>
      </x:c>
    </x:row>
    <x:row r="210">
      <x:c r="A210" s="22" t="str">
        <x:v>R104</x:v>
      </x:c>
      <x:c r="B210" s="22" t="str">
        <x:v>宮ヶ瀬ダム構造体験</x:v>
      </x:c>
      <x:c r="C210" s="22" t="str">
        <x:v>昼専用</x:v>
      </x:c>
      <x:c r="D210" s="22" t="n">
        <x:v>2</x:v>
      </x:c>
      <x:c r="E210" s="22" t="str">
        <x:v>宮ヶ瀬ダム 水とエネルギー館</x:v>
      </x:c>
      <x:c r="F210" s="22" t="n">
        <x:v>4</x:v>
      </x:c>
      <x:c r="G210" s="22" t="n">
        <x:v>5</x:v>
      </x:c>
      <x:c r="H210" s="22" t="n">
        <x:v>4</x:v>
      </x:c>
      <x:c r="I210" s="22" t="n">
        <x:v>3</x:v>
      </x:c>
      <x:c r="J210" s="22" t="n">
        <x:v>4</x:v>
      </x:c>
      <x:c r="K210" s="22" t="n">
        <x:v>3</x:v>
      </x:c>
      <x:c r="L210" s="22" t="n">
        <x:v>78</x:v>
      </x:c>
      <x:c r="M210" s="22" t="str">
        <x:v>景観転換点</x:v>
      </x:c>
      <x:c r="N210" s="22" t="str">
        <x:v>次地点との差が小さい</x:v>
      </x:c>
      <x:c r="O210" s="22" t="str">
        <x:v>維持</x:v>
      </x:c>
    </x:row>
    <x:row r="211">
      <x:c r="A211" s="22" t="str">
        <x:v>R104</x:v>
      </x:c>
      <x:c r="B211" s="22" t="str">
        <x:v>宮ヶ瀬ダム構造体験</x:v>
      </x:c>
      <x:c r="C211" s="22" t="str">
        <x:v>昼専用</x:v>
      </x:c>
      <x:c r="D211" s="22" t="n">
        <x:v>3</x:v>
      </x:c>
      <x:c r="E211" s="22" t="str">
        <x:v>鳥居原園地</x:v>
      </x:c>
      <x:c r="F211" s="22" t="n">
        <x:v>4</x:v>
      </x:c>
      <x:c r="G211" s="22" t="n">
        <x:v>5</x:v>
      </x:c>
      <x:c r="H211" s="22" t="n">
        <x:v>5</x:v>
      </x:c>
      <x:c r="I211" s="22" t="n">
        <x:v>3</x:v>
      </x:c>
      <x:c r="J211" s="22" t="n">
        <x:v>4</x:v>
      </x:c>
      <x:c r="K211" s="22" t="n">
        <x:v>4</x:v>
      </x:c>
      <x:c r="L211" s="22" t="n">
        <x:v>84</x:v>
      </x:c>
      <x:c r="M211" s="22" t="str">
        <x:v>最終目的地への助走</x:v>
      </x:c>
      <x:c r="N211" s="22" t="str">
        <x:v>大きな問題なし</x:v>
      </x:c>
      <x:c r="O211" s="22" t="str">
        <x:v>維持</x:v>
      </x:c>
    </x:row>
    <x:row r="212">
      <x:c r="A212" s="22" t="str">
        <x:v>R105</x:v>
      </x:c>
      <x:c r="B212" s="22" t="str">
        <x:v>海老名SAから宮ヶ瀬へ</x:v>
      </x:c>
      <x:c r="C212" s="22" t="str">
        <x:v>高速方向制約</x:v>
      </x:c>
      <x:c r="D212" s="22" t="n">
        <x:v>1</x:v>
      </x:c>
      <x:c r="E212" s="22" t="str">
        <x:v>EXPASA海老名（下り）</x:v>
      </x:c>
      <x:c r="F212" s="22" t="n">
        <x:v>2</x:v>
      </x:c>
      <x:c r="G212" s="22" t="n">
        <x:v>5</x:v>
      </x:c>
      <x:c r="H212" s="22" t="n">
        <x:v>5</x:v>
      </x:c>
      <x:c r="I212" s="22" t="n">
        <x:v>3</x:v>
      </x:c>
      <x:c r="J212" s="22" t="n">
        <x:v>4</x:v>
      </x:c>
      <x:c r="K212" s="22" t="n">
        <x:v>4</x:v>
      </x:c>
      <x:c r="L212" s="22" t="n">
        <x:v>74</x:v>
      </x:c>
      <x:c r="M212" s="22" t="str">
        <x:v>導入地点</x:v>
      </x:c>
      <x:c r="N212" s="22" t="str">
        <x:v>駐車が弱い</x:v>
      </x:c>
      <x:c r="O212" s="22" t="str">
        <x:v>維持</x:v>
      </x:c>
    </x:row>
    <x:row r="213">
      <x:c r="A213" s="22" t="str">
        <x:v>R105</x:v>
      </x:c>
      <x:c r="B213" s="22" t="str">
        <x:v>海老名SAから宮ヶ瀬へ</x:v>
      </x:c>
      <x:c r="C213" s="22" t="str">
        <x:v>高速方向制約</x:v>
      </x:c>
      <x:c r="D213" s="22" t="n">
        <x:v>2</x:v>
      </x:c>
      <x:c r="E213" s="22" t="str">
        <x:v>県立あいかわ公園</x:v>
      </x:c>
      <x:c r="F213" s="22" t="n">
        <x:v>4</x:v>
      </x:c>
      <x:c r="G213" s="22" t="n">
        <x:v>5</x:v>
      </x:c>
      <x:c r="H213" s="22" t="n">
        <x:v>4</x:v>
      </x:c>
      <x:c r="I213" s="22" t="n">
        <x:v>2</x:v>
      </x:c>
      <x:c r="J213" s="22" t="n">
        <x:v>4</x:v>
      </x:c>
      <x:c r="K213" s="22" t="n">
        <x:v>4</x:v>
      </x:c>
      <x:c r="L213" s="22" t="n">
        <x:v>77</x:v>
      </x:c>
      <x:c r="M213" s="22" t="str">
        <x:v>景観転換点</x:v>
      </x:c>
      <x:c r="N213" s="22" t="str">
        <x:v>大きな問題なし</x:v>
      </x:c>
      <x:c r="O213" s="22" t="str">
        <x:v>維持</x:v>
      </x:c>
    </x:row>
    <x:row r="214">
      <x:c r="A214" s="22" t="str">
        <x:v>R105</x:v>
      </x:c>
      <x:c r="B214" s="22" t="str">
        <x:v>海老名SAから宮ヶ瀬へ</x:v>
      </x:c>
      <x:c r="C214" s="22" t="str">
        <x:v>高速方向制約</x:v>
      </x:c>
      <x:c r="D214" s="22" t="n">
        <x:v>3</x:v>
      </x:c>
      <x:c r="E214" s="22" t="str">
        <x:v>宮ヶ瀬ダム 水とエネルギー館</x:v>
      </x:c>
      <x:c r="F214" s="22" t="n">
        <x:v>4</x:v>
      </x:c>
      <x:c r="G214" s="22" t="n">
        <x:v>5</x:v>
      </x:c>
      <x:c r="H214" s="22" t="n">
        <x:v>4</x:v>
      </x:c>
      <x:c r="I214" s="22" t="n">
        <x:v>2</x:v>
      </x:c>
      <x:c r="J214" s="22" t="n">
        <x:v>4</x:v>
      </x:c>
      <x:c r="K214" s="22" t="n">
        <x:v>5</x:v>
      </x:c>
      <x:c r="L214" s="22" t="n">
        <x:v>79</x:v>
      </x:c>
      <x:c r="M214" s="22" t="str">
        <x:v>最終目的地への助走</x:v>
      </x:c>
      <x:c r="N214" s="22" t="str">
        <x:v>大きな問題なし</x:v>
      </x:c>
      <x:c r="O214" s="22" t="str">
        <x:v>維持</x:v>
      </x:c>
    </x:row>
    <x:row r="215">
      <x:c r="A215" s="22" t="str">
        <x:v>R106</x:v>
      </x:c>
      <x:c r="B215" s="22" t="str">
        <x:v>境川・湘南水系ライン</x:v>
      </x:c>
      <x:c r="C215" s="22" t="str">
        <x:v>昼専用</x:v>
      </x:c>
      <x:c r="D215" s="22" t="n">
        <x:v>1</x:v>
      </x:c>
      <x:c r="E215" s="22" t="str">
        <x:v>境川遊水地公園</x:v>
      </x:c>
      <x:c r="F215" s="22" t="n">
        <x:v>4</x:v>
      </x:c>
      <x:c r="G215" s="22" t="n">
        <x:v>4</x:v>
      </x:c>
      <x:c r="H215" s="22" t="n">
        <x:v>4</x:v>
      </x:c>
      <x:c r="I215" s="22" t="n">
        <x:v>2</x:v>
      </x:c>
      <x:c r="J215" s="22" t="n">
        <x:v>4</x:v>
      </x:c>
      <x:c r="K215" s="22" t="n">
        <x:v>3</x:v>
      </x:c>
      <x:c r="L215" s="22" t="n">
        <x:v>72</x:v>
      </x:c>
      <x:c r="M215" s="22" t="str">
        <x:v>導入地点</x:v>
      </x:c>
      <x:c r="N215" s="22" t="str">
        <x:v>次地点との差が小さい</x:v>
      </x:c>
      <x:c r="O215" s="22" t="str">
        <x:v>維持</x:v>
      </x:c>
    </x:row>
    <x:row r="216">
      <x:c r="A216" s="22" t="str">
        <x:v>R106</x:v>
      </x:c>
      <x:c r="B216" s="22" t="str">
        <x:v>境川・湘南水系ライン</x:v>
      </x:c>
      <x:c r="C216" s="22" t="str">
        <x:v>昼専用</x:v>
      </x:c>
      <x:c r="D216" s="22" t="n">
        <x:v>2</x:v>
      </x:c>
      <x:c r="E216" s="22" t="str">
        <x:v>県立座間谷戸山公園</x:v>
      </x:c>
      <x:c r="F216" s="22" t="n">
        <x:v>2</x:v>
      </x:c>
      <x:c r="G216" s="22" t="n">
        <x:v>5</x:v>
      </x:c>
      <x:c r="H216" s="22" t="n">
        <x:v>5</x:v>
      </x:c>
      <x:c r="I216" s="22" t="n">
        <x:v>2</x:v>
      </x:c>
      <x:c r="J216" s="22" t="n">
        <x:v>4</x:v>
      </x:c>
      <x:c r="K216" s="22" t="n">
        <x:v>5</x:v>
      </x:c>
      <x:c r="L216" s="22" t="n">
        <x:v>73</x:v>
      </x:c>
      <x:c r="M216" s="22" t="str">
        <x:v>景観転換点</x:v>
      </x:c>
      <x:c r="N216" s="22" t="str">
        <x:v>駐車が弱い</x:v>
      </x:c>
      <x:c r="O216" s="22" t="str">
        <x:v>維持</x:v>
      </x:c>
    </x:row>
    <x:row r="217">
      <x:c r="A217" s="22" t="str">
        <x:v>R106</x:v>
      </x:c>
      <x:c r="B217" s="22" t="str">
        <x:v>境川・湘南水系ライン</x:v>
      </x:c>
      <x:c r="C217" s="22" t="str">
        <x:v>昼専用</x:v>
      </x:c>
      <x:c r="D217" s="22" t="n">
        <x:v>3</x:v>
      </x:c>
      <x:c r="E217" s="22" t="str">
        <x:v>七里ヶ浜海岸駐車場</x:v>
      </x:c>
      <x:c r="F217" s="22" t="n">
        <x:v>4</x:v>
      </x:c>
      <x:c r="G217" s="22" t="n">
        <x:v>4</x:v>
      </x:c>
      <x:c r="H217" s="22" t="n">
        <x:v>5</x:v>
      </x:c>
      <x:c r="I217" s="22" t="n">
        <x:v>3</x:v>
      </x:c>
      <x:c r="J217" s="22" t="n">
        <x:v>4</x:v>
      </x:c>
      <x:c r="K217" s="22" t="n">
        <x:v>3</x:v>
      </x:c>
      <x:c r="L217" s="22" t="n">
        <x:v>79</x:v>
      </x:c>
      <x:c r="M217" s="22" t="str">
        <x:v>最終目的地への助走</x:v>
      </x:c>
      <x:c r="N217" s="22" t="str">
        <x:v>次地点との差が小さい</x:v>
      </x:c>
      <x:c r="O217" s="22" t="str">
        <x:v>維持</x:v>
      </x:c>
    </x:row>
    <x:row r="218">
      <x:c r="A218" s="22" t="str">
        <x:v>R107</x:v>
      </x:c>
      <x:c r="B218" s="22" t="str">
        <x:v>東京湾東岸PAショート</x:v>
      </x:c>
      <x:c r="C218" s="22" t="str">
        <x:v>高速方向制約</x:v>
      </x:c>
      <x:c r="D218" s="22" t="n">
        <x:v>1</x:v>
      </x:c>
      <x:c r="E218" s="22" t="str">
        <x:v>湾岸幕張PA（下り）</x:v>
      </x:c>
      <x:c r="F218" s="22" t="n">
        <x:v>5</x:v>
      </x:c>
      <x:c r="G218" s="22" t="n">
        <x:v>5</x:v>
      </x:c>
      <x:c r="H218" s="22" t="n">
        <x:v>5</x:v>
      </x:c>
      <x:c r="I218" s="22" t="n">
        <x:v>4</x:v>
      </x:c>
      <x:c r="J218" s="22" t="n">
        <x:v>4</x:v>
      </x:c>
      <x:c r="K218" s="22" t="n">
        <x:v>4</x:v>
      </x:c>
      <x:c r="L218" s="22" t="n">
        <x:v>92</x:v>
      </x:c>
      <x:c r="M218" s="22" t="str">
        <x:v>導入地点</x:v>
      </x:c>
      <x:c r="N218" s="22" t="str">
        <x:v>大きな問題なし</x:v>
      </x:c>
      <x:c r="O218" s="22" t="str">
        <x:v>維持</x:v>
      </x:c>
    </x:row>
    <x:row r="219">
      <x:c r="A219" s="22" t="str">
        <x:v>R107</x:v>
      </x:c>
      <x:c r="B219" s="22" t="str">
        <x:v>東京湾東岸PAショート</x:v>
      </x:c>
      <x:c r="C219" s="22" t="str">
        <x:v>高速方向制約</x:v>
      </x:c>
      <x:c r="D219" s="22" t="n">
        <x:v>2</x:v>
      </x:c>
      <x:c r="E219" s="22" t="str">
        <x:v>高洲海浜公園</x:v>
      </x:c>
      <x:c r="F219" s="22" t="n">
        <x:v>5</x:v>
      </x:c>
      <x:c r="G219" s="22" t="n">
        <x:v>5</x:v>
      </x:c>
      <x:c r="H219" s="22" t="n">
        <x:v>5</x:v>
      </x:c>
      <x:c r="I219" s="22" t="n">
        <x:v>3</x:v>
      </x:c>
      <x:c r="J219" s="22" t="n">
        <x:v>4</x:v>
      </x:c>
      <x:c r="K219" s="22" t="n">
        <x:v>4</x:v>
      </x:c>
      <x:c r="L219" s="22" t="n">
        <x:v>89</x:v>
      </x:c>
      <x:c r="M219" s="22" t="str">
        <x:v>景観転換点</x:v>
      </x:c>
      <x:c r="N219" s="22" t="str">
        <x:v>大きな問題なし</x:v>
      </x:c>
      <x:c r="O219" s="22" t="str">
        <x:v>維持</x:v>
      </x:c>
    </x:row>
    <x:row r="220">
      <x:c r="A220" s="22" t="str">
        <x:v>R107</x:v>
      </x:c>
      <x:c r="B220" s="22" t="str">
        <x:v>東京湾東岸PAショート</x:v>
      </x:c>
      <x:c r="C220" s="22" t="str">
        <x:v>高速方向制約</x:v>
      </x:c>
      <x:c r="D220" s="22" t="n">
        <x:v>3</x:v>
      </x:c>
      <x:c r="E220" s="22" t="str">
        <x:v>葛西臨海公園</x:v>
      </x:c>
      <x:c r="F220" s="22" t="n">
        <x:v>5</x:v>
      </x:c>
      <x:c r="G220" s="22" t="n">
        <x:v>4</x:v>
      </x:c>
      <x:c r="H220" s="22" t="n">
        <x:v>5</x:v>
      </x:c>
      <x:c r="I220" s="22" t="n">
        <x:v>3</x:v>
      </x:c>
      <x:c r="J220" s="22" t="n">
        <x:v>4</x:v>
      </x:c>
      <x:c r="K220" s="22" t="n">
        <x:v>4</x:v>
      </x:c>
      <x:c r="L220" s="22" t="n">
        <x:v>86</x:v>
      </x:c>
      <x:c r="M220" s="22" t="str">
        <x:v>最終目的地への助走</x:v>
      </x:c>
      <x:c r="N220" s="22" t="str">
        <x:v>大きな問題なし</x:v>
      </x:c>
      <x:c r="O220" s="22" t="str">
        <x:v>維持</x:v>
      </x:c>
    </x:row>
    <x:row r="221">
      <x:c r="A221" s="22" t="str">
        <x:v>R108</x:v>
      </x:c>
      <x:c r="B221" s="22" t="str">
        <x:v>海辺の建築三連</x:v>
      </x:c>
      <x:c r="C221" s="22" t="str">
        <x:v>昼専用</x:v>
      </x:c>
      <x:c r="D221" s="22" t="n">
        <x:v>1</x:v>
      </x:c>
      <x:c r="E221" s="22" t="str">
        <x:v>神奈川県立近代美術館 葉山館</x:v>
      </x:c>
      <x:c r="F221" s="22" t="n">
        <x:v>4</x:v>
      </x:c>
      <x:c r="G221" s="22" t="n">
        <x:v>2</x:v>
      </x:c>
      <x:c r="H221" s="22" t="n">
        <x:v>5</x:v>
      </x:c>
      <x:c r="I221" s="22" t="n">
        <x:v>3</x:v>
      </x:c>
      <x:c r="J221" s="22" t="n">
        <x:v>4</x:v>
      </x:c>
      <x:c r="K221" s="22" t="n">
        <x:v>3</x:v>
      </x:c>
      <x:c r="L221" s="22" t="n">
        <x:v>73</x:v>
      </x:c>
      <x:c r="M221" s="22" t="str">
        <x:v>導入地点</x:v>
      </x:c>
      <x:c r="N221" s="22" t="str">
        <x:v>短時間立寄りに重い／次地点との差が小さい</x:v>
      </x:c>
      <x:c r="O221" s="22" t="str">
        <x:v>維持</x:v>
      </x:c>
    </x:row>
    <x:row r="222">
      <x:c r="A222" s="22" t="str">
        <x:v>R108</x:v>
      </x:c>
      <x:c r="B222" s="22" t="str">
        <x:v>海辺の建築三連</x:v>
      </x:c>
      <x:c r="C222" s="22" t="str">
        <x:v>昼専用</x:v>
      </x:c>
      <x:c r="D222" s="22" t="n">
        <x:v>2</x:v>
      </x:c>
      <x:c r="E222" s="22" t="str">
        <x:v>横須賀美術館 海の広場</x:v>
      </x:c>
      <x:c r="F222" s="22" t="n">
        <x:v>4</x:v>
      </x:c>
      <x:c r="G222" s="22" t="n">
        <x:v>2</x:v>
      </x:c>
      <x:c r="H222" s="22" t="n">
        <x:v>5</x:v>
      </x:c>
      <x:c r="I222" s="22" t="n">
        <x:v>3</x:v>
      </x:c>
      <x:c r="J222" s="22" t="n">
        <x:v>4</x:v>
      </x:c>
      <x:c r="K222" s="22" t="n">
        <x:v>4</x:v>
      </x:c>
      <x:c r="L222" s="22" t="n">
        <x:v>75</x:v>
      </x:c>
      <x:c r="M222" s="22" t="str">
        <x:v>景観転換点</x:v>
      </x:c>
      <x:c r="N222" s="22" t="str">
        <x:v>短時間立寄りに重い</x:v>
      </x:c>
      <x:c r="O222" s="22" t="str">
        <x:v>維持</x:v>
      </x:c>
    </x:row>
    <x:row r="223">
      <x:c r="A223" s="22" t="str">
        <x:v>R108</x:v>
      </x:c>
      <x:c r="B223" s="22" t="str">
        <x:v>海辺の建築三連</x:v>
      </x:c>
      <x:c r="C223" s="22" t="str">
        <x:v>昼専用</x:v>
      </x:c>
      <x:c r="D223" s="22" t="n">
        <x:v>3</x:v>
      </x:c>
      <x:c r="E223" s="22" t="str">
        <x:v>観音埼灯台</x:v>
      </x:c>
      <x:c r="F223" s="22" t="n">
        <x:v>4</x:v>
      </x:c>
      <x:c r="G223" s="22" t="n">
        <x:v>5</x:v>
      </x:c>
      <x:c r="H223" s="22" t="n">
        <x:v>5</x:v>
      </x:c>
      <x:c r="I223" s="22" t="n">
        <x:v>2</x:v>
      </x:c>
      <x:c r="J223" s="22" t="n">
        <x:v>4</x:v>
      </x:c>
      <x:c r="K223" s="22" t="n">
        <x:v>4</x:v>
      </x:c>
      <x:c r="L223" s="22" t="n">
        <x:v>81</x:v>
      </x:c>
      <x:c r="M223" s="22" t="str">
        <x:v>最終目的地への助走</x:v>
      </x:c>
      <x:c r="N223" s="22" t="str">
        <x:v>大きな問題なし</x:v>
      </x:c>
      <x:c r="O223" s="22" t="str">
        <x:v>維持</x:v>
      </x:c>
    </x:row>
    <x:row r="224">
      <x:c r="A224" s="22" t="str">
        <x:v>R109</x:v>
      </x:c>
      <x:c r="B224" s="22" t="str">
        <x:v>成田A滑走路・低空進入線</x:v>
      </x:c>
      <x:c r="C224" s="22" t="str">
        <x:v>通常</x:v>
      </x:c>
      <x:c r="D224" s="22" t="n">
        <x:v>1</x:v>
      </x:c>
      <x:c r="E224" s="22" t="str">
        <x:v>成田空港 第1ターミナル展望デッキ</x:v>
      </x:c>
      <x:c r="F224" s="22" t="n">
        <x:v>5</x:v>
      </x:c>
      <x:c r="G224" s="22" t="n">
        <x:v>5</x:v>
      </x:c>
      <x:c r="H224" s="22" t="n">
        <x:v>4</x:v>
      </x:c>
      <x:c r="I224" s="22" t="n">
        <x:v>4</x:v>
      </x:c>
      <x:c r="J224" s="22" t="n">
        <x:v>4</x:v>
      </x:c>
      <x:c r="K224" s="22" t="n">
        <x:v>4</x:v>
      </x:c>
      <x:c r="L224" s="22" t="n">
        <x:v>88</x:v>
      </x:c>
      <x:c r="M224" s="22" t="str">
        <x:v>導入地点</x:v>
      </x:c>
      <x:c r="N224" s="22" t="str">
        <x:v>大きな問題なし</x:v>
      </x:c>
      <x:c r="O224" s="22" t="str">
        <x:v>維持</x:v>
      </x:c>
    </x:row>
    <x:row r="225">
      <x:c r="A225" s="22" t="str">
        <x:v>R109</x:v>
      </x:c>
      <x:c r="B225" s="22" t="str">
        <x:v>成田A滑走路・低空進入線</x:v>
      </x:c>
      <x:c r="C225" s="22" t="str">
        <x:v>通常</x:v>
      </x:c>
      <x:c r="D225" s="22" t="n">
        <x:v>2</x:v>
      </x:c>
      <x:c r="E225" s="22" t="str">
        <x:v>三里塚さくらの丘</x:v>
      </x:c>
      <x:c r="F225" s="22" t="n">
        <x:v>4</x:v>
      </x:c>
      <x:c r="G225" s="22" t="n">
        <x:v>5</x:v>
      </x:c>
      <x:c r="H225" s="22" t="n">
        <x:v>3</x:v>
      </x:c>
      <x:c r="I225" s="22" t="n">
        <x:v>3</x:v>
      </x:c>
      <x:c r="J225" s="22" t="n">
        <x:v>4</x:v>
      </x:c>
      <x:c r="K225" s="22" t="n">
        <x:v>4</x:v>
      </x:c>
      <x:c r="L225" s="22" t="n">
        <x:v>76</x:v>
      </x:c>
      <x:c r="M225" s="22" t="str">
        <x:v>最終目的地への助走</x:v>
      </x:c>
      <x:c r="N225" s="22" t="str">
        <x:v>大きな問題なし</x:v>
      </x:c>
      <x:c r="O225" s="22" t="str">
        <x:v>維持</x:v>
      </x:c>
    </x:row>
    <x:row r="226">
      <x:c r="A226" s="22" t="str">
        <x:v>R110</x:v>
      </x:c>
      <x:c r="B226" s="22" t="str">
        <x:v>小田原・魚と花の終着</x:v>
      </x:c>
      <x:c r="C226" s="22" t="str">
        <x:v>昼専用</x:v>
      </x:c>
      <x:c r="D226" s="22" t="n">
        <x:v>1</x:v>
      </x:c>
      <x:c r="E226" s="22" t="str">
        <x:v>漁港の駅 TOTOCO小田原</x:v>
      </x:c>
      <x:c r="F226" s="22" t="n">
        <x:v>2</x:v>
      </x:c>
      <x:c r="G226" s="22" t="n">
        <x:v>4</x:v>
      </x:c>
      <x:c r="H226" s="22" t="n">
        <x:v>5</x:v>
      </x:c>
      <x:c r="I226" s="22" t="n">
        <x:v>3</x:v>
      </x:c>
      <x:c r="J226" s="22" t="n">
        <x:v>4</x:v>
      </x:c>
      <x:c r="K226" s="22" t="n">
        <x:v>5</x:v>
      </x:c>
      <x:c r="L226" s="22" t="n">
        <x:v>73</x:v>
      </x:c>
      <x:c r="M226" s="22" t="str">
        <x:v>導入地点</x:v>
      </x:c>
      <x:c r="N226" s="22" t="str">
        <x:v>駐車が弱い</x:v>
      </x:c>
      <x:c r="O226" s="22" t="str">
        <x:v>維持</x:v>
      </x:c>
    </x:row>
    <x:row r="227">
      <x:c r="A227" s="22" t="str">
        <x:v>R110</x:v>
      </x:c>
      <x:c r="B227" s="22" t="str">
        <x:v>小田原・魚と花の終着</x:v>
      </x:c>
      <x:c r="C227" s="22" t="str">
        <x:v>昼専用</x:v>
      </x:c>
      <x:c r="D227" s="22" t="n">
        <x:v>2</x:v>
      </x:c>
      <x:c r="E227" s="22" t="str">
        <x:v>小田原城址公園</x:v>
      </x:c>
      <x:c r="F227" s="22" t="n">
        <x:v>5</x:v>
      </x:c>
      <x:c r="G227" s="22" t="n">
        <x:v>5</x:v>
      </x:c>
      <x:c r="H227" s="22" t="n">
        <x:v>5</x:v>
      </x:c>
      <x:c r="I227" s="22" t="n">
        <x:v>2</x:v>
      </x:c>
      <x:c r="J227" s="22" t="n">
        <x:v>4</x:v>
      </x:c>
      <x:c r="K227" s="22" t="n">
        <x:v>4</x:v>
      </x:c>
      <x:c r="L227" s="22" t="n">
        <x:v>86</x:v>
      </x:c>
      <x:c r="M227" s="22" t="str">
        <x:v>最終目的地への助走</x:v>
      </x:c>
      <x:c r="N227" s="22" t="str">
        <x:v>大きな問題なし</x:v>
      </x:c>
      <x:c r="O227" s="22" t="str">
        <x:v>維持</x:v>
      </x:c>
    </x:row>
    <x:row r="228">
      <x:c r="A228" s="22" t="str">
        <x:v>R111</x:v>
      </x:c>
      <x:c r="B228" s="22" t="str">
        <x:v>北条氏の城と漁港</x:v>
      </x:c>
      <x:c r="C228" s="22" t="str">
        <x:v>昼専用</x:v>
      </x:c>
      <x:c r="D228" s="22" t="n">
        <x:v>1</x:v>
      </x:c>
      <x:c r="E228" s="22" t="str">
        <x:v>小田原城址公園</x:v>
      </x:c>
      <x:c r="F228" s="22" t="n">
        <x:v>5</x:v>
      </x:c>
      <x:c r="G228" s="22" t="n">
        <x:v>5</x:v>
      </x:c>
      <x:c r="H228" s="22" t="n">
        <x:v>5</x:v>
      </x:c>
      <x:c r="I228" s="22" t="n">
        <x:v>3</x:v>
      </x:c>
      <x:c r="J228" s="22" t="n">
        <x:v>4</x:v>
      </x:c>
      <x:c r="K228" s="22" t="n">
        <x:v>4</x:v>
      </x:c>
      <x:c r="L228" s="22" t="n">
        <x:v>89</x:v>
      </x:c>
      <x:c r="M228" s="22" t="str">
        <x:v>導入地点</x:v>
      </x:c>
      <x:c r="N228" s="22" t="str">
        <x:v>大きな問題なし</x:v>
      </x:c>
      <x:c r="O228" s="22" t="str">
        <x:v>維持</x:v>
      </x:c>
    </x:row>
    <x:row r="229">
      <x:c r="A229" s="22" t="str">
        <x:v>R111</x:v>
      </x:c>
      <x:c r="B229" s="22" t="str">
        <x:v>北条氏の城と漁港</x:v>
      </x:c>
      <x:c r="C229" s="22" t="str">
        <x:v>昼専用</x:v>
      </x:c>
      <x:c r="D229" s="22" t="n">
        <x:v>2</x:v>
      </x:c>
      <x:c r="E229" s="22" t="str">
        <x:v>石垣山一夜城歴史公園</x:v>
      </x:c>
      <x:c r="F229" s="22" t="n">
        <x:v>4</x:v>
      </x:c>
      <x:c r="G229" s="22" t="n">
        <x:v>5</x:v>
      </x:c>
      <x:c r="H229" s="22" t="n">
        <x:v>4</x:v>
      </x:c>
      <x:c r="I229" s="22" t="n">
        <x:v>3</x:v>
      </x:c>
      <x:c r="J229" s="22" t="n">
        <x:v>4</x:v>
      </x:c>
      <x:c r="K229" s="22" t="n">
        <x:v>5</x:v>
      </x:c>
      <x:c r="L229" s="22" t="n">
        <x:v>82</x:v>
      </x:c>
      <x:c r="M229" s="22" t="str">
        <x:v>最終目的地への助走</x:v>
      </x:c>
      <x:c r="N229" s="22" t="str">
        <x:v>大きな問題なし</x:v>
      </x:c>
      <x:c r="O229" s="22" t="str">
        <x:v>維持</x:v>
      </x:c>
    </x:row>
    <x:row r="230">
      <x:c r="A230" s="22" t="str">
        <x:v>R112</x:v>
      </x:c>
      <x:c r="B230" s="22" t="str">
        <x:v>本牧から金沢の緑へ</x:v>
      </x:c>
      <x:c r="C230" s="22" t="str">
        <x:v>昼専用</x:v>
      </x:c>
      <x:c r="D230" s="22" t="n">
        <x:v>1</x:v>
      </x:c>
      <x:c r="E230" s="22" t="str">
        <x:v>三溪園</x:v>
      </x:c>
      <x:c r="F230" s="22" t="n">
        <x:v>4</x:v>
      </x:c>
      <x:c r="G230" s="22" t="n">
        <x:v>4</x:v>
      </x:c>
      <x:c r="H230" s="22" t="n">
        <x:v>5</x:v>
      </x:c>
      <x:c r="I230" s="22" t="n">
        <x:v>4</x:v>
      </x:c>
      <x:c r="J230" s="22" t="n">
        <x:v>4</x:v>
      </x:c>
      <x:c r="K230" s="22" t="n">
        <x:v>4</x:v>
      </x:c>
      <x:c r="L230" s="22" t="n">
        <x:v>84</x:v>
      </x:c>
      <x:c r="M230" s="22" t="str">
        <x:v>導入地点</x:v>
      </x:c>
      <x:c r="N230" s="22" t="str">
        <x:v>大きな問題なし</x:v>
      </x:c>
      <x:c r="O230" s="22" t="str">
        <x:v>維持</x:v>
      </x:c>
    </x:row>
    <x:row r="231">
      <x:c r="A231" s="22" t="str">
        <x:v>R112</x:v>
      </x:c>
      <x:c r="B231" s="22" t="str">
        <x:v>本牧から金沢の緑へ</x:v>
      </x:c>
      <x:c r="C231" s="22" t="str">
        <x:v>昼専用</x:v>
      </x:c>
      <x:c r="D231" s="22" t="n">
        <x:v>2</x:v>
      </x:c>
      <x:c r="E231" s="22" t="str">
        <x:v>金沢自然公園</x:v>
      </x:c>
      <x:c r="F231" s="22" t="n">
        <x:v>4</x:v>
      </x:c>
      <x:c r="G231" s="22" t="n">
        <x:v>2</x:v>
      </x:c>
      <x:c r="H231" s="22" t="n">
        <x:v>5</x:v>
      </x:c>
      <x:c r="I231" s="22" t="n">
        <x:v>4</x:v>
      </x:c>
      <x:c r="J231" s="22" t="n">
        <x:v>4</x:v>
      </x:c>
      <x:c r="K231" s="22" t="n">
        <x:v>3</x:v>
      </x:c>
      <x:c r="L231" s="22" t="n">
        <x:v>76</x:v>
      </x:c>
      <x:c r="M231" s="22" t="str">
        <x:v>最終目的地への助走</x:v>
      </x:c>
      <x:c r="N231" s="22" t="str">
        <x:v>短時間立寄りに重い／次地点との差が小さい</x:v>
      </x:c>
      <x:c r="O231" s="22" t="str">
        <x:v>維持</x:v>
      </x:c>
    </x:row>
    <x:row r="232">
      <x:c r="A232" s="22" t="str">
        <x:v>R113</x:v>
      </x:c>
      <x:c r="B232" s="22" t="str">
        <x:v>川崎丘陵・古代と現代</x:v>
      </x:c>
      <x:c r="C232" s="22" t="str">
        <x:v>通常</x:v>
      </x:c>
      <x:c r="D232" s="22" t="n">
        <x:v>1</x:v>
      </x:c>
      <x:c r="E232" s="22" t="str">
        <x:v>県立東高根森林公園</x:v>
      </x:c>
      <x:c r="F232" s="22" t="n">
        <x:v>4</x:v>
      </x:c>
      <x:c r="G232" s="22" t="n">
        <x:v>4</x:v>
      </x:c>
      <x:c r="H232" s="22" t="n">
        <x:v>3</x:v>
      </x:c>
      <x:c r="I232" s="22" t="n">
        <x:v>4</x:v>
      </x:c>
      <x:c r="J232" s="22" t="n">
        <x:v>4</x:v>
      </x:c>
      <x:c r="K232" s="22" t="n">
        <x:v>5</x:v>
      </x:c>
      <x:c r="L232" s="22" t="n">
        <x:v>78</x:v>
      </x:c>
      <x:c r="M232" s="22" t="str">
        <x:v>導入地点</x:v>
      </x:c>
      <x:c r="N232" s="22" t="str">
        <x:v>大きな問題なし</x:v>
      </x:c>
      <x:c r="O232" s="22" t="str">
        <x:v>維持</x:v>
      </x:c>
    </x:row>
    <x:row r="233">
      <x:c r="A233" s="22" t="str">
        <x:v>R113</x:v>
      </x:c>
      <x:c r="B233" s="22" t="str">
        <x:v>川崎丘陵・古代と現代</x:v>
      </x:c>
      <x:c r="C233" s="22" t="str">
        <x:v>通常</x:v>
      </x:c>
      <x:c r="D233" s="22" t="n">
        <x:v>2</x:v>
      </x:c>
      <x:c r="E233" s="22" t="str">
        <x:v>生田緑地・枡形山展望台</x:v>
      </x:c>
      <x:c r="F233" s="22" t="n">
        <x:v>4</x:v>
      </x:c>
      <x:c r="G233" s="22" t="n">
        <x:v>5</x:v>
      </x:c>
      <x:c r="H233" s="22" t="n">
        <x:v>5</x:v>
      </x:c>
      <x:c r="I233" s="22" t="n">
        <x:v>4</x:v>
      </x:c>
      <x:c r="J233" s="22" t="n">
        <x:v>4</x:v>
      </x:c>
      <x:c r="K233" s="22" t="n">
        <x:v>4</x:v>
      </x:c>
      <x:c r="L233" s="22" t="n">
        <x:v>87</x:v>
      </x:c>
      <x:c r="M233" s="22" t="str">
        <x:v>最終目的地への助走</x:v>
      </x:c>
      <x:c r="N233" s="22" t="str">
        <x:v>大きな問題なし</x:v>
      </x:c>
      <x:c r="O233" s="22" t="str">
        <x:v>維持</x:v>
      </x:c>
    </x:row>
    <x:row r="234">
      <x:c r="A234" s="22" t="str">
        <x:v>R114</x:v>
      </x:c>
      <x:c r="B234" s="22" t="str">
        <x:v>大宮・鉄道と県営公園</x:v>
      </x:c>
      <x:c r="C234" s="22" t="str">
        <x:v>通常</x:v>
      </x:c>
      <x:c r="D234" s="22" t="n">
        <x:v>1</x:v>
      </x:c>
      <x:c r="E234" s="22" t="str">
        <x:v>鉄道博物館</x:v>
      </x:c>
      <x:c r="F234" s="22" t="n">
        <x:v>4</x:v>
      </x:c>
      <x:c r="G234" s="22" t="n">
        <x:v>5</x:v>
      </x:c>
      <x:c r="H234" s="22" t="n">
        <x:v>3</x:v>
      </x:c>
      <x:c r="I234" s="22" t="n">
        <x:v>3</x:v>
      </x:c>
      <x:c r="J234" s="22" t="n">
        <x:v>4</x:v>
      </x:c>
      <x:c r="K234" s="22" t="n">
        <x:v>4</x:v>
      </x:c>
      <x:c r="L234" s="22" t="n">
        <x:v>76</x:v>
      </x:c>
      <x:c r="M234" s="22" t="str">
        <x:v>導入地点</x:v>
      </x:c>
      <x:c r="N234" s="22" t="str">
        <x:v>大きな問題なし</x:v>
      </x:c>
      <x:c r="O234" s="22" t="str">
        <x:v>維持</x:v>
      </x:c>
    </x:row>
    <x:row r="235">
      <x:c r="A235" s="22" t="str">
        <x:v>R114</x:v>
      </x:c>
      <x:c r="B235" s="22" t="str">
        <x:v>大宮・鉄道と県営公園</x:v>
      </x:c>
      <x:c r="C235" s="22" t="str">
        <x:v>通常</x:v>
      </x:c>
      <x:c r="D235" s="22" t="n">
        <x:v>2</x:v>
      </x:c>
      <x:c r="E235" s="22" t="str">
        <x:v>大宮公園</x:v>
      </x:c>
      <x:c r="F235" s="22" t="n">
        <x:v>5</x:v>
      </x:c>
      <x:c r="G235" s="22" t="n">
        <x:v>4</x:v>
      </x:c>
      <x:c r="H235" s="22" t="n">
        <x:v>5</x:v>
      </x:c>
      <x:c r="I235" s="22" t="n">
        <x:v>4</x:v>
      </x:c>
      <x:c r="J235" s="22" t="n">
        <x:v>4</x:v>
      </x:c>
      <x:c r="K235" s="22" t="n">
        <x:v>4</x:v>
      </x:c>
      <x:c r="L235" s="22" t="n">
        <x:v>89</x:v>
      </x:c>
      <x:c r="M235" s="22" t="str">
        <x:v>最終目的地への助走</x:v>
      </x:c>
      <x:c r="N235" s="22" t="str">
        <x:v>大きな問題なし</x:v>
      </x:c>
      <x:c r="O235" s="22" t="str">
        <x:v>維持</x:v>
      </x:c>
    </x:row>
    <x:row r="236">
      <x:c r="A236" s="22" t="str">
        <x:v>R115</x:v>
      </x:c>
      <x:c r="B236" s="22" t="str">
        <x:v>川越から大宮の水と森</x:v>
      </x:c>
      <x:c r="C236" s="22" t="str">
        <x:v>通常</x:v>
      </x:c>
      <x:c r="D236" s="22" t="n">
        <x:v>1</x:v>
      </x:c>
      <x:c r="E236" s="22" t="str">
        <x:v>川越水上公園</x:v>
      </x:c>
      <x:c r="F236" s="22" t="n">
        <x:v>4</x:v>
      </x:c>
      <x:c r="G236" s="22" t="n">
        <x:v>4</x:v>
      </x:c>
      <x:c r="H236" s="22" t="n">
        <x:v>3</x:v>
      </x:c>
      <x:c r="I236" s="22" t="n">
        <x:v>3</x:v>
      </x:c>
      <x:c r="J236" s="22" t="n">
        <x:v>4</x:v>
      </x:c>
      <x:c r="K236" s="22" t="n">
        <x:v>4</x:v>
      </x:c>
      <x:c r="L236" s="22" t="n">
        <x:v>73</x:v>
      </x:c>
      <x:c r="M236" s="22" t="str">
        <x:v>導入地点</x:v>
      </x:c>
      <x:c r="N236" s="22" t="str">
        <x:v>大きな問題なし</x:v>
      </x:c>
      <x:c r="O236" s="22" t="str">
        <x:v>維持</x:v>
      </x:c>
    </x:row>
    <x:row r="237">
      <x:c r="A237" s="22" t="str">
        <x:v>R115</x:v>
      </x:c>
      <x:c r="B237" s="22" t="str">
        <x:v>川越から大宮の水と森</x:v>
      </x:c>
      <x:c r="C237" s="22" t="str">
        <x:v>通常</x:v>
      </x:c>
      <x:c r="D237" s="22" t="n">
        <x:v>2</x:v>
      </x:c>
      <x:c r="E237" s="22" t="str">
        <x:v>大宮公園</x:v>
      </x:c>
      <x:c r="F237" s="22" t="n">
        <x:v>5</x:v>
      </x:c>
      <x:c r="G237" s="22" t="n">
        <x:v>4</x:v>
      </x:c>
      <x:c r="H237" s="22" t="n">
        <x:v>5</x:v>
      </x:c>
      <x:c r="I237" s="22" t="n">
        <x:v>4</x:v>
      </x:c>
      <x:c r="J237" s="22" t="n">
        <x:v>4</x:v>
      </x:c>
      <x:c r="K237" s="22" t="n">
        <x:v>4</x:v>
      </x:c>
      <x:c r="L237" s="22" t="n">
        <x:v>89</x:v>
      </x:c>
      <x:c r="M237" s="22" t="str">
        <x:v>最終目的地への助走</x:v>
      </x:c>
      <x:c r="N237" s="22" t="str">
        <x:v>大きな問題なし</x:v>
      </x:c>
      <x:c r="O237" s="22" t="str">
        <x:v>維持</x:v>
      </x:c>
    </x:row>
    <x:row r="238">
      <x:c r="A238" s="22" t="str">
        <x:v>R116</x:v>
      </x:c>
      <x:c r="B238" s="22" t="str">
        <x:v>八王子・二つの土の城</x:v>
      </x:c>
      <x:c r="C238" s="22" t="str">
        <x:v>昼専用</x:v>
      </x:c>
      <x:c r="D238" s="22" t="n">
        <x:v>1</x:v>
      </x:c>
      <x:c r="E238" s="22" t="str">
        <x:v>滝山城跡</x:v>
      </x:c>
      <x:c r="F238" s="22" t="n">
        <x:v>4</x:v>
      </x:c>
      <x:c r="G238" s="22" t="n">
        <x:v>5</x:v>
      </x:c>
      <x:c r="H238" s="22" t="n">
        <x:v>5</x:v>
      </x:c>
      <x:c r="I238" s="22" t="n">
        <x:v>3</x:v>
      </x:c>
      <x:c r="J238" s="22" t="n">
        <x:v>4</x:v>
      </x:c>
      <x:c r="K238" s="22" t="n">
        <x:v>3</x:v>
      </x:c>
      <x:c r="L238" s="22" t="n">
        <x:v>82</x:v>
      </x:c>
      <x:c r="M238" s="22" t="str">
        <x:v>導入地点</x:v>
      </x:c>
      <x:c r="N238" s="22" t="str">
        <x:v>次地点との差が小さい</x:v>
      </x:c>
      <x:c r="O238" s="22" t="str">
        <x:v>維持</x:v>
      </x:c>
    </x:row>
    <x:row r="239">
      <x:c r="A239" s="22" t="str">
        <x:v>R116</x:v>
      </x:c>
      <x:c r="B239" s="22" t="str">
        <x:v>八王子・二つの土の城</x:v>
      </x:c>
      <x:c r="C239" s="22" t="str">
        <x:v>昼専用</x:v>
      </x:c>
      <x:c r="D239" s="22" t="n">
        <x:v>2</x:v>
      </x:c>
      <x:c r="E239" s="22" t="str">
        <x:v>片倉城跡公園</x:v>
      </x:c>
      <x:c r="F239" s="22" t="n">
        <x:v>2</x:v>
      </x:c>
      <x:c r="G239" s="22" t="n">
        <x:v>5</x:v>
      </x:c>
      <x:c r="H239" s="22" t="n">
        <x:v>5</x:v>
      </x:c>
      <x:c r="I239" s="22" t="n">
        <x:v>3</x:v>
      </x:c>
      <x:c r="J239" s="22" t="n">
        <x:v>4</x:v>
      </x:c>
      <x:c r="K239" s="22" t="n">
        <x:v>5</x:v>
      </x:c>
      <x:c r="L239" s="22" t="n">
        <x:v>76</x:v>
      </x:c>
      <x:c r="M239" s="22" t="str">
        <x:v>最終目的地への助走</x:v>
      </x:c>
      <x:c r="N239" s="22" t="str">
        <x:v>駐車が弱い</x:v>
      </x:c>
      <x:c r="O239" s="22" t="str">
        <x:v>維持</x:v>
      </x:c>
    </x:row>
    <x:row r="240">
      <x:c r="A240" s="22" t="str">
        <x:v>R117</x:v>
      </x:c>
      <x:c r="B240" s="22" t="str">
        <x:v>相模川・八方除と高台</x:v>
      </x:c>
      <x:c r="C240" s="22" t="str">
        <x:v>通常</x:v>
      </x:c>
      <x:c r="D240" s="22" t="n">
        <x:v>1</x:v>
      </x:c>
      <x:c r="E240" s="22" t="str">
        <x:v>県立相模三川公園</x:v>
      </x:c>
      <x:c r="F240" s="22" t="n">
        <x:v>4</x:v>
      </x:c>
      <x:c r="G240" s="22" t="n">
        <x:v>4</x:v>
      </x:c>
      <x:c r="H240" s="22" t="n">
        <x:v>3</x:v>
      </x:c>
      <x:c r="I240" s="22" t="n">
        <x:v>3</x:v>
      </x:c>
      <x:c r="J240" s="22" t="n">
        <x:v>4</x:v>
      </x:c>
      <x:c r="K240" s="22" t="n">
        <x:v>5</x:v>
      </x:c>
      <x:c r="L240" s="22" t="n">
        <x:v>75</x:v>
      </x:c>
      <x:c r="M240" s="22" t="str">
        <x:v>導入地点</x:v>
      </x:c>
      <x:c r="N240" s="22" t="str">
        <x:v>大きな問題なし</x:v>
      </x:c>
      <x:c r="O240" s="22" t="str">
        <x:v>維持</x:v>
      </x:c>
    </x:row>
    <x:row r="241">
      <x:c r="A241" s="22" t="str">
        <x:v>R117</x:v>
      </x:c>
      <x:c r="B241" s="22" t="str">
        <x:v>相模川・八方除と高台</x:v>
      </x:c>
      <x:c r="C241" s="22" t="str">
        <x:v>通常</x:v>
      </x:c>
      <x:c r="D241" s="22" t="n">
        <x:v>2</x:v>
      </x:c>
      <x:c r="E241" s="22" t="str">
        <x:v>寒川神社</x:v>
      </x:c>
      <x:c r="F241" s="22" t="n">
        <x:v>4</x:v>
      </x:c>
      <x:c r="G241" s="22" t="n">
        <x:v>5</x:v>
      </x:c>
      <x:c r="H241" s="22" t="n">
        <x:v>4</x:v>
      </x:c>
      <x:c r="I241" s="22" t="n">
        <x:v>3</x:v>
      </x:c>
      <x:c r="J241" s="22" t="n">
        <x:v>4</x:v>
      </x:c>
      <x:c r="K241" s="22" t="n">
        <x:v>5</x:v>
      </x:c>
      <x:c r="L241" s="22" t="n">
        <x:v>82</x:v>
      </x:c>
      <x:c r="M241" s="22" t="str">
        <x:v>最終目的地への助走</x:v>
      </x:c>
      <x:c r="N241" s="22" t="str">
        <x:v>大きな問題なし</x:v>
      </x:c>
      <x:c r="O241" s="22" t="str">
        <x:v>維持</x:v>
      </x:c>
    </x:row>
    <x:row r="242">
      <x:c r="A242" s="22" t="str">
        <x:v>R118</x:v>
      </x:c>
      <x:c r="B242" s="22" t="str">
        <x:v>相模原・展望と防災</x:v>
      </x:c>
      <x:c r="C242" s="22" t="str">
        <x:v>通常</x:v>
      </x:c>
      <x:c r="D242" s="22" t="n">
        <x:v>1</x:v>
      </x:c>
      <x:c r="E242" s="22" t="str">
        <x:v>相模原麻溝公園</x:v>
      </x:c>
      <x:c r="F242" s="22" t="n">
        <x:v>4</x:v>
      </x:c>
      <x:c r="G242" s="22" t="n">
        <x:v>5</x:v>
      </x:c>
      <x:c r="H242" s="22" t="n">
        <x:v>5</x:v>
      </x:c>
      <x:c r="I242" s="22" t="n">
        <x:v>3</x:v>
      </x:c>
      <x:c r="J242" s="22" t="n">
        <x:v>4</x:v>
      </x:c>
      <x:c r="K242" s="22" t="n">
        <x:v>4</x:v>
      </x:c>
      <x:c r="L242" s="22" t="n">
        <x:v>84</x:v>
      </x:c>
      <x:c r="M242" s="22" t="str">
        <x:v>導入地点</x:v>
      </x:c>
      <x:c r="N242" s="22" t="str">
        <x:v>大きな問題なし</x:v>
      </x:c>
      <x:c r="O242" s="22" t="str">
        <x:v>維持</x:v>
      </x:c>
    </x:row>
    <x:row r="243">
      <x:c r="A243" s="22" t="str">
        <x:v>R118</x:v>
      </x:c>
      <x:c r="B243" s="22" t="str">
        <x:v>相模原・展望と防災</x:v>
      </x:c>
      <x:c r="C243" s="22" t="str">
        <x:v>通常</x:v>
      </x:c>
      <x:c r="D243" s="22" t="n">
        <x:v>2</x:v>
      </x:c>
      <x:c r="E243" s="22" t="str">
        <x:v>ぼうさいの丘公園</x:v>
      </x:c>
      <x:c r="F243" s="22" t="n">
        <x:v>4</x:v>
      </x:c>
      <x:c r="G243" s="22" t="n">
        <x:v>5</x:v>
      </x:c>
      <x:c r="H243" s="22" t="n">
        <x:v>4</x:v>
      </x:c>
      <x:c r="I243" s="22" t="n">
        <x:v>3</x:v>
      </x:c>
      <x:c r="J243" s="22" t="n">
        <x:v>4</x:v>
      </x:c>
      <x:c r="K243" s="22" t="n">
        <x:v>5</x:v>
      </x:c>
      <x:c r="L243" s="22" t="n">
        <x:v>82</x:v>
      </x:c>
      <x:c r="M243" s="22" t="str">
        <x:v>最終目的地への助走</x:v>
      </x:c>
      <x:c r="N243" s="22" t="str">
        <x:v>大きな問題なし</x:v>
      </x:c>
      <x:c r="O243" s="22" t="str">
        <x:v>維持</x:v>
      </x:c>
    </x:row>
    <x:row r="244">
      <x:c r="A244" s="22" t="str">
        <x:v>R119</x:v>
      </x:c>
      <x:c r="B244" s="22" t="str">
        <x:v>横浜・庭園と丘陵三層</x:v>
      </x:c>
      <x:c r="C244" s="22" t="str">
        <x:v>昼専用</x:v>
      </x:c>
      <x:c r="D244" s="22" t="n">
        <x:v>1</x:v>
      </x:c>
      <x:c r="E244" s="22" t="str">
        <x:v>三溪園</x:v>
      </x:c>
      <x:c r="F244" s="22" t="n">
        <x:v>4</x:v>
      </x:c>
      <x:c r="G244" s="22" t="n">
        <x:v>4</x:v>
      </x:c>
      <x:c r="H244" s="22" t="n">
        <x:v>5</x:v>
      </x:c>
      <x:c r="I244" s="22" t="n">
        <x:v>4</x:v>
      </x:c>
      <x:c r="J244" s="22" t="n">
        <x:v>5</x:v>
      </x:c>
      <x:c r="K244" s="22" t="n">
        <x:v>5</x:v>
      </x:c>
      <x:c r="L244" s="22" t="n">
        <x:v>89</x:v>
      </x:c>
      <x:c r="M244" s="22" t="str">
        <x:v>導入地点</x:v>
      </x:c>
      <x:c r="N244" s="22" t="str">
        <x:v>大きな問題なし</x:v>
      </x:c>
      <x:c r="O244" s="22" t="str">
        <x:v>差替え済</x:v>
      </x:c>
    </x:row>
    <x:row r="245">
      <x:c r="A245" s="22" t="str">
        <x:v>R119</x:v>
      </x:c>
      <x:c r="B245" s="22" t="str">
        <x:v>横浜・庭園と丘陵三層</x:v>
      </x:c>
      <x:c r="C245" s="22" t="str">
        <x:v>昼専用</x:v>
      </x:c>
      <x:c r="D245" s="22" t="n">
        <x:v>2</x:v>
      </x:c>
      <x:c r="E245" s="22" t="str">
        <x:v>根岸森林公園</x:v>
      </x:c>
      <x:c r="F245" s="22" t="n">
        <x:v>4</x:v>
      </x:c>
      <x:c r="G245" s="22" t="n">
        <x:v>5</x:v>
      </x:c>
      <x:c r="H245" s="22" t="n">
        <x:v>5</x:v>
      </x:c>
      <x:c r="I245" s="22" t="n">
        <x:v>3</x:v>
      </x:c>
      <x:c r="J245" s="22" t="n">
        <x:v>5</x:v>
      </x:c>
      <x:c r="K245" s="22" t="n">
        <x:v>5</x:v>
      </x:c>
      <x:c r="L245" s="22" t="n">
        <x:v>89</x:v>
      </x:c>
      <x:c r="M245" s="22" t="str">
        <x:v>最終目的地への助走</x:v>
      </x:c>
      <x:c r="N245" s="22" t="str">
        <x:v>大きな問題なし</x:v>
      </x:c>
      <x:c r="O245" s="22" t="str">
        <x:v>差替え済</x:v>
      </x:c>
    </x:row>
    <x:row r="246">
      <x:c r="A246" s="22" t="str">
        <x:v>R120</x:v>
      </x:c>
      <x:c r="B246" s="22" t="str">
        <x:v>大田区から小田原へ物語をつなぐ</x:v>
      </x:c>
      <x:c r="C246" s="22" t="str">
        <x:v>昼専用</x:v>
      </x:c>
      <x:c r="D246" s="22" t="n">
        <x:v>1</x:v>
      </x:c>
      <x:c r="E246" s="22" t="str">
        <x:v>俣野別邸庭園</x:v>
      </x:c>
      <x:c r="F246" s="22" t="n">
        <x:v>2</x:v>
      </x:c>
      <x:c r="G246" s="22" t="n">
        <x:v>4</x:v>
      </x:c>
      <x:c r="H246" s="22" t="n">
        <x:v>5</x:v>
      </x:c>
      <x:c r="I246" s="22" t="n">
        <x:v>3</x:v>
      </x:c>
      <x:c r="J246" s="22" t="n">
        <x:v>4</x:v>
      </x:c>
      <x:c r="K246" s="22" t="n">
        <x:v>4</x:v>
      </x:c>
      <x:c r="L246" s="22" t="n">
        <x:v>71</x:v>
      </x:c>
      <x:c r="M246" s="22" t="str">
        <x:v>導入地点</x:v>
      </x:c>
      <x:c r="N246" s="22" t="str">
        <x:v>駐車が弱い</x:v>
      </x:c>
      <x:c r="O246" s="22" t="str">
        <x:v>維持</x:v>
      </x:c>
    </x:row>
    <x:row r="247">
      <x:c r="A247" s="22" t="str">
        <x:v>R120</x:v>
      </x:c>
      <x:c r="B247" s="22" t="str">
        <x:v>大田区から小田原へ物語をつなぐ</x:v>
      </x:c>
      <x:c r="C247" s="22" t="str">
        <x:v>昼専用</x:v>
      </x:c>
      <x:c r="D247" s="22" t="n">
        <x:v>2</x:v>
      </x:c>
      <x:c r="E247" s="22" t="str">
        <x:v>寒川神社</x:v>
      </x:c>
      <x:c r="F247" s="22" t="n">
        <x:v>4</x:v>
      </x:c>
      <x:c r="G247" s="22" t="n">
        <x:v>5</x:v>
      </x:c>
      <x:c r="H247" s="22" t="n">
        <x:v>4</x:v>
      </x:c>
      <x:c r="I247" s="22" t="n">
        <x:v>3</x:v>
      </x:c>
      <x:c r="J247" s="22" t="n">
        <x:v>4</x:v>
      </x:c>
      <x:c r="K247" s="22" t="n">
        <x:v>5</x:v>
      </x:c>
      <x:c r="L247" s="22" t="n">
        <x:v>82</x:v>
      </x:c>
      <x:c r="M247" s="22" t="str">
        <x:v>最終目的地への助走</x:v>
      </x:c>
      <x:c r="N247" s="22" t="str">
        <x:v>大きな問題なし</x:v>
      </x:c>
      <x:c r="O247" s="22" t="str">
        <x:v>維持</x:v>
      </x:c>
    </x:row>
    <x:row r="248">
      <x:c r="A248" s="22" t="str">
        <x:v>R121</x:v>
      </x:c>
      <x:c r="B248" s="22" t="str">
        <x:v>湾岸・干潟から運河へ</x:v>
      </x:c>
      <x:c r="C248" s="22" t="str">
        <x:v>通常</x:v>
      </x:c>
      <x:c r="D248" s="22" t="n">
        <x:v>1</x:v>
      </x:c>
      <x:c r="E248" s="22" t="str">
        <x:v>葛西海浜公園</x:v>
      </x:c>
      <x:c r="F248" s="22" t="n">
        <x:v>5</x:v>
      </x:c>
      <x:c r="G248" s="22" t="n">
        <x:v>5</x:v>
      </x:c>
      <x:c r="H248" s="22" t="n">
        <x:v>5</x:v>
      </x:c>
      <x:c r="I248" s="22" t="n">
        <x:v>3</x:v>
      </x:c>
      <x:c r="J248" s="22" t="n">
        <x:v>4</x:v>
      </x:c>
      <x:c r="K248" s="22" t="n">
        <x:v>4</x:v>
      </x:c>
      <x:c r="L248" s="22" t="n">
        <x:v>89</x:v>
      </x:c>
      <x:c r="M248" s="22" t="str">
        <x:v>導入地点</x:v>
      </x:c>
      <x:c r="N248" s="22" t="str">
        <x:v>大きな問題なし</x:v>
      </x:c>
      <x:c r="O248" s="22" t="str">
        <x:v>維持</x:v>
      </x:c>
    </x:row>
    <x:row r="249">
      <x:c r="A249" s="22" t="str">
        <x:v>R121</x:v>
      </x:c>
      <x:c r="B249" s="22" t="str">
        <x:v>湾岸・干潟から運河へ</x:v>
      </x:c>
      <x:c r="C249" s="22" t="str">
        <x:v>通常</x:v>
      </x:c>
      <x:c r="D249" s="22" t="n">
        <x:v>2</x:v>
      </x:c>
      <x:c r="E249" s="22" t="str">
        <x:v>葛西臨海公園</x:v>
      </x:c>
      <x:c r="F249" s="22" t="n">
        <x:v>5</x:v>
      </x:c>
      <x:c r="G249" s="22" t="n">
        <x:v>4</x:v>
      </x:c>
      <x:c r="H249" s="22" t="n">
        <x:v>5</x:v>
      </x:c>
      <x:c r="I249" s="22" t="n">
        <x:v>3</x:v>
      </x:c>
      <x:c r="J249" s="22" t="n">
        <x:v>4</x:v>
      </x:c>
      <x:c r="K249" s="22" t="n">
        <x:v>4</x:v>
      </x:c>
      <x:c r="L249" s="22" t="n">
        <x:v>86</x:v>
      </x:c>
      <x:c r="M249" s="22" t="str">
        <x:v>景観転換点</x:v>
      </x:c>
      <x:c r="N249" s="22" t="str">
        <x:v>大きな問題なし</x:v>
      </x:c>
      <x:c r="O249" s="22" t="str">
        <x:v>維持</x:v>
      </x:c>
    </x:row>
    <x:row r="250">
      <x:c r="A250" s="22" t="str">
        <x:v>R121</x:v>
      </x:c>
      <x:c r="B250" s="22" t="str">
        <x:v>湾岸・干潟から運河へ</x:v>
      </x:c>
      <x:c r="C250" s="22" t="str">
        <x:v>通常</x:v>
      </x:c>
      <x:c r="D250" s="22" t="n">
        <x:v>3</x:v>
      </x:c>
      <x:c r="E250" s="22" t="str">
        <x:v>東品川海上公園</x:v>
      </x:c>
      <x:c r="F250" s="22" t="n">
        <x:v>1</x:v>
      </x:c>
      <x:c r="G250" s="22" t="n">
        <x:v>4</x:v>
      </x:c>
      <x:c r="H250" s="22" t="n">
        <x:v>5</x:v>
      </x:c>
      <x:c r="I250" s="22" t="n">
        <x:v>3</x:v>
      </x:c>
      <x:c r="J250" s="22" t="n">
        <x:v>4</x:v>
      </x:c>
      <x:c r="K250" s="22" t="n">
        <x:v>4</x:v>
      </x:c>
      <x:c r="L250" s="22" t="n">
        <x:v>66</x:v>
      </x:c>
      <x:c r="M250" s="22" t="str">
        <x:v>最終目的地への助走</x:v>
      </x:c>
      <x:c r="N250" s="22" t="str">
        <x:v>駐車が弱い</x:v>
      </x:c>
      <x:c r="O250" s="22" t="str">
        <x:v>維持</x:v>
      </x:c>
    </x:row>
    <x:row r="251">
      <x:c r="A251" s="22" t="str">
        <x:v>R122</x:v>
      </x:c>
      <x:c r="B251" s="22" t="str">
        <x:v>多摩丘陵・戦車道路Story</x:v>
      </x:c>
      <x:c r="C251" s="22" t="str">
        <x:v>昼専用</x:v>
      </x:c>
      <x:c r="D251" s="22" t="n">
        <x:v>1</x:v>
      </x:c>
      <x:c r="E251" s="22" t="str">
        <x:v>小山内裏公園</x:v>
      </x:c>
      <x:c r="F251" s="22" t="n">
        <x:v>4</x:v>
      </x:c>
      <x:c r="G251" s="22" t="n">
        <x:v>5</x:v>
      </x:c>
      <x:c r="H251" s="22" t="n">
        <x:v>5</x:v>
      </x:c>
      <x:c r="I251" s="22" t="n">
        <x:v>3</x:v>
      </x:c>
      <x:c r="J251" s="22" t="n">
        <x:v>4</x:v>
      </x:c>
      <x:c r="K251" s="22" t="n">
        <x:v>3</x:v>
      </x:c>
      <x:c r="L251" s="22" t="n">
        <x:v>82</x:v>
      </x:c>
      <x:c r="M251" s="22" t="str">
        <x:v>導入地点</x:v>
      </x:c>
      <x:c r="N251" s="22" t="str">
        <x:v>次地点との差が小さい</x:v>
      </x:c>
      <x:c r="O251" s="22" t="str">
        <x:v>維持</x:v>
      </x:c>
    </x:row>
    <x:row r="252">
      <x:c r="A252" s="22" t="str">
        <x:v>R122</x:v>
      </x:c>
      <x:c r="B252" s="22" t="str">
        <x:v>多摩丘陵・戦車道路Story</x:v>
      </x:c>
      <x:c r="C252" s="22" t="str">
        <x:v>昼専用</x:v>
      </x:c>
      <x:c r="D252" s="22" t="n">
        <x:v>2</x:v>
      </x:c>
      <x:c r="E252" s="22" t="str">
        <x:v>長池公園</x:v>
      </x:c>
      <x:c r="F252" s="22" t="n">
        <x:v>4</x:v>
      </x:c>
      <x:c r="G252" s="22" t="n">
        <x:v>5</x:v>
      </x:c>
      <x:c r="H252" s="22" t="n">
        <x:v>5</x:v>
      </x:c>
      <x:c r="I252" s="22" t="n">
        <x:v>3</x:v>
      </x:c>
      <x:c r="J252" s="22" t="n">
        <x:v>4</x:v>
      </x:c>
      <x:c r="K252" s="22" t="n">
        <x:v>3</x:v>
      </x:c>
      <x:c r="L252" s="22" t="n">
        <x:v>82</x:v>
      </x:c>
      <x:c r="M252" s="22" t="str">
        <x:v>最終目的地への助走</x:v>
      </x:c>
      <x:c r="N252" s="22" t="str">
        <x:v>次地点との差が小さい</x:v>
      </x:c>
      <x:c r="O252" s="22" t="str">
        <x:v>維持</x:v>
      </x:c>
    </x:row>
    <x:row r="253">
      <x:c r="A253" s="22" t="str">
        <x:v>R123</x:v>
      </x:c>
      <x:c r="B253" s="22" t="str">
        <x:v>横浜西部・大池と丘陵</x:v>
      </x:c>
      <x:c r="C253" s="22" t="str">
        <x:v>昼専用</x:v>
      </x:c>
      <x:c r="D253" s="22" t="n">
        <x:v>1</x:v>
      </x:c>
      <x:c r="E253" s="22" t="str">
        <x:v>こども自然公園</x:v>
      </x:c>
      <x:c r="F253" s="22" t="n">
        <x:v>4</x:v>
      </x:c>
      <x:c r="G253" s="22" t="n">
        <x:v>2</x:v>
      </x:c>
      <x:c r="H253" s="22" t="n">
        <x:v>5</x:v>
      </x:c>
      <x:c r="I253" s="22" t="n">
        <x:v>3</x:v>
      </x:c>
      <x:c r="J253" s="22" t="n">
        <x:v>4</x:v>
      </x:c>
      <x:c r="K253" s="22" t="n">
        <x:v>3</x:v>
      </x:c>
      <x:c r="L253" s="22" t="n">
        <x:v>73</x:v>
      </x:c>
      <x:c r="M253" s="22" t="str">
        <x:v>導入地点</x:v>
      </x:c>
      <x:c r="N253" s="22" t="str">
        <x:v>短時間立寄りに重い／次地点との差が小さい</x:v>
      </x:c>
      <x:c r="O253" s="22" t="str">
        <x:v>維持</x:v>
      </x:c>
    </x:row>
    <x:row r="254">
      <x:c r="A254" s="22" t="str">
        <x:v>R123</x:v>
      </x:c>
      <x:c r="B254" s="22" t="str">
        <x:v>横浜西部・大池と丘陵</x:v>
      </x:c>
      <x:c r="C254" s="22" t="str">
        <x:v>昼専用</x:v>
      </x:c>
      <x:c r="D254" s="22" t="n">
        <x:v>2</x:v>
      </x:c>
      <x:c r="E254" s="22" t="str">
        <x:v>こどもの国</x:v>
      </x:c>
      <x:c r="F254" s="22" t="n">
        <x:v>4</x:v>
      </x:c>
      <x:c r="G254" s="22" t="n">
        <x:v>5</x:v>
      </x:c>
      <x:c r="H254" s="22" t="n">
        <x:v>5</x:v>
      </x:c>
      <x:c r="I254" s="22" t="n">
        <x:v>3</x:v>
      </x:c>
      <x:c r="J254" s="22" t="n">
        <x:v>4</x:v>
      </x:c>
      <x:c r="K254" s="22" t="n">
        <x:v>4</x:v>
      </x:c>
      <x:c r="L254" s="22" t="n">
        <x:v>84</x:v>
      </x:c>
      <x:c r="M254" s="22" t="str">
        <x:v>最終目的地への助走</x:v>
      </x:c>
      <x:c r="N254" s="22" t="str">
        <x:v>大きな問題なし</x:v>
      </x:c>
      <x:c r="O254" s="22" t="str">
        <x:v>維持</x:v>
      </x:c>
    </x:row>
    <x:row r="255">
      <x:c r="A255" s="22" t="str">
        <x:v>R124</x:v>
      </x:c>
      <x:c r="B255" s="22" t="str">
        <x:v>湘南二宮・二つの丘</x:v>
      </x:c>
      <x:c r="C255" s="22" t="str">
        <x:v>昼専用</x:v>
      </x:c>
      <x:c r="D255" s="22" t="n">
        <x:v>1</x:v>
      </x:c>
      <x:c r="E255" s="22" t="str">
        <x:v>ラディアン花の丘公園</x:v>
      </x:c>
      <x:c r="F255" s="22" t="n">
        <x:v>4</x:v>
      </x:c>
      <x:c r="G255" s="22" t="n">
        <x:v>5</x:v>
      </x:c>
      <x:c r="H255" s="22" t="n">
        <x:v>5</x:v>
      </x:c>
      <x:c r="I255" s="22" t="n">
        <x:v>3</x:v>
      </x:c>
      <x:c r="J255" s="22" t="n">
        <x:v>4</x:v>
      </x:c>
      <x:c r="K255" s="22" t="n">
        <x:v>3</x:v>
      </x:c>
      <x:c r="L255" s="22" t="n">
        <x:v>82</x:v>
      </x:c>
      <x:c r="M255" s="22" t="str">
        <x:v>導入地点</x:v>
      </x:c>
      <x:c r="N255" s="22" t="str">
        <x:v>次地点との差が小さい</x:v>
      </x:c>
      <x:c r="O255" s="22" t="str">
        <x:v>維持</x:v>
      </x:c>
    </x:row>
    <x:row r="256">
      <x:c r="A256" s="22" t="str">
        <x:v>R124</x:v>
      </x:c>
      <x:c r="B256" s="22" t="str">
        <x:v>湘南二宮・二つの丘</x:v>
      </x:c>
      <x:c r="C256" s="22" t="str">
        <x:v>昼専用</x:v>
      </x:c>
      <x:c r="D256" s="22" t="n">
        <x:v>2</x:v>
      </x:c>
      <x:c r="E256" s="22" t="str">
        <x:v>吾妻山公園</x:v>
      </x:c>
      <x:c r="F256" s="22" t="n">
        <x:v>3</x:v>
      </x:c>
      <x:c r="G256" s="22" t="n">
        <x:v>5</x:v>
      </x:c>
      <x:c r="H256" s="22" t="n">
        <x:v>5</x:v>
      </x:c>
      <x:c r="I256" s="22" t="n">
        <x:v>3</x:v>
      </x:c>
      <x:c r="J256" s="22" t="n">
        <x:v>4</x:v>
      </x:c>
      <x:c r="K256" s="22" t="n">
        <x:v>4</x:v>
      </x:c>
      <x:c r="L256" s="22" t="n">
        <x:v>79</x:v>
      </x:c>
      <x:c r="M256" s="22" t="str">
        <x:v>最終目的地への助走</x:v>
      </x:c>
      <x:c r="N256" s="22" t="str">
        <x:v>大きな問題なし</x:v>
      </x:c>
      <x:c r="O256" s="22" t="str">
        <x:v>維持</x:v>
      </x:c>
    </x:row>
    <x:row r="257">
      <x:c r="A257" s="22" t="str">
        <x:v>R125</x:v>
      </x:c>
      <x:c r="B257" s="22" t="str">
        <x:v>足柄高台と金太郎帰路</x:v>
      </x:c>
      <x:c r="C257" s="22" t="str">
        <x:v>通常</x:v>
      </x:c>
      <x:c r="D257" s="22" t="n">
        <x:v>1</x:v>
      </x:c>
      <x:c r="E257" s="22" t="str">
        <x:v>西平畑公園</x:v>
      </x:c>
      <x:c r="F257" s="22" t="n">
        <x:v>4</x:v>
      </x:c>
      <x:c r="G257" s="22" t="n">
        <x:v>5</x:v>
      </x:c>
      <x:c r="H257" s="22" t="n">
        <x:v>3</x:v>
      </x:c>
      <x:c r="I257" s="22" t="n">
        <x:v>3</x:v>
      </x:c>
      <x:c r="J257" s="22" t="n">
        <x:v>4</x:v>
      </x:c>
      <x:c r="K257" s="22" t="n">
        <x:v>4</x:v>
      </x:c>
      <x:c r="L257" s="22" t="n">
        <x:v>76</x:v>
      </x:c>
      <x:c r="M257" s="22" t="str">
        <x:v>導入地点</x:v>
      </x:c>
      <x:c r="N257" s="22" t="str">
        <x:v>大きな問題なし</x:v>
      </x:c>
      <x:c r="O257" s="22" t="str">
        <x:v>維持</x:v>
      </x:c>
    </x:row>
    <x:row r="258">
      <x:c r="A258" s="22" t="str">
        <x:v>R125</x:v>
      </x:c>
      <x:c r="B258" s="22" t="str">
        <x:v>足柄高台と金太郎帰路</x:v>
      </x:c>
      <x:c r="C258" s="22" t="str">
        <x:v>通常</x:v>
      </x:c>
      <x:c r="D258" s="22" t="n">
        <x:v>2</x:v>
      </x:c>
      <x:c r="E258" s="22" t="str">
        <x:v>弘法山公園</x:v>
      </x:c>
      <x:c r="F258" s="22" t="n">
        <x:v>4</x:v>
      </x:c>
      <x:c r="G258" s="22" t="n">
        <x:v>5</x:v>
      </x:c>
      <x:c r="H258" s="22" t="n">
        <x:v>5</x:v>
      </x:c>
      <x:c r="I258" s="22" t="n">
        <x:v>3</x:v>
      </x:c>
      <x:c r="J258" s="22" t="n">
        <x:v>4</x:v>
      </x:c>
      <x:c r="K258" s="22" t="n">
        <x:v>5</x:v>
      </x:c>
      <x:c r="L258" s="22" t="n">
        <x:v>86</x:v>
      </x:c>
      <x:c r="M258" s="22" t="str">
        <x:v>最終目的地への助走</x:v>
      </x:c>
      <x:c r="N258" s="22" t="str">
        <x:v>大きな問題なし</x:v>
      </x:c>
      <x:c r="O258" s="22" t="str">
        <x:v>維持</x:v>
      </x:c>
    </x:row>
    <x:row r="259">
      <x:c r="A259" s="22" t="str">
        <x:v>R126</x:v>
      </x:c>
      <x:c r="B259" s="22" t="str">
        <x:v>入間・飛行場跡公園線</x:v>
      </x:c>
      <x:c r="C259" s="22" t="str">
        <x:v>昼専用</x:v>
      </x:c>
      <x:c r="D259" s="22" t="n">
        <x:v>1</x:v>
      </x:c>
      <x:c r="E259" s="22" t="str">
        <x:v>狭山稲荷山公園</x:v>
      </x:c>
      <x:c r="F259" s="22" t="n">
        <x:v>4</x:v>
      </x:c>
      <x:c r="G259" s="22" t="n">
        <x:v>5</x:v>
      </x:c>
      <x:c r="H259" s="22" t="n">
        <x:v>5</x:v>
      </x:c>
      <x:c r="I259" s="22" t="n">
        <x:v>3</x:v>
      </x:c>
      <x:c r="J259" s="22" t="n">
        <x:v>4</x:v>
      </x:c>
      <x:c r="K259" s="22" t="n">
        <x:v>4</x:v>
      </x:c>
      <x:c r="L259" s="22" t="n">
        <x:v>84</x:v>
      </x:c>
      <x:c r="M259" s="22" t="str">
        <x:v>導入地点</x:v>
      </x:c>
      <x:c r="N259" s="22" t="str">
        <x:v>大きな問題なし</x:v>
      </x:c>
      <x:c r="O259" s="22" t="str">
        <x:v>維持</x:v>
      </x:c>
    </x:row>
    <x:row r="260">
      <x:c r="A260" s="22" t="str">
        <x:v>R126</x:v>
      </x:c>
      <x:c r="B260" s="22" t="str">
        <x:v>入間・飛行場跡公園線</x:v>
      </x:c>
      <x:c r="C260" s="22" t="str">
        <x:v>昼専用</x:v>
      </x:c>
      <x:c r="D260" s="22" t="n">
        <x:v>2</x:v>
      </x:c>
      <x:c r="E260" s="22" t="str">
        <x:v>彩の森入間公園</x:v>
      </x:c>
      <x:c r="F260" s="22" t="n">
        <x:v>4</x:v>
      </x:c>
      <x:c r="G260" s="22" t="n">
        <x:v>5</x:v>
      </x:c>
      <x:c r="H260" s="22" t="n">
        <x:v>5</x:v>
      </x:c>
      <x:c r="I260" s="22" t="n">
        <x:v>3</x:v>
      </x:c>
      <x:c r="J260" s="22" t="n">
        <x:v>4</x:v>
      </x:c>
      <x:c r="K260" s="22" t="n">
        <x:v>3</x:v>
      </x:c>
      <x:c r="L260" s="22" t="n">
        <x:v>82</x:v>
      </x:c>
      <x:c r="M260" s="22" t="str">
        <x:v>最終目的地への助走</x:v>
      </x:c>
      <x:c r="N260" s="22" t="str">
        <x:v>次地点との差が小さい</x:v>
      </x:c>
      <x:c r="O260" s="22" t="str">
        <x:v>維持</x:v>
      </x:c>
    </x:row>
    <x:row r="261">
      <x:c r="A261" s="22" t="str">
        <x:v>R127</x:v>
      </x:c>
      <x:c r="B261" s="22" t="str">
        <x:v>国分寺崖線・湧水Story</x:v>
      </x:c>
      <x:c r="C261" s="22" t="str">
        <x:v>通常</x:v>
      </x:c>
      <x:c r="D261" s="22" t="n">
        <x:v>1</x:v>
      </x:c>
      <x:c r="E261" s="22" t="str">
        <x:v>野川公園</x:v>
      </x:c>
      <x:c r="F261" s="22" t="n">
        <x:v>5</x:v>
      </x:c>
      <x:c r="G261" s="22" t="n">
        <x:v>4</x:v>
      </x:c>
      <x:c r="H261" s="22" t="n">
        <x:v>5</x:v>
      </x:c>
      <x:c r="I261" s="22" t="n">
        <x:v>3</x:v>
      </x:c>
      <x:c r="J261" s="22" t="n">
        <x:v>4</x:v>
      </x:c>
      <x:c r="K261" s="22" t="n">
        <x:v>3</x:v>
      </x:c>
      <x:c r="L261" s="22" t="n">
        <x:v>84</x:v>
      </x:c>
      <x:c r="M261" s="22" t="str">
        <x:v>導入地点</x:v>
      </x:c>
      <x:c r="N261" s="22" t="str">
        <x:v>次地点との差が小さい</x:v>
      </x:c>
      <x:c r="O261" s="22" t="str">
        <x:v>維持</x:v>
      </x:c>
    </x:row>
    <x:row r="262">
      <x:c r="A262" s="22" t="str">
        <x:v>R127</x:v>
      </x:c>
      <x:c r="B262" s="22" t="str">
        <x:v>国分寺崖線・湧水Story</x:v>
      </x:c>
      <x:c r="C262" s="22" t="str">
        <x:v>通常</x:v>
      </x:c>
      <x:c r="D262" s="22" t="n">
        <x:v>2</x:v>
      </x:c>
      <x:c r="E262" s="22" t="str">
        <x:v>武蔵野公園</x:v>
      </x:c>
      <x:c r="F262" s="22" t="n">
        <x:v>5</x:v>
      </x:c>
      <x:c r="G262" s="22" t="n">
        <x:v>4</x:v>
      </x:c>
      <x:c r="H262" s="22" t="n">
        <x:v>5</x:v>
      </x:c>
      <x:c r="I262" s="22" t="n">
        <x:v>3</x:v>
      </x:c>
      <x:c r="J262" s="22" t="n">
        <x:v>4</x:v>
      </x:c>
      <x:c r="K262" s="22" t="n">
        <x:v>5</x:v>
      </x:c>
      <x:c r="L262" s="22" t="n">
        <x:v>88</x:v>
      </x:c>
      <x:c r="M262" s="22" t="str">
        <x:v>最終目的地への助走</x:v>
      </x:c>
      <x:c r="N262" s="22" t="str">
        <x:v>大きな問題なし</x:v>
      </x:c>
      <x:c r="O262" s="22" t="str">
        <x:v>維持</x:v>
      </x:c>
    </x:row>
    <x:row r="263">
      <x:c r="A263" s="22" t="str">
        <x:v>R128</x:v>
      </x:c>
      <x:c r="B263" s="22" t="str">
        <x:v>幕張・計画都市ナイト</x:v>
      </x:c>
      <x:c r="C263" s="22" t="str">
        <x:v>通常</x:v>
      </x:c>
      <x:c r="D263" s="22" t="n">
        <x:v>1</x:v>
      </x:c>
      <x:c r="E263" s="22" t="str">
        <x:v>千葉県立幕張海浜公園</x:v>
      </x:c>
      <x:c r="F263" s="22" t="n">
        <x:v>2</x:v>
      </x:c>
      <x:c r="G263" s="22" t="n">
        <x:v>4</x:v>
      </x:c>
      <x:c r="H263" s="22" t="n">
        <x:v>5</x:v>
      </x:c>
      <x:c r="I263" s="22" t="n">
        <x:v>3</x:v>
      </x:c>
      <x:c r="J263" s="22" t="n">
        <x:v>4</x:v>
      </x:c>
      <x:c r="K263" s="22" t="n">
        <x:v>5</x:v>
      </x:c>
      <x:c r="L263" s="22" t="n">
        <x:v>73</x:v>
      </x:c>
      <x:c r="M263" s="22" t="str">
        <x:v>導入地点</x:v>
      </x:c>
      <x:c r="N263" s="22" t="str">
        <x:v>駐車が弱い</x:v>
      </x:c>
      <x:c r="O263" s="22" t="str">
        <x:v>維持</x:v>
      </x:c>
    </x:row>
    <x:row r="264">
      <x:c r="A264" s="22" t="str">
        <x:v>R128</x:v>
      </x:c>
      <x:c r="B264" s="22" t="str">
        <x:v>幕張・計画都市ナイト</x:v>
      </x:c>
      <x:c r="C264" s="22" t="str">
        <x:v>通常</x:v>
      </x:c>
      <x:c r="D264" s="22" t="n">
        <x:v>2</x:v>
      </x:c>
      <x:c r="E264" s="22" t="str">
        <x:v>海浜大通り展望駐車場</x:v>
      </x:c>
      <x:c r="F264" s="22" t="n">
        <x:v>2</x:v>
      </x:c>
      <x:c r="G264" s="22" t="n">
        <x:v>5</x:v>
      </x:c>
      <x:c r="H264" s="22" t="n">
        <x:v>3</x:v>
      </x:c>
      <x:c r="I264" s="22" t="n">
        <x:v>3</x:v>
      </x:c>
      <x:c r="J264" s="22" t="n">
        <x:v>4</x:v>
      </x:c>
      <x:c r="K264" s="22" t="n">
        <x:v>3</x:v>
      </x:c>
      <x:c r="L264" s="22" t="n">
        <x:v>64</x:v>
      </x:c>
      <x:c r="M264" s="22" t="str">
        <x:v>最終目的地への助走</x:v>
      </x:c>
      <x:c r="N264" s="22" t="str">
        <x:v>駐車が弱い／次地点との差が小さい</x:v>
      </x:c>
      <x:c r="O264" s="22" t="str">
        <x:v>維持</x:v>
      </x:c>
    </x:row>
    <x:row r="265">
      <x:c r="A265" s="22" t="str">
        <x:v>R129</x:v>
      </x:c>
      <x:c r="B265" s="22" t="str">
        <x:v>千葉・動物から道の駅へ</x:v>
      </x:c>
      <x:c r="C265" s="22" t="str">
        <x:v>通常</x:v>
      </x:c>
      <x:c r="D265" s="22" t="n">
        <x:v>1</x:v>
      </x:c>
      <x:c r="E265" s="22" t="str">
        <x:v>千葉市動物公園</x:v>
      </x:c>
      <x:c r="F265" s="22" t="n">
        <x:v>4</x:v>
      </x:c>
      <x:c r="G265" s="22" t="n">
        <x:v>2</x:v>
      </x:c>
      <x:c r="H265" s="22" t="n">
        <x:v>3</x:v>
      </x:c>
      <x:c r="I265" s="22" t="n">
        <x:v>3</x:v>
      </x:c>
      <x:c r="J265" s="22" t="n">
        <x:v>4</x:v>
      </x:c>
      <x:c r="K265" s="22" t="n">
        <x:v>4</x:v>
      </x:c>
      <x:c r="L265" s="22" t="n">
        <x:v>67</x:v>
      </x:c>
      <x:c r="M265" s="22" t="str">
        <x:v>導入地点</x:v>
      </x:c>
      <x:c r="N265" s="22" t="str">
        <x:v>短時間立寄りに重い</x:v>
      </x:c>
      <x:c r="O265" s="22" t="str">
        <x:v>維持</x:v>
      </x:c>
    </x:row>
    <x:row r="266">
      <x:c r="A266" s="22" t="str">
        <x:v>R129</x:v>
      </x:c>
      <x:c r="B266" s="22" t="str">
        <x:v>千葉・動物から道の駅へ</x:v>
      </x:c>
      <x:c r="C266" s="22" t="str">
        <x:v>通常</x:v>
      </x:c>
      <x:c r="D266" s="22" t="n">
        <x:v>2</x:v>
      </x:c>
      <x:c r="E266" s="22" t="str">
        <x:v>道の駅 いちかわ</x:v>
      </x:c>
      <x:c r="F266" s="22" t="n">
        <x:v>4</x:v>
      </x:c>
      <x:c r="G266" s="22" t="n">
        <x:v>5</x:v>
      </x:c>
      <x:c r="H266" s="22" t="n">
        <x:v>5</x:v>
      </x:c>
      <x:c r="I266" s="22" t="n">
        <x:v>3</x:v>
      </x:c>
      <x:c r="J266" s="22" t="n">
        <x:v>4</x:v>
      </x:c>
      <x:c r="K266" s="22" t="n">
        <x:v>4</x:v>
      </x:c>
      <x:c r="L266" s="22" t="n">
        <x:v>84</x:v>
      </x:c>
      <x:c r="M266" s="22" t="str">
        <x:v>最終目的地への助走</x:v>
      </x:c>
      <x:c r="N266" s="22" t="str">
        <x:v>大きな問題なし</x:v>
      </x:c>
      <x:c r="O266" s="22" t="str">
        <x:v>維持</x:v>
      </x:c>
    </x:row>
    <x:row r="267">
      <x:c r="A267" s="22" t="str">
        <x:v>R130</x:v>
      </x:c>
      <x:c r="B267" s="22" t="str">
        <x:v>手賀沼・農産物ナイト</x:v>
      </x:c>
      <x:c r="C267" s="22" t="str">
        <x:v>通常</x:v>
      </x:c>
      <x:c r="D267" s="22" t="n">
        <x:v>1</x:v>
      </x:c>
      <x:c r="E267" s="22" t="str">
        <x:v>道の駅 しょうなん</x:v>
      </x:c>
      <x:c r="F267" s="22" t="n">
        <x:v>5</x:v>
      </x:c>
      <x:c r="G267" s="22" t="n">
        <x:v>5</x:v>
      </x:c>
      <x:c r="H267" s="22" t="n">
        <x:v>1</x:v>
      </x:c>
      <x:c r="I267" s="22" t="n">
        <x:v>3</x:v>
      </x:c>
      <x:c r="J267" s="22" t="n">
        <x:v>4</x:v>
      </x:c>
      <x:c r="K267" s="22" t="n">
        <x:v>3</x:v>
      </x:c>
      <x:c r="L267" s="22" t="n">
        <x:v>71</x:v>
      </x:c>
      <x:c r="M267" s="22" t="str">
        <x:v>導入地点</x:v>
      </x:c>
      <x:c r="N267" s="22" t="str">
        <x:v>時間帯不一致／次地点との差が小さい</x:v>
      </x:c>
      <x:c r="O267" s="22" t="str">
        <x:v>維持</x:v>
      </x:c>
    </x:row>
    <x:row r="268">
      <x:c r="A268" s="22" t="str">
        <x:v>R130</x:v>
      </x:c>
      <x:c r="B268" s="22" t="str">
        <x:v>手賀沼・農産物ナイト</x:v>
      </x:c>
      <x:c r="C268" s="22" t="str">
        <x:v>通常</x:v>
      </x:c>
      <x:c r="D268" s="22" t="n">
        <x:v>2</x:v>
      </x:c>
      <x:c r="E268" s="22" t="str">
        <x:v>手賀沼親水広場</x:v>
      </x:c>
      <x:c r="F268" s="22" t="n">
        <x:v>1</x:v>
      </x:c>
      <x:c r="G268" s="22" t="n">
        <x:v>4</x:v>
      </x:c>
      <x:c r="H268" s="22" t="n">
        <x:v>3</x:v>
      </x:c>
      <x:c r="I268" s="22" t="n">
        <x:v>3</x:v>
      </x:c>
      <x:c r="J268" s="22" t="n">
        <x:v>4</x:v>
      </x:c>
      <x:c r="K268" s="22" t="n">
        <x:v>3</x:v>
      </x:c>
      <x:c r="L268" s="22" t="n">
        <x:v>56</x:v>
      </x:c>
      <x:c r="M268" s="22" t="str">
        <x:v>最終目的地への助走</x:v>
      </x:c>
      <x:c r="N268" s="22" t="str">
        <x:v>駐車が弱い／次地点との差が小さい</x:v>
      </x:c>
      <x:c r="O268" s="22" t="str">
        <x:v>維持</x:v>
      </x:c>
    </x:row>
    <x:row r="269">
      <x:c r="A269" s="22" t="str">
        <x:v>R131</x:v>
      </x:c>
      <x:c r="B269" s="22" t="str">
        <x:v>東京近距離・運河と市場</x:v>
      </x:c>
      <x:c r="C269" s="22" t="str">
        <x:v>通常</x:v>
      </x:c>
      <x:c r="D269" s="22" t="n">
        <x:v>1</x:v>
      </x:c>
      <x:c r="E269" s="22" t="str">
        <x:v>東品川海上公園</x:v>
      </x:c>
      <x:c r="F269" s="22" t="n">
        <x:v>1</x:v>
      </x:c>
      <x:c r="G269" s="22" t="n">
        <x:v>4</x:v>
      </x:c>
      <x:c r="H269" s="22" t="n">
        <x:v>5</x:v>
      </x:c>
      <x:c r="I269" s="22" t="n">
        <x:v>3</x:v>
      </x:c>
      <x:c r="J269" s="22" t="n">
        <x:v>4</x:v>
      </x:c>
      <x:c r="K269" s="22" t="n">
        <x:v>4</x:v>
      </x:c>
      <x:c r="L269" s="22" t="n">
        <x:v>66</x:v>
      </x:c>
      <x:c r="M269" s="22" t="str">
        <x:v>導入地点</x:v>
      </x:c>
      <x:c r="N269" s="22" t="str">
        <x:v>駐車が弱い</x:v>
      </x:c>
      <x:c r="O269" s="22" t="str">
        <x:v>維持</x:v>
      </x:c>
    </x:row>
    <x:row r="270">
      <x:c r="A270" s="22" t="str">
        <x:v>R131</x:v>
      </x:c>
      <x:c r="B270" s="22" t="str">
        <x:v>東京近距離・運河と市場</x:v>
      </x:c>
      <x:c r="C270" s="22" t="str">
        <x:v>通常</x:v>
      </x:c>
      <x:c r="D270" s="22" t="n">
        <x:v>2</x:v>
      </x:c>
      <x:c r="E270" s="22" t="str">
        <x:v>道の駅 いちかわ</x:v>
      </x:c>
      <x:c r="F270" s="22" t="n">
        <x:v>4</x:v>
      </x:c>
      <x:c r="G270" s="22" t="n">
        <x:v>5</x:v>
      </x:c>
      <x:c r="H270" s="22" t="n">
        <x:v>4</x:v>
      </x:c>
      <x:c r="I270" s="22" t="n">
        <x:v>2</x:v>
      </x:c>
      <x:c r="J270" s="22" t="n">
        <x:v>4</x:v>
      </x:c>
      <x:c r="K270" s="22" t="n">
        <x:v>4</x:v>
      </x:c>
      <x:c r="L270" s="22" t="n">
        <x:v>77</x:v>
      </x:c>
      <x:c r="M270" s="22" t="str">
        <x:v>景観転換点</x:v>
      </x:c>
      <x:c r="N270" s="22" t="str">
        <x:v>大きな問題なし</x:v>
      </x:c>
      <x:c r="O270" s="22" t="str">
        <x:v>維持</x:v>
      </x:c>
    </x:row>
    <x:row r="271">
      <x:c r="A271" s="22" t="str">
        <x:v>R131</x:v>
      </x:c>
      <x:c r="B271" s="22" t="str">
        <x:v>東京近距離・運河と市場</x:v>
      </x:c>
      <x:c r="C271" s="22" t="str">
        <x:v>通常</x:v>
      </x:c>
      <x:c r="D271" s="22" t="n">
        <x:v>3</x:v>
      </x:c>
      <x:c r="E271" s="22" t="str">
        <x:v>高洲海浜公園</x:v>
      </x:c>
      <x:c r="F271" s="22" t="n">
        <x:v>5</x:v>
      </x:c>
      <x:c r="G271" s="22" t="n">
        <x:v>5</x:v>
      </x:c>
      <x:c r="H271" s="22" t="n">
        <x:v>5</x:v>
      </x:c>
      <x:c r="I271" s="22" t="n">
        <x:v>3</x:v>
      </x:c>
      <x:c r="J271" s="22" t="n">
        <x:v>4</x:v>
      </x:c>
      <x:c r="K271" s="22" t="n">
        <x:v>4</x:v>
      </x:c>
      <x:c r="L271" s="22" t="n">
        <x:v>89</x:v>
      </x:c>
      <x:c r="M271" s="22" t="str">
        <x:v>最終目的地への助走</x:v>
      </x:c>
      <x:c r="N271" s="22" t="str">
        <x:v>大きな問題なし</x:v>
      </x:c>
      <x:c r="O271" s="22" t="str">
        <x:v>維持</x:v>
      </x:c>
    </x:row>
    <x:row r="272">
      <x:c r="A272" s="22" t="str">
        <x:v>R132</x:v>
      </x:c>
      <x:c r="B272" s="22" t="str">
        <x:v>西東京から足柄へ長距離Story</x:v>
      </x:c>
      <x:c r="C272" s="22" t="str">
        <x:v>通常</x:v>
      </x:c>
      <x:c r="D272" s="22" t="n">
        <x:v>1</x:v>
      </x:c>
      <x:c r="E272" s="22" t="str">
        <x:v>武蔵国分寺公園</x:v>
      </x:c>
      <x:c r="F272" s="22" t="n">
        <x:v>5</x:v>
      </x:c>
      <x:c r="G272" s="22" t="n">
        <x:v>5</x:v>
      </x:c>
      <x:c r="H272" s="22" t="n">
        <x:v>5</x:v>
      </x:c>
      <x:c r="I272" s="22" t="n">
        <x:v>2</x:v>
      </x:c>
      <x:c r="J272" s="22" t="n">
        <x:v>4</x:v>
      </x:c>
      <x:c r="K272" s="22" t="n">
        <x:v>5</x:v>
      </x:c>
      <x:c r="L272" s="22" t="n">
        <x:v>88</x:v>
      </x:c>
      <x:c r="M272" s="22" t="str">
        <x:v>導入地点</x:v>
      </x:c>
      <x:c r="N272" s="22" t="str">
        <x:v>大きな問題なし</x:v>
      </x:c>
      <x:c r="O272" s="22" t="str">
        <x:v>維持</x:v>
      </x:c>
    </x:row>
    <x:row r="273">
      <x:c r="A273" s="22" t="str">
        <x:v>R132</x:v>
      </x:c>
      <x:c r="B273" s="22" t="str">
        <x:v>西東京から足柄へ長距離Story</x:v>
      </x:c>
      <x:c r="C273" s="22" t="str">
        <x:v>通常</x:v>
      </x:c>
      <x:c r="D273" s="22" t="n">
        <x:v>2</x:v>
      </x:c>
      <x:c r="E273" s="22" t="str">
        <x:v>弘法山公園</x:v>
      </x:c>
      <x:c r="F273" s="22" t="n">
        <x:v>4</x:v>
      </x:c>
      <x:c r="G273" s="22" t="n">
        <x:v>5</x:v>
      </x:c>
      <x:c r="H273" s="22" t="n">
        <x:v>5</x:v>
      </x:c>
      <x:c r="I273" s="22" t="n">
        <x:v>3</x:v>
      </x:c>
      <x:c r="J273" s="22" t="n">
        <x:v>4</x:v>
      </x:c>
      <x:c r="K273" s="22" t="n">
        <x:v>4</x:v>
      </x:c>
      <x:c r="L273" s="22" t="n">
        <x:v>84</x:v>
      </x:c>
      <x:c r="M273" s="22" t="str">
        <x:v>景観転換点</x:v>
      </x:c>
      <x:c r="N273" s="22" t="str">
        <x:v>大きな問題なし</x:v>
      </x:c>
      <x:c r="O273" s="22" t="str">
        <x:v>維持</x:v>
      </x:c>
    </x:row>
    <x:row r="274">
      <x:c r="A274" s="22" t="str">
        <x:v>R132</x:v>
      </x:c>
      <x:c r="B274" s="22" t="str">
        <x:v>西東京から足柄へ長距離Story</x:v>
      </x:c>
      <x:c r="C274" s="22" t="str">
        <x:v>通常</x:v>
      </x:c>
      <x:c r="D274" s="22" t="n">
        <x:v>3</x:v>
      </x:c>
      <x:c r="E274" s="22" t="str">
        <x:v>西平畑公園</x:v>
      </x:c>
      <x:c r="F274" s="22" t="n">
        <x:v>4</x:v>
      </x:c>
      <x:c r="G274" s="22" t="n">
        <x:v>5</x:v>
      </x:c>
      <x:c r="H274" s="22" t="n">
        <x:v>3</x:v>
      </x:c>
      <x:c r="I274" s="22" t="n">
        <x:v>3</x:v>
      </x:c>
      <x:c r="J274" s="22" t="n">
        <x:v>4</x:v>
      </x:c>
      <x:c r="K274" s="22" t="n">
        <x:v>4</x:v>
      </x:c>
      <x:c r="L274" s="22" t="n">
        <x:v>76</x:v>
      </x:c>
      <x:c r="M274" s="22" t="str">
        <x:v>最終目的地への助走</x:v>
      </x:c>
      <x:c r="N274" s="22" t="str">
        <x:v>大きな問題なし</x:v>
      </x:c>
      <x:c r="O274" s="22" t="str">
        <x:v>維持</x:v>
      </x:c>
    </x:row>
    <x:row r="275">
      <x:c r="A275" s="22" t="str">
        <x:v>R133</x:v>
      </x:c>
      <x:c r="B275" s="22" t="str">
        <x:v>羽田・足湯から河口へ</x:v>
      </x:c>
      <x:c r="C275" s="22" t="str">
        <x:v>共有駐車・徒歩連結</x:v>
      </x:c>
      <x:c r="D275" s="22" t="n">
        <x:v>1</x:v>
      </x:c>
      <x:c r="E275" s="22" t="str">
        <x:v>HANEDA INNOVATION CITY 足湯スカイデッキ</x:v>
      </x:c>
      <x:c r="F275" s="22" t="n">
        <x:v>5</x:v>
      </x:c>
      <x:c r="G275" s="22" t="n">
        <x:v>5</x:v>
      </x:c>
      <x:c r="H275" s="22" t="n">
        <x:v>5</x:v>
      </x:c>
      <x:c r="I275" s="22" t="n">
        <x:v>4</x:v>
      </x:c>
      <x:c r="J275" s="22" t="n">
        <x:v>5</x:v>
      </x:c>
      <x:c r="K275" s="22" t="n">
        <x:v>4</x:v>
      </x:c>
      <x:c r="L275" s="22" t="n">
        <x:v>95</x:v>
      </x:c>
      <x:c r="M275" s="22" t="str">
        <x:v>導入地点</x:v>
      </x:c>
      <x:c r="N275" s="22" t="str">
        <x:v>大きな問題なし</x:v>
      </x:c>
      <x:c r="O275" s="22" t="str">
        <x:v>役割明記</x:v>
      </x:c>
    </x:row>
    <x:row r="276">
      <x:c r="A276" s="22" t="str">
        <x:v>R133</x:v>
      </x:c>
      <x:c r="B276" s="22" t="str">
        <x:v>羽田・足湯から河口へ</x:v>
      </x:c>
      <x:c r="C276" s="22" t="str">
        <x:v>共有駐車・徒歩連結</x:v>
      </x:c>
      <x:c r="D276" s="22" t="n">
        <x:v>2</x:v>
      </x:c>
      <x:c r="E276" s="22" t="str">
        <x:v>ソラムナード羽田緑地</x:v>
      </x:c>
      <x:c r="F276" s="22" t="n">
        <x:v>5</x:v>
      </x:c>
      <x:c r="G276" s="22" t="n">
        <x:v>4</x:v>
      </x:c>
      <x:c r="H276" s="22" t="n">
        <x:v>5</x:v>
      </x:c>
      <x:c r="I276" s="22" t="n">
        <x:v>4</x:v>
      </x:c>
      <x:c r="J276" s="22" t="n">
        <x:v>5</x:v>
      </x:c>
      <x:c r="K276" s="22" t="n">
        <x:v>3</x:v>
      </x:c>
      <x:c r="L276" s="22" t="n">
        <x:v>90</x:v>
      </x:c>
      <x:c r="M276" s="22" t="str">
        <x:v>共有駐車から徒歩でつなぐ河口体験</x:v>
      </x:c>
      <x:c r="N276" s="22" t="str">
        <x:v>次地点との差が小さい</x:v>
      </x:c>
      <x:c r="O276" s="22" t="str">
        <x:v>役割明記</x:v>
      </x:c>
    </x:row>
    <x:row r="277">
      <x:c r="A277" s="22" t="str">
        <x:v>R134</x:v>
      </x:c>
      <x:c r="B277" s="22" t="str">
        <x:v>羽田3ターミナル比較</x:v>
      </x:c>
      <x:c r="C277" s="22" t="str">
        <x:v>空港内移動</x:v>
      </x:c>
      <x:c r="D277" s="22" t="n">
        <x:v>1</x:v>
      </x:c>
      <x:c r="E277" s="22" t="str">
        <x:v>羽田空港 第1ターミナル展望デッキ</x:v>
      </x:c>
      <x:c r="F277" s="22" t="n">
        <x:v>4</x:v>
      </x:c>
      <x:c r="G277" s="22" t="n">
        <x:v>4</x:v>
      </x:c>
      <x:c r="H277" s="22" t="n">
        <x:v>4</x:v>
      </x:c>
      <x:c r="I277" s="22" t="n">
        <x:v>4</x:v>
      </x:c>
      <x:c r="J277" s="22" t="n">
        <x:v>4</x:v>
      </x:c>
      <x:c r="K277" s="22" t="n">
        <x:v>4</x:v>
      </x:c>
      <x:c r="L277" s="22" t="n">
        <x:v>80</x:v>
      </x:c>
      <x:c r="M277" s="22" t="str">
        <x:v>導入地点</x:v>
      </x:c>
      <x:c r="N277" s="22" t="str">
        <x:v>大きな問題なし</x:v>
      </x:c>
      <x:c r="O277" s="22" t="str">
        <x:v>役割明記</x:v>
      </x:c>
    </x:row>
    <x:row r="278">
      <x:c r="A278" s="22" t="str">
        <x:v>R134</x:v>
      </x:c>
      <x:c r="B278" s="22" t="str">
        <x:v>羽田3ターミナル比較</x:v>
      </x:c>
      <x:c r="C278" s="22" t="str">
        <x:v>空港内移動</x:v>
      </x:c>
      <x:c r="D278" s="22" t="n">
        <x:v>2</x:v>
      </x:c>
      <x:c r="E278" s="22" t="str">
        <x:v>羽田空港 第2ターミナル展望デッキ／FLIGHT DECK TOKYO</x:v>
      </x:c>
      <x:c r="F278" s="22" t="n">
        <x:v>4</x:v>
      </x:c>
      <x:c r="G278" s="22" t="n">
        <x:v>4</x:v>
      </x:c>
      <x:c r="H278" s="22" t="n">
        <x:v>5</x:v>
      </x:c>
      <x:c r="I278" s="22" t="n">
        <x:v>3</x:v>
      </x:c>
      <x:c r="J278" s="22" t="n">
        <x:v>4</x:v>
      </x:c>
      <x:c r="K278" s="22" t="n">
        <x:v>3</x:v>
      </x:c>
      <x:c r="L278" s="22" t="n">
        <x:v>79</x:v>
      </x:c>
      <x:c r="M278" s="22" t="str">
        <x:v>最終目的地への助走</x:v>
      </x:c>
      <x:c r="N278" s="22" t="str">
        <x:v>次地点との差が小さい</x:v>
      </x:c>
      <x:c r="O278" s="22" t="str">
        <x:v>役割明記</x:v>
      </x:c>
    </x:row>
    <x:row r="279">
      <x:c r="A279" s="22" t="str">
        <x:v>R135</x:v>
      </x:c>
      <x:c r="B279" s="22" t="str">
        <x:v>大森・海苔の海辺線</x:v>
      </x:c>
      <x:c r="C279" s="22" t="str">
        <x:v>通常</x:v>
      </x:c>
      <x:c r="D279" s="22" t="n">
        <x:v>1</x:v>
      </x:c>
      <x:c r="E279" s="22" t="str">
        <x:v>平和の森公園</x:v>
      </x:c>
      <x:c r="F279" s="22" t="n">
        <x:v>2</x:v>
      </x:c>
      <x:c r="G279" s="22" t="n">
        <x:v>4</x:v>
      </x:c>
      <x:c r="H279" s="22" t="n">
        <x:v>5</x:v>
      </x:c>
      <x:c r="I279" s="22" t="n">
        <x:v>3</x:v>
      </x:c>
      <x:c r="J279" s="22" t="n">
        <x:v>4</x:v>
      </x:c>
      <x:c r="K279" s="22" t="n">
        <x:v>4</x:v>
      </x:c>
      <x:c r="L279" s="22" t="n">
        <x:v>71</x:v>
      </x:c>
      <x:c r="M279" s="22" t="str">
        <x:v>導入地点</x:v>
      </x:c>
      <x:c r="N279" s="22" t="str">
        <x:v>駐車が弱い</x:v>
      </x:c>
      <x:c r="O279" s="22" t="str">
        <x:v>維持</x:v>
      </x:c>
    </x:row>
    <x:row r="280">
      <x:c r="A280" s="22" t="str">
        <x:v>R135</x:v>
      </x:c>
      <x:c r="B280" s="22" t="str">
        <x:v>大森・海苔の海辺線</x:v>
      </x:c>
      <x:c r="C280" s="22" t="str">
        <x:v>通常</x:v>
      </x:c>
      <x:c r="D280" s="22" t="n">
        <x:v>2</x:v>
      </x:c>
      <x:c r="E280" s="22" t="str">
        <x:v>大森ふるさとの浜辺公園</x:v>
      </x:c>
      <x:c r="F280" s="22" t="n">
        <x:v>5</x:v>
      </x:c>
      <x:c r="G280" s="22" t="n">
        <x:v>4</x:v>
      </x:c>
      <x:c r="H280" s="22" t="n">
        <x:v>5</x:v>
      </x:c>
      <x:c r="I280" s="22" t="n">
        <x:v>4</x:v>
      </x:c>
      <x:c r="J280" s="22" t="n">
        <x:v>4</x:v>
      </x:c>
      <x:c r="K280" s="22" t="n">
        <x:v>4</x:v>
      </x:c>
      <x:c r="L280" s="22" t="n">
        <x:v>89</x:v>
      </x:c>
      <x:c r="M280" s="22" t="str">
        <x:v>最終目的地への助走</x:v>
      </x:c>
      <x:c r="N280" s="22" t="str">
        <x:v>大きな問題なし</x:v>
      </x:c>
      <x:c r="O280" s="22" t="str">
        <x:v>維持</x:v>
      </x:c>
    </x:row>
    <x:row r="281">
      <x:c r="A281" s="22" t="str">
        <x:v>R136</x:v>
      </x:c>
      <x:c r="B281" s="22" t="str">
        <x:v>森ケ崎・屋上から足湯へ</x:v>
      </x:c>
      <x:c r="C281" s="22" t="str">
        <x:v>共有駐車・徒歩連結</x:v>
      </x:c>
      <x:c r="D281" s="22" t="n">
        <x:v>1</x:v>
      </x:c>
      <x:c r="E281" s="22" t="str">
        <x:v>森ケ崎公園</x:v>
      </x:c>
      <x:c r="F281" s="22" t="n">
        <x:v>4</x:v>
      </x:c>
      <x:c r="G281" s="22" t="n">
        <x:v>5</x:v>
      </x:c>
      <x:c r="H281" s="22" t="n">
        <x:v>4</x:v>
      </x:c>
      <x:c r="I281" s="22" t="n">
        <x:v>4</x:v>
      </x:c>
      <x:c r="J281" s="22" t="n">
        <x:v>5</x:v>
      </x:c>
      <x:c r="K281" s="22" t="n">
        <x:v>4</x:v>
      </x:c>
      <x:c r="L281" s="22" t="n">
        <x:v>86</x:v>
      </x:c>
      <x:c r="M281" s="22" t="str">
        <x:v>導入地点</x:v>
      </x:c>
      <x:c r="N281" s="22" t="str">
        <x:v>大きな問題なし</x:v>
      </x:c>
      <x:c r="O281" s="22" t="str">
        <x:v>役割明記</x:v>
      </x:c>
    </x:row>
    <x:row r="282">
      <x:c r="A282" s="22" t="str">
        <x:v>R136</x:v>
      </x:c>
      <x:c r="B282" s="22" t="str">
        <x:v>森ケ崎・屋上から足湯へ</x:v>
      </x:c>
      <x:c r="C282" s="22" t="str">
        <x:v>共有駐車・徒歩連結</x:v>
      </x:c>
      <x:c r="D282" s="22" t="n">
        <x:v>2</x:v>
      </x:c>
      <x:c r="E282" s="22" t="str">
        <x:v>ソラムナード羽田緑地</x:v>
      </x:c>
      <x:c r="F282" s="22" t="n">
        <x:v>5</x:v>
      </x:c>
      <x:c r="G282" s="22" t="n">
        <x:v>4</x:v>
      </x:c>
      <x:c r="H282" s="22" t="n">
        <x:v>5</x:v>
      </x:c>
      <x:c r="I282" s="22" t="n">
        <x:v>3</x:v>
      </x:c>
      <x:c r="J282" s="22" t="n">
        <x:v>5</x:v>
      </x:c>
      <x:c r="K282" s="22" t="n">
        <x:v>4</x:v>
      </x:c>
      <x:c r="L282" s="22" t="n">
        <x:v>89</x:v>
      </x:c>
      <x:c r="M282" s="22" t="str">
        <x:v>共有駐車から徒歩でつなぐ河口体験</x:v>
      </x:c>
      <x:c r="N282" s="22" t="str">
        <x:v>大きな問題なし</x:v>
      </x:c>
      <x:c r="O282" s="22" t="str">
        <x:v>役割明記</x:v>
      </x:c>
    </x:row>
    <x:row r="283">
      <x:c r="A283" s="22" t="str">
        <x:v>R137</x:v>
      </x:c>
      <x:c r="B283" s="22" t="str">
        <x:v>多摩川・休日ショート</x:v>
      </x:c>
      <x:c r="C283" s="22" t="str">
        <x:v>休日専用</x:v>
      </x:c>
      <x:c r="D283" s="22" t="n">
        <x:v>1</x:v>
      </x:c>
      <x:c r="E283" s="22" t="str">
        <x:v>多摩川六郷橋緑地</x:v>
      </x:c>
      <x:c r="F283" s="22" t="n">
        <x:v>2</x:v>
      </x:c>
      <x:c r="G283" s="22" t="n">
        <x:v>5</x:v>
      </x:c>
      <x:c r="H283" s="22" t="n">
        <x:v>5</x:v>
      </x:c>
      <x:c r="I283" s="22" t="n">
        <x:v>3</x:v>
      </x:c>
      <x:c r="J283" s="22" t="n">
        <x:v>4</x:v>
      </x:c>
      <x:c r="K283" s="22" t="n">
        <x:v>3</x:v>
      </x:c>
      <x:c r="L283" s="22" t="n">
        <x:v>72</x:v>
      </x:c>
      <x:c r="M283" s="22" t="str">
        <x:v>導入地点</x:v>
      </x:c>
      <x:c r="N283" s="22" t="str">
        <x:v>駐車が弱い／次地点との差が小さい</x:v>
      </x:c>
      <x:c r="O283" s="22" t="str">
        <x:v>役割明記</x:v>
      </x:c>
    </x:row>
    <x:row r="284">
      <x:c r="A284" s="22" t="str">
        <x:v>R137</x:v>
      </x:c>
      <x:c r="B284" s="22" t="str">
        <x:v>多摩川・休日ショート</x:v>
      </x:c>
      <x:c r="C284" s="22" t="str">
        <x:v>休日専用</x:v>
      </x:c>
      <x:c r="D284" s="22" t="n">
        <x:v>2</x:v>
      </x:c>
      <x:c r="E284" s="22" t="str">
        <x:v>多摩川ガス橋緑地</x:v>
      </x:c>
      <x:c r="F284" s="22" t="n">
        <x:v>2</x:v>
      </x:c>
      <x:c r="G284" s="22" t="n">
        <x:v>5</x:v>
      </x:c>
      <x:c r="H284" s="22" t="n">
        <x:v>5</x:v>
      </x:c>
      <x:c r="I284" s="22" t="n">
        <x:v>3</x:v>
      </x:c>
      <x:c r="J284" s="22" t="n">
        <x:v>4</x:v>
      </x:c>
      <x:c r="K284" s="22" t="n">
        <x:v>5</x:v>
      </x:c>
      <x:c r="L284" s="22" t="n">
        <x:v>76</x:v>
      </x:c>
      <x:c r="M284" s="22" t="str">
        <x:v>最終目的地への助走</x:v>
      </x:c>
      <x:c r="N284" s="22" t="str">
        <x:v>駐車が弱い</x:v>
      </x:c>
      <x:c r="O284" s="22" t="str">
        <x:v>役割明記</x:v>
      </x:c>
    </x:row>
    <x:row r="285">
      <x:c r="A285" s="22" t="str">
        <x:v>R138</x:v>
      </x:c>
      <x:c r="B285" s="22" t="str">
        <x:v>池上から大森海岸へ</x:v>
      </x:c>
      <x:c r="C285" s="22" t="str">
        <x:v>昼専用</x:v>
      </x:c>
      <x:c r="D285" s="22" t="n">
        <x:v>1</x:v>
      </x:c>
      <x:c r="E285" s="22" t="str">
        <x:v>池上梅園</x:v>
      </x:c>
      <x:c r="F285" s="22" t="n">
        <x:v>2</x:v>
      </x:c>
      <x:c r="G285" s="22" t="n">
        <x:v>5</x:v>
      </x:c>
      <x:c r="H285" s="22" t="n">
        <x:v>5</x:v>
      </x:c>
      <x:c r="I285" s="22" t="n">
        <x:v>4</x:v>
      </x:c>
      <x:c r="J285" s="22" t="n">
        <x:v>4</x:v>
      </x:c>
      <x:c r="K285" s="22" t="n">
        <x:v>3</x:v>
      </x:c>
      <x:c r="L285" s="22" t="n">
        <x:v>75</x:v>
      </x:c>
      <x:c r="M285" s="22" t="str">
        <x:v>導入地点</x:v>
      </x:c>
      <x:c r="N285" s="22" t="str">
        <x:v>駐車が弱い／次地点との差が小さい</x:v>
      </x:c>
      <x:c r="O285" s="22" t="str">
        <x:v>役割明記</x:v>
      </x:c>
    </x:row>
    <x:row r="286">
      <x:c r="A286" s="22" t="str">
        <x:v>R138</x:v>
      </x:c>
      <x:c r="B286" s="22" t="str">
        <x:v>池上から大森海岸へ</x:v>
      </x:c>
      <x:c r="C286" s="22" t="str">
        <x:v>昼専用</x:v>
      </x:c>
      <x:c r="D286" s="22" t="n">
        <x:v>2</x:v>
      </x:c>
      <x:c r="E286" s="22" t="str">
        <x:v>平和の森公園</x:v>
      </x:c>
      <x:c r="F286" s="22" t="n">
        <x:v>2</x:v>
      </x:c>
      <x:c r="G286" s="22" t="n">
        <x:v>4</x:v>
      </x:c>
      <x:c r="H286" s="22" t="n">
        <x:v>5</x:v>
      </x:c>
      <x:c r="I286" s="22" t="n">
        <x:v>4</x:v>
      </x:c>
      <x:c r="J286" s="22" t="n">
        <x:v>4</x:v>
      </x:c>
      <x:c r="K286" s="22" t="n">
        <x:v>4</x:v>
      </x:c>
      <x:c r="L286" s="22" t="n">
        <x:v>74</x:v>
      </x:c>
      <x:c r="M286" s="22" t="str">
        <x:v>最終目的地への助走</x:v>
      </x:c>
      <x:c r="N286" s="22" t="str">
        <x:v>駐車が弱い</x:v>
      </x:c>
      <x:c r="O286" s="22" t="str">
        <x:v>役割明記</x:v>
      </x:c>
    </x:row>
    <x:row r="287">
      <x:c r="A287" s="22" t="str">
        <x:v>R139</x:v>
      </x:c>
      <x:c r="B287" s="22" t="str">
        <x:v>大井・東京港ショート</x:v>
      </x:c>
      <x:c r="C287" s="22" t="str">
        <x:v>昼～夕方専用</x:v>
      </x:c>
      <x:c r="D287" s="22" t="n">
        <x:v>1</x:v>
      </x:c>
      <x:c r="E287" s="22" t="str">
        <x:v>東京港野鳥公園</x:v>
      </x:c>
      <x:c r="F287" s="22" t="n">
        <x:v>4</x:v>
      </x:c>
      <x:c r="G287" s="22" t="n">
        <x:v>5</x:v>
      </x:c>
      <x:c r="H287" s="22" t="n">
        <x:v>1</x:v>
      </x:c>
      <x:c r="I287" s="22" t="n">
        <x:v>4</x:v>
      </x:c>
      <x:c r="J287" s="22" t="n">
        <x:v>4</x:v>
      </x:c>
      <x:c r="K287" s="22" t="n">
        <x:v>5</x:v>
      </x:c>
      <x:c r="L287" s="22" t="n">
        <x:v>73</x:v>
      </x:c>
      <x:c r="M287" s="22" t="str">
        <x:v>導入地点</x:v>
      </x:c>
      <x:c r="N287" s="22" t="str">
        <x:v>時間帯不一致</x:v>
      </x:c>
      <x:c r="O287" s="22" t="str">
        <x:v>役割明記</x:v>
      </x:c>
    </x:row>
    <x:row r="288">
      <x:c r="A288" s="22" t="str">
        <x:v>R139</x:v>
      </x:c>
      <x:c r="B288" s="22" t="str">
        <x:v>大井・東京港ショート</x:v>
      </x:c>
      <x:c r="C288" s="22" t="str">
        <x:v>昼～夕方専用</x:v>
      </x:c>
      <x:c r="D288" s="22" t="n">
        <x:v>2</x:v>
      </x:c>
      <x:c r="E288" s="22" t="str">
        <x:v>京浜島つばさ公園</x:v>
      </x:c>
      <x:c r="F288" s="22" t="n">
        <x:v>2</x:v>
      </x:c>
      <x:c r="G288" s="22" t="n">
        <x:v>5</x:v>
      </x:c>
      <x:c r="H288" s="22" t="n">
        <x:v>5</x:v>
      </x:c>
      <x:c r="I288" s="22" t="n">
        <x:v>3</x:v>
      </x:c>
      <x:c r="J288" s="22" t="n">
        <x:v>4</x:v>
      </x:c>
      <x:c r="K288" s="22" t="n">
        <x:v>4</x:v>
      </x:c>
      <x:c r="L288" s="22" t="n">
        <x:v>74</x:v>
      </x:c>
      <x:c r="M288" s="22" t="str">
        <x:v>最終目的地への助走</x:v>
      </x:c>
      <x:c r="N288" s="22" t="str">
        <x:v>駐車が弱い</x:v>
      </x:c>
      <x:c r="O288" s="22" t="str">
        <x:v>役割明記</x:v>
      </x:c>
    </x:row>
    <x:row r="289">
      <x:c r="A289" s="22" t="str">
        <x:v>R140</x:v>
      </x:c>
      <x:c r="B289" s="22" t="str">
        <x:v>お台場から豊洲の水際夜景</x:v>
      </x:c>
      <x:c r="C289" s="22" t="str">
        <x:v>通常</x:v>
      </x:c>
      <x:c r="D289" s="22" t="n">
        <x:v>1</x:v>
      </x:c>
      <x:c r="E289" s="22" t="str">
        <x:v>お台場海浜公園</x:v>
      </x:c>
      <x:c r="F289" s="22" t="n">
        <x:v>5</x:v>
      </x:c>
      <x:c r="G289" s="22" t="n">
        <x:v>4</x:v>
      </x:c>
      <x:c r="H289" s="22" t="n">
        <x:v>5</x:v>
      </x:c>
      <x:c r="I289" s="22" t="n">
        <x:v>4</x:v>
      </x:c>
      <x:c r="J289" s="22" t="n">
        <x:v>5</x:v>
      </x:c>
      <x:c r="K289" s="22" t="n">
        <x:v>4</x:v>
      </x:c>
      <x:c r="L289" s="22" t="n">
        <x:v>92</x:v>
      </x:c>
      <x:c r="M289" s="22" t="str">
        <x:v>導入地点</x:v>
      </x:c>
      <x:c r="N289" s="22" t="str">
        <x:v>大きな問題なし</x:v>
      </x:c>
      <x:c r="O289" s="22" t="str">
        <x:v>差替え済</x:v>
      </x:c>
    </x:row>
    <x:row r="290">
      <x:c r="A290" s="22" t="str">
        <x:v>R140</x:v>
      </x:c>
      <x:c r="B290" s="22" t="str">
        <x:v>お台場から豊洲の水際夜景</x:v>
      </x:c>
      <x:c r="C290" s="22" t="str">
        <x:v>通常</x:v>
      </x:c>
      <x:c r="D290" s="22" t="n">
        <x:v>2</x:v>
      </x:c>
      <x:c r="E290" s="22" t="str">
        <x:v>豊洲ぐるり公園</x:v>
      </x:c>
      <x:c r="F290" s="22" t="n">
        <x:v>5</x:v>
      </x:c>
      <x:c r="G290" s="22" t="n">
        <x:v>5</x:v>
      </x:c>
      <x:c r="H290" s="22" t="n">
        <x:v>5</x:v>
      </x:c>
      <x:c r="I290" s="22" t="n">
        <x:v>3</x:v>
      </x:c>
      <x:c r="J290" s="22" t="n">
        <x:v>5</x:v>
      </x:c>
      <x:c r="K290" s="22" t="n">
        <x:v>4</x:v>
      </x:c>
      <x:c r="L290" s="22" t="n">
        <x:v>92</x:v>
      </x:c>
      <x:c r="M290" s="22" t="str">
        <x:v>最終目的地への助走</x:v>
      </x:c>
      <x:c r="N290" s="22" t="str">
        <x:v>大きな問題なし</x:v>
      </x:c>
      <x:c r="O290" s="22" t="str">
        <x:v>差替え済</x:v>
      </x:c>
    </x:row>
    <x:row r="291">
      <x:c r="A291" s="22" t="str">
        <x:v>R141</x:v>
      </x:c>
      <x:c r="B291" s="22" t="str">
        <x:v>雨天・羽田インドア線</x:v>
      </x:c>
      <x:c r="C291" s="22" t="str">
        <x:v>雨天・空港内移動</x:v>
      </x:c>
      <x:c r="D291" s="22" t="n">
        <x:v>1</x:v>
      </x:c>
      <x:c r="E291" s="22" t="str">
        <x:v>HANEDA INNOVATION CITY 足湯スカイデッキ</x:v>
      </x:c>
      <x:c r="F291" s="22" t="n">
        <x:v>5</x:v>
      </x:c>
      <x:c r="G291" s="22" t="n">
        <x:v>5</x:v>
      </x:c>
      <x:c r="H291" s="22" t="n">
        <x:v>5</x:v>
      </x:c>
      <x:c r="I291" s="22" t="n">
        <x:v>5</x:v>
      </x:c>
      <x:c r="J291" s="22" t="n">
        <x:v>5</x:v>
      </x:c>
      <x:c r="K291" s="22" t="n">
        <x:v>4</x:v>
      </x:c>
      <x:c r="L291" s="22" t="n">
        <x:v>98</x:v>
      </x:c>
      <x:c r="M291" s="22" t="str">
        <x:v>導入地点</x:v>
      </x:c>
      <x:c r="N291" s="22" t="str">
        <x:v>大きな問題なし</x:v>
      </x:c>
      <x:c r="O291" s="22" t="str">
        <x:v>役割明記</x:v>
      </x:c>
    </x:row>
    <x:row r="292">
      <x:c r="A292" s="22" t="str">
        <x:v>R141</x:v>
      </x:c>
      <x:c r="B292" s="22" t="str">
        <x:v>雨天・羽田インドア線</x:v>
      </x:c>
      <x:c r="C292" s="22" t="str">
        <x:v>雨天・空港内移動</x:v>
      </x:c>
      <x:c r="D292" s="22" t="n">
        <x:v>2</x:v>
      </x:c>
      <x:c r="E292" s="22" t="str">
        <x:v>羽田空港 第2ターミナル展望デッキ／FLIGHT DECK TOKYO</x:v>
      </x:c>
      <x:c r="F292" s="22" t="n">
        <x:v>4</x:v>
      </x:c>
      <x:c r="G292" s="22" t="n">
        <x:v>4</x:v>
      </x:c>
      <x:c r="H292" s="22" t="n">
        <x:v>5</x:v>
      </x:c>
      <x:c r="I292" s="22" t="n">
        <x:v>4</x:v>
      </x:c>
      <x:c r="J292" s="22" t="n">
        <x:v>5</x:v>
      </x:c>
      <x:c r="K292" s="22" t="n">
        <x:v>3</x:v>
      </x:c>
      <x:c r="L292" s="22" t="n">
        <x:v>85</x:v>
      </x:c>
      <x:c r="M292" s="22" t="str">
        <x:v>最終目的地への助走</x:v>
      </x:c>
      <x:c r="N292" s="22" t="str">
        <x:v>次地点との差が小さい</x:v>
      </x:c>
      <x:c r="O292" s="22" t="str">
        <x:v>役割明記</x:v>
      </x:c>
    </x:row>
    <x:row r="293">
      <x:c r="A293" s="22" t="str">
        <x:v>R142</x:v>
      </x:c>
      <x:c r="B293" s="22" t="str">
        <x:v>深夜2時間・羽田海辺</x:v>
      </x:c>
      <x:c r="C293" s="22" t="str">
        <x:v>通常</x:v>
      </x:c>
      <x:c r="D293" s="22" t="n">
        <x:v>1</x:v>
      </x:c>
      <x:c r="E293" s="22" t="str">
        <x:v>羽田空港 第3ターミナル展望デッキ</x:v>
      </x:c>
      <x:c r="F293" s="22" t="n">
        <x:v>5</x:v>
      </x:c>
      <x:c r="G293" s="22" t="n">
        <x:v>5</x:v>
      </x:c>
      <x:c r="H293" s="22" t="n">
        <x:v>5</x:v>
      </x:c>
      <x:c r="I293" s="22" t="n">
        <x:v>3</x:v>
      </x:c>
      <x:c r="J293" s="22" t="n">
        <x:v>4</x:v>
      </x:c>
      <x:c r="K293" s="22" t="n">
        <x:v>4</x:v>
      </x:c>
      <x:c r="L293" s="22" t="n">
        <x:v>89</x:v>
      </x:c>
      <x:c r="M293" s="22" t="str">
        <x:v>導入地点</x:v>
      </x:c>
      <x:c r="N293" s="22" t="str">
        <x:v>大きな問題なし</x:v>
      </x:c>
      <x:c r="O293" s="22" t="str">
        <x:v>維持</x:v>
      </x:c>
    </x:row>
    <x:row r="294">
      <x:c r="A294" s="22" t="str">
        <x:v>R142</x:v>
      </x:c>
      <x:c r="B294" s="22" t="str">
        <x:v>深夜2時間・羽田海辺</x:v>
      </x:c>
      <x:c r="C294" s="22" t="str">
        <x:v>通常</x:v>
      </x:c>
      <x:c r="D294" s="22" t="n">
        <x:v>2</x:v>
      </x:c>
      <x:c r="E294" s="22" t="str">
        <x:v>HANEDA INNOVATION CITY 足湯スカイデッキ</x:v>
      </x:c>
      <x:c r="F294" s="22" t="n">
        <x:v>5</x:v>
      </x:c>
      <x:c r="G294" s="22" t="n">
        <x:v>5</x:v>
      </x:c>
      <x:c r="H294" s="22" t="n">
        <x:v>5</x:v>
      </x:c>
      <x:c r="I294" s="22" t="n">
        <x:v>4</x:v>
      </x:c>
      <x:c r="J294" s="22" t="n">
        <x:v>4</x:v>
      </x:c>
      <x:c r="K294" s="22" t="n">
        <x:v>4</x:v>
      </x:c>
      <x:c r="L294" s="22" t="n">
        <x:v>92</x:v>
      </x:c>
      <x:c r="M294" s="22" t="str">
        <x:v>最終目的地への助走</x:v>
      </x:c>
      <x:c r="N294" s="22" t="str">
        <x:v>大きな問題なし</x:v>
      </x:c>
      <x:c r="O294" s="22" t="str">
        <x:v>維持</x:v>
      </x:c>
    </x:row>
    <x:row r="295">
      <x:c r="A295" s="22" t="str">
        <x:v>R143</x:v>
      </x:c>
      <x:c r="B295" s="22" t="str">
        <x:v>羽田から川崎工場夜景へ</x:v>
      </x:c>
      <x:c r="C295" s="22" t="str">
        <x:v>通常</x:v>
      </x:c>
      <x:c r="D295" s="22" t="n">
        <x:v>1</x:v>
      </x:c>
      <x:c r="E295" s="22" t="str">
        <x:v>HANEDA INNOVATION CITY 足湯スカイデッキ</x:v>
      </x:c>
      <x:c r="F295" s="22" t="n">
        <x:v>5</x:v>
      </x:c>
      <x:c r="G295" s="22" t="n">
        <x:v>5</x:v>
      </x:c>
      <x:c r="H295" s="22" t="n">
        <x:v>5</x:v>
      </x:c>
      <x:c r="I295" s="22" t="n">
        <x:v>4</x:v>
      </x:c>
      <x:c r="J295" s="22" t="n">
        <x:v>5</x:v>
      </x:c>
      <x:c r="K295" s="22" t="n">
        <x:v>4</x:v>
      </x:c>
      <x:c r="L295" s="22" t="n">
        <x:v>95</x:v>
      </x:c>
      <x:c r="M295" s="22" t="str">
        <x:v>導入地点</x:v>
      </x:c>
      <x:c r="N295" s="22" t="str">
        <x:v>大きな問題なし</x:v>
      </x:c>
      <x:c r="O295" s="22" t="str">
        <x:v>差替え済</x:v>
      </x:c>
    </x:row>
    <x:row r="296">
      <x:c r="A296" s="22" t="str">
        <x:v>R143</x:v>
      </x:c>
      <x:c r="B296" s="22" t="str">
        <x:v>羽田から川崎工場夜景へ</x:v>
      </x:c>
      <x:c r="C296" s="22" t="str">
        <x:v>通常</x:v>
      </x:c>
      <x:c r="D296" s="22" t="n">
        <x:v>2</x:v>
      </x:c>
      <x:c r="E296" s="22" t="str">
        <x:v>川崎マリエン</x:v>
      </x:c>
      <x:c r="F296" s="22" t="n">
        <x:v>5</x:v>
      </x:c>
      <x:c r="G296" s="22" t="n">
        <x:v>5</x:v>
      </x:c>
      <x:c r="H296" s="22" t="n">
        <x:v>5</x:v>
      </x:c>
      <x:c r="I296" s="22" t="n">
        <x:v>4</x:v>
      </x:c>
      <x:c r="J296" s="22" t="n">
        <x:v>5</x:v>
      </x:c>
      <x:c r="K296" s="22" t="n">
        <x:v>5</x:v>
      </x:c>
      <x:c r="L296" s="22" t="n">
        <x:v>97</x:v>
      </x:c>
      <x:c r="M296" s="22" t="str">
        <x:v>最終目的地への助走</x:v>
      </x:c>
      <x:c r="N296" s="22" t="str">
        <x:v>大きな問題なし</x:v>
      </x:c>
      <x:c r="O296" s="22" t="str">
        <x:v>差替え済</x:v>
      </x:c>
    </x:row>
    <x:row r="297">
      <x:c r="A297" s="22" t="str">
        <x:v>R144</x:v>
      </x:c>
      <x:c r="B297" s="22" t="str">
        <x:v>平日夜90分・最短リセット</x:v>
      </x:c>
      <x:c r="C297" s="22" t="str">
        <x:v>平日夜・短時間</x:v>
      </x:c>
      <x:c r="D297" s="22" t="n">
        <x:v>1</x:v>
      </x:c>
      <x:c r="E297" s="22" t="str">
        <x:v>森ケ崎公園</x:v>
      </x:c>
      <x:c r="F297" s="22" t="n">
        <x:v>4</x:v>
      </x:c>
      <x:c r="G297" s="22" t="n">
        <x:v>5</x:v>
      </x:c>
      <x:c r="H297" s="22" t="n">
        <x:v>4</x:v>
      </x:c>
      <x:c r="I297" s="22" t="n">
        <x:v>4</x:v>
      </x:c>
      <x:c r="J297" s="22" t="n">
        <x:v>5</x:v>
      </x:c>
      <x:c r="K297" s="22" t="n">
        <x:v>4</x:v>
      </x:c>
      <x:c r="L297" s="22" t="n">
        <x:v>86</x:v>
      </x:c>
      <x:c r="M297" s="22" t="str">
        <x:v>導入地点</x:v>
      </x:c>
      <x:c r="N297" s="22" t="str">
        <x:v>大きな問題なし</x:v>
      </x:c>
      <x:c r="O297" s="22" t="str">
        <x:v>役割明記</x:v>
      </x:c>
    </x:row>
    <x:row r="298">
      <x:c r="A298" s="22" t="str">
        <x:v>R144</x:v>
      </x:c>
      <x:c r="B298" s="22" t="str">
        <x:v>平日夜90分・最短リセット</x:v>
      </x:c>
      <x:c r="C298" s="22" t="str">
        <x:v>平日夜・短時間</x:v>
      </x:c>
      <x:c r="D298" s="22" t="n">
        <x:v>2</x:v>
      </x:c>
      <x:c r="E298" s="22" t="str">
        <x:v>HANEDA INNOVATION CITY 足湯スカイデッキ</x:v>
      </x:c>
      <x:c r="F298" s="22" t="n">
        <x:v>5</x:v>
      </x:c>
      <x:c r="G298" s="22" t="n">
        <x:v>5</x:v>
      </x:c>
      <x:c r="H298" s="22" t="n">
        <x:v>5</x:v>
      </x:c>
      <x:c r="I298" s="22" t="n">
        <x:v>4</x:v>
      </x:c>
      <x:c r="J298" s="22" t="n">
        <x:v>5</x:v>
      </x:c>
      <x:c r="K298" s="22" t="n">
        <x:v>4</x:v>
      </x:c>
      <x:c r="L298" s="22" t="n">
        <x:v>95</x:v>
      </x:c>
      <x:c r="M298" s="22" t="str">
        <x:v>最終目的地への助走</x:v>
      </x:c>
      <x:c r="N298" s="22" t="str">
        <x:v>大きな問題なし</x:v>
      </x:c>
      <x:c r="O298" s="22" t="str">
        <x:v>役割明記</x:v>
      </x:c>
    </x:row>
  </x:sheetData>
  <x:conditionalFormatting sqref="F2:L298">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e6a592b9e5c54f2d"/>
  </x:tableParts>
</x:worksheet>
</file>

<file path=xl/worksheets/sheet28.xml><?xml version="1.0" encoding="utf-8"?>
<x:worksheet xmlns:x="http://schemas.openxmlformats.org/spreadsheetml/2006/main">
  <x:sheetFormatPr defaultRowHeight="15"/>
  <x:cols>
    <x:col min="1" max="1" width="13" hidden="0" customWidth="1"/>
    <x:col min="2" max="2" width="10" hidden="0" customWidth="1"/>
    <x:col min="3" max="3" width="28" hidden="0" customWidth="1"/>
    <x:col min="4" max="4" width="45" hidden="0" customWidth="1"/>
    <x:col min="5" max="5" width="28" hidden="0" customWidth="1"/>
    <x:col min="6" max="6" width="30" hidden="0" customWidth="1"/>
    <x:col min="7" max="7" width="45" hidden="0" customWidth="1"/>
    <x:col min="8" max="8" width="28" hidden="0" customWidth="1"/>
    <x:col min="9" max="9" width="13" hidden="0" customWidth="1"/>
    <x:col min="10" max="10" width="13" hidden="0" customWidth="1"/>
    <x:col min="11" max="11" width="12" hidden="0" customWidth="1"/>
    <x:col min="12" max="12" width="55" hidden="0" customWidth="1"/>
    <x:col min="13" max="13" width="55" hidden="0" customWidth="1"/>
  </x:cols>
  <x:sheetData>
    <x:row r="1">
      <x:c r="A1" s="323" t="str">
        <x:v>更新日</x:v>
      </x:c>
      <x:c r="B1" s="323" t="str">
        <x:v>ルートID</x:v>
      </x:c>
      <x:c r="C1" s="323" t="str">
        <x:v>旧ルート名</x:v>
      </x:c>
      <x:c r="D1" s="323" t="str">
        <x:v>旧経由地</x:v>
      </x:c>
      <x:c r="E1" s="323" t="str">
        <x:v>旧最終目的地</x:v>
      </x:c>
      <x:c r="F1" s="323" t="str">
        <x:v>新ルート名</x:v>
      </x:c>
      <x:c r="G1" s="323" t="str">
        <x:v>新経由地</x:v>
      </x:c>
      <x:c r="H1" s="323" t="str">
        <x:v>新最終目的地</x:v>
      </x:c>
      <x:c r="I1" s="323" t="str">
        <x:v>改善前品質</x:v>
      </x:c>
      <x:c r="J1" s="323" t="str">
        <x:v>改善後品質</x:v>
      </x:c>
      <x:c r="K1" s="323" t="str">
        <x:v>改善幅</x:v>
      </x:c>
      <x:c r="L1" s="323" t="str">
        <x:v>変更理由</x:v>
      </x:c>
      <x:c r="M1" s="323" t="str">
        <x:v>公式確認・根拠</x:v>
      </x:c>
    </x:row>
    <x:row r="2">
      <x:c r="A2" s="23" t="n">
        <x:v>46232</x:v>
      </x:c>
      <x:c r="B2" s="22" t="str">
        <x:v>R002</x:v>
      </x:c>
      <x:c r="C2" s="22" t="str">
        <x:v>大田区の海と飛行機</x:v>
      </x:c>
      <x:c r="D2" s="22" t="str">
        <x:v>多摩川浅間神社 → 羽田空港 第3ターミナル展望デッキ</x:v>
      </x:c>
      <x:c r="E2" s="22" t="str">
        <x:v>城南島海浜公園</x:v>
      </x:c>
      <x:c r="F2" s="22" t="str">
        <x:v>大森海岸から飛行機へ</x:v>
      </x:c>
      <x:c r="G2" s="22" t="str">
        <x:v>大森ふるさとの浜辺公園 → 京浜島つばさ公園</x:v>
      </x:c>
      <x:c r="H2" s="22" t="str">
        <x:v>城南島海浜公園</x:v>
      </x:c>
      <x:c r="I2" s="22" t="n">
        <x:v>76</x:v>
      </x:c>
      <x:c r="J2" s="22" t="n">
        <x:v>86</x:v>
      </x:c>
      <x:c r="K2" s="22" t="n">
        <x:v>10</x:v>
      </x:c>
      <x:c r="L2" s="22" t="str">
        <x:v>多摩川浅間神社と羽田T3の大きな往復を解消。大森浜辺と京浜島へ差替え。</x:v>
      </x:c>
      <x:c r="M2" s="22" t="str">
        <x:v>大森浜辺:https://www.city.ota.tokyo.jp/shisetsu/park/oomorifurusatonohamabe.html | 森ケ崎:https://www.city.ota.tokyo.jp/shisetsu/park/morigasaki.html | 羽田展望:https://tokyo-haneda.com/service/facilities/observation_deck.html | 東扇島西:https://www.city.kawasaki.jp/580/page/0000001336.html | お台場:https://www.tptc.co.jp/park/01_02/access</x:v>
      </x:c>
    </x:row>
    <x:row r="3">
      <x:c r="A3" s="23" t="n">
        <x:v>46232</x:v>
      </x:c>
      <x:c r="B3" s="22" t="str">
        <x:v>R006</x:v>
      </x:c>
      <x:c r="C3" s="22" t="str">
        <x:v>川崎工場夜景ライン</x:v>
      </x:c>
      <x:c r="D3" s="22" t="str">
        <x:v>京浜島つばさ公園 → 東扇島東公園</x:v>
      </x:c>
      <x:c r="E3" s="22" t="str">
        <x:v>川崎マリエン</x:v>
      </x:c>
      <x:c r="F3" s="22" t="str">
        <x:v>京浜島から東扇島西端へ</x:v>
      </x:c>
      <x:c r="G3" s="22" t="str">
        <x:v>京浜島つばさ公園 → 川崎マリエン</x:v>
      </x:c>
      <x:c r="H3" s="22" t="str">
        <x:v>東扇島西公園</x:v>
      </x:c>
      <x:c r="I3" s="22" t="n">
        <x:v>80</x:v>
      </x:c>
      <x:c r="J3" s="22" t="n">
        <x:v>88</x:v>
      </x:c>
      <x:c r="K3" s="22" t="n">
        <x:v>8</x:v>
      </x:c>
      <x:c r="L3" s="22" t="str">
        <x:v>20:30以降入庫不可の東扇島東公園を外し、24時間駐車の東扇島西公園を最終地点へ。</x:v>
      </x:c>
      <x:c r="M3" s="22" t="str">
        <x:v>大森浜辺:https://www.city.ota.tokyo.jp/shisetsu/park/oomorifurusatonohamabe.html | 森ケ崎:https://www.city.ota.tokyo.jp/shisetsu/park/morigasaki.html | 羽田展望:https://tokyo-haneda.com/service/facilities/observation_deck.html | 東扇島西:https://www.city.kawasaki.jp/580/page/0000001336.html | お台場:https://www.tptc.co.jp/park/01_02/access</x:v>
      </x:c>
    </x:row>
    <x:row r="4">
      <x:c r="A4" s="23" t="n">
        <x:v>46232</x:v>
      </x:c>
      <x:c r="B4" s="22" t="str">
        <x:v>R049</x:v>
      </x:c>
      <x:c r="C4" s="22" t="str">
        <x:v>川崎・飛行機近距離線</x:v>
      </x:c>
      <x:c r="D4" s="22" t="str">
        <x:v>殿町緑地 → 殿町第2公園</x:v>
      </x:c>
      <x:c r="E4" s="22" t="str">
        <x:v>夢見ヶ崎動物公園</x:v>
      </x:c>
      <x:c r="F4" s="22" t="str">
        <x:v>羽田河口から川崎港へ</x:v>
      </x:c>
      <x:c r="G4" s="22" t="str">
        <x:v>HANEDA INNOVATION CITY 足湯スカイデッキ → ソラムナード羽田緑地</x:v>
      </x:c>
      <x:c r="H4" s="22" t="str">
        <x:v>川崎マリエン</x:v>
      </x:c>
      <x:c r="I4" s="22" t="n">
        <x:v>73</x:v>
      </x:c>
      <x:c r="J4" s="22" t="n">
        <x:v>84</x:v>
      </x:c>
      <x:c r="K4" s="22" t="n">
        <x:v>11</x:v>
      </x:c>
      <x:c r="L4" s="22" t="str">
        <x:v>駐車不可の殿町第2公園を削除し、HIC共有駐車と川崎マリエンへ全面再設計。</x:v>
      </x:c>
      <x:c r="M4" s="22" t="str">
        <x:v>大森浜辺:https://www.city.ota.tokyo.jp/shisetsu/park/oomorifurusatonohamabe.html | 森ケ崎:https://www.city.ota.tokyo.jp/shisetsu/park/morigasaki.html | 羽田展望:https://tokyo-haneda.com/service/facilities/observation_deck.html | 東扇島西:https://www.city.kawasaki.jp/580/page/0000001336.html | お台場:https://www.tptc.co.jp/park/01_02/access</x:v>
      </x:c>
    </x:row>
    <x:row r="5">
      <x:c r="A5" s="23" t="n">
        <x:v>46232</x:v>
      </x:c>
      <x:c r="B5" s="22" t="str">
        <x:v>R050</x:v>
      </x:c>
      <x:c r="C5" s="22" t="str">
        <x:v>川崎北部・小展望ライン</x:v>
      </x:c>
      <x:c r="D5" s="22" t="str">
        <x:v>菅生緑地 → 鷺沼北公園</x:v>
      </x:c>
      <x:c r="E5" s="22" t="str">
        <x:v>夢見ヶ崎動物公園</x:v>
      </x:c>
      <x:c r="F5" s="22" t="str">
        <x:v>鶴見から生田へ丘陵公園線</x:v>
      </x:c>
      <x:c r="G5" s="22" t="str">
        <x:v>県立三ツ池公園 → 県立東高根森林公園</x:v>
      </x:c>
      <x:c r="H5" s="22" t="str">
        <x:v>生田緑地・枡形山展望台</x:v>
      </x:c>
      <x:c r="I5" s="22" t="n">
        <x:v>72</x:v>
      </x:c>
      <x:c r="J5" s="22" t="n">
        <x:v>80</x:v>
      </x:c>
      <x:c r="K5" s="22" t="n">
        <x:v>8</x:v>
      </x:c>
      <x:c r="L5" s="22" t="str">
        <x:v>駐車条件の弱い菅生緑地・鷺沼北公園を、専用駐車場のある三ツ池・東高根へ差替え。</x:v>
      </x:c>
      <x:c r="M5" s="22" t="str">
        <x:v>大森浜辺:https://www.city.ota.tokyo.jp/shisetsu/park/oomorifurusatonohamabe.html | 森ケ崎:https://www.city.ota.tokyo.jp/shisetsu/park/morigasaki.html | 羽田展望:https://tokyo-haneda.com/service/facilities/observation_deck.html | 東扇島西:https://www.city.kawasaki.jp/580/page/0000001336.html | お台場:https://www.tptc.co.jp/park/01_02/access</x:v>
      </x:c>
    </x:row>
    <x:row r="6">
      <x:c r="A6" s="23" t="n">
        <x:v>46232</x:v>
      </x:c>
      <x:c r="B6" s="22" t="str">
        <x:v>R056</x:v>
      </x:c>
      <x:c r="C6" s="22" t="str">
        <x:v>横浜南部・丘陵ライン</x:v>
      </x:c>
      <x:c r="D6" s="22" t="str">
        <x:v>横浜港大さん橋 → 根岸湾臨海部・久良岐公園連携地点</x:v>
      </x:c>
      <x:c r="E6" s="22" t="str">
        <x:v>久良岐公園</x:v>
      </x:c>
      <x:c r="F6" s="22" t="str">
        <x:v>横浜港から丘陵公園へ</x:v>
      </x:c>
      <x:c r="G6" s="22" t="str">
        <x:v>横浜港大さん橋 → 根岸森林公園</x:v>
      </x:c>
      <x:c r="H6" s="22" t="str">
        <x:v>久良岐公園</x:v>
      </x:c>
      <x:c r="I6" s="22" t="n">
        <x:v>86</x:v>
      </x:c>
      <x:c r="J6" s="22" t="n">
        <x:v>90</x:v>
      </x:c>
      <x:c r="K6" s="22" t="n">
        <x:v>4</x:v>
      </x:c>
      <x:c r="L6" s="22" t="str">
        <x:v>曖昧な複合地点『根岸湾臨海部・久良岐公園連携地点』を廃止し、根岸森林公園へ置換。</x:v>
      </x:c>
      <x:c r="M6" s="22" t="str">
        <x:v>大森浜辺:https://www.city.ota.tokyo.jp/shisetsu/park/oomorifurusatonohamabe.html | 森ケ崎:https://www.city.ota.tokyo.jp/shisetsu/park/morigasaki.html | 羽田展望:https://tokyo-haneda.com/service/facilities/observation_deck.html | 東扇島西:https://www.city.kawasaki.jp/580/page/0000001336.html | お台場:https://www.tptc.co.jp/park/01_02/access</x:v>
      </x:c>
    </x:row>
    <x:row r="7">
      <x:c r="A7" s="23" t="n">
        <x:v>46232</x:v>
      </x:c>
      <x:c r="B7" s="22" t="str">
        <x:v>R119</x:v>
      </x:c>
      <x:c r="C7" s="22" t="str">
        <x:v>横浜・庭園建築三層</x:v>
      </x:c>
      <x:c r="D7" s="22" t="str">
        <x:v>三溪園 → 俣野別邸庭園</x:v>
      </x:c>
      <x:c r="E7" s="22" t="str">
        <x:v>金沢自然公園</x:v>
      </x:c>
      <x:c r="F7" s="22" t="str">
        <x:v>横浜・庭園と丘陵三層</x:v>
      </x:c>
      <x:c r="G7" s="22" t="str">
        <x:v>三溪園 → 根岸森林公園</x:v>
      </x:c>
      <x:c r="H7" s="22" t="str">
        <x:v>金沢自然公園</x:v>
      </x:c>
      <x:c r="I7" s="22" t="n">
        <x:v>78</x:v>
      </x:c>
      <x:c r="J7" s="22" t="n">
        <x:v>89</x:v>
      </x:c>
      <x:c r="K7" s="22" t="n">
        <x:v>11</x:v>
      </x:c>
      <x:c r="L7" s="22" t="str">
        <x:v>小規模駐車場かつ戸塚方向へ大きく逸れる俣野別邸庭園を根岸森林公園へ差替え。</x:v>
      </x:c>
      <x:c r="M7" s="22" t="str">
        <x:v>大森浜辺:https://www.city.ota.tokyo.jp/shisetsu/park/oomorifurusatonohamabe.html | 森ケ崎:https://www.city.ota.tokyo.jp/shisetsu/park/morigasaki.html | 羽田展望:https://tokyo-haneda.com/service/facilities/observation_deck.html | 東扇島西:https://www.city.kawasaki.jp/580/page/0000001336.html | お台場:https://www.tptc.co.jp/park/01_02/access</x:v>
      </x:c>
    </x:row>
    <x:row r="8">
      <x:c r="A8" s="23" t="n">
        <x:v>46232</x:v>
      </x:c>
      <x:c r="B8" s="22" t="str">
        <x:v>R140</x:v>
      </x:c>
      <x:c r="C8" s="22" t="str">
        <x:v>お台場から豊洲の夜景</x:v>
      </x:c>
      <x:c r="D8" s="22" t="str">
        <x:v>お台場海浜公園 → 豊洲市場 屋上緑化広場</x:v>
      </x:c>
      <x:c r="E8" s="22" t="str">
        <x:v>晴海ふ頭公園</x:v>
      </x:c>
      <x:c r="F8" s="22" t="str">
        <x:v>お台場から豊洲の水際夜景</x:v>
      </x:c>
      <x:c r="G8" s="22" t="str">
        <x:v>お台場海浜公園 → 豊洲ぐるり公園</x:v>
      </x:c>
      <x:c r="H8" s="22" t="str">
        <x:v>晴海ふ頭公園</x:v>
      </x:c>
      <x:c r="I8" s="22" t="n">
        <x:v>81</x:v>
      </x:c>
      <x:c r="J8" s="22" t="n">
        <x:v>92</x:v>
      </x:c>
      <x:c r="K8" s="22" t="n">
        <x:v>11</x:v>
      </x:c>
      <x:c r="L8" s="22" t="str">
        <x:v>市場内一般駐車不可の豊洲市場屋上を、駐車・水際動線が明確な豊洲ぐるり公園へ差替え。</x:v>
      </x:c>
      <x:c r="M8" s="22" t="str">
        <x:v>大森浜辺:https://www.city.ota.tokyo.jp/shisetsu/park/oomorifurusatonohamabe.html | 森ケ崎:https://www.city.ota.tokyo.jp/shisetsu/park/morigasaki.html | 羽田展望:https://tokyo-haneda.com/service/facilities/observation_deck.html | 東扇島西:https://www.city.kawasaki.jp/580/page/0000001336.html | お台場:https://www.tptc.co.jp/park/01_02/access</x:v>
      </x:c>
    </x:row>
    <x:row r="9">
      <x:c r="A9" s="23" t="n">
        <x:v>46232</x:v>
      </x:c>
      <x:c r="B9" s="22" t="str">
        <x:v>R143</x:v>
      </x:c>
      <x:c r="C9" s="22" t="str">
        <x:v>川崎工場夜景・近距離版</x:v>
      </x:c>
      <x:c r="D9" s="22" t="str">
        <x:v>ソラムナード羽田緑地 → 川崎マリエン</x:v>
      </x:c>
      <x:c r="E9" s="22" t="str">
        <x:v>東扇島東公園</x:v>
      </x:c>
      <x:c r="F9" s="22" t="str">
        <x:v>羽田から川崎工場夜景へ</x:v>
      </x:c>
      <x:c r="G9" s="22" t="str">
        <x:v>HANEDA INNOVATION CITY 足湯スカイデッキ → 川崎マリエン</x:v>
      </x:c>
      <x:c r="H9" s="22" t="str">
        <x:v>東扇島西公園</x:v>
      </x:c>
      <x:c r="I9" s="22" t="n">
        <x:v>84</x:v>
      </x:c>
      <x:c r="J9" s="22" t="n">
        <x:v>96</x:v>
      </x:c>
      <x:c r="K9" s="22" t="n">
        <x:v>12</x:v>
      </x:c>
      <x:c r="L9" s="22" t="str">
        <x:v>専用駐車場のないソラムナードを車ルートから外し、最終地点を入庫制限のない東扇島西公園へ変更。</x:v>
      </x:c>
      <x:c r="M9" s="22" t="str">
        <x:v>大森浜辺:https://www.city.ota.tokyo.jp/shisetsu/park/oomorifurusatonohamabe.html | 森ケ崎:https://www.city.ota.tokyo.jp/shisetsu/park/morigasaki.html | 羽田展望:https://tokyo-haneda.com/service/facilities/observation_deck.html | 東扇島西:https://www.city.kawasaki.jp/580/page/0000001336.html | お台場:https://www.tptc.co.jp/park/01_02/access</x:v>
      </x:c>
    </x:row>
  </x:sheetData>
  <x:conditionalFormatting sqref="I2:K9">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25598baa73074bd4"/>
  </x:tableParts>
</x:worksheet>
</file>

<file path=xl/worksheets/sheet29.xml><?xml version="1.0" encoding="utf-8"?>
<x:worksheet xmlns:x="http://schemas.openxmlformats.org/spreadsheetml/2006/main">
  <x:sheetFormatPr defaultRowHeight="15"/>
  <x:cols>
    <x:col min="1" max="1" width="10" hidden="0" customWidth="1"/>
    <x:col min="2" max="2" width="48" hidden="0" customWidth="1"/>
    <x:col min="3" max="3" width="48" hidden="0" customWidth="1"/>
    <x:col min="4" max="4" width="12" hidden="0" customWidth="1"/>
    <x:col min="5" max="5" width="12" hidden="0" customWidth="1"/>
    <x:col min="6" max="6" width="12" hidden="0" customWidth="1"/>
    <x:col min="7" max="7" width="55" hidden="0" customWidth="1"/>
    <x:col min="8" max="8" width="28" hidden="0" customWidth="1"/>
    <x:col min="9" max="9" width="18" hidden="0" customWidth="1"/>
    <x:col min="10" max="10" width="14" hidden="0" customWidth="1"/>
  </x:cols>
  <x:sheetData>
    <x:row r="1">
      <x:c r="A1" s="331" t="str">
        <x:v>Project Cruise｜経由地品質改善</x:v>
      </x:c>
      <x:c r="B1" s="331"/>
      <x:c r="C1" s="331"/>
      <x:c r="D1" s="331"/>
      <x:c r="E1" s="331"/>
      <x:c r="F1" s="331"/>
      <x:c r="G1" s="331"/>
      <x:c r="H1" s="331"/>
      <x:c r="I1" s="331"/>
      <x:c r="J1" s="331"/>
    </x:row>
    <x:row r="2">
      <x:c r="A2" s="331"/>
      <x:c r="B2" s="331"/>
      <x:c r="C2" s="331"/>
      <x:c r="D2" s="331"/>
      <x:c r="E2" s="331"/>
      <x:c r="F2" s="331"/>
      <x:c r="G2" s="331"/>
      <x:c r="H2" s="331"/>
      <x:c r="I2" s="331"/>
      <x:c r="J2" s="331"/>
    </x:row>
    <x:row r="3">
      <x:c r="A3" s="334" t="str">
        <x:v>停めやすさだけでなく、短時間で成立するか・最終目的地へ自然につながるかを評価</x:v>
      </x:c>
      <x:c r="B3" s="334"/>
      <x:c r="C3" s="334"/>
      <x:c r="D3" s="334"/>
      <x:c r="E3" s="334"/>
      <x:c r="F3" s="334"/>
      <x:c r="G3" s="334"/>
      <x:c r="H3" s="334"/>
      <x:c r="I3" s="334"/>
      <x:c r="J3" s="334"/>
    </x:row>
    <x:row r="5">
      <x:c r="A5" s="343" t="str">
        <x:v>改善対象ルート</x:v>
      </x:c>
      <x:c r="B5" s="343" t="n">
        <x:v>8</x:v>
      </x:c>
      <x:c r="C5" s="343" t="str">
        <x:v>役割明記ルート</x:v>
      </x:c>
      <x:c r="D5" s="343" t="n">
        <x:v>9</x:v>
      </x:c>
      <x:c r="E5" s="343" t="str">
        <x:v>改善前平均</x:v>
      </x:c>
      <x:c r="F5" s="343" t="n">
        <x:v>79</x:v>
      </x:c>
      <x:c r="G5" s="343" t="str">
        <x:v>改善後平均</x:v>
      </x:c>
      <x:c r="H5" s="343" t="n">
        <x:v>88</x:v>
      </x:c>
    </x:row>
    <x:row r="6">
      <x:c r="A6" s="343" t="str">
        <x:v>70点未満・改善前</x:v>
      </x:c>
      <x:c r="B6" s="343" t="n">
        <x:v>0</x:v>
      </x:c>
      <x:c r="C6" s="343" t="str">
        <x:v>70点未満・改善後</x:v>
      </x:c>
      <x:c r="D6" s="343" t="n">
        <x:v>0</x:v>
      </x:c>
      <x:c r="E6" s="343" t="str">
        <x:v>全近距離ルート</x:v>
      </x:c>
      <x:c r="F6" s="343" t="n">
        <x:v>35</x:v>
      </x:c>
      <x:c r="G6" s="343" t="str">
        <x:v>監査経由地数</x:v>
      </x:c>
      <x:c r="H6" s="343" t="n">
        <x:v>297</x:v>
      </x:c>
    </x:row>
    <x:row r="7">
      <x:c r="A7" s="343" t="str">
        <x:v>重点除去</x:v>
      </x:c>
      <x:c r="B7" s="343" t="str">
        <x:v>駐車不可・遠回り・曖昧地点</x:v>
      </x:c>
      <x:c r="C7" s="343" t="str">
        <x:v>重点維持</x:v>
      </x:c>
      <x:c r="D7" s="343" t="str">
        <x:v>共有駐車・昼専用・休日専用</x:v>
      </x:c>
      <x:c r="E7" s="343" t="str">
        <x:v>更新日</x:v>
      </x:c>
      <x:c r="F7" s="343" t="n">
        <x:v>46232</x:v>
      </x:c>
      <x:c r="G7" s="344" t="str">
        <x:v>Excel更新</x:v>
      </x:c>
      <x:c r="H7" s="343" t="str">
        <x:v>あり</x:v>
      </x:c>
    </x:row>
    <x:row r="9">
      <x:c r="A9" s="323" t="str">
        <x:v>ルートID</x:v>
      </x:c>
      <x:c r="B9" s="323" t="str">
        <x:v>変更前</x:v>
      </x:c>
      <x:c r="C9" s="323" t="str">
        <x:v>変更後</x:v>
      </x:c>
      <x:c r="D9" s="323" t="str">
        <x:v>旧品質</x:v>
      </x:c>
      <x:c r="E9" s="323" t="str">
        <x:v>新品質</x:v>
      </x:c>
      <x:c r="F9" s="323" t="str">
        <x:v>改善幅</x:v>
      </x:c>
      <x:c r="G9" s="323" t="str">
        <x:v>主要改善</x:v>
      </x:c>
      <x:c r="H9" s="323" t="str">
        <x:v>最終地点</x:v>
      </x:c>
      <x:c r="I9" s="323" t="str">
        <x:v>区分</x:v>
      </x:c>
      <x:c r="J9" s="323" t="str">
        <x:v>状態</x:v>
      </x:c>
    </x:row>
    <x:row r="10">
      <x:c r="A10" s="22" t="str">
        <x:v>R143</x:v>
      </x:c>
      <x:c r="B10" s="22" t="str">
        <x:v>ソラムナード羽田緑地 → 川崎マリエン → 東扇島東公園</x:v>
      </x:c>
      <x:c r="C10" s="22" t="str">
        <x:v>HANEDA INNOVATION CITY 足湯スカイデッキ → 川崎マリエン → 東扇島西公園</x:v>
      </x:c>
      <x:c r="D10" s="22" t="n">
        <x:v>84</x:v>
      </x:c>
      <x:c r="E10" s="22" t="n">
        <x:v>96</x:v>
      </x:c>
      <x:c r="F10" s="22" t="n">
        <x:v>12</x:v>
      </x:c>
      <x:c r="G10" s="22" t="str">
        <x:v>専用駐車場のないソラムナードを車ルートから外し、最終地点を入庫制限のない東扇島西公園へ変更。</x:v>
      </x:c>
      <x:c r="H10" s="22" t="str">
        <x:v>東扇島西公園</x:v>
      </x:c>
      <x:c r="I10" s="22" t="str">
        <x:v>通常</x:v>
      </x:c>
      <x:c r="J10" s="22" t="str">
        <x:v>差替え済</x:v>
      </x:c>
    </x:row>
    <x:row r="11">
      <x:c r="A11" s="22" t="str">
        <x:v>R049</x:v>
      </x:c>
      <x:c r="B11" s="22" t="str">
        <x:v>殿町緑地 → 殿町第2公園 → 夢見ヶ崎動物公園</x:v>
      </x:c>
      <x:c r="C11" s="22" t="str">
        <x:v>HANEDA INNOVATION CITY 足湯スカイデッキ → ソラムナード羽田緑地 → 川崎マリエン</x:v>
      </x:c>
      <x:c r="D11" s="22" t="n">
        <x:v>73</x:v>
      </x:c>
      <x:c r="E11" s="22" t="n">
        <x:v>84</x:v>
      </x:c>
      <x:c r="F11" s="22" t="n">
        <x:v>11</x:v>
      </x:c>
      <x:c r="G11" s="22" t="str">
        <x:v>駐車不可の殿町第2公園を削除し、HIC共有駐車と川崎マリエンへ全面再設計。</x:v>
      </x:c>
      <x:c r="H11" s="22" t="str">
        <x:v>川崎マリエン</x:v>
      </x:c>
      <x:c r="I11" s="22" t="str">
        <x:v>通常</x:v>
      </x:c>
      <x:c r="J11" s="22" t="str">
        <x:v>差替え済</x:v>
      </x:c>
    </x:row>
    <x:row r="12">
      <x:c r="A12" s="22" t="str">
        <x:v>R119</x:v>
      </x:c>
      <x:c r="B12" s="22" t="str">
        <x:v>三溪園 → 俣野別邸庭園 → 金沢自然公園</x:v>
      </x:c>
      <x:c r="C12" s="22" t="str">
        <x:v>三溪園 → 根岸森林公園 → 金沢自然公園</x:v>
      </x:c>
      <x:c r="D12" s="22" t="n">
        <x:v>78</x:v>
      </x:c>
      <x:c r="E12" s="22" t="n">
        <x:v>89</x:v>
      </x:c>
      <x:c r="F12" s="22" t="n">
        <x:v>11</x:v>
      </x:c>
      <x:c r="G12" s="22" t="str">
        <x:v>小規模駐車場かつ戸塚方向へ大きく逸れる俣野別邸庭園を根岸森林公園へ差替え。</x:v>
      </x:c>
      <x:c r="H12" s="22" t="str">
        <x:v>金沢自然公園</x:v>
      </x:c>
      <x:c r="I12" s="22" t="str">
        <x:v>昼専用</x:v>
      </x:c>
      <x:c r="J12" s="22" t="str">
        <x:v>差替え済</x:v>
      </x:c>
    </x:row>
    <x:row r="13">
      <x:c r="A13" s="22" t="str">
        <x:v>R140</x:v>
      </x:c>
      <x:c r="B13" s="22" t="str">
        <x:v>お台場海浜公園 → 豊洲市場 屋上緑化広場 → 晴海ふ頭公園</x:v>
      </x:c>
      <x:c r="C13" s="22" t="str">
        <x:v>お台場海浜公園 → 豊洲ぐるり公園 → 晴海ふ頭公園</x:v>
      </x:c>
      <x:c r="D13" s="22" t="n">
        <x:v>81</x:v>
      </x:c>
      <x:c r="E13" s="22" t="n">
        <x:v>92</x:v>
      </x:c>
      <x:c r="F13" s="22" t="n">
        <x:v>11</x:v>
      </x:c>
      <x:c r="G13" s="22" t="str">
        <x:v>市場内一般駐車不可の豊洲市場屋上を、駐車・水際動線が明確な豊洲ぐるり公園へ差替え。</x:v>
      </x:c>
      <x:c r="H13" s="22" t="str">
        <x:v>晴海ふ頭公園</x:v>
      </x:c>
      <x:c r="I13" s="22" t="str">
        <x:v>通常</x:v>
      </x:c>
      <x:c r="J13" s="22" t="str">
        <x:v>差替え済</x:v>
      </x:c>
    </x:row>
    <x:row r="14">
      <x:c r="A14" s="22" t="str">
        <x:v>R002</x:v>
      </x:c>
      <x:c r="B14" s="22" t="str">
        <x:v>多摩川浅間神社 → 羽田空港 第3ターミナル展望デッキ → 城南島海浜公園</x:v>
      </x:c>
      <x:c r="C14" s="22" t="str">
        <x:v>大森ふるさとの浜辺公園 → 京浜島つばさ公園 → 城南島海浜公園</x:v>
      </x:c>
      <x:c r="D14" s="22" t="n">
        <x:v>76</x:v>
      </x:c>
      <x:c r="E14" s="22" t="n">
        <x:v>86</x:v>
      </x:c>
      <x:c r="F14" s="22" t="n">
        <x:v>10</x:v>
      </x:c>
      <x:c r="G14" s="22" t="str">
        <x:v>多摩川浅間神社と羽田T3の大きな往復を解消。大森浜辺と京浜島へ差替え。</x:v>
      </x:c>
      <x:c r="H14" s="22" t="str">
        <x:v>城南島海浜公園</x:v>
      </x:c>
      <x:c r="I14" s="22" t="str">
        <x:v>通常</x:v>
      </x:c>
      <x:c r="J14" s="22" t="str">
        <x:v>差替え済</x:v>
      </x:c>
    </x:row>
    <x:row r="15">
      <x:c r="A15" s="22" t="str">
        <x:v>R006</x:v>
      </x:c>
      <x:c r="B15" s="22" t="str">
        <x:v>京浜島つばさ公園 → 東扇島東公園 → 川崎マリエン</x:v>
      </x:c>
      <x:c r="C15" s="22" t="str">
        <x:v>京浜島つばさ公園 → 川崎マリエン → 東扇島西公園</x:v>
      </x:c>
      <x:c r="D15" s="22" t="n">
        <x:v>80</x:v>
      </x:c>
      <x:c r="E15" s="22" t="n">
        <x:v>88</x:v>
      </x:c>
      <x:c r="F15" s="22" t="n">
        <x:v>8</x:v>
      </x:c>
      <x:c r="G15" s="22" t="str">
        <x:v>20:30以降入庫不可の東扇島東公園を外し、24時間駐車の東扇島西公園を最終地点へ。</x:v>
      </x:c>
      <x:c r="H15" s="22" t="str">
        <x:v>東扇島西公園</x:v>
      </x:c>
      <x:c r="I15" s="22" t="str">
        <x:v>通常</x:v>
      </x:c>
      <x:c r="J15" s="22" t="str">
        <x:v>差替え済</x:v>
      </x:c>
    </x:row>
    <x:row r="16">
      <x:c r="A16" s="22" t="str">
        <x:v>R050</x:v>
      </x:c>
      <x:c r="B16" s="22" t="str">
        <x:v>菅生緑地 → 鷺沼北公園 → 夢見ヶ崎動物公園</x:v>
      </x:c>
      <x:c r="C16" s="22" t="str">
        <x:v>県立三ツ池公園 → 県立東高根森林公園 → 生田緑地・枡形山展望台</x:v>
      </x:c>
      <x:c r="D16" s="22" t="n">
        <x:v>72</x:v>
      </x:c>
      <x:c r="E16" s="22" t="n">
        <x:v>80</x:v>
      </x:c>
      <x:c r="F16" s="22" t="n">
        <x:v>8</x:v>
      </x:c>
      <x:c r="G16" s="22" t="str">
        <x:v>駐車条件の弱い菅生緑地・鷺沼北公園を、専用駐車場のある三ツ池・東高根へ差替え。</x:v>
      </x:c>
      <x:c r="H16" s="22" t="str">
        <x:v>生田緑地・枡形山展望台</x:v>
      </x:c>
      <x:c r="I16" s="22" t="str">
        <x:v>昼専用</x:v>
      </x:c>
      <x:c r="J16" s="22" t="str">
        <x:v>差替え済</x:v>
      </x:c>
    </x:row>
    <x:row r="17">
      <x:c r="A17" s="22" t="str">
        <x:v>R056</x:v>
      </x:c>
      <x:c r="B17" s="22" t="str">
        <x:v>横浜港大さん橋 → 根岸湾臨海部・久良岐公園連携地点 → 久良岐公園</x:v>
      </x:c>
      <x:c r="C17" s="22" t="str">
        <x:v>横浜港大さん橋 → 根岸森林公園 → 久良岐公園</x:v>
      </x:c>
      <x:c r="D17" s="22" t="n">
        <x:v>86</x:v>
      </x:c>
      <x:c r="E17" s="22" t="n">
        <x:v>90</x:v>
      </x:c>
      <x:c r="F17" s="22" t="n">
        <x:v>4</x:v>
      </x:c>
      <x:c r="G17" s="22" t="str">
        <x:v>曖昧な複合地点『根岸湾臨海部・久良岐公園連携地点』を廃止し、根岸森林公園へ置換。</x:v>
      </x:c>
      <x:c r="H17" s="22" t="str">
        <x:v>久良岐公園</x:v>
      </x:c>
      <x:c r="I17" s="22" t="str">
        <x:v>通常</x:v>
      </x:c>
      <x:c r="J17" s="22" t="str">
        <x:v>差替え済</x:v>
      </x:c>
    </x:row>
    <x:row r="20">
      <x:c r="A20" t="str">
        <x:v>ルートID</x:v>
      </x:c>
      <x:c r="B20" t="str">
        <x:v>改善前</x:v>
      </x:c>
      <x:c r="C20" t="str">
        <x:v>改善後</x:v>
      </x:c>
    </x:row>
    <x:row r="21">
      <x:c r="A21" t="str">
        <x:v>R002</x:v>
      </x:c>
      <x:c r="B21" t="n">
        <x:v>76</x:v>
      </x:c>
      <x:c r="C21" t="n">
        <x:v>86</x:v>
      </x:c>
    </x:row>
    <x:row r="22">
      <x:c r="A22" t="str">
        <x:v>R006</x:v>
      </x:c>
      <x:c r="B22" t="n">
        <x:v>80</x:v>
      </x:c>
      <x:c r="C22" t="n">
        <x:v>88</x:v>
      </x:c>
    </x:row>
    <x:row r="23">
      <x:c r="A23" t="str">
        <x:v>R049</x:v>
      </x:c>
      <x:c r="B23" t="n">
        <x:v>73</x:v>
      </x:c>
      <x:c r="C23" t="n">
        <x:v>84</x:v>
      </x:c>
    </x:row>
    <x:row r="24">
      <x:c r="A24" t="str">
        <x:v>R050</x:v>
      </x:c>
      <x:c r="B24" t="n">
        <x:v>72</x:v>
      </x:c>
      <x:c r="C24" t="n">
        <x:v>80</x:v>
      </x:c>
    </x:row>
    <x:row r="25">
      <x:c r="A25" t="str">
        <x:v>R056</x:v>
      </x:c>
      <x:c r="B25" t="n">
        <x:v>86</x:v>
      </x:c>
      <x:c r="C25" t="n">
        <x:v>90</x:v>
      </x:c>
    </x:row>
    <x:row r="26">
      <x:c r="A26" t="str">
        <x:v>R119</x:v>
      </x:c>
      <x:c r="B26" t="n">
        <x:v>78</x:v>
      </x:c>
      <x:c r="C26" t="n">
        <x:v>89</x:v>
      </x:c>
    </x:row>
    <x:row r="27">
      <x:c r="A27" t="str">
        <x:v>R140</x:v>
      </x:c>
      <x:c r="B27" t="n">
        <x:v>81</x:v>
      </x:c>
      <x:c r="C27" t="n">
        <x:v>92</x:v>
      </x:c>
    </x:row>
    <x:row r="28">
      <x:c r="A28" t="str">
        <x:v>R143</x:v>
      </x:c>
      <x:c r="B28" t="n">
        <x:v>84</x:v>
      </x:c>
      <x:c r="C28" t="n">
        <x:v>96</x:v>
      </x:c>
    </x:row>
  </x:sheetData>
  <x:mergeCells>
    <x:mergeCell ref="A1:J2"/>
    <x:mergeCell ref="A3:J3"/>
  </x:mergeCells>
  <x:conditionalFormatting sqref="D10:F17">
    <x:cfRule type="colorScale" priority="1">
      <x:colorScale>
        <x:cfvo type="min"/>
        <x:cfvo type="percentile" val="50"/>
        <x:cfvo type="max"/>
        <x:color rgb="FFFEE2E2"/>
        <x:color rgb="FFFEF3C7"/>
        <x:color rgb="FFDCFCE7"/>
      </x:colorScale>
    </x:cfRule>
  </x:conditionalFormatting>
  <x:pageMargins left="0.7" right="0.7" top="0.75" bottom="0.75" header="0.3" footer="0.3"/>
  <x:drawing xmlns:r="http://schemas.openxmlformats.org/officeDocument/2006/relationships" r:id="R0c4d8e7bdc4c40da"/>
</x:worksheet>
</file>

<file path=xl/worksheets/sheet30.xml><?xml version="1.0" encoding="utf-8"?>
<x:worksheet xmlns:x="http://schemas.openxmlformats.org/spreadsheetml/2006/main">
  <x:sheetFormatPr defaultRowHeight="15"/>
  <x:cols>
    <x:col min="1" max="1" width="10" hidden="0" customWidth="1"/>
    <x:col min="2" max="2" width="30" hidden="0" customWidth="1"/>
    <x:col min="3" max="3" width="20" hidden="0" customWidth="1"/>
    <x:col min="4" max="4" width="8" hidden="0" customWidth="1"/>
    <x:col min="5" max="5" width="30" hidden="0" customWidth="1"/>
    <x:col min="6" max="6" width="16" hidden="0" customWidth="1"/>
    <x:col min="7" max="7" width="20" hidden="0" customWidth="1"/>
    <x:col min="8" max="8" width="13" hidden="0" customWidth="1"/>
    <x:col min="9" max="9" width="44" hidden="0" customWidth="1"/>
    <x:col min="10" max="10" width="42" hidden="0" customWidth="1"/>
    <x:col min="11" max="11" width="16" hidden="0" customWidth="1"/>
    <x:col min="12" max="12" width="40" hidden="0" customWidth="1"/>
    <x:col min="13" max="13" width="32" hidden="0" customWidth="1"/>
    <x:col min="14" max="14" width="13" hidden="0" customWidth="1"/>
    <x:col min="15" max="15" width="13" hidden="0" customWidth="1"/>
    <x:col min="16" max="16" width="13" hidden="0" customWidth="1"/>
    <x:col min="17" max="17" width="13" hidden="0" customWidth="1"/>
    <x:col min="18" max="18" width="13" hidden="0" customWidth="1"/>
    <x:col min="19" max="19" width="50" hidden="0" customWidth="1"/>
  </x:cols>
  <x:sheetData>
    <x:row r="1">
      <x:c r="A1" s="363" t="str">
        <x:v>ルートID</x:v>
      </x:c>
      <x:c r="B1" s="363" t="str">
        <x:v>ルート名</x:v>
      </x:c>
      <x:c r="C1" s="363" t="str">
        <x:v>ルート系統</x:v>
      </x:c>
      <x:c r="D1" s="363" t="str">
        <x:v>順番</x:v>
      </x:c>
      <x:c r="E1" s="363" t="str">
        <x:v>地点</x:v>
      </x:c>
      <x:c r="F1" s="363" t="str">
        <x:v>地点タイプ</x:v>
      </x:c>
      <x:c r="G1" s="363" t="str">
        <x:v>役割</x:v>
      </x:c>
      <x:c r="H1" s="363" t="str">
        <x:v>推奨滞在分</x:v>
      </x:c>
      <x:c r="I1" s="363" t="str">
        <x:v>現地ですること</x:v>
      </x:c>
      <x:c r="J1" s="363" t="str">
        <x:v>駐車方法</x:v>
      </x:c>
      <x:c r="K1" s="363" t="str">
        <x:v>最適時間</x:v>
      </x:c>
      <x:c r="L1" s="363" t="str">
        <x:v>省略条件</x:v>
      </x:c>
      <x:c r="M1" s="363" t="str">
        <x:v>次地点への変化</x:v>
      </x:c>
      <x:c r="N1" s="363" t="str">
        <x:v>経由利用回数</x:v>
      </x:c>
      <x:c r="O1" s="363" t="str">
        <x:v>最終利用回数</x:v>
      </x:c>
      <x:c r="P1" s="363" t="str">
        <x:v>総利用回数</x:v>
      </x:c>
      <x:c r="Q1" s="363" t="str">
        <x:v>使い回し度</x:v>
      </x:c>
      <x:c r="R1" s="363" t="str">
        <x:v>地点品質</x:v>
      </x:c>
      <x:c r="S1" s="363" t="str">
        <x:v>公式情報源</x:v>
      </x:c>
    </x:row>
    <x:row r="2">
      <x:c r="A2" s="22" t="str">
        <x:v>R001</x:v>
      </x:c>
      <x:c r="B2" s="22" t="str">
        <x:v>羽田・航空機ショート</x:v>
      </x:c>
      <x:c r="C2" s="22" t="str">
        <x:v>羽田・航空</x:v>
      </x:c>
      <x:c r="D2" s="22" t="n">
        <x:v>1</x:v>
      </x:c>
      <x:c r="E2" s="22" t="str">
        <x:v>HANEDA INNOVATION CITY 足湯スカイデッキ</x:v>
      </x:c>
      <x:c r="F2" s="22" t="str">
        <x:v>経由地</x:v>
      </x:c>
      <x:c r="G2" s="22" t="str">
        <x:v>導入・気分転換</x:v>
      </x:c>
      <x:c r="H2" s="22" t="n">
        <x:v>25</x:v>
      </x:c>
      <x:c r="I2" s="22" t="str">
        <x:v>足湯・飛行機観察・出発前の身体切替</x:v>
      </x:c>
      <x:c r="J2" s="22" t="str">
        <x:v>専用・公式駐車場へ直接入庫</x:v>
      </x:c>
      <x:c r="K2" s="22" t="str">
        <x:v>夕方～夜</x:v>
      </x:c>
      <x:c r="L2" s="22" t="str">
        <x:v>23:30に間に合わない時</x:v>
      </x:c>
      <x:c r="M2" s="22" t="str">
        <x:v>飛行機・都市夜景 → 飛行機・都市夜景</x:v>
      </x:c>
      <x:c r="N2" s="22" t="n">
        <x:v>7</x:v>
      </x:c>
      <x:c r="O2" s="22" t="n">
        <x:v>1</x:v>
      </x:c>
      <x:c r="P2" s="22" t="n">
        <x:v>8</x:v>
      </x:c>
      <x:c r="Q2" s="22" t="str">
        <x:v>高</x:v>
      </x:c>
      <x:c r="R2" s="22" t="n">
        <x:v>90</x:v>
      </x:c>
      <x:c r="S2" s="22" t="str">
        <x:v>https://haneda-innovation-city.com/facility/page/2/</x:v>
      </x:c>
    </x:row>
    <x:row r="3">
      <x:c r="A3" s="22" t="str">
        <x:v>R001</x:v>
      </x:c>
      <x:c r="B3" s="22" t="str">
        <x:v>羽田・航空機ショート</x:v>
      </x:c>
      <x:c r="C3" s="22" t="str">
        <x:v>羽田・航空</x:v>
      </x:c>
      <x:c r="D3" s="22" t="n">
        <x:v>2</x:v>
      </x:c>
      <x:c r="E3" s="22" t="str">
        <x:v>羽田空港 第3ターミナル展望デッキ</x:v>
      </x:c>
      <x:c r="F3" s="22" t="str">
        <x:v>経由地</x:v>
      </x:c>
      <x:c r="G3" s="22" t="str">
        <x:v>景観転換・休憩</x:v>
      </x:c>
      <x:c r="H3" s="22" t="n">
        <x:v>25</x:v>
      </x:c>
      <x:c r="I3" s="22" t="str">
        <x:v>航空機観察・短時間撮影</x:v>
      </x:c>
      <x:c r="J3" s="22" t="str">
        <x:v>専用・公式駐車場へ直接入庫</x:v>
      </x:c>
      <x:c r="K3" s="22" t="str">
        <x:v>夕方～夜</x:v>
      </x:c>
      <x:c r="L3" s="22" t="str">
        <x:v>工事・閉鎖時</x:v>
      </x:c>
      <x:c r="M3" s="22" t="str">
        <x:v>飛行機・都市夜景 → 飛行機・工場夜景</x:v>
      </x:c>
      <x:c r="N3" s="22" t="n">
        <x:v>2</x:v>
      </x:c>
      <x:c r="O3" s="22" t="n">
        <x:v>4</x:v>
      </x:c>
      <x:c r="P3" s="22" t="n">
        <x:v>6</x:v>
      </x:c>
      <x:c r="Q3" s="22" t="str">
        <x:v>高</x:v>
      </x:c>
      <x:c r="R3" s="22" t="n">
        <x:v>86</x:v>
      </x:c>
      <x:c r="S3" s="22" t="str">
        <x:v>https://tokyo-haneda.com/service/facilities/observation_deck.html</x:v>
      </x:c>
    </x:row>
    <x:row r="4">
      <x:c r="A4" s="22" t="str">
        <x:v>R001</x:v>
      </x:c>
      <x:c r="B4" s="22" t="str">
        <x:v>羽田・航空機ショート</x:v>
      </x:c>
      <x:c r="C4" s="22" t="str">
        <x:v>羽田・航空</x:v>
      </x:c>
      <x:c r="D4" s="22" t="n">
        <x:v>3</x:v>
      </x:c>
      <x:c r="E4" s="22" t="str">
        <x:v>京浜島つばさ公園</x:v>
      </x:c>
      <x:c r="F4" s="22" t="str">
        <x:v>最終目的地</x:v>
      </x:c>
      <x:c r="G4" s="22" t="str">
        <x:v>到達・余韻</x:v>
      </x:c>
      <x:c r="H4" s="22" t="n">
        <x:v>40</x:v>
      </x:c>
      <x:c r="I4" s="22" t="str">
        <x:v>航空機観察・短時間撮影</x:v>
      </x:c>
      <x:c r="J4" s="22" t="str">
        <x:v>小規模。満車なら待たずに省略</x:v>
      </x:c>
      <x:c r="K4" s="22" t="str">
        <x:v>夕方～夜</x:v>
      </x:c>
      <x:c r="L4" s="22" t="str">
        <x:v>満車時</x:v>
      </x:c>
      <x:c r="M4" s="22" t="str">
        <x:v>最終地点で終了</x:v>
      </x:c>
      <x:c r="N4" s="22" t="n">
        <x:v>3</x:v>
      </x:c>
      <x:c r="O4" s="22" t="n">
        <x:v>1</x:v>
      </x:c>
      <x:c r="P4" s="22" t="n">
        <x:v>4</x:v>
      </x:c>
      <x:c r="Q4" s="22" t="str">
        <x:v>中</x:v>
      </x:c>
      <x:c r="R4" s="22" t="n">
        <x:v>64</x:v>
      </x:c>
      <x:c r="S4" s="22" t="str">
        <x:v>https://tokyo-south-seaside-parks.com/keihinjima/</x:v>
      </x:c>
    </x:row>
    <x:row r="5">
      <x:c r="A5" s="22" t="str">
        <x:v>R002</x:v>
      </x:c>
      <x:c r="B5" s="22" t="str">
        <x:v>大森海岸から飛行機へ</x:v>
      </x:c>
      <x:c r="C5" s="22" t="str">
        <x:v>羽田・航空</x:v>
      </x:c>
      <x:c r="D5" s="22" t="n">
        <x:v>1</x:v>
      </x:c>
      <x:c r="E5" s="22" t="str">
        <x:v>大森ふるさとの浜辺公園</x:v>
      </x:c>
      <x:c r="F5" s="22" t="str">
        <x:v>経由地</x:v>
      </x:c>
      <x:c r="G5" s="22" t="str">
        <x:v>導入・気分転換</x:v>
      </x:c>
      <x:c r="H5" s="22" t="n">
        <x:v>20</x:v>
      </x:c>
      <x:c r="I5" s="22" t="str">
        <x:v>Storyを1つ確認して短く散策</x:v>
      </x:c>
      <x:c r="J5" s="22" t="str">
        <x:v>専用・公式駐車場へ直接入庫</x:v>
      </x:c>
      <x:c r="K5" s="22" t="str">
        <x:v>夕方～夜</x:v>
      </x:c>
      <x:c r="L5" s="22" t="str">
        <x:v>臨時閉鎖・イベント混雑時</x:v>
      </x:c>
      <x:c r="M5" s="22" t="str">
        <x:v>海・港・Story → 飛行機・工場夜景</x:v>
      </x:c>
      <x:c r="N5" s="22" t="n">
        <x:v>2</x:v>
      </x:c>
      <x:c r="O5" s="22" t="n">
        <x:v>1</x:v>
      </x:c>
      <x:c r="P5" s="22" t="n">
        <x:v>3</x:v>
      </x:c>
      <x:c r="Q5" s="22" t="str">
        <x:v>低</x:v>
      </x:c>
      <x:c r="R5" s="22" t="n">
        <x:v>89</x:v>
      </x:c>
      <x:c r="S5" s="22" t="str">
        <x:v>https://www.city.ota.tokyo.jp/shisetsu/park/oomorifurusatonohamabe.html</x:v>
      </x:c>
    </x:row>
    <x:row r="6">
      <x:c r="A6" s="22" t="str">
        <x:v>R002</x:v>
      </x:c>
      <x:c r="B6" s="22" t="str">
        <x:v>大森海岸から飛行機へ</x:v>
      </x:c>
      <x:c r="C6" s="22" t="str">
        <x:v>羽田・航空</x:v>
      </x:c>
      <x:c r="D6" s="22" t="n">
        <x:v>2</x:v>
      </x:c>
      <x:c r="E6" s="22" t="str">
        <x:v>京浜島つばさ公園</x:v>
      </x:c>
      <x:c r="F6" s="22" t="str">
        <x:v>経由地</x:v>
      </x:c>
      <x:c r="G6" s="22" t="str">
        <x:v>景観転換・休憩</x:v>
      </x:c>
      <x:c r="H6" s="22" t="n">
        <x:v>25</x:v>
      </x:c>
      <x:c r="I6" s="22" t="str">
        <x:v>航空機観察・短時間撮影</x:v>
      </x:c>
      <x:c r="J6" s="22" t="str">
        <x:v>小規模。満車なら待たずに省略</x:v>
      </x:c>
      <x:c r="K6" s="22" t="str">
        <x:v>夕方～夜</x:v>
      </x:c>
      <x:c r="L6" s="22" t="str">
        <x:v>満車時</x:v>
      </x:c>
      <x:c r="M6" s="22" t="str">
        <x:v>飛行機・工場夜景 → 飛行機・海・港</x:v>
      </x:c>
      <x:c r="N6" s="22" t="n">
        <x:v>3</x:v>
      </x:c>
      <x:c r="O6" s="22" t="n">
        <x:v>1</x:v>
      </x:c>
      <x:c r="P6" s="22" t="n">
        <x:v>4</x:v>
      </x:c>
      <x:c r="Q6" s="22" t="str">
        <x:v>中</x:v>
      </x:c>
      <x:c r="R6" s="22" t="n">
        <x:v>70</x:v>
      </x:c>
      <x:c r="S6" s="22" t="str">
        <x:v>https://tokyo-south-seaside-parks.com/keihinjima/</x:v>
      </x:c>
    </x:row>
    <x:row r="7">
      <x:c r="A7" s="22" t="str">
        <x:v>R002</x:v>
      </x:c>
      <x:c r="B7" s="22" t="str">
        <x:v>大森海岸から飛行機へ</x:v>
      </x:c>
      <x:c r="C7" s="22" t="str">
        <x:v>羽田・航空</x:v>
      </x:c>
      <x:c r="D7" s="22" t="n">
        <x:v>3</x:v>
      </x:c>
      <x:c r="E7" s="22" t="str">
        <x:v>城南島海浜公園</x:v>
      </x:c>
      <x:c r="F7" s="22" t="str">
        <x:v>最終目的地</x:v>
      </x:c>
      <x:c r="G7" s="22" t="str">
        <x:v>到達・余韻</x:v>
      </x:c>
      <x:c r="H7" s="22" t="n">
        <x:v>40</x:v>
      </x:c>
      <x:c r="I7" s="22" t="str">
        <x:v>航空機観察・短時間撮影</x:v>
      </x:c>
      <x:c r="J7" s="22" t="str">
        <x:v>専用・公式駐車場へ直接入庫</x:v>
      </x:c>
      <x:c r="K7" s="22" t="str">
        <x:v>夕方～夜</x:v>
      </x:c>
      <x:c r="L7" s="22" t="str">
        <x:v>21:00に間に合わない時／工事・閉鎖時</x:v>
      </x:c>
      <x:c r="M7" s="22" t="str">
        <x:v>最終地点で終了</x:v>
      </x:c>
      <x:c r="N7" s="22" t="n">
        <x:v>0</x:v>
      </x:c>
      <x:c r="O7" s="22" t="n">
        <x:v>5</x:v>
      </x:c>
      <x:c r="P7" s="22" t="n">
        <x:v>5</x:v>
      </x:c>
      <x:c r="Q7" s="22" t="str">
        <x:v>中</x:v>
      </x:c>
      <x:c r="R7" s="22" t="n">
        <x:v>77</x:v>
      </x:c>
      <x:c r="S7" s="22" t="str">
        <x:v>https://tokyo-south-seaside-parks.com/jonanjima/</x:v>
      </x:c>
    </x:row>
    <x:row r="8">
      <x:c r="A8" s="22" t="str">
        <x:v>R003</x:v>
      </x:c>
      <x:c r="B8" s="22" t="str">
        <x:v>東京港最奥ナイト</x:v>
      </x:c>
      <x:c r="C8" s="22" t="str">
        <x:v>東京港・水辺</x:v>
      </x:c>
      <x:c r="D8" s="22" t="n">
        <x:v>1</x:v>
      </x:c>
      <x:c r="E8" s="22" t="str">
        <x:v>晴海ふ頭公園</x:v>
      </x:c>
      <x:c r="F8" s="22" t="str">
        <x:v>経由地</x:v>
      </x:c>
      <x:c r="G8" s="22" t="str">
        <x:v>導入・気分転換</x:v>
      </x:c>
      <x:c r="H8" s="22" t="n">
        <x:v>20</x:v>
      </x:c>
      <x:c r="I8" s="22" t="str">
        <x:v>Storyを1つ確認して短く散策</x:v>
      </x:c>
      <x:c r="J8" s="22" t="str">
        <x:v>小規模。満車なら待たずに省略</x:v>
      </x:c>
      <x:c r="K8" s="22" t="str">
        <x:v>日没後</x:v>
      </x:c>
      <x:c r="L8" s="22" t="str">
        <x:v>満車時</x:v>
      </x:c>
      <x:c r="M8" s="22" t="str">
        <x:v>海・港・都市夜景 → 都市夜景</x:v>
      </x:c>
      <x:c r="N8" s="22" t="n">
        <x:v>1</x:v>
      </x:c>
      <x:c r="O8" s="22" t="n">
        <x:v>1</x:v>
      </x:c>
      <x:c r="P8" s="22" t="n">
        <x:v>2</x:v>
      </x:c>
      <x:c r="Q8" s="22" t="str">
        <x:v>低</x:v>
      </x:c>
      <x:c r="R8" s="22" t="n">
        <x:v>78</x:v>
      </x:c>
      <x:c r="S8" s="22" t="str">
        <x:v>https://www.tptc.co.jp/park/02_01</x:v>
      </x:c>
    </x:row>
    <x:row r="9">
      <x:c r="A9" s="22" t="str">
        <x:v>R003</x:v>
      </x:c>
      <x:c r="B9" s="22" t="str">
        <x:v>東京港最奥ナイト</x:v>
      </x:c>
      <x:c r="C9" s="22" t="str">
        <x:v>東京港・水辺</x:v>
      </x:c>
      <x:c r="D9" s="22" t="n">
        <x:v>2</x:v>
      </x:c>
      <x:c r="E9" s="22" t="str">
        <x:v>豊洲ぐるり公園</x:v>
      </x:c>
      <x:c r="F9" s="22" t="str">
        <x:v>経由地</x:v>
      </x:c>
      <x:c r="G9" s="22" t="str">
        <x:v>景観転換・休憩</x:v>
      </x:c>
      <x:c r="H9" s="22" t="n">
        <x:v>18</x:v>
      </x:c>
      <x:c r="I9" s="22" t="str">
        <x:v>景観確認・短時間休憩</x:v>
      </x:c>
      <x:c r="J9" s="22" t="str">
        <x:v>専用・公式駐車場へ直接入庫</x:v>
      </x:c>
      <x:c r="K9" s="22" t="str">
        <x:v>日没後</x:v>
      </x:c>
      <x:c r="L9" s="22" t="str">
        <x:v>臨時閉鎖・イベント混雑時</x:v>
      </x:c>
      <x:c r="M9" s="22" t="str">
        <x:v>都市夜景 → 海・港・休息</x:v>
      </x:c>
      <x:c r="N9" s="22" t="n">
        <x:v>2</x:v>
      </x:c>
      <x:c r="O9" s="22" t="n">
        <x:v>0</x:v>
      </x:c>
      <x:c r="P9" s="22" t="n">
        <x:v>2</x:v>
      </x:c>
      <x:c r="Q9" s="22" t="str">
        <x:v>低</x:v>
      </x:c>
      <x:c r="R9" s="22" t="n">
        <x:v>89</x:v>
      </x:c>
      <x:c r="S9" s="22" t="str">
        <x:v>https://www.city.koto.lg.jp/470705/kasenkouen/toyosugururipark.html</x:v>
      </x:c>
    </x:row>
    <x:row r="10">
      <x:c r="A10" s="22" t="str">
        <x:v>R003</x:v>
      </x:c>
      <x:c r="B10" s="22" t="str">
        <x:v>東京港最奥ナイト</x:v>
      </x:c>
      <x:c r="C10" s="22" t="str">
        <x:v>東京港・水辺</x:v>
      </x:c>
      <x:c r="D10" s="22" t="n">
        <x:v>3</x:v>
      </x:c>
      <x:c r="E10" s="22" t="str">
        <x:v>暁ふ頭公園</x:v>
      </x:c>
      <x:c r="F10" s="22" t="str">
        <x:v>最終目的地</x:v>
      </x:c>
      <x:c r="G10" s="22" t="str">
        <x:v>到達・余韻</x:v>
      </x:c>
      <x:c r="H10" s="22" t="n">
        <x:v>45</x:v>
      </x:c>
      <x:c r="I10" s="22" t="str">
        <x:v>水面・風・船を眺めて短く歩く</x:v>
      </x:c>
      <x:c r="J10" s="22" t="str">
        <x:v>小規模。満車なら待たずに省略</x:v>
      </x:c>
      <x:c r="K10" s="22" t="str">
        <x:v>夕方～夜</x:v>
      </x:c>
      <x:c r="L10" s="22" t="str">
        <x:v>満車時／工事・閉鎖時</x:v>
      </x:c>
      <x:c r="M10" s="22" t="str">
        <x:v>最終地点で終了</x:v>
      </x:c>
      <x:c r="N10" s="22" t="n">
        <x:v>0</x:v>
      </x:c>
      <x:c r="O10" s="22" t="n">
        <x:v>1</x:v>
      </x:c>
      <x:c r="P10" s="22" t="n">
        <x:v>1</x:v>
      </x:c>
      <x:c r="Q10" s="22" t="str">
        <x:v>なし</x:v>
      </x:c>
      <x:c r="R10" s="22" t="n">
        <x:v>63</x:v>
      </x:c>
      <x:c r="S10" s="22" t="str">
        <x:v>https://www.tptc.co.jp/park/01_10</x:v>
      </x:c>
    </x:row>
    <x:row r="11">
      <x:c r="A11" s="22" t="str">
        <x:v>R004</x:v>
      </x:c>
      <x:c r="B11" s="22" t="str">
        <x:v>ゲートブリッジ夜景ショート</x:v>
      </x:c>
      <x:c r="C11" s="22" t="str">
        <x:v>東京港・水辺</x:v>
      </x:c>
      <x:c r="D11" s="22" t="n">
        <x:v>1</x:v>
      </x:c>
      <x:c r="E11" s="22" t="str">
        <x:v>潮風公園</x:v>
      </x:c>
      <x:c r="F11" s="22" t="str">
        <x:v>経由地</x:v>
      </x:c>
      <x:c r="G11" s="22" t="str">
        <x:v>導入・気分転換</x:v>
      </x:c>
      <x:c r="H11" s="22" t="n">
        <x:v>20</x:v>
      </x:c>
      <x:c r="I11" s="22" t="str">
        <x:v>水面・風・船を眺めて短く歩く</x:v>
      </x:c>
      <x:c r="J11" s="22" t="str">
        <x:v>専用・公式駐車場へ直接入庫</x:v>
      </x:c>
      <x:c r="K11" s="22" t="str">
        <x:v>日没後</x:v>
      </x:c>
      <x:c r="L11" s="22" t="str">
        <x:v>工事・閉鎖時</x:v>
      </x:c>
      <x:c r="M11" s="22" t="str">
        <x:v>海・港・都市夜景 → 海・港</x:v>
      </x:c>
      <x:c r="N11" s="22" t="n">
        <x:v>1</x:v>
      </x:c>
      <x:c r="O11" s="22" t="n">
        <x:v>1</x:v>
      </x:c>
      <x:c r="P11" s="22" t="n">
        <x:v>2</x:v>
      </x:c>
      <x:c r="Q11" s="22" t="str">
        <x:v>低</x:v>
      </x:c>
      <x:c r="R11" s="22" t="n">
        <x:v>90</x:v>
      </x:c>
      <x:c r="S11" s="22" t="str">
        <x:v>https://www.tokyo-park.or.jp/park/shiokaze/index.html</x:v>
      </x:c>
    </x:row>
    <x:row r="12">
      <x:c r="A12" s="22" t="str">
        <x:v>R004</x:v>
      </x:c>
      <x:c r="B12" s="22" t="str">
        <x:v>ゲートブリッジ夜景ショート</x:v>
      </x:c>
      <x:c r="C12" s="22" t="str">
        <x:v>東京港・水辺</x:v>
      </x:c>
      <x:c r="D12" s="22" t="n">
        <x:v>2</x:v>
      </x:c>
      <x:c r="E12" s="22" t="str">
        <x:v>東京ゲートブリッジ</x:v>
      </x:c>
      <x:c r="F12" s="22" t="str">
        <x:v>走行演出</x:v>
      </x:c>
      <x:c r="G12" s="22" t="str">
        <x:v>走行演出</x:v>
      </x:c>
      <x:c r="H12" s="22" t="n">
        <x:v>0</x:v>
      </x:c>
      <x:c r="I12" s="22" t="str">
        <x:v>停車せず、橋・高架・港湾景観の変化を車内で味わう</x:v>
      </x:c>
      <x:c r="J12" s="22" t="str">
        <x:v>停車しない</x:v>
      </x:c>
      <x:c r="K12" s="22" t="str">
        <x:v>夕方～夜</x:v>
      </x:c>
      <x:c r="L12" s="22" t="str">
        <x:v>渋滞・通行規制時は走行演出を省略</x:v>
      </x:c>
      <x:c r="M12" s="22" t="str">
        <x:v>海・港 → 海・港</x:v>
      </x:c>
      <x:c r="N12" s="22" t="n">
        <x:v>1</x:v>
      </x:c>
      <x:c r="O12" s="22" t="n">
        <x:v>0</x:v>
      </x:c>
      <x:c r="P12" s="22" t="n">
        <x:v>1</x:v>
      </x:c>
      <x:c r="Q12" s="22" t="str">
        <x:v>なし</x:v>
      </x:c>
      <x:c r="R12" s="22" t="n">
        <x:v>86</x:v>
      </x:c>
      <x:c r="S12" s="22" t="str"/>
    </x:row>
    <x:row r="13">
      <x:c r="A13" s="22" t="str">
        <x:v>R004</x:v>
      </x:c>
      <x:c r="B13" s="22" t="str">
        <x:v>ゲートブリッジ夜景ショート</x:v>
      </x:c>
      <x:c r="C13" s="22" t="str">
        <x:v>東京港・水辺</x:v>
      </x:c>
      <x:c r="D13" s="22" t="n">
        <x:v>3</x:v>
      </x:c>
      <x:c r="E13" s="22" t="str">
        <x:v>若洲海浜公園</x:v>
      </x:c>
      <x:c r="F13" s="22" t="str">
        <x:v>最終目的地</x:v>
      </x:c>
      <x:c r="G13" s="22" t="str">
        <x:v>到達・余韻</x:v>
      </x:c>
      <x:c r="H13" s="22" t="n">
        <x:v>45</x:v>
      </x:c>
      <x:c r="I13" s="22" t="str">
        <x:v>水面・風・船を眺めて短く歩く</x:v>
      </x:c>
      <x:c r="J13" s="22" t="str">
        <x:v>小規模。満車なら待たずに省略</x:v>
      </x:c>
      <x:c r="K13" s="22" t="str">
        <x:v>夕方～夜</x:v>
      </x:c>
      <x:c r="L13" s="22" t="str">
        <x:v>満車時／22:00に間に合わない時／強風・高潮・増水時／工事・閉鎖時</x:v>
      </x:c>
      <x:c r="M13" s="22" t="str">
        <x:v>最終地点で終了</x:v>
      </x:c>
      <x:c r="N13" s="22" t="n">
        <x:v>0</x:v>
      </x:c>
      <x:c r="O13" s="22" t="n">
        <x:v>2</x:v>
      </x:c>
      <x:c r="P13" s="22" t="n">
        <x:v>2</x:v>
      </x:c>
      <x:c r="Q13" s="22" t="str">
        <x:v>低</x:v>
      </x:c>
      <x:c r="R13" s="22" t="n">
        <x:v>64</x:v>
      </x:c>
      <x:c r="S13" s="22" t="str">
        <x:v>https://www.tptc.co.jp/park/03_07/access</x:v>
      </x:c>
    </x:row>
    <x:row r="14">
      <x:c r="A14" s="22" t="str">
        <x:v>R005</x:v>
      </x:c>
      <x:c r="B14" s="22" t="str">
        <x:v>東京港・環境再生ライン</x:v>
      </x:c>
      <x:c r="C14" s="22" t="str">
        <x:v>東京港・水辺</x:v>
      </x:c>
      <x:c r="D14" s="22" t="n">
        <x:v>1</x:v>
      </x:c>
      <x:c r="E14" s="22" t="str">
        <x:v>東京港野鳥公園</x:v>
      </x:c>
      <x:c r="F14" s="22" t="str">
        <x:v>経由地</x:v>
      </x:c>
      <x:c r="G14" s="22" t="str">
        <x:v>導入・気分転換</x:v>
      </x:c>
      <x:c r="H14" s="22" t="n">
        <x:v>25</x:v>
      </x:c>
      <x:c r="I14" s="22" t="str">
        <x:v>航空機観察・短時間撮影</x:v>
      </x:c>
      <x:c r="J14" s="22" t="str">
        <x:v>専用・公式駐車場へ直接入庫</x:v>
      </x:c>
      <x:c r="K14" s="22" t="str">
        <x:v>午前～16時</x:v>
      </x:c>
      <x:c r="L14" s="22" t="str">
        <x:v>17:00に間に合わない時</x:v>
      </x:c>
      <x:c r="M14" s="22" t="str">
        <x:v>飛行機・海・港 → 海・港・都市夜景</x:v>
      </x:c>
      <x:c r="N14" s="22" t="n">
        <x:v>2</x:v>
      </x:c>
      <x:c r="O14" s="22" t="n">
        <x:v>0</x:v>
      </x:c>
      <x:c r="P14" s="22" t="n">
        <x:v>2</x:v>
      </x:c>
      <x:c r="Q14" s="22" t="str">
        <x:v>低</x:v>
      </x:c>
      <x:c r="R14" s="22" t="n">
        <x:v>87</x:v>
      </x:c>
      <x:c r="S14" s="22" t="str">
        <x:v>https://www.tptc.co.jp/park/03_08</x:v>
      </x:c>
    </x:row>
    <x:row r="15">
      <x:c r="A15" s="22" t="str">
        <x:v>R005</x:v>
      </x:c>
      <x:c r="B15" s="22" t="str">
        <x:v>東京港・環境再生ライン</x:v>
      </x:c>
      <x:c r="C15" s="22" t="str">
        <x:v>東京港・水辺</x:v>
      </x:c>
      <x:c r="D15" s="22" t="n">
        <x:v>2</x:v>
      </x:c>
      <x:c r="E15" s="22" t="str">
        <x:v>海の森公園</x:v>
      </x:c>
      <x:c r="F15" s="22" t="str">
        <x:v>経由地</x:v>
      </x:c>
      <x:c r="G15" s="22" t="str">
        <x:v>景観転換・休憩</x:v>
      </x:c>
      <x:c r="H15" s="22" t="n">
        <x:v>20</x:v>
      </x:c>
      <x:c r="I15" s="22" t="str">
        <x:v>水面・風・船を眺めて短く歩く</x:v>
      </x:c>
      <x:c r="J15" s="22" t="str">
        <x:v>専用・公式駐車場へ直接入庫</x:v>
      </x:c>
      <x:c r="K15" s="22" t="str">
        <x:v>夕方～夜</x:v>
      </x:c>
      <x:c r="L15" s="22" t="str">
        <x:v>17:00に間に合わない時</x:v>
      </x:c>
      <x:c r="M15" s="22" t="str">
        <x:v>海・港・都市夜景 → 海・港</x:v>
      </x:c>
      <x:c r="N15" s="22" t="n">
        <x:v>1</x:v>
      </x:c>
      <x:c r="O15" s="22" t="n">
        <x:v>0</x:v>
      </x:c>
      <x:c r="P15" s="22" t="n">
        <x:v>1</x:v>
      </x:c>
      <x:c r="Q15" s="22" t="str">
        <x:v>なし</x:v>
      </x:c>
      <x:c r="R15" s="22" t="n">
        <x:v>83</x:v>
      </x:c>
      <x:c r="S15" s="22" t="str">
        <x:v>https://uminomoripark.com/faq/</x:v>
      </x:c>
    </x:row>
    <x:row r="16">
      <x:c r="A16" s="22" t="str">
        <x:v>R005</x:v>
      </x:c>
      <x:c r="B16" s="22" t="str">
        <x:v>東京港・環境再生ライン</x:v>
      </x:c>
      <x:c r="C16" s="22" t="str">
        <x:v>東京港・水辺</x:v>
      </x:c>
      <x:c r="D16" s="22" t="n">
        <x:v>3</x:v>
      </x:c>
      <x:c r="E16" s="22" t="str">
        <x:v>若洲海浜公園</x:v>
      </x:c>
      <x:c r="F16" s="22" t="str">
        <x:v>最終目的地</x:v>
      </x:c>
      <x:c r="G16" s="22" t="str">
        <x:v>到達・余韻</x:v>
      </x:c>
      <x:c r="H16" s="22" t="n">
        <x:v>45</x:v>
      </x:c>
      <x:c r="I16" s="22" t="str">
        <x:v>水面・風・船を眺めて短く歩く</x:v>
      </x:c>
      <x:c r="J16" s="22" t="str">
        <x:v>小規模。満車なら待たずに省略</x:v>
      </x:c>
      <x:c r="K16" s="22" t="str">
        <x:v>夕方～夜</x:v>
      </x:c>
      <x:c r="L16" s="22" t="str">
        <x:v>満車時／22:00に間に合わない時／強風・高潮・増水時／工事・閉鎖時</x:v>
      </x:c>
      <x:c r="M16" s="22" t="str">
        <x:v>最終地点で終了</x:v>
      </x:c>
      <x:c r="N16" s="22" t="n">
        <x:v>0</x:v>
      </x:c>
      <x:c r="O16" s="22" t="n">
        <x:v>2</x:v>
      </x:c>
      <x:c r="P16" s="22" t="n">
        <x:v>2</x:v>
      </x:c>
      <x:c r="Q16" s="22" t="str">
        <x:v>低</x:v>
      </x:c>
      <x:c r="R16" s="22" t="n">
        <x:v>70</x:v>
      </x:c>
      <x:c r="S16" s="22" t="str">
        <x:v>https://www.tptc.co.jp/park/03_07/access</x:v>
      </x:c>
    </x:row>
    <x:row r="17">
      <x:c r="A17" s="22" t="str">
        <x:v>R006</x:v>
      </x:c>
      <x:c r="B17" s="22" t="str">
        <x:v>京浜島から東扇島西端へ</x:v>
      </x:c>
      <x:c r="C17" s="22" t="str">
        <x:v>羽田・航空</x:v>
      </x:c>
      <x:c r="D17" s="22" t="n">
        <x:v>1</x:v>
      </x:c>
      <x:c r="E17" s="22" t="str">
        <x:v>京浜島つばさ公園</x:v>
      </x:c>
      <x:c r="F17" s="22" t="str">
        <x:v>経由地</x:v>
      </x:c>
      <x:c r="G17" s="22" t="str">
        <x:v>導入・気分転換</x:v>
      </x:c>
      <x:c r="H17" s="22" t="n">
        <x:v>25</x:v>
      </x:c>
      <x:c r="I17" s="22" t="str">
        <x:v>航空機観察・短時間撮影</x:v>
      </x:c>
      <x:c r="J17" s="22" t="str">
        <x:v>小規模。満車なら待たずに省略</x:v>
      </x:c>
      <x:c r="K17" s="22" t="str">
        <x:v>夕方～夜</x:v>
      </x:c>
      <x:c r="L17" s="22" t="str">
        <x:v>満車時</x:v>
      </x:c>
      <x:c r="M17" s="22" t="str">
        <x:v>飛行機・工場夜景 → 海・港・工場夜景</x:v>
      </x:c>
      <x:c r="N17" s="22" t="n">
        <x:v>3</x:v>
      </x:c>
      <x:c r="O17" s="22" t="n">
        <x:v>1</x:v>
      </x:c>
      <x:c r="P17" s="22" t="n">
        <x:v>4</x:v>
      </x:c>
      <x:c r="Q17" s="22" t="str">
        <x:v>中</x:v>
      </x:c>
      <x:c r="R17" s="22" t="n">
        <x:v>71</x:v>
      </x:c>
      <x:c r="S17" s="22" t="str">
        <x:v>https://tokyo-south-seaside-parks.com/keihinjima/</x:v>
      </x:c>
    </x:row>
    <x:row r="18">
      <x:c r="A18" s="22" t="str">
        <x:v>R006</x:v>
      </x:c>
      <x:c r="B18" s="22" t="str">
        <x:v>京浜島から東扇島西端へ</x:v>
      </x:c>
      <x:c r="C18" s="22" t="str">
        <x:v>羽田・航空</x:v>
      </x:c>
      <x:c r="D18" s="22" t="n">
        <x:v>2</x:v>
      </x:c>
      <x:c r="E18" s="22" t="str">
        <x:v>川崎マリエン</x:v>
      </x:c>
      <x:c r="F18" s="22" t="str">
        <x:v>経由地</x:v>
      </x:c>
      <x:c r="G18" s="22" t="str">
        <x:v>景観転換・休憩</x:v>
      </x:c>
      <x:c r="H18" s="22" t="n">
        <x:v>25</x:v>
      </x:c>
      <x:c r="I18" s="22" t="str">
        <x:v>水面・風・船を眺めて短く歩く</x:v>
      </x:c>
      <x:c r="J18" s="22" t="str">
        <x:v>専用・公式駐車場へ直接入庫</x:v>
      </x:c>
      <x:c r="K18" s="22" t="str">
        <x:v>日没後</x:v>
      </x:c>
      <x:c r="L18" s="22" t="str">
        <x:v>工事・閉鎖時</x:v>
      </x:c>
      <x:c r="M18" s="22" t="str">
        <x:v>海・港・工場夜景 → 海・港・工場夜景</x:v>
      </x:c>
      <x:c r="N18" s="22" t="n">
        <x:v>2</x:v>
      </x:c>
      <x:c r="O18" s="22" t="n">
        <x:v>1</x:v>
      </x:c>
      <x:c r="P18" s="22" t="n">
        <x:v>3</x:v>
      </x:c>
      <x:c r="Q18" s="22" t="str">
        <x:v>低</x:v>
      </x:c>
      <x:c r="R18" s="22" t="n">
        <x:v>90</x:v>
      </x:c>
      <x:c r="S18" s="22" t="str">
        <x:v>https://www.kawasakiport.or.jp/</x:v>
      </x:c>
    </x:row>
    <x:row r="19">
      <x:c r="A19" s="22" t="str">
        <x:v>R006</x:v>
      </x:c>
      <x:c r="B19" s="22" t="str">
        <x:v>京浜島から東扇島西端へ</x:v>
      </x:c>
      <x:c r="C19" s="22" t="str">
        <x:v>羽田・航空</x:v>
      </x:c>
      <x:c r="D19" s="22" t="n">
        <x:v>3</x:v>
      </x:c>
      <x:c r="E19" s="22" t="str">
        <x:v>東扇島西公園</x:v>
      </x:c>
      <x:c r="F19" s="22" t="str">
        <x:v>最終目的地</x:v>
      </x:c>
      <x:c r="G19" s="22" t="str">
        <x:v>到達・余韻</x:v>
      </x:c>
      <x:c r="H19" s="22" t="n">
        <x:v>45</x:v>
      </x:c>
      <x:c r="I19" s="22" t="str">
        <x:v>水面・風・船を眺めて短く歩く</x:v>
      </x:c>
      <x:c r="J19" s="22" t="str">
        <x:v>車の経由地には不向き。合法駐車から徒歩のみ</x:v>
      </x:c>
      <x:c r="K19" s="22" t="str">
        <x:v>夕方～夜</x:v>
      </x:c>
      <x:c r="L19" s="22" t="str">
        <x:v>満車時</x:v>
      </x:c>
      <x:c r="M19" s="22" t="str">
        <x:v>最終地点で終了</x:v>
      </x:c>
      <x:c r="N19" s="22" t="n">
        <x:v>0</x:v>
      </x:c>
      <x:c r="O19" s="22" t="n">
        <x:v>2</x:v>
      </x:c>
      <x:c r="P19" s="22" t="n">
        <x:v>2</x:v>
      </x:c>
      <x:c r="Q19" s="22" t="str">
        <x:v>低</x:v>
      </x:c>
      <x:c r="R19" s="22" t="n">
        <x:v>63</x:v>
      </x:c>
      <x:c r="S19" s="22" t="str">
        <x:v>https://www.city.kawasaki.jp/580/page/0000001336.html</x:v>
      </x:c>
    </x:row>
    <x:row r="20">
      <x:c r="A20" s="22" t="str">
        <x:v>R008</x:v>
      </x:c>
      <x:c r="B20" s="22" t="str">
        <x:v>本牧ふ頭の行き止まり</x:v>
      </x:c>
      <x:c r="C20" s="22" t="str">
        <x:v>東京港・水辺</x:v>
      </x:c>
      <x:c r="D20" s="22" t="n">
        <x:v>1</x:v>
      </x:c>
      <x:c r="E20" s="22" t="str">
        <x:v>横浜港大さん橋</x:v>
      </x:c>
      <x:c r="F20" s="22" t="str">
        <x:v>経由地</x:v>
      </x:c>
      <x:c r="G20" s="22" t="str">
        <x:v>導入・気分転換</x:v>
      </x:c>
      <x:c r="H20" s="22" t="n">
        <x:v>20</x:v>
      </x:c>
      <x:c r="I20" s="22" t="str">
        <x:v>水面・風・船を眺めて短く歩く</x:v>
      </x:c>
      <x:c r="J20" s="22" t="str">
        <x:v>専用・公式駐車場へ直接入庫</x:v>
      </x:c>
      <x:c r="K20" s="22" t="str">
        <x:v>日没後</x:v>
      </x:c>
      <x:c r="L20" s="22" t="str">
        <x:v>臨時閉鎖・イベント混雑時</x:v>
      </x:c>
      <x:c r="M20" s="22" t="str">
        <x:v>海・港・都市夜景 → 海・港・工場夜景</x:v>
      </x:c>
      <x:c r="N20" s="22" t="n">
        <x:v>2</x:v>
      </x:c>
      <x:c r="O20" s="22" t="n">
        <x:v>0</x:v>
      </x:c>
      <x:c r="P20" s="22" t="n">
        <x:v>2</x:v>
      </x:c>
      <x:c r="Q20" s="22" t="str">
        <x:v>低</x:v>
      </x:c>
      <x:c r="R20" s="22" t="n">
        <x:v>82</x:v>
      </x:c>
      <x:c r="S20" s="22" t="str">
        <x:v>https://osanbashi.jp/</x:v>
      </x:c>
    </x:row>
    <x:row r="21">
      <x:c r="A21" s="22" t="str">
        <x:v>R008</x:v>
      </x:c>
      <x:c r="B21" s="22" t="str">
        <x:v>本牧ふ頭の行き止まり</x:v>
      </x:c>
      <x:c r="C21" s="22" t="str">
        <x:v>東京港・水辺</x:v>
      </x:c>
      <x:c r="D21" s="22" t="n">
        <x:v>2</x:v>
      </x:c>
      <x:c r="E21" s="22" t="str">
        <x:v>本牧山頂公園</x:v>
      </x:c>
      <x:c r="F21" s="22" t="str">
        <x:v>経由地</x:v>
      </x:c>
      <x:c r="G21" s="22" t="str">
        <x:v>景観転換・休憩</x:v>
      </x:c>
      <x:c r="H21" s="22" t="n">
        <x:v>25</x:v>
      </x:c>
      <x:c r="I21" s="22" t="str">
        <x:v>水面・風・船を眺めて短く歩く</x:v>
      </x:c>
      <x:c r="J21" s="22" t="str">
        <x:v>専用・公式駐車場へ直接入庫</x:v>
      </x:c>
      <x:c r="K21" s="22" t="str">
        <x:v>夕方～夜</x:v>
      </x:c>
      <x:c r="L21" s="22" t="str">
        <x:v>臨時閉鎖・イベント混雑時</x:v>
      </x:c>
      <x:c r="M21" s="22" t="str">
        <x:v>海・港・工場夜景 → 海・港・都市夜景</x:v>
      </x:c>
      <x:c r="N21" s="22" t="n">
        <x:v>3</x:v>
      </x:c>
      <x:c r="O21" s="22" t="n">
        <x:v>0</x:v>
      </x:c>
      <x:c r="P21" s="22" t="n">
        <x:v>3</x:v>
      </x:c>
      <x:c r="Q21" s="22" t="str">
        <x:v>低</x:v>
      </x:c>
      <x:c r="R21" s="22" t="n">
        <x:v>77</x:v>
      </x:c>
      <x:c r="S21" s="22" t="str">
        <x:v>https://www.city.yokohama.lg.jp/kenko-iryo-fukushi/fukushi-kaigo/fuku-machi/barrierfree/shisetsu/shisetsu/06092.html</x:v>
      </x:c>
    </x:row>
    <x:row r="22">
      <x:c r="A22" s="22" t="str">
        <x:v>R008</x:v>
      </x:c>
      <x:c r="B22" s="22" t="str">
        <x:v>本牧ふ頭の行き止まり</x:v>
      </x:c>
      <x:c r="C22" s="22" t="str">
        <x:v>東京港・水辺</x:v>
      </x:c>
      <x:c r="D22" s="22" t="n">
        <x:v>3</x:v>
      </x:c>
      <x:c r="E22" s="22" t="str">
        <x:v>横浜港シンボルタワー</x:v>
      </x:c>
      <x:c r="F22" s="22" t="str">
        <x:v>最終目的地</x:v>
      </x:c>
      <x:c r="G22" s="22" t="str">
        <x:v>到達・余韻</x:v>
      </x:c>
      <x:c r="H22" s="22" t="n">
        <x:v>40</x:v>
      </x:c>
      <x:c r="I22" s="22" t="str">
        <x:v>水面・風・船を眺めて短く歩く</x:v>
      </x:c>
      <x:c r="J22" s="22" t="str">
        <x:v>専用・公式駐車場へ直接入庫</x:v>
      </x:c>
      <x:c r="K22" s="22" t="str">
        <x:v>夕方～夜</x:v>
      </x:c>
      <x:c r="L22" s="22" t="str">
        <x:v>20:00に間に合わない時／工事・閉鎖時</x:v>
      </x:c>
      <x:c r="M22" s="22" t="str">
        <x:v>最終地点で終了</x:v>
      </x:c>
      <x:c r="N22" s="22" t="n">
        <x:v>0</x:v>
      </x:c>
      <x:c r="O22" s="22" t="n">
        <x:v>2</x:v>
      </x:c>
      <x:c r="P22" s="22" t="n">
        <x:v>2</x:v>
      </x:c>
      <x:c r="Q22" s="22" t="str">
        <x:v>低</x:v>
      </x:c>
      <x:c r="R22" s="22" t="n">
        <x:v>74</x:v>
      </x:c>
      <x:c r="S22" s="22" t="str">
        <x:v>https://y-stw.com/</x:v>
      </x:c>
    </x:row>
    <x:row r="23">
      <x:c r="A23" s="22" t="str">
        <x:v>R009</x:v>
      </x:c>
      <x:c r="B23" s="22" t="str">
        <x:v>金沢シーサイド</x:v>
      </x:c>
      <x:c r="C23" s="22" t="str">
        <x:v>東京港・水辺</x:v>
      </x:c>
      <x:c r="D23" s="22" t="n">
        <x:v>1</x:v>
      </x:c>
      <x:c r="E23" s="22" t="str">
        <x:v>本牧山頂公園</x:v>
      </x:c>
      <x:c r="F23" s="22" t="str">
        <x:v>経由地</x:v>
      </x:c>
      <x:c r="G23" s="22" t="str">
        <x:v>導入・気分転換</x:v>
      </x:c>
      <x:c r="H23" s="22" t="n">
        <x:v>25</x:v>
      </x:c>
      <x:c r="I23" s="22" t="str">
        <x:v>水面・風・船を眺めて短く歩く</x:v>
      </x:c>
      <x:c r="J23" s="22" t="str">
        <x:v>専用・公式駐車場へ直接入庫</x:v>
      </x:c>
      <x:c r="K23" s="22" t="str">
        <x:v>夕方～夜</x:v>
      </x:c>
      <x:c r="L23" s="22" t="str">
        <x:v>臨時閉鎖・イベント混雑時</x:v>
      </x:c>
      <x:c r="M23" s="22" t="str">
        <x:v>海・港・工場夜景 → 海・港</x:v>
      </x:c>
      <x:c r="N23" s="22" t="n">
        <x:v>3</x:v>
      </x:c>
      <x:c r="O23" s="22" t="n">
        <x:v>0</x:v>
      </x:c>
      <x:c r="P23" s="22" t="n">
        <x:v>3</x:v>
      </x:c>
      <x:c r="Q23" s="22" t="str">
        <x:v>低</x:v>
      </x:c>
      <x:c r="R23" s="22" t="n">
        <x:v>74</x:v>
      </x:c>
      <x:c r="S23" s="22" t="str">
        <x:v>https://www.city.yokohama.lg.jp/kenko-iryo-fukushi/fukushi-kaigo/fuku-machi/barrierfree/shisetsu/shisetsu/06092.html</x:v>
      </x:c>
    </x:row>
    <x:row r="24">
      <x:c r="A24" s="22" t="str">
        <x:v>R009</x:v>
      </x:c>
      <x:c r="B24" s="22" t="str">
        <x:v>金沢シーサイド</x:v>
      </x:c>
      <x:c r="C24" s="22" t="str">
        <x:v>東京港・水辺</x:v>
      </x:c>
      <x:c r="D24" s="22" t="n">
        <x:v>2</x:v>
      </x:c>
      <x:c r="E24" s="22" t="str">
        <x:v>海の公園</x:v>
      </x:c>
      <x:c r="F24" s="22" t="str">
        <x:v>経由地</x:v>
      </x:c>
      <x:c r="G24" s="22" t="str">
        <x:v>景観転換・休憩</x:v>
      </x:c>
      <x:c r="H24" s="22" t="n">
        <x:v>20</x:v>
      </x:c>
      <x:c r="I24" s="22" t="str">
        <x:v>水面・風・船を眺めて短く歩く</x:v>
      </x:c>
      <x:c r="J24" s="22" t="str">
        <x:v>専用・公式駐車場へ直接入庫</x:v>
      </x:c>
      <x:c r="K24" s="22" t="str">
        <x:v>夕方～夜</x:v>
      </x:c>
      <x:c r="L24" s="22" t="str">
        <x:v>工事・閉鎖時</x:v>
      </x:c>
      <x:c r="M24" s="22" t="str">
        <x:v>海・港 → 海・港・都市夜景</x:v>
      </x:c>
      <x:c r="N24" s="22" t="n">
        <x:v>1</x:v>
      </x:c>
      <x:c r="O24" s="22" t="n">
        <x:v>0</x:v>
      </x:c>
      <x:c r="P24" s="22" t="n">
        <x:v>1</x:v>
      </x:c>
      <x:c r="Q24" s="22" t="str">
        <x:v>なし</x:v>
      </x:c>
      <x:c r="R24" s="22" t="n">
        <x:v>74</x:v>
      </x:c>
      <x:c r="S24" s="22" t="str">
        <x:v>https://www.city.yokohama.lg.jp/kurashi/machizukuri-kankyo/midori-koen/koen/koen/daihyoteki/umikouen.html</x:v>
      </x:c>
    </x:row>
    <x:row r="25">
      <x:c r="A25" s="22" t="str">
        <x:v>R009</x:v>
      </x:c>
      <x:c r="B25" s="22" t="str">
        <x:v>金沢シーサイド</x:v>
      </x:c>
      <x:c r="C25" s="22" t="str">
        <x:v>東京港・水辺</x:v>
      </x:c>
      <x:c r="D25" s="22" t="n">
        <x:v>3</x:v>
      </x:c>
      <x:c r="E25" s="22" t="str">
        <x:v>野島公園</x:v>
      </x:c>
      <x:c r="F25" s="22" t="str">
        <x:v>最終目的地</x:v>
      </x:c>
      <x:c r="G25" s="22" t="str">
        <x:v>到達・余韻</x:v>
      </x:c>
      <x:c r="H25" s="22" t="n">
        <x:v>40</x:v>
      </x:c>
      <x:c r="I25" s="22" t="str">
        <x:v>水面・風・船を眺めて短く歩く</x:v>
      </x:c>
      <x:c r="J25" s="22" t="str">
        <x:v>専用・公式駐車場へ直接入庫</x:v>
      </x:c>
      <x:c r="K25" s="22" t="str">
        <x:v>夕方～夜</x:v>
      </x:c>
      <x:c r="L25" s="22" t="str">
        <x:v>23:00に間に合わない時</x:v>
      </x:c>
      <x:c r="M25" s="22" t="str">
        <x:v>最終地点で終了</x:v>
      </x:c>
      <x:c r="N25" s="22" t="n">
        <x:v>0</x:v>
      </x:c>
      <x:c r="O25" s="22" t="n">
        <x:v>1</x:v>
      </x:c>
      <x:c r="P25" s="22" t="n">
        <x:v>1</x:v>
      </x:c>
      <x:c r="Q25" s="22" t="str">
        <x:v>なし</x:v>
      </x:c>
      <x:c r="R25" s="22" t="n">
        <x:v>83</x:v>
      </x:c>
      <x:c r="S25" s="22" t="str">
        <x:v>https://www.hama-midorinokyokai.or.jp/park/parking/nojima/nojima1/</x:v>
      </x:c>
    </x:row>
    <x:row r="26">
      <x:c r="A26" s="22" t="str">
        <x:v>R025</x:v>
      </x:c>
      <x:c r="B26" s="22" t="str">
        <x:v>首都高ミニマム・ナイト</x:v>
      </x:c>
      <x:c r="C26" s="22" t="str">
        <x:v>PA・高速</x:v>
      </x:c>
      <x:c r="D26" s="22" t="n">
        <x:v>1</x:v>
      </x:c>
      <x:c r="E26" s="22" t="str">
        <x:v>平和島PA（上り）</x:v>
      </x:c>
      <x:c r="F26" s="22" t="str">
        <x:v>経由地</x:v>
      </x:c>
      <x:c r="G26" s="22" t="str">
        <x:v>導入・気分転換</x:v>
      </x:c>
      <x:c r="H26" s="22" t="n">
        <x:v>12</x:v>
      </x:c>
      <x:c r="I26" s="22" t="str">
        <x:v>トイレ・飲み物・10分休憩</x:v>
      </x:c>
      <x:c r="J26" s="22" t="str">
        <x:v>専用・公式駐車場へ直接入庫</x:v>
      </x:c>
      <x:c r="K26" s="22" t="str">
        <x:v>昼～夕方</x:v>
      </x:c>
      <x:c r="L26" s="22" t="str">
        <x:v>工事・閉鎖時</x:v>
      </x:c>
      <x:c r="M26" s="22" t="str">
        <x:v>休息 → 海・港・都市夜景</x:v>
      </x:c>
      <x:c r="N26" s="22" t="n">
        <x:v>1</x:v>
      </x:c>
      <x:c r="O26" s="22" t="n">
        <x:v>0</x:v>
      </x:c>
      <x:c r="P26" s="22" t="n">
        <x:v>1</x:v>
      </x:c>
      <x:c r="Q26" s="22" t="str">
        <x:v>なし</x:v>
      </x:c>
      <x:c r="R26" s="22" t="n">
        <x:v>86</x:v>
      </x:c>
      <x:c r="S26" s="22" t="str">
        <x:v>https://www.shutoko-sv.jp/pa/heiwajima-up</x:v>
      </x:c>
    </x:row>
    <x:row r="27">
      <x:c r="A27" s="22" t="str">
        <x:v>R025</x:v>
      </x:c>
      <x:c r="B27" s="22" t="str">
        <x:v>首都高ミニマム・ナイト</x:v>
      </x:c>
      <x:c r="C27" s="22" t="str">
        <x:v>PA・高速</x:v>
      </x:c>
      <x:c r="D27" s="22" t="n">
        <x:v>2</x:v>
      </x:c>
      <x:c r="E27" s="22" t="str">
        <x:v>芝浦PA</x:v>
      </x:c>
      <x:c r="F27" s="22" t="str">
        <x:v>経由地</x:v>
      </x:c>
      <x:c r="G27" s="22" t="str">
        <x:v>景観転換・休憩</x:v>
      </x:c>
      <x:c r="H27" s="22" t="n">
        <x:v>12</x:v>
      </x:c>
      <x:c r="I27" s="22" t="str">
        <x:v>トイレ・飲み物・10分休憩</x:v>
      </x:c>
      <x:c r="J27" s="22" t="str">
        <x:v>小規模。満車なら待たずに省略</x:v>
      </x:c>
      <x:c r="K27" s="22" t="str">
        <x:v>日没後</x:v>
      </x:c>
      <x:c r="L27" s="22" t="str">
        <x:v>満車時／工事・閉鎖時</x:v>
      </x:c>
      <x:c r="M27" s="22" t="str">
        <x:v>海・港・都市夜景 → 海・港・都市夜景</x:v>
      </x:c>
      <x:c r="N27" s="22" t="n">
        <x:v>1</x:v>
      </x:c>
      <x:c r="O27" s="22" t="n">
        <x:v>0</x:v>
      </x:c>
      <x:c r="P27" s="22" t="n">
        <x:v>1</x:v>
      </x:c>
      <x:c r="Q27" s="22" t="str">
        <x:v>なし</x:v>
      </x:c>
      <x:c r="R27" s="22" t="n">
        <x:v>71</x:v>
      </x:c>
      <x:c r="S27" s="22" t="str">
        <x:v>https://www.shutoko-sv.jp/pa/shibaura</x:v>
      </x:c>
    </x:row>
    <x:row r="28">
      <x:c r="A28" s="22" t="str">
        <x:v>R025</x:v>
      </x:c>
      <x:c r="B28" s="22" t="str">
        <x:v>首都高ミニマム・ナイト</x:v>
      </x:c>
      <x:c r="C28" s="22" t="str">
        <x:v>PA・高速</x:v>
      </x:c>
      <x:c r="D28" s="22" t="n">
        <x:v>3</x:v>
      </x:c>
      <x:c r="E28" s="22" t="str">
        <x:v>辰巳第一PA</x:v>
      </x:c>
      <x:c r="F28" s="22" t="str">
        <x:v>最終目的地</x:v>
      </x:c>
      <x:c r="G28" s="22" t="str">
        <x:v>到達・余韻</x:v>
      </x:c>
      <x:c r="H28" s="22" t="n">
        <x:v>20</x:v>
      </x:c>
      <x:c r="I28" s="22" t="str">
        <x:v>トイレ・飲み物・10分休憩</x:v>
      </x:c>
      <x:c r="J28" s="22" t="str">
        <x:v>専用・公式駐車場へ直接入庫</x:v>
      </x:c>
      <x:c r="K28" s="22" t="str">
        <x:v>日没後</x:v>
      </x:c>
      <x:c r="L28" s="22" t="str">
        <x:v>工事・閉鎖時</x:v>
      </x:c>
      <x:c r="M28" s="22" t="str">
        <x:v>最終地点で終了</x:v>
      </x:c>
      <x:c r="N28" s="22" t="n">
        <x:v>0</x:v>
      </x:c>
      <x:c r="O28" s="22" t="n">
        <x:v>1</x:v>
      </x:c>
      <x:c r="P28" s="22" t="n">
        <x:v>1</x:v>
      </x:c>
      <x:c r="Q28" s="22" t="str">
        <x:v>なし</x:v>
      </x:c>
      <x:c r="R28" s="22" t="n">
        <x:v>86</x:v>
      </x:c>
      <x:c r="S28" s="22" t="str">
        <x:v>https://www.shutoko-sv.jp/pa/tatsumi-1</x:v>
      </x:c>
    </x:row>
    <x:row r="29">
      <x:c r="A29" s="22" t="str">
        <x:v>R037</x:v>
      </x:c>
      <x:c r="B29" s="22" t="str">
        <x:v>東東京・水辺ナイト</x:v>
      </x:c>
      <x:c r="C29" s="22" t="str">
        <x:v>河川・多摩川</x:v>
      </x:c>
      <x:c r="D29" s="22" t="n">
        <x:v>1</x:v>
      </x:c>
      <x:c r="E29" s="22" t="str">
        <x:v>木場公園</x:v>
      </x:c>
      <x:c r="F29" s="22" t="str">
        <x:v>経由地</x:v>
      </x:c>
      <x:c r="G29" s="22" t="str">
        <x:v>導入・気分転換</x:v>
      </x:c>
      <x:c r="H29" s="22" t="n">
        <x:v>20</x:v>
      </x:c>
      <x:c r="I29" s="22" t="str">
        <x:v>5～20分の散策・頭のリセット</x:v>
      </x:c>
      <x:c r="J29" s="22" t="str">
        <x:v>専用・公式駐車場へ直接入庫</x:v>
      </x:c>
      <x:c r="K29" s="22" t="str">
        <x:v>昼～夕方</x:v>
      </x:c>
      <x:c r="L29" s="22" t="str">
        <x:v>臨時閉鎖・イベント混雑時</x:v>
      </x:c>
      <x:c r="M29" s="22" t="str">
        <x:v>海・港・自然 → 都市夜景・自然</x:v>
      </x:c>
      <x:c r="N29" s="22" t="n">
        <x:v>2</x:v>
      </x:c>
      <x:c r="O29" s="22" t="n">
        <x:v>0</x:v>
      </x:c>
      <x:c r="P29" s="22" t="n">
        <x:v>2</x:v>
      </x:c>
      <x:c r="Q29" s="22" t="str">
        <x:v>低</x:v>
      </x:c>
      <x:c r="R29" s="22" t="n">
        <x:v>88</x:v>
      </x:c>
      <x:c r="S29" s="22" t="str">
        <x:v>https://www.tokyo-park.or.jp/park/kiba/index.html</x:v>
      </x:c>
    </x:row>
    <x:row r="30">
      <x:c r="A30" s="22" t="str">
        <x:v>R037</x:v>
      </x:c>
      <x:c r="B30" s="22" t="str">
        <x:v>東東京・水辺ナイト</x:v>
      </x:c>
      <x:c r="C30" s="22" t="str">
        <x:v>河川・多摩川</x:v>
      </x:c>
      <x:c r="D30" s="22" t="n">
        <x:v>2</x:v>
      </x:c>
      <x:c r="E30" s="22" t="str">
        <x:v>大島小松川公園</x:v>
      </x:c>
      <x:c r="F30" s="22" t="str">
        <x:v>経由地</x:v>
      </x:c>
      <x:c r="G30" s="22" t="str">
        <x:v>景観転換・休憩</x:v>
      </x:c>
      <x:c r="H30" s="22" t="n">
        <x:v>20</x:v>
      </x:c>
      <x:c r="I30" s="22" t="str">
        <x:v>水面・風・船を眺めて短く歩く</x:v>
      </x:c>
      <x:c r="J30" s="22" t="str">
        <x:v>専用・公式駐車場へ直接入庫</x:v>
      </x:c>
      <x:c r="K30" s="22" t="str">
        <x:v>昼～夕方</x:v>
      </x:c>
      <x:c r="L30" s="22" t="str">
        <x:v>臨時閉鎖・イベント混雑時</x:v>
      </x:c>
      <x:c r="M30" s="22" t="str">
        <x:v>都市夜景・自然 → 自然・休息</x:v>
      </x:c>
      <x:c r="N30" s="22" t="n">
        <x:v>2</x:v>
      </x:c>
      <x:c r="O30" s="22" t="n">
        <x:v>0</x:v>
      </x:c>
      <x:c r="P30" s="22" t="n">
        <x:v>2</x:v>
      </x:c>
      <x:c r="Q30" s="22" t="str">
        <x:v>低</x:v>
      </x:c>
      <x:c r="R30" s="22" t="n">
        <x:v>88</x:v>
      </x:c>
      <x:c r="S30" s="22" t="str">
        <x:v>https://www.tokyo-park.or.jp/park/ojima-komatsugawa/index.html</x:v>
      </x:c>
    </x:row>
    <x:row r="31">
      <x:c r="A31" s="22" t="str">
        <x:v>R037</x:v>
      </x:c>
      <x:c r="B31" s="22" t="str">
        <x:v>東東京・水辺ナイト</x:v>
      </x:c>
      <x:c r="C31" s="22" t="str">
        <x:v>河川・多摩川</x:v>
      </x:c>
      <x:c r="D31" s="22" t="n">
        <x:v>3</x:v>
      </x:c>
      <x:c r="E31" s="22" t="str">
        <x:v>篠崎公園</x:v>
      </x:c>
      <x:c r="F31" s="22" t="str">
        <x:v>最終目的地</x:v>
      </x:c>
      <x:c r="G31" s="22" t="str">
        <x:v>到達・余韻</x:v>
      </x:c>
      <x:c r="H31" s="22" t="n">
        <x:v>45</x:v>
      </x:c>
      <x:c r="I31" s="22" t="str">
        <x:v>水面・風・船を眺めて短く歩く</x:v>
      </x:c>
      <x:c r="J31" s="22" t="str">
        <x:v>専用・公式駐車場へ直接入庫</x:v>
      </x:c>
      <x:c r="K31" s="22" t="str">
        <x:v>昼～夕方</x:v>
      </x:c>
      <x:c r="L31" s="22" t="str">
        <x:v>臨時閉鎖・イベント混雑時</x:v>
      </x:c>
      <x:c r="M31" s="22" t="str">
        <x:v>最終地点で終了</x:v>
      </x:c>
      <x:c r="N31" s="22" t="n">
        <x:v>0</x:v>
      </x:c>
      <x:c r="O31" s="22" t="n">
        <x:v>1</x:v>
      </x:c>
      <x:c r="P31" s="22" t="n">
        <x:v>1</x:v>
      </x:c>
      <x:c r="Q31" s="22" t="str">
        <x:v>なし</x:v>
      </x:c>
      <x:c r="R31" s="22" t="n">
        <x:v>85</x:v>
      </x:c>
      <x:c r="S31" s="22" t="str">
        <x:v>https://www.tokyo-park.or.jp/park/shinozaki/index.html</x:v>
      </x:c>
    </x:row>
    <x:row r="32">
      <x:c r="A32" s="22" t="str">
        <x:v>R048</x:v>
      </x:c>
      <x:c r="B32" s="22" t="str">
        <x:v>東側・確実な休憩ルート</x:v>
      </x:c>
      <x:c r="C32" s="22" t="str">
        <x:v>都市公園・休憩</x:v>
      </x:c>
      <x:c r="D32" s="22" t="n">
        <x:v>1</x:v>
      </x:c>
      <x:c r="E32" s="22" t="str">
        <x:v>木場公園</x:v>
      </x:c>
      <x:c r="F32" s="22" t="str">
        <x:v>経由地</x:v>
      </x:c>
      <x:c r="G32" s="22" t="str">
        <x:v>導入・気分転換</x:v>
      </x:c>
      <x:c r="H32" s="22" t="n">
        <x:v>20</x:v>
      </x:c>
      <x:c r="I32" s="22" t="str">
        <x:v>5～20分の散策・頭のリセット</x:v>
      </x:c>
      <x:c r="J32" s="22" t="str">
        <x:v>専用・公式駐車場へ直接入庫</x:v>
      </x:c>
      <x:c r="K32" s="22" t="str">
        <x:v>昼～夕方</x:v>
      </x:c>
      <x:c r="L32" s="22" t="str">
        <x:v>臨時閉鎖・イベント混雑時</x:v>
      </x:c>
      <x:c r="M32" s="22" t="str">
        <x:v>海・港・自然 → 都市夜景・自然</x:v>
      </x:c>
      <x:c r="N32" s="22" t="n">
        <x:v>2</x:v>
      </x:c>
      <x:c r="O32" s="22" t="n">
        <x:v>0</x:v>
      </x:c>
      <x:c r="P32" s="22" t="n">
        <x:v>2</x:v>
      </x:c>
      <x:c r="Q32" s="22" t="str">
        <x:v>低</x:v>
      </x:c>
      <x:c r="R32" s="22" t="n">
        <x:v>90</x:v>
      </x:c>
      <x:c r="S32" s="22" t="str">
        <x:v>https://www.tokyo-park.or.jp/park/kiba/index.html</x:v>
      </x:c>
    </x:row>
    <x:row r="33">
      <x:c r="A33" s="22" t="str">
        <x:v>R048</x:v>
      </x:c>
      <x:c r="B33" s="22" t="str">
        <x:v>東側・確実な休憩ルート</x:v>
      </x:c>
      <x:c r="C33" s="22" t="str">
        <x:v>都市公園・休憩</x:v>
      </x:c>
      <x:c r="D33" s="22" t="n">
        <x:v>2</x:v>
      </x:c>
      <x:c r="E33" s="22" t="str">
        <x:v>大島小松川公園</x:v>
      </x:c>
      <x:c r="F33" s="22" t="str">
        <x:v>経由地</x:v>
      </x:c>
      <x:c r="G33" s="22" t="str">
        <x:v>景観転換・休憩</x:v>
      </x:c>
      <x:c r="H33" s="22" t="n">
        <x:v>20</x:v>
      </x:c>
      <x:c r="I33" s="22" t="str">
        <x:v>水面・風・船を眺めて短く歩く</x:v>
      </x:c>
      <x:c r="J33" s="22" t="str">
        <x:v>専用・公式駐車場へ直接入庫</x:v>
      </x:c>
      <x:c r="K33" s="22" t="str">
        <x:v>昼～夕方</x:v>
      </x:c>
      <x:c r="L33" s="22" t="str">
        <x:v>臨時閉鎖・イベント混雑時</x:v>
      </x:c>
      <x:c r="M33" s="22" t="str">
        <x:v>都市夜景・自然 → その他</x:v>
      </x:c>
      <x:c r="N33" s="22" t="n">
        <x:v>2</x:v>
      </x:c>
      <x:c r="O33" s="22" t="n">
        <x:v>0</x:v>
      </x:c>
      <x:c r="P33" s="22" t="n">
        <x:v>2</x:v>
      </x:c>
      <x:c r="Q33" s="22" t="str">
        <x:v>低</x:v>
      </x:c>
      <x:c r="R33" s="22" t="n">
        <x:v>90</x:v>
      </x:c>
      <x:c r="S33" s="22" t="str">
        <x:v>https://www.tokyo-park.or.jp/park/ojima-komatsugawa/index.html</x:v>
      </x:c>
    </x:row>
    <x:row r="34">
      <x:c r="A34" s="22" t="str">
        <x:v>R048</x:v>
      </x:c>
      <x:c r="B34" s="22" t="str">
        <x:v>東側・確実な休憩ルート</x:v>
      </x:c>
      <x:c r="C34" s="22" t="str">
        <x:v>都市公園・休憩</x:v>
      </x:c>
      <x:c r="D34" s="22" t="n">
        <x:v>3</x:v>
      </x:c>
      <x:c r="E34" s="22" t="str">
        <x:v>道の駅 いちかわ</x:v>
      </x:c>
      <x:c r="F34" s="22" t="str">
        <x:v>最終目的地</x:v>
      </x:c>
      <x:c r="G34" s="22" t="str">
        <x:v>到達・余韻</x:v>
      </x:c>
      <x:c r="H34" s="22" t="n">
        <x:v>35</x:v>
      </x:c>
      <x:c r="I34" s="22" t="str">
        <x:v>景観確認・短時間休憩</x:v>
      </x:c>
      <x:c r="J34" s="22" t="str">
        <x:v>専用・公式駐車場へ直接入庫</x:v>
      </x:c>
      <x:c r="K34" s="22" t="str">
        <x:v>昼～夕方</x:v>
      </x:c>
      <x:c r="L34" s="22" t="str">
        <x:v>22:00に間に合わない時</x:v>
      </x:c>
      <x:c r="M34" s="22" t="str">
        <x:v>最終地点で終了</x:v>
      </x:c>
      <x:c r="N34" s="22" t="n">
        <x:v>1</x:v>
      </x:c>
      <x:c r="O34" s="22" t="n">
        <x:v>1</x:v>
      </x:c>
      <x:c r="P34" s="22" t="n">
        <x:v>2</x:v>
      </x:c>
      <x:c r="Q34" s="22" t="str">
        <x:v>低</x:v>
      </x:c>
      <x:c r="R34" s="22" t="n">
        <x:v>74</x:v>
      </x:c>
      <x:c r="S34" s="22" t="str">
        <x:v>https://www.michinoeki-ichikawa.jp/access/</x:v>
      </x:c>
    </x:row>
    <x:row r="35">
      <x:c r="A35" s="22" t="str">
        <x:v>R049</x:v>
      </x:c>
      <x:c r="B35" s="22" t="str">
        <x:v>羽田河口から川崎港へ</x:v>
      </x:c>
      <x:c r="C35" s="22" t="str">
        <x:v>川崎・工場夜景</x:v>
      </x:c>
      <x:c r="D35" s="22" t="n">
        <x:v>1</x:v>
      </x:c>
      <x:c r="E35" s="22" t="str">
        <x:v>HANEDA INNOVATION CITY 足湯スカイデッキ</x:v>
      </x:c>
      <x:c r="F35" s="22" t="str">
        <x:v>経由地</x:v>
      </x:c>
      <x:c r="G35" s="22" t="str">
        <x:v>導入・気分転換</x:v>
      </x:c>
      <x:c r="H35" s="22" t="n">
        <x:v>25</x:v>
      </x:c>
      <x:c r="I35" s="22" t="str">
        <x:v>足湯・飛行機観察・出発前の身体切替</x:v>
      </x:c>
      <x:c r="J35" s="22" t="str">
        <x:v>専用・公式駐車場へ直接入庫</x:v>
      </x:c>
      <x:c r="K35" s="22" t="str">
        <x:v>夕方～夜</x:v>
      </x:c>
      <x:c r="L35" s="22" t="str">
        <x:v>23:30に間に合わない時</x:v>
      </x:c>
      <x:c r="M35" s="22" t="str">
        <x:v>飛行機・都市夜景 → 飛行機・海・港</x:v>
      </x:c>
      <x:c r="N35" s="22" t="n">
        <x:v>7</x:v>
      </x:c>
      <x:c r="O35" s="22" t="n">
        <x:v>1</x:v>
      </x:c>
      <x:c r="P35" s="22" t="n">
        <x:v>8</x:v>
      </x:c>
      <x:c r="Q35" s="22" t="str">
        <x:v>高</x:v>
      </x:c>
      <x:c r="R35" s="22" t="n">
        <x:v>88</x:v>
      </x:c>
      <x:c r="S35" s="22" t="str">
        <x:v>https://haneda-innovation-city.com/facility/page/2/</x:v>
      </x:c>
    </x:row>
    <x:row r="36">
      <x:c r="A36" s="22" t="str">
        <x:v>R049</x:v>
      </x:c>
      <x:c r="B36" s="22" t="str">
        <x:v>羽田河口から川崎港へ</x:v>
      </x:c>
      <x:c r="C36" s="22" t="str">
        <x:v>川崎・工場夜景</x:v>
      </x:c>
      <x:c r="D36" s="22" t="n">
        <x:v>2</x:v>
      </x:c>
      <x:c r="E36" s="22" t="str">
        <x:v>ソラムナード羽田緑地</x:v>
      </x:c>
      <x:c r="F36" s="22" t="str">
        <x:v>経由地</x:v>
      </x:c>
      <x:c r="G36" s="22" t="str">
        <x:v>景観転換・休憩</x:v>
      </x:c>
      <x:c r="H36" s="22" t="n">
        <x:v>25</x:v>
      </x:c>
      <x:c r="I36" s="22" t="str">
        <x:v>航空機観察・短時間撮影</x:v>
      </x:c>
      <x:c r="J36" s="22" t="str">
        <x:v>車の経由地には不向き。合法駐車から徒歩のみ</x:v>
      </x:c>
      <x:c r="K36" s="22" t="str">
        <x:v>夕方～夜</x:v>
      </x:c>
      <x:c r="L36" s="22" t="str">
        <x:v>満車時／強風・高潮・増水時／工事・閉鎖時</x:v>
      </x:c>
      <x:c r="M36" s="22" t="str">
        <x:v>飛行機・海・港 → 海・港・工場夜景</x:v>
      </x:c>
      <x:c r="N36" s="22" t="n">
        <x:v>3</x:v>
      </x:c>
      <x:c r="O36" s="22" t="n">
        <x:v>0</x:v>
      </x:c>
      <x:c r="P36" s="22" t="n">
        <x:v>3</x:v>
      </x:c>
      <x:c r="Q36" s="22" t="str">
        <x:v>低</x:v>
      </x:c>
      <x:c r="R36" s="22" t="n">
        <x:v>72</x:v>
      </x:c>
      <x:c r="S36" s="22" t="str">
        <x:v>https://www.city.ota.tokyo.jp/seikatsu/sumaimachinami/haneda_airport/hgw/waterside/soramunadohanedaryokuti.html</x:v>
      </x:c>
    </x:row>
    <x:row r="37">
      <x:c r="A37" s="22" t="str">
        <x:v>R049</x:v>
      </x:c>
      <x:c r="B37" s="22" t="str">
        <x:v>羽田河口から川崎港へ</x:v>
      </x:c>
      <x:c r="C37" s="22" t="str">
        <x:v>川崎・工場夜景</x:v>
      </x:c>
      <x:c r="D37" s="22" t="n">
        <x:v>3</x:v>
      </x:c>
      <x:c r="E37" s="22" t="str">
        <x:v>川崎マリエン</x:v>
      </x:c>
      <x:c r="F37" s="22" t="str">
        <x:v>最終目的地</x:v>
      </x:c>
      <x:c r="G37" s="22" t="str">
        <x:v>到達・余韻</x:v>
      </x:c>
      <x:c r="H37" s="22" t="n">
        <x:v>40</x:v>
      </x:c>
      <x:c r="I37" s="22" t="str">
        <x:v>水面・風・船を眺めて短く歩く</x:v>
      </x:c>
      <x:c r="J37" s="22" t="str">
        <x:v>専用・公式駐車場へ直接入庫</x:v>
      </x:c>
      <x:c r="K37" s="22" t="str">
        <x:v>日没後</x:v>
      </x:c>
      <x:c r="L37" s="22" t="str">
        <x:v>工事・閉鎖時</x:v>
      </x:c>
      <x:c r="M37" s="22" t="str">
        <x:v>最終地点で終了</x:v>
      </x:c>
      <x:c r="N37" s="22" t="n">
        <x:v>2</x:v>
      </x:c>
      <x:c r="O37" s="22" t="n">
        <x:v>1</x:v>
      </x:c>
      <x:c r="P37" s="22" t="n">
        <x:v>3</x:v>
      </x:c>
      <x:c r="Q37" s="22" t="str">
        <x:v>低</x:v>
      </x:c>
      <x:c r="R37" s="22" t="n">
        <x:v>89</x:v>
      </x:c>
      <x:c r="S37" s="22" t="str">
        <x:v>https://www.kawasakiport.or.jp/</x:v>
      </x:c>
    </x:row>
    <x:row r="38">
      <x:c r="A38" s="22" t="str">
        <x:v>R050</x:v>
      </x:c>
      <x:c r="B38" s="22" t="str">
        <x:v>鶴見から生田へ丘陵公園線</x:v>
      </x:c>
      <x:c r="C38" s="22" t="str">
        <x:v>森林・高台</x:v>
      </x:c>
      <x:c r="D38" s="22" t="n">
        <x:v>1</x:v>
      </x:c>
      <x:c r="E38" s="22" t="str">
        <x:v>県立三ツ池公園</x:v>
      </x:c>
      <x:c r="F38" s="22" t="str">
        <x:v>経由地</x:v>
      </x:c>
      <x:c r="G38" s="22" t="str">
        <x:v>導入・気分転換</x:v>
      </x:c>
      <x:c r="H38" s="22" t="n">
        <x:v>20</x:v>
      </x:c>
      <x:c r="I38" s="22" t="str">
        <x:v>5～20分の散策・頭のリセット</x:v>
      </x:c>
      <x:c r="J38" s="22" t="str">
        <x:v>小規模。満車なら待たずに省略</x:v>
      </x:c>
      <x:c r="K38" s="22" t="str">
        <x:v>昼～夕方</x:v>
      </x:c>
      <x:c r="L38" s="22" t="str">
        <x:v>満車時／工事・閉鎖時</x:v>
      </x:c>
      <x:c r="M38" s="22" t="str">
        <x:v>自然 → 自然・Story</x:v>
      </x:c>
      <x:c r="N38" s="22" t="n">
        <x:v>2</x:v>
      </x:c>
      <x:c r="O38" s="22" t="n">
        <x:v>0</x:v>
      </x:c>
      <x:c r="P38" s="22" t="n">
        <x:v>2</x:v>
      </x:c>
      <x:c r="Q38" s="22" t="str">
        <x:v>低</x:v>
      </x:c>
      <x:c r="R38" s="22" t="n">
        <x:v>71</x:v>
      </x:c>
      <x:c r="S38" s="22" t="str">
        <x:v>https://iju-sumu.city.yokohama.lg.jp/tips/2255/</x:v>
      </x:c>
    </x:row>
    <x:row r="39">
      <x:c r="A39" s="22" t="str">
        <x:v>R050</x:v>
      </x:c>
      <x:c r="B39" s="22" t="str">
        <x:v>鶴見から生田へ丘陵公園線</x:v>
      </x:c>
      <x:c r="C39" s="22" t="str">
        <x:v>森林・高台</x:v>
      </x:c>
      <x:c r="D39" s="22" t="n">
        <x:v>2</x:v>
      </x:c>
      <x:c r="E39" s="22" t="str">
        <x:v>県立東高根森林公園</x:v>
      </x:c>
      <x:c r="F39" s="22" t="str">
        <x:v>経由地</x:v>
      </x:c>
      <x:c r="G39" s="22" t="str">
        <x:v>景観転換・休憩</x:v>
      </x:c>
      <x:c r="H39" s="22" t="n">
        <x:v>45</x:v>
      </x:c>
      <x:c r="I39" s="22" t="str">
        <x:v>Storyを1つ確認して短く散策</x:v>
      </x:c>
      <x:c r="J39" s="22" t="str">
        <x:v>専用・公式駐車場へ直接入庫</x:v>
      </x:c>
      <x:c r="K39" s="22" t="str">
        <x:v>午前～16時</x:v>
      </x:c>
      <x:c r="L39" s="22" t="str">
        <x:v>19:00に間に合わない時</x:v>
      </x:c>
      <x:c r="M39" s="22" t="str">
        <x:v>自然・Story → 都市夜景・自然</x:v>
      </x:c>
      <x:c r="N39" s="22" t="n">
        <x:v>2</x:v>
      </x:c>
      <x:c r="O39" s="22" t="n">
        <x:v>0</x:v>
      </x:c>
      <x:c r="P39" s="22" t="n">
        <x:v>2</x:v>
      </x:c>
      <x:c r="Q39" s="22" t="str">
        <x:v>低</x:v>
      </x:c>
      <x:c r="R39" s="22" t="n">
        <x:v>78</x:v>
      </x:c>
      <x:c r="S39" s="22" t="str">
        <x:v>https://higashitakane.com/about</x:v>
      </x:c>
    </x:row>
    <x:row r="40">
      <x:c r="A40" s="22" t="str">
        <x:v>R050</x:v>
      </x:c>
      <x:c r="B40" s="22" t="str">
        <x:v>鶴見から生田へ丘陵公園線</x:v>
      </x:c>
      <x:c r="C40" s="22" t="str">
        <x:v>森林・高台</x:v>
      </x:c>
      <x:c r="D40" s="22" t="n">
        <x:v>3</x:v>
      </x:c>
      <x:c r="E40" s="22" t="str">
        <x:v>生田緑地・枡形山展望台</x:v>
      </x:c>
      <x:c r="F40" s="22" t="str">
        <x:v>最終目的地</x:v>
      </x:c>
      <x:c r="G40" s="22" t="str">
        <x:v>到達・余韻</x:v>
      </x:c>
      <x:c r="H40" s="22" t="n">
        <x:v>40</x:v>
      </x:c>
      <x:c r="I40" s="22" t="str">
        <x:v>景観確認・短時間休憩</x:v>
      </x:c>
      <x:c r="J40" s="22" t="str">
        <x:v>専用・公式駐車場へ直接入庫</x:v>
      </x:c>
      <x:c r="K40" s="22" t="str">
        <x:v>昼～夕方</x:v>
      </x:c>
      <x:c r="L40" s="22" t="str">
        <x:v>22:00に間に合わない時</x:v>
      </x:c>
      <x:c r="M40" s="22" t="str">
        <x:v>最終地点で終了</x:v>
      </x:c>
      <x:c r="N40" s="22" t="n">
        <x:v>1</x:v>
      </x:c>
      <x:c r="O40" s="22" t="n">
        <x:v>1</x:v>
      </x:c>
      <x:c r="P40" s="22" t="n">
        <x:v>2</x:v>
      </x:c>
      <x:c r="Q40" s="22" t="str">
        <x:v>低</x:v>
      </x:c>
      <x:c r="R40" s="22" t="n">
        <x:v>82</x:v>
      </x:c>
      <x:c r="S40" s="22" t="str">
        <x:v>https://www.ikutaryokuti.jp/access.html</x:v>
      </x:c>
    </x:row>
    <x:row r="41">
      <x:c r="A41" s="22" t="str">
        <x:v>R055</x:v>
      </x:c>
      <x:c r="B41" s="22" t="str">
        <x:v>鶴見・川崎近距離回復</x:v>
      </x:c>
      <x:c r="C41" s="22" t="str">
        <x:v>河川・多摩川</x:v>
      </x:c>
      <x:c r="D41" s="22" t="n">
        <x:v>1</x:v>
      </x:c>
      <x:c r="E41" s="22" t="str">
        <x:v>県立三ツ池公園</x:v>
      </x:c>
      <x:c r="F41" s="22" t="str">
        <x:v>経由地</x:v>
      </x:c>
      <x:c r="G41" s="22" t="str">
        <x:v>導入・気分転換</x:v>
      </x:c>
      <x:c r="H41" s="22" t="n">
        <x:v>20</x:v>
      </x:c>
      <x:c r="I41" s="22" t="str">
        <x:v>5～20分の散策・頭のリセット</x:v>
      </x:c>
      <x:c r="J41" s="22" t="str">
        <x:v>小規模。満車なら待たずに省略</x:v>
      </x:c>
      <x:c r="K41" s="22" t="str">
        <x:v>昼～夕方</x:v>
      </x:c>
      <x:c r="L41" s="22" t="str">
        <x:v>満車時／工事・閉鎖時</x:v>
      </x:c>
      <x:c r="M41" s="22" t="str">
        <x:v>自然 → 工場夜景・都市夜景</x:v>
      </x:c>
      <x:c r="N41" s="22" t="n">
        <x:v>2</x:v>
      </x:c>
      <x:c r="O41" s="22" t="n">
        <x:v>0</x:v>
      </x:c>
      <x:c r="P41" s="22" t="n">
        <x:v>2</x:v>
      </x:c>
      <x:c r="Q41" s="22" t="str">
        <x:v>低</x:v>
      </x:c>
      <x:c r="R41" s="22" t="n">
        <x:v>69</x:v>
      </x:c>
      <x:c r="S41" s="22" t="str">
        <x:v>https://iju-sumu.city.yokohama.lg.jp/tips/2255/</x:v>
      </x:c>
    </x:row>
    <x:row r="42">
      <x:c r="A42" s="22" t="str">
        <x:v>R055</x:v>
      </x:c>
      <x:c r="B42" s="22" t="str">
        <x:v>鶴見・川崎近距離回復</x:v>
      </x:c>
      <x:c r="C42" s="22" t="str">
        <x:v>河川・多摩川</x:v>
      </x:c>
      <x:c r="D42" s="22" t="n">
        <x:v>2</x:v>
      </x:c>
      <x:c r="E42" s="22" t="str">
        <x:v>富士見公園</x:v>
      </x:c>
      <x:c r="F42" s="22" t="str">
        <x:v>経由地</x:v>
      </x:c>
      <x:c r="G42" s="22" t="str">
        <x:v>景観転換・休憩</x:v>
      </x:c>
      <x:c r="H42" s="22" t="n">
        <x:v>20</x:v>
      </x:c>
      <x:c r="I42" s="22" t="str">
        <x:v>5～20分の散策・頭のリセット</x:v>
      </x:c>
      <x:c r="J42" s="22" t="str">
        <x:v>専用・公式駐車場へ直接入庫</x:v>
      </x:c>
      <x:c r="K42" s="22" t="str">
        <x:v>日没後</x:v>
      </x:c>
      <x:c r="L42" s="22" t="str">
        <x:v>工事・閉鎖時</x:v>
      </x:c>
      <x:c r="M42" s="22" t="str">
        <x:v>工場夜景・都市夜景 → 自然</x:v>
      </x:c>
      <x:c r="N42" s="22" t="n">
        <x:v>2</x:v>
      </x:c>
      <x:c r="O42" s="22" t="n">
        <x:v>0</x:v>
      </x:c>
      <x:c r="P42" s="22" t="n">
        <x:v>2</x:v>
      </x:c>
      <x:c r="Q42" s="22" t="str">
        <x:v>低</x:v>
      </x:c>
      <x:c r="R42" s="22" t="n">
        <x:v>79</x:v>
      </x:c>
      <x:c r="S42" s="22" t="str">
        <x:v>https://www.city.kawasaki.jp/170/cmsfiles/contents/0000187/187611/04.pdf</x:v>
      </x:c>
    </x:row>
    <x:row r="43">
      <x:c r="A43" s="22" t="str">
        <x:v>R055</x:v>
      </x:c>
      <x:c r="B43" s="22" t="str">
        <x:v>鶴見・川崎近距離回復</x:v>
      </x:c>
      <x:c r="C43" s="22" t="str">
        <x:v>河川・多摩川</x:v>
      </x:c>
      <x:c r="D43" s="22" t="n">
        <x:v>3</x:v>
      </x:c>
      <x:c r="E43" s="22" t="str">
        <x:v>御幸公園</x:v>
      </x:c>
      <x:c r="F43" s="22" t="str">
        <x:v>最終目的地</x:v>
      </x:c>
      <x:c r="G43" s="22" t="str">
        <x:v>到達・余韻</x:v>
      </x:c>
      <x:c r="H43" s="22" t="n">
        <x:v>45</x:v>
      </x:c>
      <x:c r="I43" s="22" t="str">
        <x:v>水面・風・船を眺めて短く歩く</x:v>
      </x:c>
      <x:c r="J43" s="22" t="str">
        <x:v>公式駐車場の満空確認後に入庫</x:v>
      </x:c>
      <x:c r="K43" s="22" t="str">
        <x:v>昼～夕方</x:v>
      </x:c>
      <x:c r="L43" s="22" t="str">
        <x:v>強風・高潮・増水時</x:v>
      </x:c>
      <x:c r="M43" s="22" t="str">
        <x:v>最終地点で終了</x:v>
      </x:c>
      <x:c r="N43" s="22" t="n">
        <x:v>0</x:v>
      </x:c>
      <x:c r="O43" s="22" t="n">
        <x:v>1</x:v>
      </x:c>
      <x:c r="P43" s="22" t="n">
        <x:v>1</x:v>
      </x:c>
      <x:c r="Q43" s="22" t="str">
        <x:v>なし</x:v>
      </x:c>
      <x:c r="R43" s="22" t="n">
        <x:v>71</x:v>
      </x:c>
      <x:c r="S43" s="22" t="str">
        <x:v>https://www.city.kawasaki.jp/170/cmsfiles/contents/0000187/187611/04.pdf</x:v>
      </x:c>
    </x:row>
    <x:row r="44">
      <x:c r="A44" s="22" t="str">
        <x:v>R056</x:v>
      </x:c>
      <x:c r="B44" s="22" t="str">
        <x:v>横浜港から丘陵公園へ</x:v>
      </x:c>
      <x:c r="C44" s="22" t="str">
        <x:v>東京港・水辺</x:v>
      </x:c>
      <x:c r="D44" s="22" t="n">
        <x:v>1</x:v>
      </x:c>
      <x:c r="E44" s="22" t="str">
        <x:v>横浜港大さん橋</x:v>
      </x:c>
      <x:c r="F44" s="22" t="str">
        <x:v>経由地</x:v>
      </x:c>
      <x:c r="G44" s="22" t="str">
        <x:v>導入・気分転換</x:v>
      </x:c>
      <x:c r="H44" s="22" t="n">
        <x:v>20</x:v>
      </x:c>
      <x:c r="I44" s="22" t="str">
        <x:v>水面・風・船を眺めて短く歩く</x:v>
      </x:c>
      <x:c r="J44" s="22" t="str">
        <x:v>専用・公式駐車場へ直接入庫</x:v>
      </x:c>
      <x:c r="K44" s="22" t="str">
        <x:v>日没後</x:v>
      </x:c>
      <x:c r="L44" s="22" t="str">
        <x:v>臨時閉鎖・イベント混雑時</x:v>
      </x:c>
      <x:c r="M44" s="22" t="str">
        <x:v>海・港・都市夜景 → 都市夜景・Story</x:v>
      </x:c>
      <x:c r="N44" s="22" t="n">
        <x:v>2</x:v>
      </x:c>
      <x:c r="O44" s="22" t="n">
        <x:v>0</x:v>
      </x:c>
      <x:c r="P44" s="22" t="n">
        <x:v>2</x:v>
      </x:c>
      <x:c r="Q44" s="22" t="str">
        <x:v>低</x:v>
      </x:c>
      <x:c r="R44" s="22" t="n">
        <x:v>84</x:v>
      </x:c>
      <x:c r="S44" s="22" t="str">
        <x:v>https://osanbashi.jp/</x:v>
      </x:c>
    </x:row>
    <x:row r="45">
      <x:c r="A45" s="22" t="str">
        <x:v>R056</x:v>
      </x:c>
      <x:c r="B45" s="22" t="str">
        <x:v>横浜港から丘陵公園へ</x:v>
      </x:c>
      <x:c r="C45" s="22" t="str">
        <x:v>東京港・水辺</x:v>
      </x:c>
      <x:c r="D45" s="22" t="n">
        <x:v>2</x:v>
      </x:c>
      <x:c r="E45" s="22" t="str">
        <x:v>根岸森林公園</x:v>
      </x:c>
      <x:c r="F45" s="22" t="str">
        <x:v>経由地</x:v>
      </x:c>
      <x:c r="G45" s="22" t="str">
        <x:v>景観転換・休憩</x:v>
      </x:c>
      <x:c r="H45" s="22" t="n">
        <x:v>18</x:v>
      </x:c>
      <x:c r="I45" s="22" t="str">
        <x:v>Storyを1つ確認して短く散策</x:v>
      </x:c>
      <x:c r="J45" s="22" t="str">
        <x:v>専用・公式駐車場へ直接入庫</x:v>
      </x:c>
      <x:c r="K45" s="22" t="str">
        <x:v>昼～夕方</x:v>
      </x:c>
      <x:c r="L45" s="22" t="str">
        <x:v>臨時閉鎖・イベント混雑時</x:v>
      </x:c>
      <x:c r="M45" s="22" t="str">
        <x:v>都市夜景・Story → 自然・休息</x:v>
      </x:c>
      <x:c r="N45" s="22" t="n">
        <x:v>2</x:v>
      </x:c>
      <x:c r="O45" s="22" t="n">
        <x:v>0</x:v>
      </x:c>
      <x:c r="P45" s="22" t="n">
        <x:v>2</x:v>
      </x:c>
      <x:c r="Q45" s="22" t="str">
        <x:v>低</x:v>
      </x:c>
      <x:c r="R45" s="22" t="n">
        <x:v>84</x:v>
      </x:c>
      <x:c r="S45" s="22" t="str">
        <x:v>https://www.city.yokohama.lg.jp/kurashi/machizukuri-kankyo/midori-koen/koen/koen/daihyoteki/negishi/kouen010.html</x:v>
      </x:c>
    </x:row>
    <x:row r="46">
      <x:c r="A46" s="22" t="str">
        <x:v>R056</x:v>
      </x:c>
      <x:c r="B46" s="22" t="str">
        <x:v>横浜港から丘陵公園へ</x:v>
      </x:c>
      <x:c r="C46" s="22" t="str">
        <x:v>東京港・水辺</x:v>
      </x:c>
      <x:c r="D46" s="22" t="n">
        <x:v>3</x:v>
      </x:c>
      <x:c r="E46" s="22" t="str">
        <x:v>久良岐公園</x:v>
      </x:c>
      <x:c r="F46" s="22" t="str">
        <x:v>最終目的地</x:v>
      </x:c>
      <x:c r="G46" s="22" t="str">
        <x:v>到達・余韻</x:v>
      </x:c>
      <x:c r="H46" s="22" t="n">
        <x:v>45</x:v>
      </x:c>
      <x:c r="I46" s="22" t="str">
        <x:v>5～20分の散策・頭のリセット</x:v>
      </x:c>
      <x:c r="J46" s="22" t="str">
        <x:v>専用・公式駐車場へ直接入庫</x:v>
      </x:c>
      <x:c r="K46" s="22" t="str">
        <x:v>昼～夕方</x:v>
      </x:c>
      <x:c r="L46" s="22" t="str">
        <x:v>臨時閉鎖・イベント混雑時</x:v>
      </x:c>
      <x:c r="M46" s="22" t="str">
        <x:v>最終地点で終了</x:v>
      </x:c>
      <x:c r="N46" s="22" t="n">
        <x:v>0</x:v>
      </x:c>
      <x:c r="O46" s="22" t="n">
        <x:v>1</x:v>
      </x:c>
      <x:c r="P46" s="22" t="n">
        <x:v>1</x:v>
      </x:c>
      <x:c r="Q46" s="22" t="str">
        <x:v>なし</x:v>
      </x:c>
      <x:c r="R46" s="22" t="n">
        <x:v>76</x:v>
      </x:c>
      <x:c r="S46" s="22" t="str">
        <x:v>https://www.city.yokohama.lg.jp/kurashi/machizukuri-kankyo/midori-koen/koen/koen/daihyoteki/kuraki/kuraki.html</x:v>
      </x:c>
    </x:row>
    <x:row r="47">
      <x:c r="A47" s="22" t="str">
        <x:v>R059</x:v>
      </x:c>
      <x:c r="B47" s="22" t="str">
        <x:v>川崎Storyショート</x:v>
      </x:c>
      <x:c r="C47" s="22" t="str">
        <x:v>森林・高台</x:v>
      </x:c>
      <x:c r="D47" s="22" t="n">
        <x:v>1</x:v>
      </x:c>
      <x:c r="E47" s="22" t="str">
        <x:v>大師公園</x:v>
      </x:c>
      <x:c r="F47" s="22" t="str">
        <x:v>経由地</x:v>
      </x:c>
      <x:c r="G47" s="22" t="str">
        <x:v>導入・気分転換</x:v>
      </x:c>
      <x:c r="H47" s="22" t="n">
        <x:v>20</x:v>
      </x:c>
      <x:c r="I47" s="22" t="str">
        <x:v>Storyを1つ確認して短く散策</x:v>
      </x:c>
      <x:c r="J47" s="22" t="str">
        <x:v>専用・公式駐車場へ直接入庫</x:v>
      </x:c>
      <x:c r="K47" s="22" t="str">
        <x:v>昼～夕方</x:v>
      </x:c>
      <x:c r="L47" s="22" t="str">
        <x:v>臨時閉鎖・イベント混雑時</x:v>
      </x:c>
      <x:c r="M47" s="22" t="str">
        <x:v>自然・Story → 工場夜景・都市夜景</x:v>
      </x:c>
      <x:c r="N47" s="22" t="n">
        <x:v>1</x:v>
      </x:c>
      <x:c r="O47" s="22" t="n">
        <x:v>0</x:v>
      </x:c>
      <x:c r="P47" s="22" t="n">
        <x:v>1</x:v>
      </x:c>
      <x:c r="Q47" s="22" t="str">
        <x:v>なし</x:v>
      </x:c>
      <x:c r="R47" s="22" t="n">
        <x:v>92</x:v>
      </x:c>
      <x:c r="S47" s="22" t="str">
        <x:v>https://www.city.kawasaki.jp/170/cmsfiles/contents/0000187/187611/04.pdf</x:v>
      </x:c>
    </x:row>
    <x:row r="48">
      <x:c r="A48" s="22" t="str">
        <x:v>R059</x:v>
      </x:c>
      <x:c r="B48" s="22" t="str">
        <x:v>川崎Storyショート</x:v>
      </x:c>
      <x:c r="C48" s="22" t="str">
        <x:v>森林・高台</x:v>
      </x:c>
      <x:c r="D48" s="22" t="n">
        <x:v>2</x:v>
      </x:c>
      <x:c r="E48" s="22" t="str">
        <x:v>富士見公園</x:v>
      </x:c>
      <x:c r="F48" s="22" t="str">
        <x:v>経由地</x:v>
      </x:c>
      <x:c r="G48" s="22" t="str">
        <x:v>景観転換・休憩</x:v>
      </x:c>
      <x:c r="H48" s="22" t="n">
        <x:v>20</x:v>
      </x:c>
      <x:c r="I48" s="22" t="str">
        <x:v>5～20分の散策・頭のリセット</x:v>
      </x:c>
      <x:c r="J48" s="22" t="str">
        <x:v>専用・公式駐車場へ直接入庫</x:v>
      </x:c>
      <x:c r="K48" s="22" t="str">
        <x:v>日没後</x:v>
      </x:c>
      <x:c r="L48" s="22" t="str">
        <x:v>工事・閉鎖時</x:v>
      </x:c>
      <x:c r="M48" s="22" t="str">
        <x:v>工場夜景・都市夜景 → 都市夜景・自然</x:v>
      </x:c>
      <x:c r="N48" s="22" t="n">
        <x:v>2</x:v>
      </x:c>
      <x:c r="O48" s="22" t="n">
        <x:v>0</x:v>
      </x:c>
      <x:c r="P48" s="22" t="n">
        <x:v>2</x:v>
      </x:c>
      <x:c r="Q48" s="22" t="str">
        <x:v>低</x:v>
      </x:c>
      <x:c r="R48" s="22" t="n">
        <x:v>79</x:v>
      </x:c>
      <x:c r="S48" s="22" t="str">
        <x:v>https://www.city.kawasaki.jp/170/cmsfiles/contents/0000187/187611/04.pdf</x:v>
      </x:c>
    </x:row>
    <x:row r="49">
      <x:c r="A49" s="22" t="str">
        <x:v>R059</x:v>
      </x:c>
      <x:c r="B49" s="22" t="str">
        <x:v>川崎Storyショート</x:v>
      </x:c>
      <x:c r="C49" s="22" t="str">
        <x:v>森林・高台</x:v>
      </x:c>
      <x:c r="D49" s="22" t="n">
        <x:v>3</x:v>
      </x:c>
      <x:c r="E49" s="22" t="str">
        <x:v>夢見ヶ崎動物公園</x:v>
      </x:c>
      <x:c r="F49" s="22" t="str">
        <x:v>最終目的地</x:v>
      </x:c>
      <x:c r="G49" s="22" t="str">
        <x:v>到達・余韻</x:v>
      </x:c>
      <x:c r="H49" s="22" t="n">
        <x:v>40</x:v>
      </x:c>
      <x:c r="I49" s="22" t="str">
        <x:v>5～20分の散策・頭のリセット</x:v>
      </x:c>
      <x:c r="J49" s="22" t="str">
        <x:v>小規模。満車なら待たずに省略</x:v>
      </x:c>
      <x:c r="K49" s="22" t="str">
        <x:v>日没後</x:v>
      </x:c>
      <x:c r="L49" s="22" t="str">
        <x:v>満車時</x:v>
      </x:c>
      <x:c r="M49" s="22" t="str">
        <x:v>最終地点で終了</x:v>
      </x:c>
      <x:c r="N49" s="22" t="n">
        <x:v>0</x:v>
      </x:c>
      <x:c r="O49" s="22" t="n">
        <x:v>2</x:v>
      </x:c>
      <x:c r="P49" s="22" t="n">
        <x:v>2</x:v>
      </x:c>
      <x:c r="Q49" s="22" t="str">
        <x:v>低</x:v>
      </x:c>
      <x:c r="R49" s="22" t="n">
        <x:v>74</x:v>
      </x:c>
      <x:c r="S49" s="22" t="str">
        <x:v>https://www.city.kawasaki.jp/530/page/0000063423.html</x:v>
      </x:c>
    </x:row>
    <x:row r="50">
      <x:c r="A50" s="22" t="str">
        <x:v>R073</x:v>
      </x:c>
      <x:c r="B50" s="22" t="str">
        <x:v>調布航空ナイト</x:v>
      </x:c>
      <x:c r="C50" s="22" t="str">
        <x:v>羽田・航空</x:v>
      </x:c>
      <x:c r="D50" s="22" t="n">
        <x:v>1</x:v>
      </x:c>
      <x:c r="E50" s="22" t="str">
        <x:v>武蔵野の森公園</x:v>
      </x:c>
      <x:c r="F50" s="22" t="str">
        <x:v>経由地</x:v>
      </x:c>
      <x:c r="G50" s="22" t="str">
        <x:v>導入・気分転換</x:v>
      </x:c>
      <x:c r="H50" s="22" t="n">
        <x:v>25</x:v>
      </x:c>
      <x:c r="I50" s="22" t="str">
        <x:v>航空機観察・短時間撮影</x:v>
      </x:c>
      <x:c r="J50" s="22" t="str">
        <x:v>専用・公式駐車場へ直接入庫</x:v>
      </x:c>
      <x:c r="K50" s="22" t="str">
        <x:v>夕方～夜</x:v>
      </x:c>
      <x:c r="L50" s="22" t="str">
        <x:v>工事・閉鎖時</x:v>
      </x:c>
      <x:c r="M50" s="22" t="str">
        <x:v>飛行機 → 休息</x:v>
      </x:c>
      <x:c r="N50" s="22" t="n">
        <x:v>2</x:v>
      </x:c>
      <x:c r="O50" s="22" t="n">
        <x:v>0</x:v>
      </x:c>
      <x:c r="P50" s="22" t="n">
        <x:v>2</x:v>
      </x:c>
      <x:c r="Q50" s="22" t="str">
        <x:v>低</x:v>
      </x:c>
      <x:c r="R50" s="22" t="n">
        <x:v>90</x:v>
      </x:c>
      <x:c r="S50" s="22" t="str">
        <x:v>https://www.tokyo-park.or.jp/park/musashino-no-mori/index.html</x:v>
      </x:c>
    </x:row>
    <x:row r="51">
      <x:c r="A51" s="22" t="str">
        <x:v>R073</x:v>
      </x:c>
      <x:c r="B51" s="22" t="str">
        <x:v>調布航空ナイト</x:v>
      </x:c>
      <x:c r="C51" s="22" t="str">
        <x:v>羽田・航空</x:v>
      </x:c>
      <x:c r="D51" s="22" t="n">
        <x:v>2</x:v>
      </x:c>
      <x:c r="E51" s="22" t="str">
        <x:v>府中の森公園</x:v>
      </x:c>
      <x:c r="F51" s="22" t="str">
        <x:v>経由地</x:v>
      </x:c>
      <x:c r="G51" s="22" t="str">
        <x:v>景観転換・休憩</x:v>
      </x:c>
      <x:c r="H51" s="22" t="n">
        <x:v>18</x:v>
      </x:c>
      <x:c r="I51" s="22" t="str">
        <x:v>景観確認・短時間休憩</x:v>
      </x:c>
      <x:c r="J51" s="22" t="str">
        <x:v>専用・公式駐車場へ直接入庫</x:v>
      </x:c>
      <x:c r="K51" s="22" t="str">
        <x:v>昼～夕方</x:v>
      </x:c>
      <x:c r="L51" s="22" t="str">
        <x:v>臨時閉鎖・イベント混雑時</x:v>
      </x:c>
      <x:c r="M51" s="22" t="str">
        <x:v>休息 → 都市夜景・自然</x:v>
      </x:c>
      <x:c r="N51" s="22" t="n">
        <x:v>1</x:v>
      </x:c>
      <x:c r="O51" s="22" t="n">
        <x:v>1</x:v>
      </x:c>
      <x:c r="P51" s="22" t="n">
        <x:v>2</x:v>
      </x:c>
      <x:c r="Q51" s="22" t="str">
        <x:v>低</x:v>
      </x:c>
      <x:c r="R51" s="22" t="n">
        <x:v>86</x:v>
      </x:c>
      <x:c r="S51" s="22" t="str">
        <x:v>https://www.tokyo-park.or.jp/park/fuchunomori/index.html</x:v>
      </x:c>
    </x:row>
    <x:row r="52">
      <x:c r="A52" s="22" t="str">
        <x:v>R073</x:v>
      </x:c>
      <x:c r="B52" s="22" t="str">
        <x:v>調布航空ナイト</x:v>
      </x:c>
      <x:c r="C52" s="22" t="str">
        <x:v>羽田・航空</x:v>
      </x:c>
      <x:c r="D52" s="22" t="n">
        <x:v>3</x:v>
      </x:c>
      <x:c r="E52" s="22" t="str">
        <x:v>桜ヶ丘公園 ゆうひの丘</x:v>
      </x:c>
      <x:c r="F52" s="22" t="str">
        <x:v>最終目的地</x:v>
      </x:c>
      <x:c r="G52" s="22" t="str">
        <x:v>到達・余韻</x:v>
      </x:c>
      <x:c r="H52" s="22" t="n">
        <x:v>35</x:v>
      </x:c>
      <x:c r="I52" s="22" t="str">
        <x:v>景観確認・短時間休憩</x:v>
      </x:c>
      <x:c r="J52" s="22" t="str">
        <x:v>専用・公式駐車場へ直接入庫</x:v>
      </x:c>
      <x:c r="K52" s="22" t="str">
        <x:v>日没後</x:v>
      </x:c>
      <x:c r="L52" s="22" t="str">
        <x:v>20:00に間に合わない時／工事・閉鎖時</x:v>
      </x:c>
      <x:c r="M52" s="22" t="str">
        <x:v>最終地点で終了</x:v>
      </x:c>
      <x:c r="N52" s="22" t="n">
        <x:v>0</x:v>
      </x:c>
      <x:c r="O52" s="22" t="n">
        <x:v>1</x:v>
      </x:c>
      <x:c r="P52" s="22" t="n">
        <x:v>1</x:v>
      </x:c>
      <x:c r="Q52" s="22" t="str">
        <x:v>なし</x:v>
      </x:c>
      <x:c r="R52" s="22" t="n">
        <x:v>70</x:v>
      </x:c>
      <x:c r="S52" s="22" t="str">
        <x:v>https://www.tokyo-park.or.jp/park/sakuragaoka/index.html</x:v>
      </x:c>
    </x:row>
    <x:row r="53">
      <x:c r="A53" s="22" t="str">
        <x:v>R080</x:v>
      </x:c>
      <x:c r="B53" s="22" t="str">
        <x:v>深大寺から調布飛行場へ</x:v>
      </x:c>
      <x:c r="C53" s="22" t="str">
        <x:v>羽田・航空</x:v>
      </x:c>
      <x:c r="D53" s="22" t="n">
        <x:v>1</x:v>
      </x:c>
      <x:c r="E53" s="22" t="str">
        <x:v>神代植物公園・深大寺</x:v>
      </x:c>
      <x:c r="F53" s="22" t="str">
        <x:v>経由地</x:v>
      </x:c>
      <x:c r="G53" s="22" t="str">
        <x:v>導入・気分転換</x:v>
      </x:c>
      <x:c r="H53" s="22" t="n">
        <x:v>45</x:v>
      </x:c>
      <x:c r="I53" s="22" t="str">
        <x:v>Storyを1つ確認して短く散策</x:v>
      </x:c>
      <x:c r="J53" s="22" t="str">
        <x:v>専用・公式駐車場へ直接入庫</x:v>
      </x:c>
      <x:c r="K53" s="22" t="str">
        <x:v>午前～16時</x:v>
      </x:c>
      <x:c r="L53" s="22" t="str">
        <x:v>臨時閉鎖・イベント混雑時</x:v>
      </x:c>
      <x:c r="M53" s="22" t="str">
        <x:v>自然・Story → 飛行機</x:v>
      </x:c>
      <x:c r="N53" s="22" t="n">
        <x:v>1</x:v>
      </x:c>
      <x:c r="O53" s="22" t="n">
        <x:v>0</x:v>
      </x:c>
      <x:c r="P53" s="22" t="n">
        <x:v>1</x:v>
      </x:c>
      <x:c r="Q53" s="22" t="str">
        <x:v>なし</x:v>
      </x:c>
      <x:c r="R53" s="22" t="n">
        <x:v>91</x:v>
      </x:c>
      <x:c r="S53" s="22" t="str">
        <x:v>https://www.tokyo-park.or.jp/park/jindai/index.html</x:v>
      </x:c>
    </x:row>
    <x:row r="54">
      <x:c r="A54" s="22" t="str">
        <x:v>R080</x:v>
      </x:c>
      <x:c r="B54" s="22" t="str">
        <x:v>深大寺から調布飛行場へ</x:v>
      </x:c>
      <x:c r="C54" s="22" t="str">
        <x:v>羽田・航空</x:v>
      </x:c>
      <x:c r="D54" s="22" t="n">
        <x:v>2</x:v>
      </x:c>
      <x:c r="E54" s="22" t="str">
        <x:v>武蔵野の森公園</x:v>
      </x:c>
      <x:c r="F54" s="22" t="str">
        <x:v>経由地</x:v>
      </x:c>
      <x:c r="G54" s="22" t="str">
        <x:v>景観転換・休憩</x:v>
      </x:c>
      <x:c r="H54" s="22" t="n">
        <x:v>25</x:v>
      </x:c>
      <x:c r="I54" s="22" t="str">
        <x:v>航空機観察・短時間撮影</x:v>
      </x:c>
      <x:c r="J54" s="22" t="str">
        <x:v>専用・公式駐車場へ直接入庫</x:v>
      </x:c>
      <x:c r="K54" s="22" t="str">
        <x:v>夕方～夜</x:v>
      </x:c>
      <x:c r="L54" s="22" t="str">
        <x:v>工事・閉鎖時</x:v>
      </x:c>
      <x:c r="M54" s="22" t="str">
        <x:v>飛行機 → 休息</x:v>
      </x:c>
      <x:c r="N54" s="22" t="n">
        <x:v>2</x:v>
      </x:c>
      <x:c r="O54" s="22" t="n">
        <x:v>0</x:v>
      </x:c>
      <x:c r="P54" s="22" t="n">
        <x:v>2</x:v>
      </x:c>
      <x:c r="Q54" s="22" t="str">
        <x:v>低</x:v>
      </x:c>
      <x:c r="R54" s="22" t="n">
        <x:v>90</x:v>
      </x:c>
      <x:c r="S54" s="22" t="str">
        <x:v>https://www.tokyo-park.or.jp/park/musashino-no-mori/index.html</x:v>
      </x:c>
    </x:row>
    <x:row r="55">
      <x:c r="A55" s="22" t="str">
        <x:v>R080</x:v>
      </x:c>
      <x:c r="B55" s="22" t="str">
        <x:v>深大寺から調布飛行場へ</x:v>
      </x:c>
      <x:c r="C55" s="22" t="str">
        <x:v>羽田・航空</x:v>
      </x:c>
      <x:c r="D55" s="22" t="n">
        <x:v>3</x:v>
      </x:c>
      <x:c r="E55" s="22" t="str">
        <x:v>府中の森公園</x:v>
      </x:c>
      <x:c r="F55" s="22" t="str">
        <x:v>最終目的地</x:v>
      </x:c>
      <x:c r="G55" s="22" t="str">
        <x:v>到達・余韻</x:v>
      </x:c>
      <x:c r="H55" s="22" t="n">
        <x:v>35</x:v>
      </x:c>
      <x:c r="I55" s="22" t="str">
        <x:v>景観確認・短時間休憩</x:v>
      </x:c>
      <x:c r="J55" s="22" t="str">
        <x:v>専用・公式駐車場へ直接入庫</x:v>
      </x:c>
      <x:c r="K55" s="22" t="str">
        <x:v>昼～夕方</x:v>
      </x:c>
      <x:c r="L55" s="22" t="str">
        <x:v>臨時閉鎖・イベント混雑時</x:v>
      </x:c>
      <x:c r="M55" s="22" t="str">
        <x:v>最終地点で終了</x:v>
      </x:c>
      <x:c r="N55" s="22" t="n">
        <x:v>1</x:v>
      </x:c>
      <x:c r="O55" s="22" t="n">
        <x:v>1</x:v>
      </x:c>
      <x:c r="P55" s="22" t="n">
        <x:v>2</x:v>
      </x:c>
      <x:c r="Q55" s="22" t="str">
        <x:v>低</x:v>
      </x:c>
      <x:c r="R55" s="22" t="n">
        <x:v>83</x:v>
      </x:c>
      <x:c r="S55" s="22" t="str">
        <x:v>https://www.tokyo-park.or.jp/park/fuchunomori/index.html</x:v>
      </x:c>
    </x:row>
    <x:row r="56">
      <x:c r="A56" s="22" t="str">
        <x:v>R089</x:v>
      </x:c>
      <x:c r="B56" s="22" t="str">
        <x:v>根岸湾工業景観</x:v>
      </x:c>
      <x:c r="C56" s="22" t="str">
        <x:v>川崎・工場夜景</x:v>
      </x:c>
      <x:c r="D56" s="22" t="n">
        <x:v>1</x:v>
      </x:c>
      <x:c r="E56" s="22" t="str">
        <x:v>磯子海づり施設</x:v>
      </x:c>
      <x:c r="F56" s="22" t="str">
        <x:v>経由地</x:v>
      </x:c>
      <x:c r="G56" s="22" t="str">
        <x:v>導入・気分転換</x:v>
      </x:c>
      <x:c r="H56" s="22" t="n">
        <x:v>18</x:v>
      </x:c>
      <x:c r="I56" s="22" t="str">
        <x:v>景観確認・短時間休憩</x:v>
      </x:c>
      <x:c r="J56" s="22" t="str">
        <x:v>専用・公式駐車場へ直接入庫</x:v>
      </x:c>
      <x:c r="K56" s="22" t="str">
        <x:v>日没後</x:v>
      </x:c>
      <x:c r="L56" s="22" t="str">
        <x:v>19:00に間に合わない時</x:v>
      </x:c>
      <x:c r="M56" s="22" t="str">
        <x:v>海・港・工場夜景 → 海・港・工場夜景</x:v>
      </x:c>
      <x:c r="N56" s="22" t="n">
        <x:v>1</x:v>
      </x:c>
      <x:c r="O56" s="22" t="n">
        <x:v>0</x:v>
      </x:c>
      <x:c r="P56" s="22" t="n">
        <x:v>1</x:v>
      </x:c>
      <x:c r="Q56" s="22" t="str">
        <x:v>なし</x:v>
      </x:c>
      <x:c r="R56" s="22" t="n">
        <x:v>81</x:v>
      </x:c>
      <x:c r="S56" s="22" t="str">
        <x:v>https://yokohama-fishingpiers.jp/isogo</x:v>
      </x:c>
    </x:row>
    <x:row r="57">
      <x:c r="A57" s="22" t="str">
        <x:v>R089</x:v>
      </x:c>
      <x:c r="B57" s="22" t="str">
        <x:v>根岸湾工業景観</x:v>
      </x:c>
      <x:c r="C57" s="22" t="str">
        <x:v>川崎・工場夜景</x:v>
      </x:c>
      <x:c r="D57" s="22" t="n">
        <x:v>2</x:v>
      </x:c>
      <x:c r="E57" s="22" t="str">
        <x:v>本牧山頂公園</x:v>
      </x:c>
      <x:c r="F57" s="22" t="str">
        <x:v>経由地</x:v>
      </x:c>
      <x:c r="G57" s="22" t="str">
        <x:v>景観転換・休憩</x:v>
      </x:c>
      <x:c r="H57" s="22" t="n">
        <x:v>25</x:v>
      </x:c>
      <x:c r="I57" s="22" t="str">
        <x:v>水面・風・船を眺めて短く歩く</x:v>
      </x:c>
      <x:c r="J57" s="22" t="str">
        <x:v>専用・公式駐車場へ直接入庫</x:v>
      </x:c>
      <x:c r="K57" s="22" t="str">
        <x:v>夕方～夜</x:v>
      </x:c>
      <x:c r="L57" s="22" t="str">
        <x:v>臨時閉鎖・イベント混雑時</x:v>
      </x:c>
      <x:c r="M57" s="22" t="str">
        <x:v>海・港・工場夜景 → 海・港・都市夜景</x:v>
      </x:c>
      <x:c r="N57" s="22" t="n">
        <x:v>3</x:v>
      </x:c>
      <x:c r="O57" s="22" t="n">
        <x:v>0</x:v>
      </x:c>
      <x:c r="P57" s="22" t="n">
        <x:v>3</x:v>
      </x:c>
      <x:c r="Q57" s="22" t="str">
        <x:v>低</x:v>
      </x:c>
      <x:c r="R57" s="22" t="n">
        <x:v>85</x:v>
      </x:c>
      <x:c r="S57" s="22" t="str">
        <x:v>https://www.city.yokohama.lg.jp/kenko-iryo-fukushi/fukushi-kaigo/fuku-machi/barrierfree/shisetsu/shisetsu/06092.html</x:v>
      </x:c>
    </x:row>
    <x:row r="58">
      <x:c r="A58" s="22" t="str">
        <x:v>R089</x:v>
      </x:c>
      <x:c r="B58" s="22" t="str">
        <x:v>根岸湾工業景観</x:v>
      </x:c>
      <x:c r="C58" s="22" t="str">
        <x:v>川崎・工場夜景</x:v>
      </x:c>
      <x:c r="D58" s="22" t="n">
        <x:v>3</x:v>
      </x:c>
      <x:c r="E58" s="22" t="str">
        <x:v>横浜港シンボルタワー</x:v>
      </x:c>
      <x:c r="F58" s="22" t="str">
        <x:v>最終目的地</x:v>
      </x:c>
      <x:c r="G58" s="22" t="str">
        <x:v>到達・余韻</x:v>
      </x:c>
      <x:c r="H58" s="22" t="n">
        <x:v>40</x:v>
      </x:c>
      <x:c r="I58" s="22" t="str">
        <x:v>水面・風・船を眺めて短く歩く</x:v>
      </x:c>
      <x:c r="J58" s="22" t="str">
        <x:v>専用・公式駐車場へ直接入庫</x:v>
      </x:c>
      <x:c r="K58" s="22" t="str">
        <x:v>夕方～夜</x:v>
      </x:c>
      <x:c r="L58" s="22" t="str">
        <x:v>20:00に間に合わない時／工事・閉鎖時</x:v>
      </x:c>
      <x:c r="M58" s="22" t="str">
        <x:v>最終地点で終了</x:v>
      </x:c>
      <x:c r="N58" s="22" t="n">
        <x:v>0</x:v>
      </x:c>
      <x:c r="O58" s="22" t="n">
        <x:v>2</x:v>
      </x:c>
      <x:c r="P58" s="22" t="n">
        <x:v>2</x:v>
      </x:c>
      <x:c r="Q58" s="22" t="str">
        <x:v>低</x:v>
      </x:c>
      <x:c r="R58" s="22" t="n">
        <x:v>78</x:v>
      </x:c>
      <x:c r="S58" s="22" t="str">
        <x:v>https://y-stw.com/</x:v>
      </x:c>
    </x:row>
    <x:row r="59">
      <x:c r="A59" s="22" t="str">
        <x:v>R093</x:v>
      </x:c>
      <x:c r="B59" s="22" t="str">
        <x:v>東京北東24時間公園線</x:v>
      </x:c>
      <x:c r="C59" s="22" t="str">
        <x:v>Story・文化</x:v>
      </x:c>
      <x:c r="D59" s="22" t="n">
        <x:v>1</x:v>
      </x:c>
      <x:c r="E59" s="22" t="str">
        <x:v>城北中央公園</x:v>
      </x:c>
      <x:c r="F59" s="22" t="str">
        <x:v>経由地</x:v>
      </x:c>
      <x:c r="G59" s="22" t="str">
        <x:v>導入・気分転換</x:v>
      </x:c>
      <x:c r="H59" s="22" t="n">
        <x:v>20</x:v>
      </x:c>
      <x:c r="I59" s="22" t="str">
        <x:v>Storyを1つ確認して短く散策</x:v>
      </x:c>
      <x:c r="J59" s="22" t="str">
        <x:v>小規模。満車なら待たずに省略</x:v>
      </x:c>
      <x:c r="K59" s="22" t="str">
        <x:v>昼～夕方</x:v>
      </x:c>
      <x:c r="L59" s="22" t="str">
        <x:v>満車時</x:v>
      </x:c>
      <x:c r="M59" s="22" t="str">
        <x:v>自然・Story → 都市夜景・自然</x:v>
      </x:c>
      <x:c r="N59" s="22" t="n">
        <x:v>1</x:v>
      </x:c>
      <x:c r="O59" s="22" t="n">
        <x:v>0</x:v>
      </x:c>
      <x:c r="P59" s="22" t="n">
        <x:v>1</x:v>
      </x:c>
      <x:c r="Q59" s="22" t="str">
        <x:v>なし</x:v>
      </x:c>
      <x:c r="R59" s="22" t="n">
        <x:v>77</x:v>
      </x:c>
      <x:c r="S59" s="22" t="str">
        <x:v>https://www.tokyo-park.or.jp/park/johoku-chuo/index.html</x:v>
      </x:c>
    </x:row>
    <x:row r="60">
      <x:c r="A60" s="22" t="str">
        <x:v>R093</x:v>
      </x:c>
      <x:c r="B60" s="22" t="str">
        <x:v>東京北東24時間公園線</x:v>
      </x:c>
      <x:c r="C60" s="22" t="str">
        <x:v>Story・文化</x:v>
      </x:c>
      <x:c r="D60" s="22" t="n">
        <x:v>2</x:v>
      </x:c>
      <x:c r="E60" s="22" t="str">
        <x:v>舎人公園</x:v>
      </x:c>
      <x:c r="F60" s="22" t="str">
        <x:v>経由地</x:v>
      </x:c>
      <x:c r="G60" s="22" t="str">
        <x:v>景観転換・休憩</x:v>
      </x:c>
      <x:c r="H60" s="22" t="n">
        <x:v>18</x:v>
      </x:c>
      <x:c r="I60" s="22" t="str">
        <x:v>景観確認・短時間休憩</x:v>
      </x:c>
      <x:c r="J60" s="22" t="str">
        <x:v>小規模。満車なら待たずに省略</x:v>
      </x:c>
      <x:c r="K60" s="22" t="str">
        <x:v>昼～夕方</x:v>
      </x:c>
      <x:c r="L60" s="22" t="str">
        <x:v>満車時</x:v>
      </x:c>
      <x:c r="M60" s="22" t="str">
        <x:v>都市夜景・自然 → 自然</x:v>
      </x:c>
      <x:c r="N60" s="22" t="n">
        <x:v>1</x:v>
      </x:c>
      <x:c r="O60" s="22" t="n">
        <x:v>0</x:v>
      </x:c>
      <x:c r="P60" s="22" t="n">
        <x:v>1</x:v>
      </x:c>
      <x:c r="Q60" s="22" t="str">
        <x:v>なし</x:v>
      </x:c>
      <x:c r="R60" s="22" t="n">
        <x:v>73</x:v>
      </x:c>
      <x:c r="S60" s="22" t="str">
        <x:v>https://www.tokyo-park.or.jp/park/toneri/index.html</x:v>
      </x:c>
    </x:row>
    <x:row r="61">
      <x:c r="A61" s="22" t="str">
        <x:v>R093</x:v>
      </x:c>
      <x:c r="B61" s="22" t="str">
        <x:v>東京北東24時間公園線</x:v>
      </x:c>
      <x:c r="C61" s="22" t="str">
        <x:v>Story・文化</x:v>
      </x:c>
      <x:c r="D61" s="22" t="n">
        <x:v>3</x:v>
      </x:c>
      <x:c r="E61" s="22" t="str">
        <x:v>東綾瀬公園</x:v>
      </x:c>
      <x:c r="F61" s="22" t="str">
        <x:v>最終目的地</x:v>
      </x:c>
      <x:c r="G61" s="22" t="str">
        <x:v>到達・余韻</x:v>
      </x:c>
      <x:c r="H61" s="22" t="n">
        <x:v>45</x:v>
      </x:c>
      <x:c r="I61" s="22" t="str">
        <x:v>5～20分の散策・頭のリセット</x:v>
      </x:c>
      <x:c r="J61" s="22" t="str">
        <x:v>専用・公式駐車場へ直接入庫</x:v>
      </x:c>
      <x:c r="K61" s="22" t="str">
        <x:v>昼～夕方</x:v>
      </x:c>
      <x:c r="L61" s="22" t="str">
        <x:v>臨時閉鎖・イベント混雑時</x:v>
      </x:c>
      <x:c r="M61" s="22" t="str">
        <x:v>最終地点で終了</x:v>
      </x:c>
      <x:c r="N61" s="22" t="n">
        <x:v>0</x:v>
      </x:c>
      <x:c r="O61" s="22" t="n">
        <x:v>1</x:v>
      </x:c>
      <x:c r="P61" s="22" t="n">
        <x:v>1</x:v>
      </x:c>
      <x:c r="Q61" s="22" t="str">
        <x:v>なし</x:v>
      </x:c>
      <x:c r="R61" s="22" t="n">
        <x:v>85</x:v>
      </x:c>
      <x:c r="S61" s="22" t="str">
        <x:v>https://www.tokyo-park.or.jp/park/higashi-ayase/index.html</x:v>
      </x:c>
    </x:row>
    <x:row r="62">
      <x:c r="A62" s="22" t="str">
        <x:v>R097</x:v>
      </x:c>
      <x:c r="B62" s="22" t="str">
        <x:v>浦安ベイ・24時間海辺線</x:v>
      </x:c>
      <x:c r="C62" s="22" t="str">
        <x:v>東京港・水辺</x:v>
      </x:c>
      <x:c r="D62" s="22" t="n">
        <x:v>1</x:v>
      </x:c>
      <x:c r="E62" s="22" t="str">
        <x:v>高洲海浜公園</x:v>
      </x:c>
      <x:c r="F62" s="22" t="str">
        <x:v>経由地</x:v>
      </x:c>
      <x:c r="G62" s="22" t="str">
        <x:v>導入・気分転換</x:v>
      </x:c>
      <x:c r="H62" s="22" t="n">
        <x:v>25</x:v>
      </x:c>
      <x:c r="I62" s="22" t="str">
        <x:v>水面・風・船を眺めて短く歩く</x:v>
      </x:c>
      <x:c r="J62" s="22" t="str">
        <x:v>専用・公式駐車場へ直接入庫</x:v>
      </x:c>
      <x:c r="K62" s="22" t="str">
        <x:v>夕方～夜</x:v>
      </x:c>
      <x:c r="L62" s="22" t="str">
        <x:v>強風・高潮・増水時</x:v>
      </x:c>
      <x:c r="M62" s="22" t="str">
        <x:v>海・港・都市夜景 → 海・港・自然</x:v>
      </x:c>
      <x:c r="N62" s="22" t="n">
        <x:v>2</x:v>
      </x:c>
      <x:c r="O62" s="22" t="n">
        <x:v>0</x:v>
      </x:c>
      <x:c r="P62" s="22" t="n">
        <x:v>2</x:v>
      </x:c>
      <x:c r="Q62" s="22" t="str">
        <x:v>低</x:v>
      </x:c>
      <x:c r="R62" s="22" t="n">
        <x:v>91</x:v>
      </x:c>
      <x:c r="S62" s="22" t="str">
        <x:v>https://www.city.urayasu.lg.jp/shisetsu/kouen/1005634.html</x:v>
      </x:c>
    </x:row>
    <x:row r="63">
      <x:c r="A63" s="22" t="str">
        <x:v>R097</x:v>
      </x:c>
      <x:c r="B63" s="22" t="str">
        <x:v>浦安ベイ・24時間海辺線</x:v>
      </x:c>
      <x:c r="C63" s="22" t="str">
        <x:v>東京港・水辺</x:v>
      </x:c>
      <x:c r="D63" s="22" t="n">
        <x:v>2</x:v>
      </x:c>
      <x:c r="E63" s="22" t="str">
        <x:v>浦安市総合公園</x:v>
      </x:c>
      <x:c r="F63" s="22" t="str">
        <x:v>経由地</x:v>
      </x:c>
      <x:c r="G63" s="22" t="str">
        <x:v>景観転換・休憩</x:v>
      </x:c>
      <x:c r="H63" s="22" t="n">
        <x:v>20</x:v>
      </x:c>
      <x:c r="I63" s="22" t="str">
        <x:v>水面・風・船を眺めて短く歩く</x:v>
      </x:c>
      <x:c r="J63" s="22" t="str">
        <x:v>専用・公式駐車場へ直接入庫</x:v>
      </x:c>
      <x:c r="K63" s="22" t="str">
        <x:v>夕方～夜</x:v>
      </x:c>
      <x:c r="L63" s="22" t="str">
        <x:v>臨時閉鎖・イベント混雑時</x:v>
      </x:c>
      <x:c r="M63" s="22" t="str">
        <x:v>海・港・自然 → 海・港・自然</x:v>
      </x:c>
      <x:c r="N63" s="22" t="n">
        <x:v>1</x:v>
      </x:c>
      <x:c r="O63" s="22" t="n">
        <x:v>0</x:v>
      </x:c>
      <x:c r="P63" s="22" t="n">
        <x:v>1</x:v>
      </x:c>
      <x:c r="Q63" s="22" t="str">
        <x:v>なし</x:v>
      </x:c>
      <x:c r="R63" s="22" t="n">
        <x:v>87</x:v>
      </x:c>
      <x:c r="S63" s="22" t="str">
        <x:v>https://www.city.urayasu.lg.jp/shisetsu/kouen/1005625.html</x:v>
      </x:c>
    </x:row>
    <x:row r="64">
      <x:c r="A64" s="22" t="str">
        <x:v>R097</x:v>
      </x:c>
      <x:c r="B64" s="22" t="str">
        <x:v>浦安ベイ・24時間海辺線</x:v>
      </x:c>
      <x:c r="C64" s="22" t="str">
        <x:v>東京港・水辺</x:v>
      </x:c>
      <x:c r="D64" s="22" t="n">
        <x:v>3</x:v>
      </x:c>
      <x:c r="E64" s="22" t="str">
        <x:v>葛西臨海公園</x:v>
      </x:c>
      <x:c r="F64" s="22" t="str">
        <x:v>経由地</x:v>
      </x:c>
      <x:c r="G64" s="22" t="str">
        <x:v>景観転換・休憩</x:v>
      </x:c>
      <x:c r="H64" s="22" t="n">
        <x:v>20</x:v>
      </x:c>
      <x:c r="I64" s="22" t="str">
        <x:v>水面・風・船を眺めて短く歩く</x:v>
      </x:c>
      <x:c r="J64" s="22" t="str">
        <x:v>専用・公式駐車場へ直接入庫</x:v>
      </x:c>
      <x:c r="K64" s="22" t="str">
        <x:v>夕方～夜</x:v>
      </x:c>
      <x:c r="L64" s="22" t="str">
        <x:v>臨時閉鎖・イベント混雑時</x:v>
      </x:c>
      <x:c r="M64" s="22" t="str">
        <x:v>海・港・自然 → 海・港・都市夜景</x:v>
      </x:c>
      <x:c r="N64" s="22" t="n">
        <x:v>2</x:v>
      </x:c>
      <x:c r="O64" s="22" t="n">
        <x:v>0</x:v>
      </x:c>
      <x:c r="P64" s="22" t="n">
        <x:v>2</x:v>
      </x:c>
      <x:c r="Q64" s="22" t="str">
        <x:v>低</x:v>
      </x:c>
      <x:c r="R64" s="22" t="n">
        <x:v>87</x:v>
      </x:c>
      <x:c r="S64" s="22" t="str">
        <x:v>https://www.tokyo-park.or.jp/park/kasairinkai/index.html</x:v>
      </x:c>
    </x:row>
    <x:row r="65">
      <x:c r="A65" s="22" t="str">
        <x:v>R097</x:v>
      </x:c>
      <x:c r="B65" s="22" t="str">
        <x:v>浦安ベイ・24時間海辺線</x:v>
      </x:c>
      <x:c r="C65" s="22" t="str">
        <x:v>東京港・水辺</x:v>
      </x:c>
      <x:c r="D65" s="22" t="n">
        <x:v>4</x:v>
      </x:c>
      <x:c r="E65" s="22" t="str">
        <x:v>潮風公園</x:v>
      </x:c>
      <x:c r="F65" s="22" t="str">
        <x:v>最終目的地</x:v>
      </x:c>
      <x:c r="G65" s="22" t="str">
        <x:v>到達・余韻</x:v>
      </x:c>
      <x:c r="H65" s="22" t="n">
        <x:v>45</x:v>
      </x:c>
      <x:c r="I65" s="22" t="str">
        <x:v>水面・風・船を眺めて短く歩く</x:v>
      </x:c>
      <x:c r="J65" s="22" t="str">
        <x:v>専用・公式駐車場へ直接入庫</x:v>
      </x:c>
      <x:c r="K65" s="22" t="str">
        <x:v>日没後</x:v>
      </x:c>
      <x:c r="L65" s="22" t="str">
        <x:v>工事・閉鎖時</x:v>
      </x:c>
      <x:c r="M65" s="22" t="str">
        <x:v>最終地点で終了</x:v>
      </x:c>
      <x:c r="N65" s="22" t="n">
        <x:v>1</x:v>
      </x:c>
      <x:c r="O65" s="22" t="n">
        <x:v>1</x:v>
      </x:c>
      <x:c r="P65" s="22" t="n">
        <x:v>2</x:v>
      </x:c>
      <x:c r="Q65" s="22" t="str">
        <x:v>低</x:v>
      </x:c>
      <x:c r="R65" s="22" t="n">
        <x:v>88</x:v>
      </x:c>
      <x:c r="S65" s="22" t="str">
        <x:v>https://www.tokyo-park.or.jp/park/shiokaze/index.html</x:v>
      </x:c>
    </x:row>
    <x:row r="66">
      <x:c r="A66" s="22" t="str">
        <x:v>R113</x:v>
      </x:c>
      <x:c r="B66" s="22" t="str">
        <x:v>川崎丘陵・古代と現代</x:v>
      </x:c>
      <x:c r="C66" s="22" t="str">
        <x:v>森林・高台</x:v>
      </x:c>
      <x:c r="D66" s="22" t="n">
        <x:v>1</x:v>
      </x:c>
      <x:c r="E66" s="22" t="str">
        <x:v>県立東高根森林公園</x:v>
      </x:c>
      <x:c r="F66" s="22" t="str">
        <x:v>経由地</x:v>
      </x:c>
      <x:c r="G66" s="22" t="str">
        <x:v>導入・気分転換</x:v>
      </x:c>
      <x:c r="H66" s="22" t="n">
        <x:v>45</x:v>
      </x:c>
      <x:c r="I66" s="22" t="str">
        <x:v>Storyを1つ確認して短く散策</x:v>
      </x:c>
      <x:c r="J66" s="22" t="str">
        <x:v>専用・公式駐車場へ直接入庫</x:v>
      </x:c>
      <x:c r="K66" s="22" t="str">
        <x:v>午前～16時</x:v>
      </x:c>
      <x:c r="L66" s="22" t="str">
        <x:v>19:00に間に合わない時</x:v>
      </x:c>
      <x:c r="M66" s="22" t="str">
        <x:v>自然・Story → 都市夜景・自然</x:v>
      </x:c>
      <x:c r="N66" s="22" t="n">
        <x:v>2</x:v>
      </x:c>
      <x:c r="O66" s="22" t="n">
        <x:v>0</x:v>
      </x:c>
      <x:c r="P66" s="22" t="n">
        <x:v>2</x:v>
      </x:c>
      <x:c r="Q66" s="22" t="str">
        <x:v>低</x:v>
      </x:c>
      <x:c r="R66" s="22" t="n">
        <x:v>74</x:v>
      </x:c>
      <x:c r="S66" s="22" t="str">
        <x:v>https://higashitakane.com/about</x:v>
      </x:c>
    </x:row>
    <x:row r="67">
      <x:c r="A67" s="22" t="str">
        <x:v>R113</x:v>
      </x:c>
      <x:c r="B67" s="22" t="str">
        <x:v>川崎丘陵・古代と現代</x:v>
      </x:c>
      <x:c r="C67" s="22" t="str">
        <x:v>森林・高台</x:v>
      </x:c>
      <x:c r="D67" s="22" t="n">
        <x:v>2</x:v>
      </x:c>
      <x:c r="E67" s="22" t="str">
        <x:v>生田緑地・枡形山展望台</x:v>
      </x:c>
      <x:c r="F67" s="22" t="str">
        <x:v>経由地</x:v>
      </x:c>
      <x:c r="G67" s="22" t="str">
        <x:v>景観転換・休憩</x:v>
      </x:c>
      <x:c r="H67" s="22" t="n">
        <x:v>25</x:v>
      </x:c>
      <x:c r="I67" s="22" t="str">
        <x:v>景観確認・短時間休憩</x:v>
      </x:c>
      <x:c r="J67" s="22" t="str">
        <x:v>専用・公式駐車場へ直接入庫</x:v>
      </x:c>
      <x:c r="K67" s="22" t="str">
        <x:v>昼～夕方</x:v>
      </x:c>
      <x:c r="L67" s="22" t="str">
        <x:v>22:00に間に合わない時</x:v>
      </x:c>
      <x:c r="M67" s="22" t="str">
        <x:v>都市夜景・自然 → 都市夜景・自然</x:v>
      </x:c>
      <x:c r="N67" s="22" t="n">
        <x:v>1</x:v>
      </x:c>
      <x:c r="O67" s="22" t="n">
        <x:v>1</x:v>
      </x:c>
      <x:c r="P67" s="22" t="n">
        <x:v>2</x:v>
      </x:c>
      <x:c r="Q67" s="22" t="str">
        <x:v>低</x:v>
      </x:c>
      <x:c r="R67" s="22" t="n">
        <x:v>81</x:v>
      </x:c>
      <x:c r="S67" s="22" t="str">
        <x:v>https://www.ikutaryokuti.jp/access.html</x:v>
      </x:c>
    </x:row>
    <x:row r="68">
      <x:c r="A68" s="22" t="str">
        <x:v>R113</x:v>
      </x:c>
      <x:c r="B68" s="22" t="str">
        <x:v>川崎丘陵・古代と現代</x:v>
      </x:c>
      <x:c r="C68" s="22" t="str">
        <x:v>森林・高台</x:v>
      </x:c>
      <x:c r="D68" s="22" t="n">
        <x:v>3</x:v>
      </x:c>
      <x:c r="E68" s="22" t="str">
        <x:v>夢見ヶ崎動物公園</x:v>
      </x:c>
      <x:c r="F68" s="22" t="str">
        <x:v>最終目的地</x:v>
      </x:c>
      <x:c r="G68" s="22" t="str">
        <x:v>到達・余韻</x:v>
      </x:c>
      <x:c r="H68" s="22" t="n">
        <x:v>40</x:v>
      </x:c>
      <x:c r="I68" s="22" t="str">
        <x:v>5～20分の散策・頭のリセット</x:v>
      </x:c>
      <x:c r="J68" s="22" t="str">
        <x:v>小規模。満車なら待たずに省略</x:v>
      </x:c>
      <x:c r="K68" s="22" t="str">
        <x:v>日没後</x:v>
      </x:c>
      <x:c r="L68" s="22" t="str">
        <x:v>満車時</x:v>
      </x:c>
      <x:c r="M68" s="22" t="str">
        <x:v>最終地点で終了</x:v>
      </x:c>
      <x:c r="N68" s="22" t="n">
        <x:v>0</x:v>
      </x:c>
      <x:c r="O68" s="22" t="n">
        <x:v>2</x:v>
      </x:c>
      <x:c r="P68" s="22" t="n">
        <x:v>2</x:v>
      </x:c>
      <x:c r="Q68" s="22" t="str">
        <x:v>低</x:v>
      </x:c>
      <x:c r="R68" s="22" t="n">
        <x:v>68</x:v>
      </x:c>
      <x:c r="S68" s="22" t="str">
        <x:v>https://www.city.kawasaki.jp/530/page/0000063423.html</x:v>
      </x:c>
    </x:row>
    <x:row r="69">
      <x:c r="A69" s="22" t="str">
        <x:v>R119</x:v>
      </x:c>
      <x:c r="B69" s="22" t="str">
        <x:v>横浜・庭園と丘陵三層</x:v>
      </x:c>
      <x:c r="C69" s="22" t="str">
        <x:v>森林・高台</x:v>
      </x:c>
      <x:c r="D69" s="22" t="n">
        <x:v>1</x:v>
      </x:c>
      <x:c r="E69" s="22" t="str">
        <x:v>三溪園</x:v>
      </x:c>
      <x:c r="F69" s="22" t="str">
        <x:v>経由地</x:v>
      </x:c>
      <x:c r="G69" s="22" t="str">
        <x:v>導入・気分転換</x:v>
      </x:c>
      <x:c r="H69" s="22" t="n">
        <x:v>45</x:v>
      </x:c>
      <x:c r="I69" s="22" t="str">
        <x:v>Storyを1つ確認して短く散策</x:v>
      </x:c>
      <x:c r="J69" s="22" t="str">
        <x:v>専用・公式駐車場へ直接入庫</x:v>
      </x:c>
      <x:c r="K69" s="22" t="str">
        <x:v>午前～16時</x:v>
      </x:c>
      <x:c r="L69" s="22" t="str">
        <x:v>17:00に間に合わない時</x:v>
      </x:c>
      <x:c r="M69" s="22" t="str">
        <x:v>海・港・自然 → 都市夜景・Story</x:v>
      </x:c>
      <x:c r="N69" s="22" t="n">
        <x:v>1</x:v>
      </x:c>
      <x:c r="O69" s="22" t="n">
        <x:v>0</x:v>
      </x:c>
      <x:c r="P69" s="22" t="n">
        <x:v>1</x:v>
      </x:c>
      <x:c r="Q69" s="22" t="str">
        <x:v>なし</x:v>
      </x:c>
      <x:c r="R69" s="22" t="n">
        <x:v>86</x:v>
      </x:c>
      <x:c r="S69" s="22" t="str">
        <x:v>https://www.sankeien.or.jp/price-service/</x:v>
      </x:c>
    </x:row>
    <x:row r="70">
      <x:c r="A70" s="22" t="str">
        <x:v>R119</x:v>
      </x:c>
      <x:c r="B70" s="22" t="str">
        <x:v>横浜・庭園と丘陵三層</x:v>
      </x:c>
      <x:c r="C70" s="22" t="str">
        <x:v>森林・高台</x:v>
      </x:c>
      <x:c r="D70" s="22" t="n">
        <x:v>2</x:v>
      </x:c>
      <x:c r="E70" s="22" t="str">
        <x:v>根岸森林公園</x:v>
      </x:c>
      <x:c r="F70" s="22" t="str">
        <x:v>経由地</x:v>
      </x:c>
      <x:c r="G70" s="22" t="str">
        <x:v>景観転換・休憩</x:v>
      </x:c>
      <x:c r="H70" s="22" t="n">
        <x:v>18</x:v>
      </x:c>
      <x:c r="I70" s="22" t="str">
        <x:v>Storyを1つ確認して短く散策</x:v>
      </x:c>
      <x:c r="J70" s="22" t="str">
        <x:v>専用・公式駐車場へ直接入庫</x:v>
      </x:c>
      <x:c r="K70" s="22" t="str">
        <x:v>昼～夕方</x:v>
      </x:c>
      <x:c r="L70" s="22" t="str">
        <x:v>臨時閉鎖・イベント混雑時</x:v>
      </x:c>
      <x:c r="M70" s="22" t="str">
        <x:v>都市夜景・Story → 海・港・自然</x:v>
      </x:c>
      <x:c r="N70" s="22" t="n">
        <x:v>2</x:v>
      </x:c>
      <x:c r="O70" s="22" t="n">
        <x:v>0</x:v>
      </x:c>
      <x:c r="P70" s="22" t="n">
        <x:v>2</x:v>
      </x:c>
      <x:c r="Q70" s="22" t="str">
        <x:v>低</x:v>
      </x:c>
      <x:c r="R70" s="22" t="n">
        <x:v>90</x:v>
      </x:c>
      <x:c r="S70" s="22" t="str">
        <x:v>https://www.city.yokohama.lg.jp/kurashi/machizukuri-kankyo/midori-koen/koen/koen/daihyoteki/negishi/kouen010.html</x:v>
      </x:c>
    </x:row>
    <x:row r="71">
      <x:c r="A71" s="22" t="str">
        <x:v>R119</x:v>
      </x:c>
      <x:c r="B71" s="22" t="str">
        <x:v>横浜・庭園と丘陵三層</x:v>
      </x:c>
      <x:c r="C71" s="22" t="str">
        <x:v>森林・高台</x:v>
      </x:c>
      <x:c r="D71" s="22" t="n">
        <x:v>3</x:v>
      </x:c>
      <x:c r="E71" s="22" t="str">
        <x:v>金沢自然公園</x:v>
      </x:c>
      <x:c r="F71" s="22" t="str">
        <x:v>最終目的地</x:v>
      </x:c>
      <x:c r="G71" s="22" t="str">
        <x:v>到達・余韻</x:v>
      </x:c>
      <x:c r="H71" s="22" t="n">
        <x:v>75</x:v>
      </x:c>
      <x:c r="I71" s="22" t="str">
        <x:v>水面・風・船を眺めて短く歩く</x:v>
      </x:c>
      <x:c r="J71" s="22" t="str">
        <x:v>専用・公式駐車場へ直接入庫</x:v>
      </x:c>
      <x:c r="K71" s="22" t="str">
        <x:v>夕方～夜</x:v>
      </x:c>
      <x:c r="L71" s="22" t="str">
        <x:v>17:00に間に合わない時</x:v>
      </x:c>
      <x:c r="M71" s="22" t="str">
        <x:v>最終地点で終了</x:v>
      </x:c>
      <x:c r="N71" s="22" t="n">
        <x:v>0</x:v>
      </x:c>
      <x:c r="O71" s="22" t="n">
        <x:v>1</x:v>
      </x:c>
      <x:c r="P71" s="22" t="n">
        <x:v>1</x:v>
      </x:c>
      <x:c r="Q71" s="22" t="str">
        <x:v>なし</x:v>
      </x:c>
      <x:c r="R71" s="22" t="n">
        <x:v>79</x:v>
      </x:c>
      <x:c r="S71" s="22" t="str">
        <x:v>https://www.hama-midorinokyokai.or.jp/zoo/kanazawa/access.php</x:v>
      </x:c>
    </x:row>
    <x:row r="72">
      <x:c r="A72" s="22" t="str">
        <x:v>R121</x:v>
      </x:c>
      <x:c r="B72" s="22" t="str">
        <x:v>湾岸・干潟から運河へ</x:v>
      </x:c>
      <x:c r="C72" s="22" t="str">
        <x:v>東京港・水辺</x:v>
      </x:c>
      <x:c r="D72" s="22" t="n">
        <x:v>1</x:v>
      </x:c>
      <x:c r="E72" s="22" t="str">
        <x:v>葛西海浜公園</x:v>
      </x:c>
      <x:c r="F72" s="22" t="str">
        <x:v>経由地</x:v>
      </x:c>
      <x:c r="G72" s="22" t="str">
        <x:v>導入・気分転換</x:v>
      </x:c>
      <x:c r="H72" s="22" t="n">
        <x:v>20</x:v>
      </x:c>
      <x:c r="I72" s="22" t="str">
        <x:v>水面・風・船を眺めて短く歩く</x:v>
      </x:c>
      <x:c r="J72" s="22" t="str">
        <x:v>専用・公式駐車場へ直接入庫</x:v>
      </x:c>
      <x:c r="K72" s="22" t="str">
        <x:v>夕方～夜</x:v>
      </x:c>
      <x:c r="L72" s="22" t="str">
        <x:v>臨時閉鎖・イベント混雑時</x:v>
      </x:c>
      <x:c r="M72" s="22" t="str">
        <x:v>海・港・自然 → 海・港・自然</x:v>
      </x:c>
      <x:c r="N72" s="22" t="n">
        <x:v>1</x:v>
      </x:c>
      <x:c r="O72" s="22" t="n">
        <x:v>1</x:v>
      </x:c>
      <x:c r="P72" s="22" t="n">
        <x:v>2</x:v>
      </x:c>
      <x:c r="Q72" s="22" t="str">
        <x:v>低</x:v>
      </x:c>
      <x:c r="R72" s="22" t="n">
        <x:v>87</x:v>
      </x:c>
      <x:c r="S72" s="22" t="str">
        <x:v>https://www.tokyo-park.or.jp/park/kasaikaihin/index.html</x:v>
      </x:c>
    </x:row>
    <x:row r="73">
      <x:c r="A73" s="22" t="str">
        <x:v>R121</x:v>
      </x:c>
      <x:c r="B73" s="22" t="str">
        <x:v>湾岸・干潟から運河へ</x:v>
      </x:c>
      <x:c r="C73" s="22" t="str">
        <x:v>東京港・水辺</x:v>
      </x:c>
      <x:c r="D73" s="22" t="n">
        <x:v>2</x:v>
      </x:c>
      <x:c r="E73" s="22" t="str">
        <x:v>葛西臨海公園</x:v>
      </x:c>
      <x:c r="F73" s="22" t="str">
        <x:v>経由地</x:v>
      </x:c>
      <x:c r="G73" s="22" t="str">
        <x:v>景観転換・休憩</x:v>
      </x:c>
      <x:c r="H73" s="22" t="n">
        <x:v>20</x:v>
      </x:c>
      <x:c r="I73" s="22" t="str">
        <x:v>水面・風・船を眺めて短く歩く</x:v>
      </x:c>
      <x:c r="J73" s="22" t="str">
        <x:v>専用・公式駐車場へ直接入庫</x:v>
      </x:c>
      <x:c r="K73" s="22" t="str">
        <x:v>夕方～夜</x:v>
      </x:c>
      <x:c r="L73" s="22" t="str">
        <x:v>臨時閉鎖・イベント混雑時</x:v>
      </x:c>
      <x:c r="M73" s="22" t="str">
        <x:v>海・港・自然 → 海・港・自然</x:v>
      </x:c>
      <x:c r="N73" s="22" t="n">
        <x:v>2</x:v>
      </x:c>
      <x:c r="O73" s="22" t="n">
        <x:v>0</x:v>
      </x:c>
      <x:c r="P73" s="22" t="n">
        <x:v>2</x:v>
      </x:c>
      <x:c r="Q73" s="22" t="str">
        <x:v>低</x:v>
      </x:c>
      <x:c r="R73" s="22" t="n">
        <x:v>87</x:v>
      </x:c>
      <x:c r="S73" s="22" t="str">
        <x:v>https://www.tokyo-park.or.jp/park/kasairinkai/index.html</x:v>
      </x:c>
    </x:row>
    <x:row r="74">
      <x:c r="A74" s="22" t="str">
        <x:v>R121</x:v>
      </x:c>
      <x:c r="B74" s="22" t="str">
        <x:v>湾岸・干潟から運河へ</x:v>
      </x:c>
      <x:c r="C74" s="22" t="str">
        <x:v>東京港・水辺</x:v>
      </x:c>
      <x:c r="D74" s="22" t="n">
        <x:v>3</x:v>
      </x:c>
      <x:c r="E74" s="22" t="str">
        <x:v>東品川海上公園</x:v>
      </x:c>
      <x:c r="F74" s="22" t="str">
        <x:v>経由地</x:v>
      </x:c>
      <x:c r="G74" s="22" t="str">
        <x:v>景観転換・休憩</x:v>
      </x:c>
      <x:c r="H74" s="22" t="n">
        <x:v>45</x:v>
      </x:c>
      <x:c r="I74" s="22" t="str">
        <x:v>Storyを1つ確認して短く散策</x:v>
      </x:c>
      <x:c r="J74" s="22" t="str">
        <x:v>車の経由地には不向き。合法駐車から徒歩のみ</x:v>
      </x:c>
      <x:c r="K74" s="22" t="str">
        <x:v>午前～16時</x:v>
      </x:c>
      <x:c r="L74" s="22" t="str">
        <x:v>満車時／工事・閉鎖時</x:v>
      </x:c>
      <x:c r="M74" s="22" t="str">
        <x:v>海・港・自然 → 飛行機・海・港</x:v>
      </x:c>
      <x:c r="N74" s="22" t="n">
        <x:v>2</x:v>
      </x:c>
      <x:c r="O74" s="22" t="n">
        <x:v>0</x:v>
      </x:c>
      <x:c r="P74" s="22" t="n">
        <x:v>2</x:v>
      </x:c>
      <x:c r="Q74" s="22" t="str">
        <x:v>低</x:v>
      </x:c>
      <x:c r="R74" s="22" t="n">
        <x:v>64</x:v>
      </x:c>
      <x:c r="S74" s="22" t="str">
        <x:v>https://shinagawa-kanko.or.jp/spot/higasishinagawakaijoukouen/</x:v>
      </x:c>
    </x:row>
    <x:row r="75">
      <x:c r="A75" s="22" t="str">
        <x:v>R121</x:v>
      </x:c>
      <x:c r="B75" s="22" t="str">
        <x:v>湾岸・干潟から運河へ</x:v>
      </x:c>
      <x:c r="C75" s="22" t="str">
        <x:v>東京港・水辺</x:v>
      </x:c>
      <x:c r="D75" s="22" t="n">
        <x:v>4</x:v>
      </x:c>
      <x:c r="E75" s="22" t="str">
        <x:v>城南島海浜公園</x:v>
      </x:c>
      <x:c r="F75" s="22" t="str">
        <x:v>最終目的地</x:v>
      </x:c>
      <x:c r="G75" s="22" t="str">
        <x:v>到達・余韻</x:v>
      </x:c>
      <x:c r="H75" s="22" t="n">
        <x:v>40</x:v>
      </x:c>
      <x:c r="I75" s="22" t="str">
        <x:v>航空機観察・短時間撮影</x:v>
      </x:c>
      <x:c r="J75" s="22" t="str">
        <x:v>専用・公式駐車場へ直接入庫</x:v>
      </x:c>
      <x:c r="K75" s="22" t="str">
        <x:v>夕方～夜</x:v>
      </x:c>
      <x:c r="L75" s="22" t="str">
        <x:v>21:00に間に合わない時／工事・閉鎖時</x:v>
      </x:c>
      <x:c r="M75" s="22" t="str">
        <x:v>最終地点で終了</x:v>
      </x:c>
      <x:c r="N75" s="22" t="n">
        <x:v>0</x:v>
      </x:c>
      <x:c r="O75" s="22" t="n">
        <x:v>5</x:v>
      </x:c>
      <x:c r="P75" s="22" t="n">
        <x:v>5</x:v>
      </x:c>
      <x:c r="Q75" s="22" t="str">
        <x:v>中</x:v>
      </x:c>
      <x:c r="R75" s="22" t="n">
        <x:v>75</x:v>
      </x:c>
      <x:c r="S75" s="22" t="str">
        <x:v>https://tokyo-south-seaside-parks.com/jonanjima/</x:v>
      </x:c>
    </x:row>
    <x:row r="76">
      <x:c r="A76" s="22" t="str">
        <x:v>R131</x:v>
      </x:c>
      <x:c r="B76" s="22" t="str">
        <x:v>東京近距離・運河と市場</x:v>
      </x:c>
      <x:c r="C76" s="22" t="str">
        <x:v>東京港・水辺</x:v>
      </x:c>
      <x:c r="D76" s="22" t="n">
        <x:v>1</x:v>
      </x:c>
      <x:c r="E76" s="22" t="str">
        <x:v>東品川海上公園</x:v>
      </x:c>
      <x:c r="F76" s="22" t="str">
        <x:v>経由地</x:v>
      </x:c>
      <x:c r="G76" s="22" t="str">
        <x:v>導入・気分転換</x:v>
      </x:c>
      <x:c r="H76" s="22" t="n">
        <x:v>45</x:v>
      </x:c>
      <x:c r="I76" s="22" t="str">
        <x:v>Storyを1つ確認して短く散策</x:v>
      </x:c>
      <x:c r="J76" s="22" t="str">
        <x:v>車の経由地には不向き。合法駐車から徒歩のみ</x:v>
      </x:c>
      <x:c r="K76" s="22" t="str">
        <x:v>午前～16時</x:v>
      </x:c>
      <x:c r="L76" s="22" t="str">
        <x:v>満車時／工事・閉鎖時</x:v>
      </x:c>
      <x:c r="M76" s="22" t="str">
        <x:v>海・港・自然 → その他</x:v>
      </x:c>
      <x:c r="N76" s="22" t="n">
        <x:v>2</x:v>
      </x:c>
      <x:c r="O76" s="22" t="n">
        <x:v>0</x:v>
      </x:c>
      <x:c r="P76" s="22" t="n">
        <x:v>2</x:v>
      </x:c>
      <x:c r="Q76" s="22" t="str">
        <x:v>低</x:v>
      </x:c>
      <x:c r="R76" s="22" t="n">
        <x:v>69</x:v>
      </x:c>
      <x:c r="S76" s="22" t="str">
        <x:v>https://shinagawa-kanko.or.jp/spot/higasishinagawakaijoukouen/</x:v>
      </x:c>
    </x:row>
    <x:row r="77">
      <x:c r="A77" s="22" t="str">
        <x:v>R131</x:v>
      </x:c>
      <x:c r="B77" s="22" t="str">
        <x:v>東京近距離・運河と市場</x:v>
      </x:c>
      <x:c r="C77" s="22" t="str">
        <x:v>東京港・水辺</x:v>
      </x:c>
      <x:c r="D77" s="22" t="n">
        <x:v>2</x:v>
      </x:c>
      <x:c r="E77" s="22" t="str">
        <x:v>道の駅 いちかわ</x:v>
      </x:c>
      <x:c r="F77" s="22" t="str">
        <x:v>経由地</x:v>
      </x:c>
      <x:c r="G77" s="22" t="str">
        <x:v>景観転換・休憩</x:v>
      </x:c>
      <x:c r="H77" s="22" t="n">
        <x:v>18</x:v>
      </x:c>
      <x:c r="I77" s="22" t="str">
        <x:v>景観確認・短時間休憩</x:v>
      </x:c>
      <x:c r="J77" s="22" t="str">
        <x:v>専用・公式駐車場へ直接入庫</x:v>
      </x:c>
      <x:c r="K77" s="22" t="str">
        <x:v>昼～夕方</x:v>
      </x:c>
      <x:c r="L77" s="22" t="str">
        <x:v>22:00に間に合わない時</x:v>
      </x:c>
      <x:c r="M77" s="22" t="str">
        <x:v>その他 → 海・港・都市夜景</x:v>
      </x:c>
      <x:c r="N77" s="22" t="n">
        <x:v>1</x:v>
      </x:c>
      <x:c r="O77" s="22" t="n">
        <x:v>1</x:v>
      </x:c>
      <x:c r="P77" s="22" t="n">
        <x:v>2</x:v>
      </x:c>
      <x:c r="Q77" s="22" t="str">
        <x:v>低</x:v>
      </x:c>
      <x:c r="R77" s="22" t="n">
        <x:v>79</x:v>
      </x:c>
      <x:c r="S77" s="22" t="str">
        <x:v>https://www.michinoeki-ichikawa.jp/access/</x:v>
      </x:c>
    </x:row>
    <x:row r="78">
      <x:c r="A78" s="22" t="str">
        <x:v>R131</x:v>
      </x:c>
      <x:c r="B78" s="22" t="str">
        <x:v>東京近距離・運河と市場</x:v>
      </x:c>
      <x:c r="C78" s="22" t="str">
        <x:v>東京港・水辺</x:v>
      </x:c>
      <x:c r="D78" s="22" t="n">
        <x:v>3</x:v>
      </x:c>
      <x:c r="E78" s="22" t="str">
        <x:v>高洲海浜公園</x:v>
      </x:c>
      <x:c r="F78" s="22" t="str">
        <x:v>経由地</x:v>
      </x:c>
      <x:c r="G78" s="22" t="str">
        <x:v>景観転換・休憩</x:v>
      </x:c>
      <x:c r="H78" s="22" t="n">
        <x:v>25</x:v>
      </x:c>
      <x:c r="I78" s="22" t="str">
        <x:v>水面・風・船を眺めて短く歩く</x:v>
      </x:c>
      <x:c r="J78" s="22" t="str">
        <x:v>専用・公式駐車場へ直接入庫</x:v>
      </x:c>
      <x:c r="K78" s="22" t="str">
        <x:v>夕方～夜</x:v>
      </x:c>
      <x:c r="L78" s="22" t="str">
        <x:v>強風・高潮・増水時</x:v>
      </x:c>
      <x:c r="M78" s="22" t="str">
        <x:v>海・港・都市夜景 → 海・港・自然</x:v>
      </x:c>
      <x:c r="N78" s="22" t="n">
        <x:v>2</x:v>
      </x:c>
      <x:c r="O78" s="22" t="n">
        <x:v>0</x:v>
      </x:c>
      <x:c r="P78" s="22" t="n">
        <x:v>2</x:v>
      </x:c>
      <x:c r="Q78" s="22" t="str">
        <x:v>低</x:v>
      </x:c>
      <x:c r="R78" s="22" t="n">
        <x:v>92</x:v>
      </x:c>
      <x:c r="S78" s="22" t="str">
        <x:v>https://www.city.urayasu.lg.jp/shisetsu/kouen/1005634.html</x:v>
      </x:c>
    </x:row>
    <x:row r="79">
      <x:c r="A79" s="22" t="str">
        <x:v>R131</x:v>
      </x:c>
      <x:c r="B79" s="22" t="str">
        <x:v>東京近距離・運河と市場</x:v>
      </x:c>
      <x:c r="C79" s="22" t="str">
        <x:v>東京港・水辺</x:v>
      </x:c>
      <x:c r="D79" s="22" t="n">
        <x:v>4</x:v>
      </x:c>
      <x:c r="E79" s="22" t="str">
        <x:v>葛西海浜公園</x:v>
      </x:c>
      <x:c r="F79" s="22" t="str">
        <x:v>最終目的地</x:v>
      </x:c>
      <x:c r="G79" s="22" t="str">
        <x:v>到達・余韻</x:v>
      </x:c>
      <x:c r="H79" s="22" t="n">
        <x:v>45</x:v>
      </x:c>
      <x:c r="I79" s="22" t="str">
        <x:v>水面・風・船を眺めて短く歩く</x:v>
      </x:c>
      <x:c r="J79" s="22" t="str">
        <x:v>専用・公式駐車場へ直接入庫</x:v>
      </x:c>
      <x:c r="K79" s="22" t="str">
        <x:v>夕方～夜</x:v>
      </x:c>
      <x:c r="L79" s="22" t="str">
        <x:v>臨時閉鎖・イベント混雑時</x:v>
      </x:c>
      <x:c r="M79" s="22" t="str">
        <x:v>最終地点で終了</x:v>
      </x:c>
      <x:c r="N79" s="22" t="n">
        <x:v>1</x:v>
      </x:c>
      <x:c r="O79" s="22" t="n">
        <x:v>1</x:v>
      </x:c>
      <x:c r="P79" s="22" t="n">
        <x:v>2</x:v>
      </x:c>
      <x:c r="Q79" s="22" t="str">
        <x:v>低</x:v>
      </x:c>
      <x:c r="R79" s="22" t="n">
        <x:v>89</x:v>
      </x:c>
      <x:c r="S79" s="22" t="str">
        <x:v>https://www.tokyo-park.or.jp/park/kasaikaihin/index.html</x:v>
      </x:c>
    </x:row>
    <x:row r="80">
      <x:c r="A80" s="22" t="str">
        <x:v>R133</x:v>
      </x:c>
      <x:c r="B80" s="22" t="str">
        <x:v>羽田・足湯から河口へ</x:v>
      </x:c>
      <x:c r="C80" s="22" t="str">
        <x:v>羽田・航空</x:v>
      </x:c>
      <x:c r="D80" s="22" t="n">
        <x:v>1</x:v>
      </x:c>
      <x:c r="E80" s="22" t="str">
        <x:v>HANEDA INNOVATION CITY 足湯スカイデッキ</x:v>
      </x:c>
      <x:c r="F80" s="22" t="str">
        <x:v>経由地</x:v>
      </x:c>
      <x:c r="G80" s="22" t="str">
        <x:v>導入・気分転換</x:v>
      </x:c>
      <x:c r="H80" s="22" t="n">
        <x:v>25</x:v>
      </x:c>
      <x:c r="I80" s="22" t="str">
        <x:v>足湯・飛行機観察・出発前の身体切替</x:v>
      </x:c>
      <x:c r="J80" s="22" t="str">
        <x:v>専用・公式駐車場へ直接入庫</x:v>
      </x:c>
      <x:c r="K80" s="22" t="str">
        <x:v>夕方～夜</x:v>
      </x:c>
      <x:c r="L80" s="22" t="str">
        <x:v>23:30に間に合わない時</x:v>
      </x:c>
      <x:c r="M80" s="22" t="str">
        <x:v>飛行機・都市夜景 → 飛行機・海・港</x:v>
      </x:c>
      <x:c r="N80" s="22" t="n">
        <x:v>7</x:v>
      </x:c>
      <x:c r="O80" s="22" t="n">
        <x:v>1</x:v>
      </x:c>
      <x:c r="P80" s="22" t="n">
        <x:v>8</x:v>
      </x:c>
      <x:c r="Q80" s="22" t="str">
        <x:v>高</x:v>
      </x:c>
      <x:c r="R80" s="22" t="n">
        <x:v>86</x:v>
      </x:c>
      <x:c r="S80" s="22" t="str">
        <x:v>https://haneda-innovation-city.com/facility/page/2/</x:v>
      </x:c>
    </x:row>
    <x:row r="81">
      <x:c r="A81" s="22" t="str">
        <x:v>R133</x:v>
      </x:c>
      <x:c r="B81" s="22" t="str">
        <x:v>羽田・足湯から河口へ</x:v>
      </x:c>
      <x:c r="C81" s="22" t="str">
        <x:v>羽田・航空</x:v>
      </x:c>
      <x:c r="D81" s="22" t="n">
        <x:v>2</x:v>
      </x:c>
      <x:c r="E81" s="22" t="str">
        <x:v>ソラムナード羽田緑地</x:v>
      </x:c>
      <x:c r="F81" s="22" t="str">
        <x:v>経由地</x:v>
      </x:c>
      <x:c r="G81" s="22" t="str">
        <x:v>景観転換・休憩</x:v>
      </x:c>
      <x:c r="H81" s="22" t="n">
        <x:v>25</x:v>
      </x:c>
      <x:c r="I81" s="22" t="str">
        <x:v>航空機観察・短時間撮影</x:v>
      </x:c>
      <x:c r="J81" s="22" t="str">
        <x:v>HIC P1に1回駐車したまま徒歩連結</x:v>
      </x:c>
      <x:c r="K81" s="22" t="str">
        <x:v>夕方～夜</x:v>
      </x:c>
      <x:c r="L81" s="22" t="str">
        <x:v>強風・高潮・増水時／工事・閉鎖時</x:v>
      </x:c>
      <x:c r="M81" s="22" t="str">
        <x:v>飛行機・海・港 → 飛行機・都市夜景</x:v>
      </x:c>
      <x:c r="N81" s="22" t="n">
        <x:v>3</x:v>
      </x:c>
      <x:c r="O81" s="22" t="n">
        <x:v>0</x:v>
      </x:c>
      <x:c r="P81" s="22" t="n">
        <x:v>3</x:v>
      </x:c>
      <x:c r="Q81" s="22" t="str">
        <x:v>低</x:v>
      </x:c>
      <x:c r="R81" s="22" t="n">
        <x:v>86</x:v>
      </x:c>
      <x:c r="S81" s="22" t="str">
        <x:v>https://www.city.ota.tokyo.jp/seikatsu/sumaimachinami/haneda_airport/hgw/waterside/soramunadohanedaryokuti.html</x:v>
      </x:c>
    </x:row>
    <x:row r="82">
      <x:c r="A82" s="22" t="str">
        <x:v>R133</x:v>
      </x:c>
      <x:c r="B82" s="22" t="str">
        <x:v>羽田・足湯から河口へ</x:v>
      </x:c>
      <x:c r="C82" s="22" t="str">
        <x:v>羽田・航空</x:v>
      </x:c>
      <x:c r="D82" s="22" t="n">
        <x:v>3</x:v>
      </x:c>
      <x:c r="E82" s="22" t="str">
        <x:v>羽田空港 第3ターミナル展望デッキ</x:v>
      </x:c>
      <x:c r="F82" s="22" t="str">
        <x:v>最終目的地</x:v>
      </x:c>
      <x:c r="G82" s="22" t="str">
        <x:v>到達・余韻</x:v>
      </x:c>
      <x:c r="H82" s="22" t="n">
        <x:v>40</x:v>
      </x:c>
      <x:c r="I82" s="22" t="str">
        <x:v>航空機観察・短時間撮影</x:v>
      </x:c>
      <x:c r="J82" s="22" t="str">
        <x:v>専用・公式駐車場へ直接入庫</x:v>
      </x:c>
      <x:c r="K82" s="22" t="str">
        <x:v>夕方～夜</x:v>
      </x:c>
      <x:c r="L82" s="22" t="str">
        <x:v>工事・閉鎖時</x:v>
      </x:c>
      <x:c r="M82" s="22" t="str">
        <x:v>最終地点で終了</x:v>
      </x:c>
      <x:c r="N82" s="22" t="n">
        <x:v>2</x:v>
      </x:c>
      <x:c r="O82" s="22" t="n">
        <x:v>4</x:v>
      </x:c>
      <x:c r="P82" s="22" t="n">
        <x:v>6</x:v>
      </x:c>
      <x:c r="Q82" s="22" t="str">
        <x:v>高</x:v>
      </x:c>
      <x:c r="R82" s="22" t="n">
        <x:v>79</x:v>
      </x:c>
      <x:c r="S82" s="22" t="str">
        <x:v>https://tokyo-haneda.com/service/facilities/observation_deck.html</x:v>
      </x:c>
    </x:row>
    <x:row r="83">
      <x:c r="A83" s="22" t="str">
        <x:v>R134</x:v>
      </x:c>
      <x:c r="B83" s="22" t="str">
        <x:v>羽田3ターミナル比較</x:v>
      </x:c>
      <x:c r="C83" s="22" t="str">
        <x:v>羽田・航空</x:v>
      </x:c>
      <x:c r="D83" s="22" t="n">
        <x:v>1</x:v>
      </x:c>
      <x:c r="E83" s="22" t="str">
        <x:v>羽田空港 第1ターミナル展望デッキ</x:v>
      </x:c>
      <x:c r="F83" s="22" t="str">
        <x:v>経由地</x:v>
      </x:c>
      <x:c r="G83" s="22" t="str">
        <x:v>導入・気分転換</x:v>
      </x:c>
      <x:c r="H83" s="22" t="n">
        <x:v>25</x:v>
      </x:c>
      <x:c r="I83" s="22" t="str">
        <x:v>航空機観察・短時間撮影</x:v>
      </x:c>
      <x:c r="J83" s="22" t="str">
        <x:v>P3/P4等に1回駐車し、ターミナル間は無料連絡バス</x:v>
      </x:c>
      <x:c r="K83" s="22" t="str">
        <x:v>夕方～夜</x:v>
      </x:c>
      <x:c r="L83" s="22" t="str">
        <x:v>22:00に間に合わない時／工事・閉鎖時</x:v>
      </x:c>
      <x:c r="M83" s="22" t="str">
        <x:v>飛行機・海・港 → 飛行機・都市夜景</x:v>
      </x:c>
      <x:c r="N83" s="22" t="n">
        <x:v>1</x:v>
      </x:c>
      <x:c r="O83" s="22" t="n">
        <x:v>0</x:v>
      </x:c>
      <x:c r="P83" s="22" t="n">
        <x:v>1</x:v>
      </x:c>
      <x:c r="Q83" s="22" t="str">
        <x:v>なし</x:v>
      </x:c>
      <x:c r="R83" s="22" t="n">
        <x:v>79</x:v>
      </x:c>
      <x:c r="S83" s="22" t="str">
        <x:v>https://tokyo-haneda.com/service/facilities/observation_deck.html</x:v>
      </x:c>
    </x:row>
    <x:row r="84">
      <x:c r="A84" s="22" t="str">
        <x:v>R134</x:v>
      </x:c>
      <x:c r="B84" s="22" t="str">
        <x:v>羽田3ターミナル比較</x:v>
      </x:c>
      <x:c r="C84" s="22" t="str">
        <x:v>羽田・航空</x:v>
      </x:c>
      <x:c r="D84" s="22" t="n">
        <x:v>2</x:v>
      </x:c>
      <x:c r="E84" s="22" t="str">
        <x:v>羽田空港 第2ターミナル展望デッキ／FLIGHT DECK TOKYO</x:v>
      </x:c>
      <x:c r="F84" s="22" t="str">
        <x:v>経由地</x:v>
      </x:c>
      <x:c r="G84" s="22" t="str">
        <x:v>景観転換・休憩</x:v>
      </x:c>
      <x:c r="H84" s="22" t="n">
        <x:v>25</x:v>
      </x:c>
      <x:c r="I84" s="22" t="str">
        <x:v>航空機観察・短時間撮影</x:v>
      </x:c>
      <x:c r="J84" s="22" t="str">
        <x:v>P3/P4等に1回駐車し、ターミナル間は無料連絡バス</x:v>
      </x:c>
      <x:c r="K84" s="22" t="str">
        <x:v>夕方～夜</x:v>
      </x:c>
      <x:c r="L84" s="22" t="str">
        <x:v>23:00に間に合わない時／工事・閉鎖時</x:v>
      </x:c>
      <x:c r="M84" s="22" t="str">
        <x:v>飛行機・都市夜景 → 飛行機・都市夜景</x:v>
      </x:c>
      <x:c r="N84" s="22" t="n">
        <x:v>2</x:v>
      </x:c>
      <x:c r="O84" s="22" t="n">
        <x:v>0</x:v>
      </x:c>
      <x:c r="P84" s="22" t="n">
        <x:v>2</x:v>
      </x:c>
      <x:c r="Q84" s="22" t="str">
        <x:v>低</x:v>
      </x:c>
      <x:c r="R84" s="22" t="n">
        <x:v>79</x:v>
      </x:c>
      <x:c r="S84" s="22" t="str">
        <x:v>https://tokyo-haneda.com/service/facilities/observation_deck.html</x:v>
      </x:c>
    </x:row>
    <x:row r="85">
      <x:c r="A85" s="22" t="str">
        <x:v>R134</x:v>
      </x:c>
      <x:c r="B85" s="22" t="str">
        <x:v>羽田3ターミナル比較</x:v>
      </x:c>
      <x:c r="C85" s="22" t="str">
        <x:v>羽田・航空</x:v>
      </x:c>
      <x:c r="D85" s="22" t="n">
        <x:v>3</x:v>
      </x:c>
      <x:c r="E85" s="22" t="str">
        <x:v>羽田空港 第3ターミナル展望デッキ</x:v>
      </x:c>
      <x:c r="F85" s="22" t="str">
        <x:v>最終目的地</x:v>
      </x:c>
      <x:c r="G85" s="22" t="str">
        <x:v>到達・余韻</x:v>
      </x:c>
      <x:c r="H85" s="22" t="n">
        <x:v>40</x:v>
      </x:c>
      <x:c r="I85" s="22" t="str">
        <x:v>航空機観察・短時間撮影</x:v>
      </x:c>
      <x:c r="J85" s="22" t="str">
        <x:v>P3/P4等に1回駐車し、ターミナル間は無料連絡バス</x:v>
      </x:c>
      <x:c r="K85" s="22" t="str">
        <x:v>夕方～夜</x:v>
      </x:c>
      <x:c r="L85" s="22" t="str">
        <x:v>工事・閉鎖時</x:v>
      </x:c>
      <x:c r="M85" s="22" t="str">
        <x:v>最終地点で終了</x:v>
      </x:c>
      <x:c r="N85" s="22" t="n">
        <x:v>2</x:v>
      </x:c>
      <x:c r="O85" s="22" t="n">
        <x:v>4</x:v>
      </x:c>
      <x:c r="P85" s="22" t="n">
        <x:v>6</x:v>
      </x:c>
      <x:c r="Q85" s="22" t="str">
        <x:v>高</x:v>
      </x:c>
      <x:c r="R85" s="22" t="n">
        <x:v>81</x:v>
      </x:c>
      <x:c r="S85" s="22" t="str">
        <x:v>https://tokyo-haneda.com/service/facilities/observation_deck.html</x:v>
      </x:c>
    </x:row>
    <x:row r="86">
      <x:c r="A86" s="22" t="str">
        <x:v>R135</x:v>
      </x:c>
      <x:c r="B86" s="22" t="str">
        <x:v>大森・海苔の海辺線</x:v>
      </x:c>
      <x:c r="C86" s="22" t="str">
        <x:v>羽田・航空</x:v>
      </x:c>
      <x:c r="D86" s="22" t="n">
        <x:v>1</x:v>
      </x:c>
      <x:c r="E86" s="22" t="str">
        <x:v>平和の森公園</x:v>
      </x:c>
      <x:c r="F86" s="22" t="str">
        <x:v>経由地</x:v>
      </x:c>
      <x:c r="G86" s="22" t="str">
        <x:v>導入・気分転換</x:v>
      </x:c>
      <x:c r="H86" s="22" t="n">
        <x:v>20</x:v>
      </x:c>
      <x:c r="I86" s="22" t="str">
        <x:v>Storyを1つ確認して短く散策</x:v>
      </x:c>
      <x:c r="J86" s="22" t="str">
        <x:v>小規模。満車なら待たずに省略</x:v>
      </x:c>
      <x:c r="K86" s="22" t="str">
        <x:v>昼～夕方</x:v>
      </x:c>
      <x:c r="L86" s="22" t="str">
        <x:v>満車時</x:v>
      </x:c>
      <x:c r="M86" s="22" t="str">
        <x:v>自然・Story → 海・港・Story</x:v>
      </x:c>
      <x:c r="N86" s="22" t="n">
        <x:v>2</x:v>
      </x:c>
      <x:c r="O86" s="22" t="n">
        <x:v>0</x:v>
      </x:c>
      <x:c r="P86" s="22" t="n">
        <x:v>2</x:v>
      </x:c>
      <x:c r="Q86" s="22" t="str">
        <x:v>低</x:v>
      </x:c>
      <x:c r="R86" s="22" t="n">
        <x:v>70</x:v>
      </x:c>
      <x:c r="S86" s="22" t="str">
        <x:v>https://www.city.ota.tokyo.jp/shisetsu/park/heiwanomori.html</x:v>
      </x:c>
    </x:row>
    <x:row r="87">
      <x:c r="A87" s="22" t="str">
        <x:v>R135</x:v>
      </x:c>
      <x:c r="B87" s="22" t="str">
        <x:v>大森・海苔の海辺線</x:v>
      </x:c>
      <x:c r="C87" s="22" t="str">
        <x:v>羽田・航空</x:v>
      </x:c>
      <x:c r="D87" s="22" t="n">
        <x:v>2</x:v>
      </x:c>
      <x:c r="E87" s="22" t="str">
        <x:v>大森ふるさとの浜辺公園</x:v>
      </x:c>
      <x:c r="F87" s="22" t="str">
        <x:v>経由地</x:v>
      </x:c>
      <x:c r="G87" s="22" t="str">
        <x:v>景観転換・休憩</x:v>
      </x:c>
      <x:c r="H87" s="22" t="n">
        <x:v>20</x:v>
      </x:c>
      <x:c r="I87" s="22" t="str">
        <x:v>Storyを1つ確認して短く散策</x:v>
      </x:c>
      <x:c r="J87" s="22" t="str">
        <x:v>専用・公式駐車場へ直接入庫</x:v>
      </x:c>
      <x:c r="K87" s="22" t="str">
        <x:v>夕方～夜</x:v>
      </x:c>
      <x:c r="L87" s="22" t="str">
        <x:v>臨時閉鎖・イベント混雑時</x:v>
      </x:c>
      <x:c r="M87" s="22" t="str">
        <x:v>海・港・Story → 飛行機・海・港</x:v>
      </x:c>
      <x:c r="N87" s="22" t="n">
        <x:v>2</x:v>
      </x:c>
      <x:c r="O87" s="22" t="n">
        <x:v>1</x:v>
      </x:c>
      <x:c r="P87" s="22" t="n">
        <x:v>3</x:v>
      </x:c>
      <x:c r="Q87" s="22" t="str">
        <x:v>低</x:v>
      </x:c>
      <x:c r="R87" s="22" t="n">
        <x:v>89</x:v>
      </x:c>
      <x:c r="S87" s="22" t="str">
        <x:v>https://www.city.ota.tokyo.jp/shisetsu/park/oomorifurusatonohamabe.html</x:v>
      </x:c>
    </x:row>
    <x:row r="88">
      <x:c r="A88" s="22" t="str">
        <x:v>R135</x:v>
      </x:c>
      <x:c r="B88" s="22" t="str">
        <x:v>大森・海苔の海辺線</x:v>
      </x:c>
      <x:c r="C88" s="22" t="str">
        <x:v>羽田・航空</x:v>
      </x:c>
      <x:c r="D88" s="22" t="n">
        <x:v>3</x:v>
      </x:c>
      <x:c r="E88" s="22" t="str">
        <x:v>城南島海浜公園</x:v>
      </x:c>
      <x:c r="F88" s="22" t="str">
        <x:v>最終目的地</x:v>
      </x:c>
      <x:c r="G88" s="22" t="str">
        <x:v>到達・余韻</x:v>
      </x:c>
      <x:c r="H88" s="22" t="n">
        <x:v>40</x:v>
      </x:c>
      <x:c r="I88" s="22" t="str">
        <x:v>航空機観察・短時間撮影</x:v>
      </x:c>
      <x:c r="J88" s="22" t="str">
        <x:v>専用・公式駐車場へ直接入庫</x:v>
      </x:c>
      <x:c r="K88" s="22" t="str">
        <x:v>夕方～夜</x:v>
      </x:c>
      <x:c r="L88" s="22" t="str">
        <x:v>21:00に間に合わない時／工事・閉鎖時</x:v>
      </x:c>
      <x:c r="M88" s="22" t="str">
        <x:v>最終地点で終了</x:v>
      </x:c>
      <x:c r="N88" s="22" t="n">
        <x:v>0</x:v>
      </x:c>
      <x:c r="O88" s="22" t="n">
        <x:v>5</x:v>
      </x:c>
      <x:c r="P88" s="22" t="n">
        <x:v>5</x:v>
      </x:c>
      <x:c r="Q88" s="22" t="str">
        <x:v>中</x:v>
      </x:c>
      <x:c r="R88" s="22" t="n">
        <x:v>77</x:v>
      </x:c>
      <x:c r="S88" s="22" t="str">
        <x:v>https://tokyo-south-seaside-parks.com/jonanjima/</x:v>
      </x:c>
    </x:row>
    <x:row r="89">
      <x:c r="A89" s="22" t="str">
        <x:v>R136</x:v>
      </x:c>
      <x:c r="B89" s="22" t="str">
        <x:v>森ケ崎・屋上から足湯へ</x:v>
      </x:c>
      <x:c r="C89" s="22" t="str">
        <x:v>羽田・航空</x:v>
      </x:c>
      <x:c r="D89" s="22" t="n">
        <x:v>1</x:v>
      </x:c>
      <x:c r="E89" s="22" t="str">
        <x:v>森ケ崎公園</x:v>
      </x:c>
      <x:c r="F89" s="22" t="str">
        <x:v>経由地</x:v>
      </x:c>
      <x:c r="G89" s="22" t="str">
        <x:v>導入・気分転換</x:v>
      </x:c>
      <x:c r="H89" s="22" t="n">
        <x:v>25</x:v>
      </x:c>
      <x:c r="I89" s="22" t="str">
        <x:v>航空機観察・短時間撮影</x:v>
      </x:c>
      <x:c r="J89" s="22" t="str">
        <x:v>専用・公式駐車場へ直接入庫</x:v>
      </x:c>
      <x:c r="K89" s="22" t="str">
        <x:v>夕方～夜</x:v>
      </x:c>
      <x:c r="L89" s="22" t="str">
        <x:v>21:30に間に合わない時</x:v>
      </x:c>
      <x:c r="M89" s="22" t="str">
        <x:v>飛行機・海・港 → 飛行機・海・港</x:v>
      </x:c>
      <x:c r="N89" s="22" t="n">
        <x:v>2</x:v>
      </x:c>
      <x:c r="O89" s="22" t="n">
        <x:v>0</x:v>
      </x:c>
      <x:c r="P89" s="22" t="n">
        <x:v>2</x:v>
      </x:c>
      <x:c r="Q89" s="22" t="str">
        <x:v>低</x:v>
      </x:c>
      <x:c r="R89" s="22" t="n">
        <x:v>79</x:v>
      </x:c>
      <x:c r="S89" s="22" t="str">
        <x:v>https://www.city.ota.tokyo.jp/shisetsu/park/morigasaki.html</x:v>
      </x:c>
    </x:row>
    <x:row r="90">
      <x:c r="A90" s="22" t="str">
        <x:v>R136</x:v>
      </x:c>
      <x:c r="B90" s="22" t="str">
        <x:v>森ケ崎・屋上から足湯へ</x:v>
      </x:c>
      <x:c r="C90" s="22" t="str">
        <x:v>羽田・航空</x:v>
      </x:c>
      <x:c r="D90" s="22" t="n">
        <x:v>2</x:v>
      </x:c>
      <x:c r="E90" s="22" t="str">
        <x:v>ソラムナード羽田緑地</x:v>
      </x:c>
      <x:c r="F90" s="22" t="str">
        <x:v>経由地</x:v>
      </x:c>
      <x:c r="G90" s="22" t="str">
        <x:v>景観転換・休憩</x:v>
      </x:c>
      <x:c r="H90" s="22" t="n">
        <x:v>25</x:v>
      </x:c>
      <x:c r="I90" s="22" t="str">
        <x:v>航空機観察・短時間撮影</x:v>
      </x:c>
      <x:c r="J90" s="22" t="str">
        <x:v>HIC P1に1回駐車したまま徒歩連結</x:v>
      </x:c>
      <x:c r="K90" s="22" t="str">
        <x:v>夕方～夜</x:v>
      </x:c>
      <x:c r="L90" s="22" t="str">
        <x:v>強風・高潮・増水時／工事・閉鎖時</x:v>
      </x:c>
      <x:c r="M90" s="22" t="str">
        <x:v>飛行機・海・港 → 飛行機・都市夜景</x:v>
      </x:c>
      <x:c r="N90" s="22" t="n">
        <x:v>3</x:v>
      </x:c>
      <x:c r="O90" s="22" t="n">
        <x:v>0</x:v>
      </x:c>
      <x:c r="P90" s="22" t="n">
        <x:v>3</x:v>
      </x:c>
      <x:c r="Q90" s="22" t="str">
        <x:v>低</x:v>
      </x:c>
      <x:c r="R90" s="22" t="n">
        <x:v>84</x:v>
      </x:c>
      <x:c r="S90" s="22" t="str">
        <x:v>https://www.city.ota.tokyo.jp/seikatsu/sumaimachinami/haneda_airport/hgw/waterside/soramunadohanedaryokuti.html</x:v>
      </x:c>
    </x:row>
    <x:row r="91">
      <x:c r="A91" s="22" t="str">
        <x:v>R136</x:v>
      </x:c>
      <x:c r="B91" s="22" t="str">
        <x:v>森ケ崎・屋上から足湯へ</x:v>
      </x:c>
      <x:c r="C91" s="22" t="str">
        <x:v>羽田・航空</x:v>
      </x:c>
      <x:c r="D91" s="22" t="n">
        <x:v>3</x:v>
      </x:c>
      <x:c r="E91" s="22" t="str">
        <x:v>HANEDA INNOVATION CITY 足湯スカイデッキ</x:v>
      </x:c>
      <x:c r="F91" s="22" t="str">
        <x:v>最終目的地</x:v>
      </x:c>
      <x:c r="G91" s="22" t="str">
        <x:v>到達・余韻</x:v>
      </x:c>
      <x:c r="H91" s="22" t="n">
        <x:v>25</x:v>
      </x:c>
      <x:c r="I91" s="22" t="str">
        <x:v>足湯・飛行機観察・出発前の身体切替</x:v>
      </x:c>
      <x:c r="J91" s="22" t="str">
        <x:v>専用・公式駐車場へ直接入庫</x:v>
      </x:c>
      <x:c r="K91" s="22" t="str">
        <x:v>夕方～夜</x:v>
      </x:c>
      <x:c r="L91" s="22" t="str">
        <x:v>23:30に間に合わない時</x:v>
      </x:c>
      <x:c r="M91" s="22" t="str">
        <x:v>最終地点で終了</x:v>
      </x:c>
      <x:c r="N91" s="22" t="n">
        <x:v>7</x:v>
      </x:c>
      <x:c r="O91" s="22" t="n">
        <x:v>1</x:v>
      </x:c>
      <x:c r="P91" s="22" t="n">
        <x:v>8</x:v>
      </x:c>
      <x:c r="Q91" s="22" t="str">
        <x:v>高</x:v>
      </x:c>
      <x:c r="R91" s="22" t="n">
        <x:v>88</x:v>
      </x:c>
      <x:c r="S91" s="22" t="str">
        <x:v>https://haneda-innovation-city.com/facility/page/2/</x:v>
      </x:c>
    </x:row>
    <x:row r="92">
      <x:c r="A92" s="22" t="str">
        <x:v>R137</x:v>
      </x:c>
      <x:c r="B92" s="22" t="str">
        <x:v>多摩川・休日ショート</x:v>
      </x:c>
      <x:c r="C92" s="22" t="str">
        <x:v>東京港・水辺</x:v>
      </x:c>
      <x:c r="D92" s="22" t="n">
        <x:v>1</x:v>
      </x:c>
      <x:c r="E92" s="22" t="str">
        <x:v>多摩川六郷橋緑地</x:v>
      </x:c>
      <x:c r="F92" s="22" t="str">
        <x:v>経由地</x:v>
      </x:c>
      <x:c r="G92" s="22" t="str">
        <x:v>導入・気分転換</x:v>
      </x:c>
      <x:c r="H92" s="22" t="n">
        <x:v>20</x:v>
      </x:c>
      <x:c r="I92" s="22" t="str">
        <x:v>水面・風・船を眺めて短く歩く</x:v>
      </x:c>
      <x:c r="J92" s="22" t="str">
        <x:v>小規模。満車なら待たずに省略</x:v>
      </x:c>
      <x:c r="K92" s="22" t="str">
        <x:v>昼～夕方</x:v>
      </x:c>
      <x:c r="L92" s="22" t="str">
        <x:v>満車時／19:30に間に合わない時／強風・高潮・増水時／工事・閉鎖時</x:v>
      </x:c>
      <x:c r="M92" s="22" t="str">
        <x:v>海・港・自然 → 海・港・自然</x:v>
      </x:c>
      <x:c r="N92" s="22" t="n">
        <x:v>1</x:v>
      </x:c>
      <x:c r="O92" s="22" t="n">
        <x:v>0</x:v>
      </x:c>
      <x:c r="P92" s="22" t="n">
        <x:v>1</x:v>
      </x:c>
      <x:c r="Q92" s="22" t="str">
        <x:v>なし</x:v>
      </x:c>
      <x:c r="R92" s="22" t="n">
        <x:v>78</x:v>
      </x:c>
      <x:c r="S92" s="22" t="str">
        <x:v>https://www.city.ota.tokyo.jp/shisetsu/kuei_park/rokugobashiryokuchi_chusyajyo.html</x:v>
      </x:c>
    </x:row>
    <x:row r="93">
      <x:c r="A93" s="22" t="str">
        <x:v>R137</x:v>
      </x:c>
      <x:c r="B93" s="22" t="str">
        <x:v>多摩川・休日ショート</x:v>
      </x:c>
      <x:c r="C93" s="22" t="str">
        <x:v>東京港・水辺</x:v>
      </x:c>
      <x:c r="D93" s="22" t="n">
        <x:v>2</x:v>
      </x:c>
      <x:c r="E93" s="22" t="str">
        <x:v>多摩川ガス橋緑地</x:v>
      </x:c>
      <x:c r="F93" s="22" t="str">
        <x:v>経由地</x:v>
      </x:c>
      <x:c r="G93" s="22" t="str">
        <x:v>景観転換・休憩</x:v>
      </x:c>
      <x:c r="H93" s="22" t="n">
        <x:v>20</x:v>
      </x:c>
      <x:c r="I93" s="22" t="str">
        <x:v>水面・風・船を眺めて短く歩く</x:v>
      </x:c>
      <x:c r="J93" s="22" t="str">
        <x:v>小規模。満車なら待たずに省略</x:v>
      </x:c>
      <x:c r="K93" s="22" t="str">
        <x:v>昼～夕方</x:v>
      </x:c>
      <x:c r="L93" s="22" t="str">
        <x:v>満車時／19:30に間に合わない時／強風・高潮・増水時／工事・閉鎖時</x:v>
      </x:c>
      <x:c r="M93" s="22" t="str">
        <x:v>海・港・自然 → 都市夜景・Story</x:v>
      </x:c>
      <x:c r="N93" s="22" t="n">
        <x:v>1</x:v>
      </x:c>
      <x:c r="O93" s="22" t="n">
        <x:v>0</x:v>
      </x:c>
      <x:c r="P93" s="22" t="n">
        <x:v>1</x:v>
      </x:c>
      <x:c r="Q93" s="22" t="str">
        <x:v>なし</x:v>
      </x:c>
      <x:c r="R93" s="22" t="n">
        <x:v>78</x:v>
      </x:c>
      <x:c r="S93" s="22" t="str">
        <x:v>https://www.city.ota.tokyo.jp/shisetsu/kuei_park/gasbashiryokuchi_chusyajyo.html</x:v>
      </x:c>
    </x:row>
    <x:row r="94">
      <x:c r="A94" s="22" t="str">
        <x:v>R137</x:v>
      </x:c>
      <x:c r="B94" s="22" t="str">
        <x:v>多摩川・休日ショート</x:v>
      </x:c>
      <x:c r="C94" s="22" t="str">
        <x:v>東京港・水辺</x:v>
      </x:c>
      <x:c r="D94" s="22" t="n">
        <x:v>3</x:v>
      </x:c>
      <x:c r="E94" s="22" t="str">
        <x:v>多摩川浅間神社</x:v>
      </x:c>
      <x:c r="F94" s="22" t="str">
        <x:v>最終目的地</x:v>
      </x:c>
      <x:c r="G94" s="22" t="str">
        <x:v>到達・余韻</x:v>
      </x:c>
      <x:c r="H94" s="22" t="n">
        <x:v>35</x:v>
      </x:c>
      <x:c r="I94" s="22" t="str">
        <x:v>Storyを1つ確認して短く散策</x:v>
      </x:c>
      <x:c r="J94" s="22" t="str">
        <x:v>専用・公式駐車場へ直接入庫</x:v>
      </x:c>
      <x:c r="K94" s="22" t="str">
        <x:v>昼～夕方</x:v>
      </x:c>
      <x:c r="L94" s="22" t="str">
        <x:v>16:00に間に合わない時</x:v>
      </x:c>
      <x:c r="M94" s="22" t="str">
        <x:v>最終地点で終了</x:v>
      </x:c>
      <x:c r="N94" s="22" t="n">
        <x:v>0</x:v>
      </x:c>
      <x:c r="O94" s="22" t="n">
        <x:v>1</x:v>
      </x:c>
      <x:c r="P94" s="22" t="n">
        <x:v>1</x:v>
      </x:c>
      <x:c r="Q94" s="22" t="str">
        <x:v>なし</x:v>
      </x:c>
      <x:c r="R94" s="22" t="n">
        <x:v>81</x:v>
      </x:c>
      <x:c r="S94" s="22" t="str">
        <x:v>https://sengenjinja.info/</x:v>
      </x:c>
    </x:row>
    <x:row r="95">
      <x:c r="A95" s="22" t="str">
        <x:v>R138</x:v>
      </x:c>
      <x:c r="B95" s="22" t="str">
        <x:v>池上から大森海岸へ</x:v>
      </x:c>
      <x:c r="C95" s="22" t="str">
        <x:v>東京港・水辺</x:v>
      </x:c>
      <x:c r="D95" s="22" t="n">
        <x:v>1</x:v>
      </x:c>
      <x:c r="E95" s="22" t="str">
        <x:v>池上梅園</x:v>
      </x:c>
      <x:c r="F95" s="22" t="str">
        <x:v>経由地</x:v>
      </x:c>
      <x:c r="G95" s="22" t="str">
        <x:v>導入・気分転換</x:v>
      </x:c>
      <x:c r="H95" s="22" t="n">
        <x:v>45</x:v>
      </x:c>
      <x:c r="I95" s="22" t="str">
        <x:v>Storyを1つ確認して短く散策</x:v>
      </x:c>
      <x:c r="J95" s="22" t="str">
        <x:v>小規模。満車なら待たずに省略</x:v>
      </x:c>
      <x:c r="K95" s="22" t="str">
        <x:v>午前～16時</x:v>
      </x:c>
      <x:c r="L95" s="22" t="str">
        <x:v>満車時／16:30に間に合わない時</x:v>
      </x:c>
      <x:c r="M95" s="22" t="str">
        <x:v>自然・Story → 自然・Story</x:v>
      </x:c>
      <x:c r="N95" s="22" t="n">
        <x:v>1</x:v>
      </x:c>
      <x:c r="O95" s="22" t="n">
        <x:v>0</x:v>
      </x:c>
      <x:c r="P95" s="22" t="n">
        <x:v>1</x:v>
      </x:c>
      <x:c r="Q95" s="22" t="str">
        <x:v>なし</x:v>
      </x:c>
      <x:c r="R95" s="22" t="n">
        <x:v>73</x:v>
      </x:c>
      <x:c r="S95" s="22" t="str">
        <x:v>https://www.city.ota.tokyo.jp/shisetsu/park/ikegamibaien.html</x:v>
      </x:c>
    </x:row>
    <x:row r="96">
      <x:c r="A96" s="22" t="str">
        <x:v>R138</x:v>
      </x:c>
      <x:c r="B96" s="22" t="str">
        <x:v>池上から大森海岸へ</x:v>
      </x:c>
      <x:c r="C96" s="22" t="str">
        <x:v>東京港・水辺</x:v>
      </x:c>
      <x:c r="D96" s="22" t="n">
        <x:v>2</x:v>
      </x:c>
      <x:c r="E96" s="22" t="str">
        <x:v>平和の森公園</x:v>
      </x:c>
      <x:c r="F96" s="22" t="str">
        <x:v>経由地</x:v>
      </x:c>
      <x:c r="G96" s="22" t="str">
        <x:v>景観転換・休憩</x:v>
      </x:c>
      <x:c r="H96" s="22" t="n">
        <x:v>20</x:v>
      </x:c>
      <x:c r="I96" s="22" t="str">
        <x:v>Storyを1つ確認して短く散策</x:v>
      </x:c>
      <x:c r="J96" s="22" t="str">
        <x:v>小規模。満車なら待たずに省略</x:v>
      </x:c>
      <x:c r="K96" s="22" t="str">
        <x:v>昼～夕方</x:v>
      </x:c>
      <x:c r="L96" s="22" t="str">
        <x:v>満車時</x:v>
      </x:c>
      <x:c r="M96" s="22" t="str">
        <x:v>自然・Story → 海・港・Story</x:v>
      </x:c>
      <x:c r="N96" s="22" t="n">
        <x:v>2</x:v>
      </x:c>
      <x:c r="O96" s="22" t="n">
        <x:v>0</x:v>
      </x:c>
      <x:c r="P96" s="22" t="n">
        <x:v>2</x:v>
      </x:c>
      <x:c r="Q96" s="22" t="str">
        <x:v>低</x:v>
      </x:c>
      <x:c r="R96" s="22" t="n">
        <x:v>76</x:v>
      </x:c>
      <x:c r="S96" s="22" t="str">
        <x:v>https://www.city.ota.tokyo.jp/shisetsu/park/heiwanomori.html</x:v>
      </x:c>
    </x:row>
    <x:row r="97">
      <x:c r="A97" s="22" t="str">
        <x:v>R138</x:v>
      </x:c>
      <x:c r="B97" s="22" t="str">
        <x:v>池上から大森海岸へ</x:v>
      </x:c>
      <x:c r="C97" s="22" t="str">
        <x:v>東京港・水辺</x:v>
      </x:c>
      <x:c r="D97" s="22" t="n">
        <x:v>3</x:v>
      </x:c>
      <x:c r="E97" s="22" t="str">
        <x:v>大森ふるさとの浜辺公園</x:v>
      </x:c>
      <x:c r="F97" s="22" t="str">
        <x:v>最終目的地</x:v>
      </x:c>
      <x:c r="G97" s="22" t="str">
        <x:v>到達・余韻</x:v>
      </x:c>
      <x:c r="H97" s="22" t="n">
        <x:v>45</x:v>
      </x:c>
      <x:c r="I97" s="22" t="str">
        <x:v>Storyを1つ確認して短く散策</x:v>
      </x:c>
      <x:c r="J97" s="22" t="str">
        <x:v>専用・公式駐車場へ直接入庫</x:v>
      </x:c>
      <x:c r="K97" s="22" t="str">
        <x:v>夕方～夜</x:v>
      </x:c>
      <x:c r="L97" s="22" t="str">
        <x:v>臨時閉鎖・イベント混雑時</x:v>
      </x:c>
      <x:c r="M97" s="22" t="str">
        <x:v>最終地点で終了</x:v>
      </x:c>
      <x:c r="N97" s="22" t="n">
        <x:v>2</x:v>
      </x:c>
      <x:c r="O97" s="22" t="n">
        <x:v>1</x:v>
      </x:c>
      <x:c r="P97" s="22" t="n">
        <x:v>3</x:v>
      </x:c>
      <x:c r="Q97" s="22" t="str">
        <x:v>低</x:v>
      </x:c>
      <x:c r="R97" s="22" t="n">
        <x:v>88</x:v>
      </x:c>
      <x:c r="S97" s="22" t="str">
        <x:v>https://www.city.ota.tokyo.jp/shisetsu/park/oomorifurusatonohamabe.html</x:v>
      </x:c>
    </x:row>
    <x:row r="98">
      <x:c r="A98" s="22" t="str">
        <x:v>R139</x:v>
      </x:c>
      <x:c r="B98" s="22" t="str">
        <x:v>大井・東京港ショート</x:v>
      </x:c>
      <x:c r="C98" s="22" t="str">
        <x:v>羽田・航空</x:v>
      </x:c>
      <x:c r="D98" s="22" t="n">
        <x:v>1</x:v>
      </x:c>
      <x:c r="E98" s="22" t="str">
        <x:v>東京港野鳥公園</x:v>
      </x:c>
      <x:c r="F98" s="22" t="str">
        <x:v>経由地</x:v>
      </x:c>
      <x:c r="G98" s="22" t="str">
        <x:v>導入・気分転換</x:v>
      </x:c>
      <x:c r="H98" s="22" t="n">
        <x:v>25</x:v>
      </x:c>
      <x:c r="I98" s="22" t="str">
        <x:v>航空機観察・短時間撮影</x:v>
      </x:c>
      <x:c r="J98" s="22" t="str">
        <x:v>専用・公式駐車場へ直接入庫</x:v>
      </x:c>
      <x:c r="K98" s="22" t="str">
        <x:v>午前～16時</x:v>
      </x:c>
      <x:c r="L98" s="22" t="str">
        <x:v>17:00に間に合わない時</x:v>
      </x:c>
      <x:c r="M98" s="22" t="str">
        <x:v>飛行機・海・港 → 飛行機・工場夜景</x:v>
      </x:c>
      <x:c r="N98" s="22" t="n">
        <x:v>2</x:v>
      </x:c>
      <x:c r="O98" s="22" t="n">
        <x:v>0</x:v>
      </x:c>
      <x:c r="P98" s="22" t="n">
        <x:v>2</x:v>
      </x:c>
      <x:c r="Q98" s="22" t="str">
        <x:v>低</x:v>
      </x:c>
      <x:c r="R98" s="22" t="n">
        <x:v>68</x:v>
      </x:c>
      <x:c r="S98" s="22" t="str">
        <x:v>https://www.tptc.co.jp/park/03_08</x:v>
      </x:c>
    </x:row>
    <x:row r="99">
      <x:c r="A99" s="22" t="str">
        <x:v>R139</x:v>
      </x:c>
      <x:c r="B99" s="22" t="str">
        <x:v>大井・東京港ショート</x:v>
      </x:c>
      <x:c r="C99" s="22" t="str">
        <x:v>羽田・航空</x:v>
      </x:c>
      <x:c r="D99" s="22" t="n">
        <x:v>2</x:v>
      </x:c>
      <x:c r="E99" s="22" t="str">
        <x:v>京浜島つばさ公園</x:v>
      </x:c>
      <x:c r="F99" s="22" t="str">
        <x:v>経由地</x:v>
      </x:c>
      <x:c r="G99" s="22" t="str">
        <x:v>景観転換・休憩</x:v>
      </x:c>
      <x:c r="H99" s="22" t="n">
        <x:v>25</x:v>
      </x:c>
      <x:c r="I99" s="22" t="str">
        <x:v>航空機観察・短時間撮影</x:v>
      </x:c>
      <x:c r="J99" s="22" t="str">
        <x:v>小規模。満車なら待たずに省略</x:v>
      </x:c>
      <x:c r="K99" s="22" t="str">
        <x:v>夕方～夜</x:v>
      </x:c>
      <x:c r="L99" s="22" t="str">
        <x:v>満車時</x:v>
      </x:c>
      <x:c r="M99" s="22" t="str">
        <x:v>飛行機・工場夜景 → 飛行機・海・港</x:v>
      </x:c>
      <x:c r="N99" s="22" t="n">
        <x:v>3</x:v>
      </x:c>
      <x:c r="O99" s="22" t="n">
        <x:v>1</x:v>
      </x:c>
      <x:c r="P99" s="22" t="n">
        <x:v>4</x:v>
      </x:c>
      <x:c r="Q99" s="22" t="str">
        <x:v>中</x:v>
      </x:c>
      <x:c r="R99" s="22" t="n">
        <x:v>70</x:v>
      </x:c>
      <x:c r="S99" s="22" t="str">
        <x:v>https://tokyo-south-seaside-parks.com/keihinjima/</x:v>
      </x:c>
    </x:row>
    <x:row r="100">
      <x:c r="A100" s="22" t="str">
        <x:v>R139</x:v>
      </x:c>
      <x:c r="B100" s="22" t="str">
        <x:v>大井・東京港ショート</x:v>
      </x:c>
      <x:c r="C100" s="22" t="str">
        <x:v>羽田・航空</x:v>
      </x:c>
      <x:c r="D100" s="22" t="n">
        <x:v>3</x:v>
      </x:c>
      <x:c r="E100" s="22" t="str">
        <x:v>城南島海浜公園</x:v>
      </x:c>
      <x:c r="F100" s="22" t="str">
        <x:v>最終目的地</x:v>
      </x:c>
      <x:c r="G100" s="22" t="str">
        <x:v>到達・余韻</x:v>
      </x:c>
      <x:c r="H100" s="22" t="n">
        <x:v>40</x:v>
      </x:c>
      <x:c r="I100" s="22" t="str">
        <x:v>航空機観察・短時間撮影</x:v>
      </x:c>
      <x:c r="J100" s="22" t="str">
        <x:v>専用・公式駐車場へ直接入庫</x:v>
      </x:c>
      <x:c r="K100" s="22" t="str">
        <x:v>夕方～夜</x:v>
      </x:c>
      <x:c r="L100" s="22" t="str">
        <x:v>21:00に間に合わない時／工事・閉鎖時</x:v>
      </x:c>
      <x:c r="M100" s="22" t="str">
        <x:v>最終地点で終了</x:v>
      </x:c>
      <x:c r="N100" s="22" t="n">
        <x:v>0</x:v>
      </x:c>
      <x:c r="O100" s="22" t="n">
        <x:v>5</x:v>
      </x:c>
      <x:c r="P100" s="22" t="n">
        <x:v>5</x:v>
      </x:c>
      <x:c r="Q100" s="22" t="str">
        <x:v>中</x:v>
      </x:c>
      <x:c r="R100" s="22" t="n">
        <x:v>77</x:v>
      </x:c>
      <x:c r="S100" s="22" t="str">
        <x:v>https://tokyo-south-seaside-parks.com/jonanjima/</x:v>
      </x:c>
    </x:row>
    <x:row r="101">
      <x:c r="A101" s="22" t="str">
        <x:v>R140</x:v>
      </x:c>
      <x:c r="B101" s="22" t="str">
        <x:v>お台場から豊洲の水際夜景</x:v>
      </x:c>
      <x:c r="C101" s="22" t="str">
        <x:v>東京港・水辺</x:v>
      </x:c>
      <x:c r="D101" s="22" t="n">
        <x:v>1</x:v>
      </x:c>
      <x:c r="E101" s="22" t="str">
        <x:v>お台場海浜公園</x:v>
      </x:c>
      <x:c r="F101" s="22" t="str">
        <x:v>経由地</x:v>
      </x:c>
      <x:c r="G101" s="22" t="str">
        <x:v>導入・気分転換</x:v>
      </x:c>
      <x:c r="H101" s="22" t="n">
        <x:v>20</x:v>
      </x:c>
      <x:c r="I101" s="22" t="str">
        <x:v>水面・風・船を眺めて短く歩く</x:v>
      </x:c>
      <x:c r="J101" s="22" t="str">
        <x:v>専用・公式駐車場へ直接入庫</x:v>
      </x:c>
      <x:c r="K101" s="22" t="str">
        <x:v>日没後</x:v>
      </x:c>
      <x:c r="L101" s="22" t="str">
        <x:v>工事・閉鎖時</x:v>
      </x:c>
      <x:c r="M101" s="22" t="str">
        <x:v>海・港・都市夜景 → 都市夜景</x:v>
      </x:c>
      <x:c r="N101" s="22" t="n">
        <x:v>1</x:v>
      </x:c>
      <x:c r="O101" s="22" t="n">
        <x:v>0</x:v>
      </x:c>
      <x:c r="P101" s="22" t="n">
        <x:v>1</x:v>
      </x:c>
      <x:c r="Q101" s="22" t="str">
        <x:v>なし</x:v>
      </x:c>
      <x:c r="R101" s="22" t="n">
        <x:v>90</x:v>
      </x:c>
      <x:c r="S101" s="22" t="str">
        <x:v>https://www.tptc.co.jp/park/01_02/access</x:v>
      </x:c>
    </x:row>
    <x:row r="102">
      <x:c r="A102" s="22" t="str">
        <x:v>R140</x:v>
      </x:c>
      <x:c r="B102" s="22" t="str">
        <x:v>お台場から豊洲の水際夜景</x:v>
      </x:c>
      <x:c r="C102" s="22" t="str">
        <x:v>東京港・水辺</x:v>
      </x:c>
      <x:c r="D102" s="22" t="n">
        <x:v>2</x:v>
      </x:c>
      <x:c r="E102" s="22" t="str">
        <x:v>豊洲ぐるり公園</x:v>
      </x:c>
      <x:c r="F102" s="22" t="str">
        <x:v>経由地</x:v>
      </x:c>
      <x:c r="G102" s="22" t="str">
        <x:v>景観転換・休憩</x:v>
      </x:c>
      <x:c r="H102" s="22" t="n">
        <x:v>18</x:v>
      </x:c>
      <x:c r="I102" s="22" t="str">
        <x:v>景観確認・短時間休憩</x:v>
      </x:c>
      <x:c r="J102" s="22" t="str">
        <x:v>専用・公式駐車場へ直接入庫</x:v>
      </x:c>
      <x:c r="K102" s="22" t="str">
        <x:v>日没後</x:v>
      </x:c>
      <x:c r="L102" s="22" t="str">
        <x:v>臨時閉鎖・イベント混雑時</x:v>
      </x:c>
      <x:c r="M102" s="22" t="str">
        <x:v>都市夜景 → 海・港・都市夜景</x:v>
      </x:c>
      <x:c r="N102" s="22" t="n">
        <x:v>2</x:v>
      </x:c>
      <x:c r="O102" s="22" t="n">
        <x:v>0</x:v>
      </x:c>
      <x:c r="P102" s="22" t="n">
        <x:v>2</x:v>
      </x:c>
      <x:c r="Q102" s="22" t="str">
        <x:v>低</x:v>
      </x:c>
      <x:c r="R102" s="22" t="n">
        <x:v>86</x:v>
      </x:c>
      <x:c r="S102" s="22" t="str">
        <x:v>https://www.city.koto.lg.jp/470705/kasenkouen/toyosugururipark.html</x:v>
      </x:c>
    </x:row>
    <x:row r="103">
      <x:c r="A103" s="22" t="str">
        <x:v>R140</x:v>
      </x:c>
      <x:c r="B103" s="22" t="str">
        <x:v>お台場から豊洲の水際夜景</x:v>
      </x:c>
      <x:c r="C103" s="22" t="str">
        <x:v>東京港・水辺</x:v>
      </x:c>
      <x:c r="D103" s="22" t="n">
        <x:v>3</x:v>
      </x:c>
      <x:c r="E103" s="22" t="str">
        <x:v>晴海ふ頭公園</x:v>
      </x:c>
      <x:c r="F103" s="22" t="str">
        <x:v>最終目的地</x:v>
      </x:c>
      <x:c r="G103" s="22" t="str">
        <x:v>到達・余韻</x:v>
      </x:c>
      <x:c r="H103" s="22" t="n">
        <x:v>45</x:v>
      </x:c>
      <x:c r="I103" s="22" t="str">
        <x:v>Storyを1つ確認して短く散策</x:v>
      </x:c>
      <x:c r="J103" s="22" t="str">
        <x:v>小規模。満車なら待たずに省略</x:v>
      </x:c>
      <x:c r="K103" s="22" t="str">
        <x:v>日没後</x:v>
      </x:c>
      <x:c r="L103" s="22" t="str">
        <x:v>満車時</x:v>
      </x:c>
      <x:c r="M103" s="22" t="str">
        <x:v>最終地点で終了</x:v>
      </x:c>
      <x:c r="N103" s="22" t="n">
        <x:v>1</x:v>
      </x:c>
      <x:c r="O103" s="22" t="n">
        <x:v>1</x:v>
      </x:c>
      <x:c r="P103" s="22" t="n">
        <x:v>2</x:v>
      </x:c>
      <x:c r="Q103" s="22" t="str">
        <x:v>低</x:v>
      </x:c>
      <x:c r="R103" s="22" t="n">
        <x:v>72</x:v>
      </x:c>
      <x:c r="S103" s="22" t="str">
        <x:v>https://www.tptc.co.jp/park/02_01</x:v>
      </x:c>
    </x:row>
    <x:row r="104">
      <x:c r="A104" s="22" t="str">
        <x:v>R141</x:v>
      </x:c>
      <x:c r="B104" s="22" t="str">
        <x:v>雨天・羽田インドア線</x:v>
      </x:c>
      <x:c r="C104" s="22" t="str">
        <x:v>羽田・航空</x:v>
      </x:c>
      <x:c r="D104" s="22" t="n">
        <x:v>1</x:v>
      </x:c>
      <x:c r="E104" s="22" t="str">
        <x:v>HANEDA INNOVATION CITY 足湯スカイデッキ</x:v>
      </x:c>
      <x:c r="F104" s="22" t="str">
        <x:v>経由地</x:v>
      </x:c>
      <x:c r="G104" s="22" t="str">
        <x:v>導入・気分転換</x:v>
      </x:c>
      <x:c r="H104" s="22" t="n">
        <x:v>25</x:v>
      </x:c>
      <x:c r="I104" s="22" t="str">
        <x:v>足湯・飛行機観察・出発前の身体切替</x:v>
      </x:c>
      <x:c r="J104" s="22" t="str">
        <x:v>専用・公式駐車場へ直接入庫</x:v>
      </x:c>
      <x:c r="K104" s="22" t="str">
        <x:v>夕方～夜</x:v>
      </x:c>
      <x:c r="L104" s="22" t="str">
        <x:v>23:30に間に合わない時</x:v>
      </x:c>
      <x:c r="M104" s="22" t="str">
        <x:v>飛行機・都市夜景 → 飛行機・都市夜景</x:v>
      </x:c>
      <x:c r="N104" s="22" t="n">
        <x:v>7</x:v>
      </x:c>
      <x:c r="O104" s="22" t="n">
        <x:v>1</x:v>
      </x:c>
      <x:c r="P104" s="22" t="n">
        <x:v>8</x:v>
      </x:c>
      <x:c r="Q104" s="22" t="str">
        <x:v>高</x:v>
      </x:c>
      <x:c r="R104" s="22" t="n">
        <x:v>88</x:v>
      </x:c>
      <x:c r="S104" s="22" t="str">
        <x:v>https://haneda-innovation-city.com/facility/page/2/</x:v>
      </x:c>
    </x:row>
    <x:row r="105">
      <x:c r="A105" s="22" t="str">
        <x:v>R141</x:v>
      </x:c>
      <x:c r="B105" s="22" t="str">
        <x:v>雨天・羽田インドア線</x:v>
      </x:c>
      <x:c r="C105" s="22" t="str">
        <x:v>羽田・航空</x:v>
      </x:c>
      <x:c r="D105" s="22" t="n">
        <x:v>2</x:v>
      </x:c>
      <x:c r="E105" s="22" t="str">
        <x:v>羽田空港 第2ターミナル展望デッキ／FLIGHT DECK TOKYO</x:v>
      </x:c>
      <x:c r="F105" s="22" t="str">
        <x:v>経由地</x:v>
      </x:c>
      <x:c r="G105" s="22" t="str">
        <x:v>景観転換・休憩</x:v>
      </x:c>
      <x:c r="H105" s="22" t="n">
        <x:v>25</x:v>
      </x:c>
      <x:c r="I105" s="22" t="str">
        <x:v>航空機観察・短時間撮影</x:v>
      </x:c>
      <x:c r="J105" s="22" t="str">
        <x:v>P3/P4等に1回駐車し、ターミナル間は無料連絡バス</x:v>
      </x:c>
      <x:c r="K105" s="22" t="str">
        <x:v>夕方～夜</x:v>
      </x:c>
      <x:c r="L105" s="22" t="str">
        <x:v>23:00に間に合わない時／工事・閉鎖時</x:v>
      </x:c>
      <x:c r="M105" s="22" t="str">
        <x:v>飛行機・都市夜景 → 飛行機・都市夜景</x:v>
      </x:c>
      <x:c r="N105" s="22" t="n">
        <x:v>2</x:v>
      </x:c>
      <x:c r="O105" s="22" t="n">
        <x:v>0</x:v>
      </x:c>
      <x:c r="P105" s="22" t="n">
        <x:v>2</x:v>
      </x:c>
      <x:c r="Q105" s="22" t="str">
        <x:v>低</x:v>
      </x:c>
      <x:c r="R105" s="22" t="n">
        <x:v>79</x:v>
      </x:c>
      <x:c r="S105" s="22" t="str">
        <x:v>https://tokyo-haneda.com/service/facilities/observation_deck.html</x:v>
      </x:c>
    </x:row>
    <x:row r="106">
      <x:c r="A106" s="22" t="str">
        <x:v>R141</x:v>
      </x:c>
      <x:c r="B106" s="22" t="str">
        <x:v>雨天・羽田インドア線</x:v>
      </x:c>
      <x:c r="C106" s="22" t="str">
        <x:v>羽田・航空</x:v>
      </x:c>
      <x:c r="D106" s="22" t="n">
        <x:v>3</x:v>
      </x:c>
      <x:c r="E106" s="22" t="str">
        <x:v>羽田空港 第3ターミナル展望デッキ</x:v>
      </x:c>
      <x:c r="F106" s="22" t="str">
        <x:v>最終目的地</x:v>
      </x:c>
      <x:c r="G106" s="22" t="str">
        <x:v>到達・余韻</x:v>
      </x:c>
      <x:c r="H106" s="22" t="n">
        <x:v>40</x:v>
      </x:c>
      <x:c r="I106" s="22" t="str">
        <x:v>航空機観察・短時間撮影</x:v>
      </x:c>
      <x:c r="J106" s="22" t="str">
        <x:v>P3/P4等に1回駐車し、ターミナル間は無料連絡バス</x:v>
      </x:c>
      <x:c r="K106" s="22" t="str">
        <x:v>夕方～夜</x:v>
      </x:c>
      <x:c r="L106" s="22" t="str">
        <x:v>工事・閉鎖時</x:v>
      </x:c>
      <x:c r="M106" s="22" t="str">
        <x:v>最終地点で終了</x:v>
      </x:c>
      <x:c r="N106" s="22" t="n">
        <x:v>2</x:v>
      </x:c>
      <x:c r="O106" s="22" t="n">
        <x:v>4</x:v>
      </x:c>
      <x:c r="P106" s="22" t="n">
        <x:v>6</x:v>
      </x:c>
      <x:c r="Q106" s="22" t="str">
        <x:v>高</x:v>
      </x:c>
      <x:c r="R106" s="22" t="n">
        <x:v>81</x:v>
      </x:c>
      <x:c r="S106" s="22" t="str">
        <x:v>https://tokyo-haneda.com/service/facilities/observation_deck.html</x:v>
      </x:c>
    </x:row>
    <x:row r="107">
      <x:c r="A107" s="22" t="str">
        <x:v>R142</x:v>
      </x:c>
      <x:c r="B107" s="22" t="str">
        <x:v>深夜2時間・羽田海辺</x:v>
      </x:c>
      <x:c r="C107" s="22" t="str">
        <x:v>羽田・航空</x:v>
      </x:c>
      <x:c r="D107" s="22" t="n">
        <x:v>1</x:v>
      </x:c>
      <x:c r="E107" s="22" t="str">
        <x:v>羽田空港 第3ターミナル展望デッキ</x:v>
      </x:c>
      <x:c r="F107" s="22" t="str">
        <x:v>経由地</x:v>
      </x:c>
      <x:c r="G107" s="22" t="str">
        <x:v>導入・気分転換</x:v>
      </x:c>
      <x:c r="H107" s="22" t="n">
        <x:v>25</x:v>
      </x:c>
      <x:c r="I107" s="22" t="str">
        <x:v>航空機観察・短時間撮影</x:v>
      </x:c>
      <x:c r="J107" s="22" t="str">
        <x:v>専用・公式駐車場へ直接入庫</x:v>
      </x:c>
      <x:c r="K107" s="22" t="str">
        <x:v>夕方～夜</x:v>
      </x:c>
      <x:c r="L107" s="22" t="str">
        <x:v>工事・閉鎖時</x:v>
      </x:c>
      <x:c r="M107" s="22" t="str">
        <x:v>飛行機・都市夜景 → 飛行機・都市夜景</x:v>
      </x:c>
      <x:c r="N107" s="22" t="n">
        <x:v>2</x:v>
      </x:c>
      <x:c r="O107" s="22" t="n">
        <x:v>4</x:v>
      </x:c>
      <x:c r="P107" s="22" t="n">
        <x:v>6</x:v>
      </x:c>
      <x:c r="Q107" s="22" t="str">
        <x:v>高</x:v>
      </x:c>
      <x:c r="R107" s="22" t="n">
        <x:v>82</x:v>
      </x:c>
      <x:c r="S107" s="22" t="str">
        <x:v>https://tokyo-haneda.com/service/facilities/observation_deck.html</x:v>
      </x:c>
    </x:row>
    <x:row r="108">
      <x:c r="A108" s="22" t="str">
        <x:v>R142</x:v>
      </x:c>
      <x:c r="B108" s="22" t="str">
        <x:v>深夜2時間・羽田海辺</x:v>
      </x:c>
      <x:c r="C108" s="22" t="str">
        <x:v>羽田・航空</x:v>
      </x:c>
      <x:c r="D108" s="22" t="n">
        <x:v>2</x:v>
      </x:c>
      <x:c r="E108" s="22" t="str">
        <x:v>HANEDA INNOVATION CITY 足湯スカイデッキ</x:v>
      </x:c>
      <x:c r="F108" s="22" t="str">
        <x:v>経由地</x:v>
      </x:c>
      <x:c r="G108" s="22" t="str">
        <x:v>景観転換・休憩</x:v>
      </x:c>
      <x:c r="H108" s="22" t="n">
        <x:v>25</x:v>
      </x:c>
      <x:c r="I108" s="22" t="str">
        <x:v>足湯・飛行機観察・出発前の身体切替</x:v>
      </x:c>
      <x:c r="J108" s="22" t="str">
        <x:v>専用・公式駐車場へ直接入庫</x:v>
      </x:c>
      <x:c r="K108" s="22" t="str">
        <x:v>夕方～夜</x:v>
      </x:c>
      <x:c r="L108" s="22" t="str">
        <x:v>23:30に間に合わない時</x:v>
      </x:c>
      <x:c r="M108" s="22" t="str">
        <x:v>飛行機・都市夜景 → 飛行機・海・港</x:v>
      </x:c>
      <x:c r="N108" s="22" t="n">
        <x:v>7</x:v>
      </x:c>
      <x:c r="O108" s="22" t="n">
        <x:v>1</x:v>
      </x:c>
      <x:c r="P108" s="22" t="n">
        <x:v>8</x:v>
      </x:c>
      <x:c r="Q108" s="22" t="str">
        <x:v>高</x:v>
      </x:c>
      <x:c r="R108" s="22" t="n">
        <x:v>86</x:v>
      </x:c>
      <x:c r="S108" s="22" t="str">
        <x:v>https://haneda-innovation-city.com/facility/page/2/</x:v>
      </x:c>
    </x:row>
    <x:row r="109">
      <x:c r="A109" s="22" t="str">
        <x:v>R142</x:v>
      </x:c>
      <x:c r="B109" s="22" t="str">
        <x:v>深夜2時間・羽田海辺</x:v>
      </x:c>
      <x:c r="C109" s="22" t="str">
        <x:v>羽田・航空</x:v>
      </x:c>
      <x:c r="D109" s="22" t="n">
        <x:v>3</x:v>
      </x:c>
      <x:c r="E109" s="22" t="str">
        <x:v>城南島海浜公園</x:v>
      </x:c>
      <x:c r="F109" s="22" t="str">
        <x:v>最終目的地</x:v>
      </x:c>
      <x:c r="G109" s="22" t="str">
        <x:v>到達・余韻</x:v>
      </x:c>
      <x:c r="H109" s="22" t="n">
        <x:v>40</x:v>
      </x:c>
      <x:c r="I109" s="22" t="str">
        <x:v>航空機観察・短時間撮影</x:v>
      </x:c>
      <x:c r="J109" s="22" t="str">
        <x:v>専用・公式駐車場へ直接入庫</x:v>
      </x:c>
      <x:c r="K109" s="22" t="str">
        <x:v>夕方～夜</x:v>
      </x:c>
      <x:c r="L109" s="22" t="str">
        <x:v>21:00に間に合わない時／工事・閉鎖時</x:v>
      </x:c>
      <x:c r="M109" s="22" t="str">
        <x:v>最終地点で終了</x:v>
      </x:c>
      <x:c r="N109" s="22" t="n">
        <x:v>0</x:v>
      </x:c>
      <x:c r="O109" s="22" t="n">
        <x:v>5</x:v>
      </x:c>
      <x:c r="P109" s="22" t="n">
        <x:v>5</x:v>
      </x:c>
      <x:c r="Q109" s="22" t="str">
        <x:v>中</x:v>
      </x:c>
      <x:c r="R109" s="22" t="n">
        <x:v>74</x:v>
      </x:c>
      <x:c r="S109" s="22" t="str">
        <x:v>https://tokyo-south-seaside-parks.com/jonanjima/</x:v>
      </x:c>
    </x:row>
    <x:row r="110">
      <x:c r="A110" s="22" t="str">
        <x:v>R143</x:v>
      </x:c>
      <x:c r="B110" s="22" t="str">
        <x:v>羽田から川崎工場夜景へ</x:v>
      </x:c>
      <x:c r="C110" s="22" t="str">
        <x:v>川崎・工場夜景</x:v>
      </x:c>
      <x:c r="D110" s="22" t="n">
        <x:v>1</x:v>
      </x:c>
      <x:c r="E110" s="22" t="str">
        <x:v>HANEDA INNOVATION CITY 足湯スカイデッキ</x:v>
      </x:c>
      <x:c r="F110" s="22" t="str">
        <x:v>経由地</x:v>
      </x:c>
      <x:c r="G110" s="22" t="str">
        <x:v>導入・気分転換</x:v>
      </x:c>
      <x:c r="H110" s="22" t="n">
        <x:v>25</x:v>
      </x:c>
      <x:c r="I110" s="22" t="str">
        <x:v>足湯・飛行機観察・出発前の身体切替</x:v>
      </x:c>
      <x:c r="J110" s="22" t="str">
        <x:v>専用・公式駐車場へ直接入庫</x:v>
      </x:c>
      <x:c r="K110" s="22" t="str">
        <x:v>夕方～夜</x:v>
      </x:c>
      <x:c r="L110" s="22" t="str">
        <x:v>23:30に間に合わない時</x:v>
      </x:c>
      <x:c r="M110" s="22" t="str">
        <x:v>飛行機・都市夜景 → 海・港・工場夜景</x:v>
      </x:c>
      <x:c r="N110" s="22" t="n">
        <x:v>7</x:v>
      </x:c>
      <x:c r="O110" s="22" t="n">
        <x:v>1</x:v>
      </x:c>
      <x:c r="P110" s="22" t="n">
        <x:v>8</x:v>
      </x:c>
      <x:c r="Q110" s="22" t="str">
        <x:v>高</x:v>
      </x:c>
      <x:c r="R110" s="22" t="n">
        <x:v>88</x:v>
      </x:c>
      <x:c r="S110" s="22" t="str">
        <x:v>https://haneda-innovation-city.com/facility/page/2/</x:v>
      </x:c>
    </x:row>
    <x:row r="111">
      <x:c r="A111" s="22" t="str">
        <x:v>R143</x:v>
      </x:c>
      <x:c r="B111" s="22" t="str">
        <x:v>羽田から川崎工場夜景へ</x:v>
      </x:c>
      <x:c r="C111" s="22" t="str">
        <x:v>川崎・工場夜景</x:v>
      </x:c>
      <x:c r="D111" s="22" t="n">
        <x:v>2</x:v>
      </x:c>
      <x:c r="E111" s="22" t="str">
        <x:v>川崎マリエン</x:v>
      </x:c>
      <x:c r="F111" s="22" t="str">
        <x:v>経由地</x:v>
      </x:c>
      <x:c r="G111" s="22" t="str">
        <x:v>景観転換・休憩</x:v>
      </x:c>
      <x:c r="H111" s="22" t="n">
        <x:v>25</x:v>
      </x:c>
      <x:c r="I111" s="22" t="str">
        <x:v>水面・風・船を眺めて短く歩く</x:v>
      </x:c>
      <x:c r="J111" s="22" t="str">
        <x:v>専用・公式駐車場へ直接入庫</x:v>
      </x:c>
      <x:c r="K111" s="22" t="str">
        <x:v>日没後</x:v>
      </x:c>
      <x:c r="L111" s="22" t="str">
        <x:v>工事・閉鎖時</x:v>
      </x:c>
      <x:c r="M111" s="22" t="str">
        <x:v>海・港・工場夜景 → 海・港・工場夜景</x:v>
      </x:c>
      <x:c r="N111" s="22" t="n">
        <x:v>2</x:v>
      </x:c>
      <x:c r="O111" s="22" t="n">
        <x:v>1</x:v>
      </x:c>
      <x:c r="P111" s="22" t="n">
        <x:v>3</x:v>
      </x:c>
      <x:c r="Q111" s="22" t="str">
        <x:v>低</x:v>
      </x:c>
      <x:c r="R111" s="22" t="n">
        <x:v>92</x:v>
      </x:c>
      <x:c r="S111" s="22" t="str">
        <x:v>https://www.kawasakiport.or.jp/</x:v>
      </x:c>
    </x:row>
    <x:row r="112">
      <x:c r="A112" s="22" t="str">
        <x:v>R143</x:v>
      </x:c>
      <x:c r="B112" s="22" t="str">
        <x:v>羽田から川崎工場夜景へ</x:v>
      </x:c>
      <x:c r="C112" s="22" t="str">
        <x:v>川崎・工場夜景</x:v>
      </x:c>
      <x:c r="D112" s="22" t="n">
        <x:v>3</x:v>
      </x:c>
      <x:c r="E112" s="22" t="str">
        <x:v>東扇島西公園</x:v>
      </x:c>
      <x:c r="F112" s="22" t="str">
        <x:v>最終目的地</x:v>
      </x:c>
      <x:c r="G112" s="22" t="str">
        <x:v>到達・余韻</x:v>
      </x:c>
      <x:c r="H112" s="22" t="n">
        <x:v>45</x:v>
      </x:c>
      <x:c r="I112" s="22" t="str">
        <x:v>水面・風・船を眺めて短く歩く</x:v>
      </x:c>
      <x:c r="J112" s="22" t="str">
        <x:v>車の経由地には不向き。合法駐車から徒歩のみ</x:v>
      </x:c>
      <x:c r="K112" s="22" t="str">
        <x:v>夕方～夜</x:v>
      </x:c>
      <x:c r="L112" s="22" t="str">
        <x:v>満車時</x:v>
      </x:c>
      <x:c r="M112" s="22" t="str">
        <x:v>最終地点で終了</x:v>
      </x:c>
      <x:c r="N112" s="22" t="n">
        <x:v>0</x:v>
      </x:c>
      <x:c r="O112" s="22" t="n">
        <x:v>2</x:v>
      </x:c>
      <x:c r="P112" s="22" t="n">
        <x:v>2</x:v>
      </x:c>
      <x:c r="Q112" s="22" t="str">
        <x:v>低</x:v>
      </x:c>
      <x:c r="R112" s="22" t="n">
        <x:v>65</x:v>
      </x:c>
      <x:c r="S112" s="22" t="str">
        <x:v>https://www.city.kawasaki.jp/580/page/0000001336.html</x:v>
      </x:c>
    </x:row>
    <x:row r="113">
      <x:c r="A113" s="22" t="str">
        <x:v>R144</x:v>
      </x:c>
      <x:c r="B113" s="22" t="str">
        <x:v>平日夜90分・最短リセット</x:v>
      </x:c>
      <x:c r="C113" s="22" t="str">
        <x:v>羽田・航空</x:v>
      </x:c>
      <x:c r="D113" s="22" t="n">
        <x:v>1</x:v>
      </x:c>
      <x:c r="E113" s="22" t="str">
        <x:v>森ケ崎公園</x:v>
      </x:c>
      <x:c r="F113" s="22" t="str">
        <x:v>経由地</x:v>
      </x:c>
      <x:c r="G113" s="22" t="str">
        <x:v>導入・気分転換</x:v>
      </x:c>
      <x:c r="H113" s="22" t="n">
        <x:v>25</x:v>
      </x:c>
      <x:c r="I113" s="22" t="str">
        <x:v>航空機観察・短時間撮影</x:v>
      </x:c>
      <x:c r="J113" s="22" t="str">
        <x:v>専用・公式駐車場へ直接入庫</x:v>
      </x:c>
      <x:c r="K113" s="22" t="str">
        <x:v>夕方～夜</x:v>
      </x:c>
      <x:c r="L113" s="22" t="str">
        <x:v>21:30に間に合わない時</x:v>
      </x:c>
      <x:c r="M113" s="22" t="str">
        <x:v>飛行機・海・港 → 飛行機・都市夜景</x:v>
      </x:c>
      <x:c r="N113" s="22" t="n">
        <x:v>2</x:v>
      </x:c>
      <x:c r="O113" s="22" t="n">
        <x:v>0</x:v>
      </x:c>
      <x:c r="P113" s="22" t="n">
        <x:v>2</x:v>
      </x:c>
      <x:c r="Q113" s="22" t="str">
        <x:v>低</x:v>
      </x:c>
      <x:c r="R113" s="22" t="n">
        <x:v>77</x:v>
      </x:c>
      <x:c r="S113" s="22" t="str">
        <x:v>https://www.city.ota.tokyo.jp/shisetsu/park/morigasaki.html</x:v>
      </x:c>
    </x:row>
    <x:row r="114">
      <x:c r="A114" s="22" t="str">
        <x:v>R144</x:v>
      </x:c>
      <x:c r="B114" s="22" t="str">
        <x:v>平日夜90分・最短リセット</x:v>
      </x:c>
      <x:c r="C114" s="22" t="str">
        <x:v>羽田・航空</x:v>
      </x:c>
      <x:c r="D114" s="22" t="n">
        <x:v>2</x:v>
      </x:c>
      <x:c r="E114" s="22" t="str">
        <x:v>HANEDA INNOVATION CITY 足湯スカイデッキ</x:v>
      </x:c>
      <x:c r="F114" s="22" t="str">
        <x:v>経由地</x:v>
      </x:c>
      <x:c r="G114" s="22" t="str">
        <x:v>景観転換・休憩</x:v>
      </x:c>
      <x:c r="H114" s="22" t="n">
        <x:v>25</x:v>
      </x:c>
      <x:c r="I114" s="22" t="str">
        <x:v>足湯・飛行機観察・出発前の身体切替</x:v>
      </x:c>
      <x:c r="J114" s="22" t="str">
        <x:v>専用・公式駐車場へ直接入庫</x:v>
      </x:c>
      <x:c r="K114" s="22" t="str">
        <x:v>夕方～夜</x:v>
      </x:c>
      <x:c r="L114" s="22" t="str">
        <x:v>23:30に間に合わない時</x:v>
      </x:c>
      <x:c r="M114" s="22" t="str">
        <x:v>飛行機・都市夜景 → 飛行機・都市夜景</x:v>
      </x:c>
      <x:c r="N114" s="22" t="n">
        <x:v>7</x:v>
      </x:c>
      <x:c r="O114" s="22" t="n">
        <x:v>1</x:v>
      </x:c>
      <x:c r="P114" s="22" t="n">
        <x:v>8</x:v>
      </x:c>
      <x:c r="Q114" s="22" t="str">
        <x:v>高</x:v>
      </x:c>
      <x:c r="R114" s="22" t="n">
        <x:v>86</x:v>
      </x:c>
      <x:c r="S114" s="22" t="str">
        <x:v>https://haneda-innovation-city.com/facility/page/2/</x:v>
      </x:c>
    </x:row>
    <x:row r="115">
      <x:c r="A115" s="22" t="str">
        <x:v>R144</x:v>
      </x:c>
      <x:c r="B115" s="22" t="str">
        <x:v>平日夜90分・最短リセット</x:v>
      </x:c>
      <x:c r="C115" s="22" t="str">
        <x:v>羽田・航空</x:v>
      </x:c>
      <x:c r="D115" s="22" t="n">
        <x:v>3</x:v>
      </x:c>
      <x:c r="E115" s="22" t="str">
        <x:v>羽田空港 第3ターミナル展望デッキ</x:v>
      </x:c>
      <x:c r="F115" s="22" t="str">
        <x:v>最終目的地</x:v>
      </x:c>
      <x:c r="G115" s="22" t="str">
        <x:v>到達・余韻</x:v>
      </x:c>
      <x:c r="H115" s="22" t="n">
        <x:v>40</x:v>
      </x:c>
      <x:c r="I115" s="22" t="str">
        <x:v>航空機観察・短時間撮影</x:v>
      </x:c>
      <x:c r="J115" s="22" t="str">
        <x:v>専用・公式駐車場へ直接入庫</x:v>
      </x:c>
      <x:c r="K115" s="22" t="str">
        <x:v>夕方～夜</x:v>
      </x:c>
      <x:c r="L115" s="22" t="str">
        <x:v>工事・閉鎖時</x:v>
      </x:c>
      <x:c r="M115" s="22" t="str">
        <x:v>最終地点で終了</x:v>
      </x:c>
      <x:c r="N115" s="22" t="n">
        <x:v>2</x:v>
      </x:c>
      <x:c r="O115" s="22" t="n">
        <x:v>4</x:v>
      </x:c>
      <x:c r="P115" s="22" t="n">
        <x:v>6</x:v>
      </x:c>
      <x:c r="Q115" s="22" t="str">
        <x:v>高</x:v>
      </x:c>
      <x:c r="R115" s="22" t="n">
        <x:v>79</x:v>
      </x:c>
      <x:c r="S115" s="22" t="str">
        <x:v>https://tokyo-haneda.com/service/facilities/observation_deck.html</x:v>
      </x:c>
    </x:row>
  </x:sheetData>
  <x:conditionalFormatting sqref="H2:H115">
    <x:cfRule type="dataBar" priority="1">
      <x:dataBar>
        <x:cfvo type="min"/>
        <x:cfvo type="max"/>
        <x:color rgb="FF0F9ED5"/>
      </x:dataBar>
      <x:extLst>
        <x:ext xmlns:x14="http://schemas.microsoft.com/office/spreadsheetml/2009/9/main" uri="{B025F937-C7B1-47D3-B67F-A62EFF666E3E}">
          <x14:id>{57EBAB73-B439-6EDA-AAD9-3BA9C29CC6C8}</x14:id>
        </x:ext>
      </x:extLst>
    </x:cfRule>
  </x:conditionalFormatting>
  <x:conditionalFormatting sqref="N2:R115">
    <x:cfRule type="colorScale" priority="2">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0228c8e4b329428a"/>
  </x:tableParts>
  <x:extLst>
    <x:ext xmlns:x14="http://schemas.microsoft.com/office/spreadsheetml/2009/9/main" xmlns:xm="http://schemas.microsoft.com/office/excel/2006/main" uri="{78C0D931-6437-407d-A8EE-F0AAD7539E65}">
      <x14:conditionalFormattings>
        <x14:conditionalFormatting>
          <x14:cfRule type="dataBar" priority="1" id="{57EBAB73-B439-6EDA-AAD9-3BA9C29CC6C8}">
            <x14:dataBar gradient="1">
              <x14:cfvo type="min"/>
              <x14:cfvo type="max"/>
              <x14:fillColor rgb="FF0F9ED5"/>
            </x14:dataBar>
          </x14:cfRule>
          <xm:sqref>H2:H115</xm:sqref>
        </x14:conditionalFormatting>
      </x14:conditionalFormattings>
    </x:ext>
  </x:extLst>
</x:worksheet>
</file>

<file path=xl/worksheets/sheet31.xml><?xml version="1.0" encoding="utf-8"?>
<x:worksheet xmlns:x="http://schemas.openxmlformats.org/spreadsheetml/2006/main">
  <x:sheetFormatPr defaultRowHeight="15"/>
  <x:cols>
    <x:col min="1" max="1" width="32" hidden="0" customWidth="1"/>
    <x:col min="2" max="2" width="11" hidden="0" customWidth="1"/>
    <x:col min="3" max="3" width="11" hidden="0" customWidth="1"/>
    <x:col min="4" max="4" width="11" hidden="0" customWidth="1"/>
    <x:col min="5" max="5" width="13" hidden="0" customWidth="1"/>
    <x:col min="6" max="6" width="15" hidden="0" customWidth="1"/>
    <x:col min="7" max="7" width="28" hidden="0" customWidth="1"/>
    <x:col min="8" max="8" width="38" hidden="0" customWidth="1"/>
    <x:col min="9" max="9" width="35" hidden="0" customWidth="1"/>
    <x:col min="10" max="10" width="28" hidden="0" customWidth="1"/>
    <x:col min="11" max="11" width="52" hidden="0" customWidth="1"/>
    <x:col min="12" max="12" width="26" hidden="0" customWidth="1"/>
    <x:col min="13" max="13" width="50" hidden="0" customWidth="1"/>
    <x:col min="14" max="14" width="42" hidden="0" customWidth="1"/>
  </x:cols>
  <x:sheetData>
    <x:row r="1">
      <x:c r="A1" s="363" t="str">
        <x:v>地点</x:v>
      </x:c>
      <x:c r="B1" s="363" t="str">
        <x:v>経由利用</x:v>
      </x:c>
      <x:c r="C1" s="363" t="str">
        <x:v>最終利用</x:v>
      </x:c>
      <x:c r="D1" s="363" t="str">
        <x:v>総利用</x:v>
      </x:c>
      <x:c r="E1" s="363" t="str">
        <x:v>使い回し度</x:v>
      </x:c>
      <x:c r="F1" s="363" t="str">
        <x:v>平均地点品質</x:v>
      </x:c>
      <x:c r="G1" s="363" t="str">
        <x:v>カテゴリ</x:v>
      </x:c>
      <x:c r="H1" s="363" t="str">
        <x:v>駐車場</x:v>
      </x:c>
      <x:c r="I1" s="363" t="str">
        <x:v>利用時間</x:v>
      </x:c>
      <x:c r="J1" s="363" t="str">
        <x:v>主な役割</x:v>
      </x:c>
      <x:c r="K1" s="363" t="str">
        <x:v>採用ルート例</x:v>
      </x:c>
      <x:c r="L1" s="363" t="str">
        <x:v>代替地点</x:v>
      </x:c>
      <x:c r="M1" s="363" t="str">
        <x:v>公式情報源</x:v>
      </x:c>
      <x:c r="N1" s="363" t="str">
        <x:v>多様化方針</x:v>
      </x:c>
    </x:row>
    <x:row r="2">
      <x:c r="A2" s="22" t="str">
        <x:v>HANEDA INNOVATION CITY 足湯スカイデッキ</x:v>
      </x:c>
      <x:c r="B2" s="22" t="n">
        <x:v>7</x:v>
      </x:c>
      <x:c r="C2" s="22" t="n">
        <x:v>1</x:v>
      </x:c>
      <x:c r="D2" s="22" t="n">
        <x:v>8</x:v>
      </x:c>
      <x:c r="E2" s="22" t="str">
        <x:v>高</x:v>
      </x:c>
      <x:c r="F2" s="22" t="n">
        <x:v>88</x:v>
      </x:c>
      <x:c r="G2" s="22" t="str">
        <x:v>足湯・飛行機・夜景</x:v>
      </x:c>
      <x:c r="H2" s="22" t="str">
        <x:v>HIC P1 190台・24時間／P2 18台・7:00～23:00</x:v>
      </x:c>
      <x:c r="I2" s="22" t="str">
        <x:v>足湯5:30～23:30</x:v>
      </x:c>
      <x:c r="J2" s="22" t="str">
        <x:v>導入・気分転換／到達・余韻／景観転換・休憩</x:v>
      </x:c>
      <x:c r="K2" s="22" t="str">
        <x:v>R001 羽田・航空機ショート／R049 羽田河口から川崎港へ／R133 羽田・足湯から河口へ／R136 森ケ崎・屋上から足湯へ</x:v>
      </x:c>
      <x:c r="L2" s="22" t="str">
        <x:v>羽田空港 第3ターミナル展望デッキ</x:v>
      </x:c>
      <x:c r="M2" s="22" t="str">
        <x:v>https://haneda-innovation-city.com/facility/page/2/</x:v>
      </x:c>
      <x:c r="N2" s="22" t="str">
        <x:v>新規ルートでは原則使わず、同系統の代替地点を優先</x:v>
      </x:c>
    </x:row>
    <x:row r="3">
      <x:c r="A3" s="22" t="str">
        <x:v>羽田空港 第3ターミナル展望デッキ</x:v>
      </x:c>
      <x:c r="B3" s="22" t="n">
        <x:v>2</x:v>
      </x:c>
      <x:c r="C3" s="22" t="n">
        <x:v>4</x:v>
      </x:c>
      <x:c r="D3" s="22" t="n">
        <x:v>6</x:v>
      </x:c>
      <x:c r="E3" s="22" t="str">
        <x:v>高</x:v>
      </x:c>
      <x:c r="F3" s="22" t="n">
        <x:v>81</x:v>
      </x:c>
      <x:c r="G3" s="22" t="str">
        <x:v>飛行機・展望</x:v>
      </x:c>
      <x:c r="H3" s="22" t="str">
        <x:v>あり・空港P5等</x:v>
      </x:c>
      <x:c r="I3" s="22" t="str">
        <x:v>展望デッキ 24時間</x:v>
      </x:c>
      <x:c r="J3" s="22" t="str">
        <x:v>景観転換・休憩／到達・余韻／導入・気分転換</x:v>
      </x:c>
      <x:c r="K3" s="22" t="str">
        <x:v>R001 羽田・航空機ショート／R133 羽田・足湯から河口へ／R134 羽田3ターミナル比較／R141 雨天・羽田インドア線</x:v>
      </x:c>
      <x:c r="L3" s="22" t="str">
        <x:v>城南島海浜公園</x:v>
      </x:c>
      <x:c r="M3" s="22" t="str">
        <x:v>https://tokyo-haneda.com/service/facilities/observation_deck.html</x:v>
      </x:c>
      <x:c r="N3" s="22" t="str">
        <x:v>新規ルートでは原則使わず、同系統の代替地点を優先</x:v>
      </x:c>
    </x:row>
    <x:row r="4">
      <x:c r="A4" s="22" t="str">
        <x:v>城南島海浜公園</x:v>
      </x:c>
      <x:c r="B4" s="22" t="n">
        <x:v>0</x:v>
      </x:c>
      <x:c r="C4" s="22" t="n">
        <x:v>5</x:v>
      </x:c>
      <x:c r="D4" s="22" t="n">
        <x:v>5</x:v>
      </x:c>
      <x:c r="E4" s="22" t="str">
        <x:v>中</x:v>
      </x:c>
      <x:c r="F4" s="22" t="n">
        <x:v>76</x:v>
      </x:c>
      <x:c r="G4" s="22" t="str">
        <x:v>飛行機・海・港</x:v>
      </x:c>
      <x:c r="H4" s="22" t="str">
        <x:v>あり・有料</x:v>
      </x:c>
      <x:c r="I4" s="22" t="str">
        <x:v>駐車場 7:30～21:00</x:v>
      </x:c>
      <x:c r="J4" s="22" t="str">
        <x:v>到達・余韻</x:v>
      </x:c>
      <x:c r="K4" s="22" t="str">
        <x:v>R002 大森海岸から飛行機へ／R121 湾岸・干潟から運河へ／R135 大森・海苔の海辺線／R139 大井・東京港ショート</x:v>
      </x:c>
      <x:c r="L4" s="22" t="str">
        <x:v>城南島海浜公園</x:v>
      </x:c>
      <x:c r="M4" s="22" t="str">
        <x:v>https://tokyo-south-seaside-parks.com/jonanjima/</x:v>
      </x:c>
      <x:c r="N4" s="22" t="str">
        <x:v>同じ系統のルートで連続採用しない</x:v>
      </x:c>
    </x:row>
    <x:row r="5">
      <x:c r="A5" s="22" t="str">
        <x:v>京浜島つばさ公園</x:v>
      </x:c>
      <x:c r="B5" s="22" t="n">
        <x:v>3</x:v>
      </x:c>
      <x:c r="C5" s="22" t="n">
        <x:v>1</x:v>
      </x:c>
      <x:c r="D5" s="22" t="n">
        <x:v>4</x:v>
      </x:c>
      <x:c r="E5" s="22" t="str">
        <x:v>中</x:v>
      </x:c>
      <x:c r="F5" s="22" t="n">
        <x:v>69</x:v>
      </x:c>
      <x:c r="G5" s="22" t="str">
        <x:v>飛行機・工業島</x:v>
      </x:c>
      <x:c r="H5" s="22" t="str">
        <x:v>あり・小規模有料</x:v>
      </x:c>
      <x:c r="I5" s="22" t="str">
        <x:v>時間貸し駐車場は24時間運用の情報あり</x:v>
      </x:c>
      <x:c r="J5" s="22" t="str">
        <x:v>到達・余韻／景観転換・休憩／導入・気分転換</x:v>
      </x:c>
      <x:c r="K5" s="22" t="str">
        <x:v>R001 羽田・航空機ショート／R002 大森海岸から飛行機へ／R006 京浜島から東扇島西端へ／R139 大井・東京港ショート</x:v>
      </x:c>
      <x:c r="L5" s="22" t="str">
        <x:v>城南島海浜公園</x:v>
      </x:c>
      <x:c r="M5" s="22" t="str">
        <x:v>https://tokyo-south-seaside-parks.com/keihinjima/</x:v>
      </x:c>
      <x:c r="N5" s="22" t="str">
        <x:v>同じ系統のルートで連続採用しない</x:v>
      </x:c>
    </x:row>
    <x:row r="6">
      <x:c r="A6" s="22" t="str">
        <x:v>ソラムナード羽田緑地</x:v>
      </x:c>
      <x:c r="B6" s="22" t="n">
        <x:v>3</x:v>
      </x:c>
      <x:c r="C6" s="22" t="n">
        <x:v>0</x:v>
      </x:c>
      <x:c r="D6" s="22" t="n">
        <x:v>3</x:v>
      </x:c>
      <x:c r="E6" s="22" t="str">
        <x:v>低</x:v>
      </x:c>
      <x:c r="F6" s="22" t="n">
        <x:v>81</x:v>
      </x:c>
      <x:c r="G6" s="22" t="str">
        <x:v>飛行機・多摩川0km・工場夜景</x:v>
      </x:c>
      <x:c r="H6" s="22" t="str">
        <x:v>専用駐車場なし／HIC P1等の合法駐車場から徒歩</x:v>
      </x:c>
      <x:c r="I6" s="22" t="str">
        <x:v>緑地常時利用を基本／照明・工事情報は当日確認</x:v>
      </x:c>
      <x:c r="J6" s="22" t="str">
        <x:v>景観転換・休憩</x:v>
      </x:c>
      <x:c r="K6" s="22" t="str">
        <x:v>R049 羽田河口から川崎港へ／R133 羽田・足湯から河口へ／R136 森ケ崎・屋上から足湯へ</x:v>
      </x:c>
      <x:c r="L6" s="22" t="str">
        <x:v>HANEDA INNOVATION CITY 足湯スカイデッキ</x:v>
      </x:c>
      <x:c r="M6" s="22" t="str">
        <x:v>https://www.city.ota.tokyo.jp/seikatsu/sumaimachinami/haneda_airport/hgw/waterside/soramunadohanedaryokuti.html</x:v>
      </x:c>
      <x:c r="N6" s="22" t="str">
        <x:v>役割が異なる場合のみ重複採用</x:v>
      </x:c>
    </x:row>
    <x:row r="7">
      <x:c r="A7" s="22" t="str">
        <x:v>大森ふるさとの浜辺公園</x:v>
      </x:c>
      <x:c r="B7" s="22" t="n">
        <x:v>2</x:v>
      </x:c>
      <x:c r="C7" s="22" t="n">
        <x:v>1</x:v>
      </x:c>
      <x:c r="D7" s="22" t="n">
        <x:v>3</x:v>
      </x:c>
      <x:c r="E7" s="22" t="str">
        <x:v>低</x:v>
      </x:c>
      <x:c r="F7" s="22" t="n">
        <x:v>89</x:v>
      </x:c>
      <x:c r="G7" s="22" t="str">
        <x:v>人工海浜・干潟・海苔Story</x:v>
      </x:c>
      <x:c r="H7" s="22" t="str">
        <x:v>共用駐車場・平日121台／土日祝142台・30分100円・24時間</x:v>
      </x:c>
      <x:c r="I7" s="22" t="str">
        <x:v>広場エリア終日／浜辺エリア5:30～21:00</x:v>
      </x:c>
      <x:c r="J7" s="22" t="str">
        <x:v>導入・気分転換／景観転換・休憩／到達・余韻</x:v>
      </x:c>
      <x:c r="K7" s="22" t="str">
        <x:v>R002 大森海岸から飛行機へ／R135 大森・海苔の海辺線／R138 池上から大森海岸へ</x:v>
      </x:c>
      <x:c r="L7" s="22" t="str">
        <x:v>平和の森公園</x:v>
      </x:c>
      <x:c r="M7" s="22" t="str">
        <x:v>https://www.city.ota.tokyo.jp/shisetsu/park/oomorifurusatonohamabe.html</x:v>
      </x:c>
      <x:c r="N7" s="22" t="str">
        <x:v>役割が異なる場合のみ重複採用</x:v>
      </x:c>
    </x:row>
    <x:row r="8">
      <x:c r="A8" s="22" t="str">
        <x:v>川崎マリエン</x:v>
      </x:c>
      <x:c r="B8" s="22" t="n">
        <x:v>2</x:v>
      </x:c>
      <x:c r="C8" s="22" t="n">
        <x:v>1</x:v>
      </x:c>
      <x:c r="D8" s="22" t="n">
        <x:v>3</x:v>
      </x:c>
      <x:c r="E8" s="22" t="str">
        <x:v>低</x:v>
      </x:c>
      <x:c r="F8" s="22" t="n">
        <x:v>90</x:v>
      </x:c>
      <x:c r="G8" s="22" t="str">
        <x:v>工場夜景・展望</x:v>
      </x:c>
      <x:c r="H8" s="22" t="str">
        <x:v>あり・有料</x:v>
      </x:c>
      <x:c r="I8" s="22" t="str">
        <x:v>駐車場 24時間／展望室 9:00～21:00</x:v>
      </x:c>
      <x:c r="J8" s="22" t="str">
        <x:v>景観転換・休憩／到達・余韻</x:v>
      </x:c>
      <x:c r="K8" s="22" t="str">
        <x:v>R006 京浜島から東扇島西端へ／R049 羽田河口から川崎港へ／R143 羽田から川崎工場夜景へ</x:v>
      </x:c>
      <x:c r="L8" s="22" t="str">
        <x:v>川崎マリエン</x:v>
      </x:c>
      <x:c r="M8" s="22" t="str">
        <x:v>https://www.kawasakiport.or.jp/</x:v>
      </x:c>
      <x:c r="N8" s="22" t="str">
        <x:v>役割が異なる場合のみ重複採用</x:v>
      </x:c>
    </x:row>
    <x:row r="9">
      <x:c r="A9" s="22" t="str">
        <x:v>本牧山頂公園</x:v>
      </x:c>
      <x:c r="B9" s="22" t="n">
        <x:v>3</x:v>
      </x:c>
      <x:c r="C9" s="22" t="n">
        <x:v>0</x:v>
      </x:c>
      <x:c r="D9" s="22" t="n">
        <x:v>3</x:v>
      </x:c>
      <x:c r="E9" s="22" t="str">
        <x:v>低</x:v>
      </x:c>
      <x:c r="F9" s="22" t="n">
        <x:v>79</x:v>
      </x:c>
      <x:c r="G9" s="22" t="str">
        <x:v>高台・港・草地・都市展望</x:v>
      </x:c>
      <x:c r="H9" s="22" t="str">
        <x:v>あり・有料</x:v>
      </x:c>
      <x:c r="I9" s="22" t="str">
        <x:v>駐車場時間は指定管理者の当日案内確認</x:v>
      </x:c>
      <x:c r="J9" s="22" t="str">
        <x:v>景観転換・休憩／導入・気分転換</x:v>
      </x:c>
      <x:c r="K9" s="22" t="str">
        <x:v>R008 本牧ふ頭の行き止まり／R009 金沢シーサイド／R089 根岸湾工業景観</x:v>
      </x:c>
      <x:c r="L9" s="22" t="str">
        <x:v>城南島海浜公園</x:v>
      </x:c>
      <x:c r="M9" s="22" t="str">
        <x:v>https://www.city.yokohama.lg.jp/kenko-iryo-fukushi/fukushi-kaigo/fuku-machi/barrierfree/shisetsu/shisetsu/06092.html</x:v>
      </x:c>
      <x:c r="N9" s="22" t="str">
        <x:v>役割が異なる場合のみ重複採用</x:v>
      </x:c>
    </x:row>
    <x:row r="10">
      <x:c r="A10" s="22" t="str">
        <x:v>夢見ヶ崎動物公園</x:v>
      </x:c>
      <x:c r="B10" s="22" t="n">
        <x:v>0</x:v>
      </x:c>
      <x:c r="C10" s="22" t="n">
        <x:v>2</x:v>
      </x:c>
      <x:c r="D10" s="22" t="n">
        <x:v>2</x:v>
      </x:c>
      <x:c r="E10" s="22" t="str">
        <x:v>低</x:v>
      </x:c>
      <x:c r="F10" s="22" t="n">
        <x:v>71</x:v>
      </x:c>
      <x:c r="G10" s="22" t="str">
        <x:v>高台・動物公園・夜景</x:v>
      </x:c>
      <x:c r="H10" s="22" t="str">
        <x:v>あり・小規模</x:v>
      </x:c>
      <x:c r="I10" s="22" t="str">
        <x:v>公園は常時利用可、駐車場は現地掲示優先</x:v>
      </x:c>
      <x:c r="J10" s="22" t="str">
        <x:v>到達・余韻</x:v>
      </x:c>
      <x:c r="K10" s="22" t="str">
        <x:v>R059 川崎Storyショート／R113 川崎丘陵・古代と現代</x:v>
      </x:c>
      <x:c r="L10" s="22" t="str">
        <x:v>平和の森公園</x:v>
      </x:c>
      <x:c r="M10" s="22" t="str">
        <x:v>https://www.city.kawasaki.jp/530/page/0000063423.html</x:v>
      </x:c>
      <x:c r="N10" s="22" t="str">
        <x:v>役割が異なる場合のみ重複採用</x:v>
      </x:c>
    </x:row>
    <x:row r="11">
      <x:c r="A11" s="22" t="str">
        <x:v>大島小松川公園</x:v>
      </x:c>
      <x:c r="B11" s="22" t="n">
        <x:v>2</x:v>
      </x:c>
      <x:c r="C11" s="22" t="n">
        <x:v>0</x:v>
      </x:c>
      <x:c r="D11" s="22" t="n">
        <x:v>2</x:v>
      </x:c>
      <x:c r="E11" s="22" t="str">
        <x:v>低</x:v>
      </x:c>
      <x:c r="F11" s="22" t="n">
        <x:v>89</x:v>
      </x:c>
      <x:c r="G11" s="22" t="str">
        <x:v>河川・高台・夜間公園</x:v>
      </x:c>
      <x:c r="H11" s="22" t="str">
        <x:v>あり・97台・有料</x:v>
      </x:c>
      <x:c r="I11" s="22" t="str">
        <x:v>駐車場 24時間</x:v>
      </x:c>
      <x:c r="J11" s="22" t="str">
        <x:v>景観転換・休憩</x:v>
      </x:c>
      <x:c r="K11" s="22" t="str">
        <x:v>R037 東東京・水辺ナイト／R048 東側・確実な休憩ルート</x:v>
      </x:c>
      <x:c r="L11" s="22" t="str">
        <x:v>多摩川浅間神社</x:v>
      </x:c>
      <x:c r="M11" s="22" t="str">
        <x:v>https://www.tokyo-park.or.jp/park/ojima-komatsugawa/index.html</x:v>
      </x:c>
      <x:c r="N11" s="22" t="str">
        <x:v>役割が異なる場合のみ重複採用</x:v>
      </x:c>
    </x:row>
    <x:row r="12">
      <x:c r="A12" s="22" t="str">
        <x:v>富士見公園</x:v>
      </x:c>
      <x:c r="B12" s="22" t="n">
        <x:v>2</x:v>
      </x:c>
      <x:c r="C12" s="22" t="n">
        <x:v>0</x:v>
      </x:c>
      <x:c r="D12" s="22" t="n">
        <x:v>2</x:v>
      </x:c>
      <x:c r="E12" s="22" t="str">
        <x:v>低</x:v>
      </x:c>
      <x:c r="F12" s="22" t="n">
        <x:v>79</x:v>
      </x:c>
      <x:c r="G12" s="22" t="str">
        <x:v>都市公園・スポーツ・夜間休憩</x:v>
      </x:c>
      <x:c r="H12" s="22" t="str">
        <x:v>あり・周辺駐車場</x:v>
      </x:c>
      <x:c r="I12" s="22" t="str">
        <x:v>施設・駐車場時間は当日確認</x:v>
      </x:c>
      <x:c r="J12" s="22" t="str">
        <x:v>景観転換・休憩</x:v>
      </x:c>
      <x:c r="K12" s="22" t="str">
        <x:v>R055 鶴見・川崎近距離回復／R059 川崎Storyショート</x:v>
      </x:c>
      <x:c r="L12" s="22" t="str">
        <x:v>平和の森公園</x:v>
      </x:c>
      <x:c r="M12" s="22" t="str">
        <x:v>https://www.city.kawasaki.jp/170/cmsfiles/contents/0000187/187611/04.pdf</x:v>
      </x:c>
      <x:c r="N12" s="22" t="str">
        <x:v>役割が異なる場合のみ重複採用</x:v>
      </x:c>
    </x:row>
    <x:row r="13">
      <x:c r="A13" s="22" t="str">
        <x:v>平和の森公園</x:v>
      </x:c>
      <x:c r="B13" s="22" t="n">
        <x:v>2</x:v>
      </x:c>
      <x:c r="C13" s="22" t="n">
        <x:v>0</x:v>
      </x:c>
      <x:c r="D13" s="22" t="n">
        <x:v>2</x:v>
      </x:c>
      <x:c r="E13" s="22" t="str">
        <x:v>低</x:v>
      </x:c>
      <x:c r="F13" s="22" t="n">
        <x:v>73</x:v>
      </x:c>
      <x:c r="G13" s="22" t="str">
        <x:v>大規模公園・池・平和Story</x:v>
      </x:c>
      <x:c r="H13" s="22" t="str">
        <x:v>あり・186台・30分100円</x:v>
      </x:c>
      <x:c r="I13" s="22" t="str">
        <x:v>公園常時利用可／施設ごとに時間制</x:v>
      </x:c>
      <x:c r="J13" s="22" t="str">
        <x:v>導入・気分転換／景観転換・休憩</x:v>
      </x:c>
      <x:c r="K13" s="22" t="str">
        <x:v>R135 大森・海苔の海辺線／R138 池上から大森海岸へ</x:v>
      </x:c>
      <x:c r="L13" s="22" t="str">
        <x:v>大森ふるさとの浜辺公園</x:v>
      </x:c>
      <x:c r="M13" s="22" t="str">
        <x:v>https://www.city.ota.tokyo.jp/shisetsu/park/heiwanomori.html</x:v>
      </x:c>
      <x:c r="N13" s="22" t="str">
        <x:v>役割が異なる場合のみ重複採用</x:v>
      </x:c>
    </x:row>
    <x:row r="14">
      <x:c r="A14" s="22" t="str">
        <x:v>府中の森公園</x:v>
      </x:c>
      <x:c r="B14" s="22" t="n">
        <x:v>1</x:v>
      </x:c>
      <x:c r="C14" s="22" t="n">
        <x:v>1</x:v>
      </x:c>
      <x:c r="D14" s="22" t="n">
        <x:v>2</x:v>
      </x:c>
      <x:c r="E14" s="22" t="str">
        <x:v>低</x:v>
      </x:c>
      <x:c r="F14" s="22" t="n">
        <x:v>84</x:v>
      </x:c>
      <x:c r="G14" s="22" t="str">
        <x:v>並木・文化施設・24時間駐車</x:v>
      </x:c>
      <x:c r="H14" s="22" t="str">
        <x:v>あり・有料・24時間</x:v>
      </x:c>
      <x:c r="I14" s="22" t="str">
        <x:v>公園常時／駐車場24時間</x:v>
      </x:c>
      <x:c r="J14" s="22" t="str">
        <x:v>景観転換・休憩／到達・余韻</x:v>
      </x:c>
      <x:c r="K14" s="22" t="str">
        <x:v>R073 調布航空ナイト／R080 深大寺から調布飛行場へ</x:v>
      </x:c>
      <x:c r="L14" s="22" t="str">
        <x:v>羽田空港 第3ターミナル展望デッキ</x:v>
      </x:c>
      <x:c r="M14" s="22" t="str">
        <x:v>https://www.tokyo-park.or.jp/park/fuchunomori/index.html</x:v>
      </x:c>
      <x:c r="N14" s="22" t="str">
        <x:v>役割が異なる場合のみ重複採用</x:v>
      </x:c>
    </x:row>
    <x:row r="15">
      <x:c r="A15" s="22" t="str">
        <x:v>晴海ふ頭公園</x:v>
      </x:c>
      <x:c r="B15" s="22" t="n">
        <x:v>1</x:v>
      </x:c>
      <x:c r="C15" s="22" t="n">
        <x:v>1</x:v>
      </x:c>
      <x:c r="D15" s="22" t="n">
        <x:v>2</x:v>
      </x:c>
      <x:c r="E15" s="22" t="str">
        <x:v>低</x:v>
      </x:c>
      <x:c r="F15" s="22" t="n">
        <x:v>75</x:v>
      </x:c>
      <x:c r="G15" s="22" t="str">
        <x:v>港・都市夜景・Story</x:v>
      </x:c>
      <x:c r="H15" s="22" t="str">
        <x:v>あり・小規模有料</x:v>
      </x:c>
      <x:c r="I15" s="22" t="str">
        <x:v>駐車場 24時間／点灯は日没～23時目安</x:v>
      </x:c>
      <x:c r="J15" s="22" t="str">
        <x:v>導入・気分転換／到達・余韻</x:v>
      </x:c>
      <x:c r="K15" s="22" t="str">
        <x:v>R003 東京港最奥ナイト／R140 お台場から豊洲の水際夜景</x:v>
      </x:c>
      <x:c r="L15" s="22" t="str">
        <x:v>城南島海浜公園</x:v>
      </x:c>
      <x:c r="M15" s="22" t="str">
        <x:v>https://www.tptc.co.jp/park/02_01</x:v>
      </x:c>
      <x:c r="N15" s="22" t="str">
        <x:v>役割が異なる場合のみ重複採用</x:v>
      </x:c>
    </x:row>
    <x:row r="16">
      <x:c r="A16" s="22" t="str">
        <x:v>木場公園</x:v>
      </x:c>
      <x:c r="B16" s="22" t="n">
        <x:v>2</x:v>
      </x:c>
      <x:c r="C16" s="22" t="n">
        <x:v>0</x:v>
      </x:c>
      <x:c r="D16" s="22" t="n">
        <x:v>2</x:v>
      </x:c>
      <x:c r="E16" s="22" t="str">
        <x:v>低</x:v>
      </x:c>
      <x:c r="F16" s="22" t="n">
        <x:v>89</x:v>
      </x:c>
      <x:c r="G16" s="22" t="str">
        <x:v>都市公園・橋・夜間休憩</x:v>
      </x:c>
      <x:c r="H16" s="22" t="str">
        <x:v>あり・有料</x:v>
      </x:c>
      <x:c r="I16" s="22" t="str">
        <x:v>駐車場 24時間</x:v>
      </x:c>
      <x:c r="J16" s="22" t="str">
        <x:v>導入・気分転換</x:v>
      </x:c>
      <x:c r="K16" s="22" t="str">
        <x:v>R037 東東京・水辺ナイト／R048 東側・確実な休憩ルート</x:v>
      </x:c>
      <x:c r="L16" s="22" t="str">
        <x:v>平和の森公園</x:v>
      </x:c>
      <x:c r="M16" s="22" t="str">
        <x:v>https://www.tokyo-park.or.jp/park/kiba/index.html</x:v>
      </x:c>
      <x:c r="N16" s="22" t="str">
        <x:v>役割が異なる場合のみ重複採用</x:v>
      </x:c>
    </x:row>
    <x:row r="17">
      <x:c r="A17" s="22" t="str">
        <x:v>東京港野鳥公園</x:v>
      </x:c>
      <x:c r="B17" s="22" t="n">
        <x:v>2</x:v>
      </x:c>
      <x:c r="C17" s="22" t="n">
        <x:v>0</x:v>
      </x:c>
      <x:c r="D17" s="22" t="n">
        <x:v>2</x:v>
      </x:c>
      <x:c r="E17" s="22" t="str">
        <x:v>低</x:v>
      </x:c>
      <x:c r="F17" s="22" t="n">
        <x:v>78</x:v>
      </x:c>
      <x:c r="G17" s="22" t="str">
        <x:v>自然・水辺</x:v>
      </x:c>
      <x:c r="H17" s="22" t="str">
        <x:v>あり・無料</x:v>
      </x:c>
      <x:c r="I17" s="22" t="str">
        <x:v>開園 9:00～17:00前後</x:v>
      </x:c>
      <x:c r="J17" s="22" t="str">
        <x:v>導入・気分転換</x:v>
      </x:c>
      <x:c r="K17" s="22" t="str">
        <x:v>R005 東京港・環境再生ライン／R139 大井・東京港ショート</x:v>
      </x:c>
      <x:c r="L17" s="22" t="str">
        <x:v>羽田空港 第3ターミナル展望デッキ</x:v>
      </x:c>
      <x:c r="M17" s="22" t="str">
        <x:v>https://www.tptc.co.jp/park/03_08</x:v>
      </x:c>
      <x:c r="N17" s="22" t="str">
        <x:v>役割が異なる場合のみ重複採用</x:v>
      </x:c>
    </x:row>
    <x:row r="18">
      <x:c r="A18" s="22" t="str">
        <x:v>東品川海上公園</x:v>
      </x:c>
      <x:c r="B18" s="22" t="n">
        <x:v>2</x:v>
      </x:c>
      <x:c r="C18" s="22" t="n">
        <x:v>0</x:v>
      </x:c>
      <x:c r="D18" s="22" t="n">
        <x:v>2</x:v>
      </x:c>
      <x:c r="E18" s="22" t="str">
        <x:v>低</x:v>
      </x:c>
      <x:c r="F18" s="22" t="n">
        <x:v>66</x:v>
      </x:c>
      <x:c r="G18" s="22" t="str">
        <x:v>運河・屋上庭園・Story</x:v>
      </x:c>
      <x:c r="H18" s="22" t="str">
        <x:v>園内専用なし／隣接時間貸し19台・24時間</x:v>
      </x:c>
      <x:c r="I18" s="22" t="str">
        <x:v>公園常時利用可／工事・イベント範囲は当日確認</x:v>
      </x:c>
      <x:c r="J18" s="22" t="str">
        <x:v>景観転換・休憩／導入・気分転換</x:v>
      </x:c>
      <x:c r="K18" s="22" t="str">
        <x:v>R121 湾岸・干潟から運河へ／R131 東京近距離・運河と市場</x:v>
      </x:c>
      <x:c r="L18" s="22" t="str">
        <x:v>羽田空港 第3ターミナル展望デッキ</x:v>
      </x:c>
      <x:c r="M18" s="22" t="str">
        <x:v>https://shinagawa-kanko.or.jp/spot/higasishinagawakaijoukouen/</x:v>
      </x:c>
      <x:c r="N18" s="22" t="str">
        <x:v>役割が異なる場合のみ重複採用</x:v>
      </x:c>
    </x:row>
    <x:row r="19">
      <x:c r="A19" s="22" t="str">
        <x:v>東扇島西公園</x:v>
      </x:c>
      <x:c r="B19" s="22" t="n">
        <x:v>0</x:v>
      </x:c>
      <x:c r="C19" s="22" t="n">
        <x:v>2</x:v>
      </x:c>
      <x:c r="D19" s="22" t="n">
        <x:v>2</x:v>
      </x:c>
      <x:c r="E19" s="22" t="str">
        <x:v>低</x:v>
      </x:c>
      <x:c r="F19" s="22" t="n">
        <x:v>64</x:v>
      </x:c>
      <x:c r="G19" s="22" t="str">
        <x:v>港・行き止まり・釣り</x:v>
      </x:c>
      <x:c r="H19" s="22" t="str">
        <x:v>第1・第2駐車場 合計172台・有料・24時間</x:v>
      </x:c>
      <x:c r="I19" s="22" t="str">
        <x:v>公園・駐車場24時間</x:v>
      </x:c>
      <x:c r="J19" s="22" t="str">
        <x:v>到達・余韻</x:v>
      </x:c>
      <x:c r="K19" s="22" t="str">
        <x:v>R006 京浜島から東扇島西端へ／R143 羽田から川崎工場夜景へ</x:v>
      </x:c>
      <x:c r="L19" s="22" t="str">
        <x:v>城南島海浜公園</x:v>
      </x:c>
      <x:c r="M19" s="22" t="str">
        <x:v>https://www.city.kawasaki.jp/580/page/0000001336.html</x:v>
      </x:c>
      <x:c r="N19" s="22" t="str">
        <x:v>役割が異なる場合のみ重複採用</x:v>
      </x:c>
    </x:row>
    <x:row r="20">
      <x:c r="A20" s="22" t="str">
        <x:v>根岸森林公園</x:v>
      </x:c>
      <x:c r="B20" s="22" t="n">
        <x:v>2</x:v>
      </x:c>
      <x:c r="C20" s="22" t="n">
        <x:v>0</x:v>
      </x:c>
      <x:c r="D20" s="22" t="n">
        <x:v>2</x:v>
      </x:c>
      <x:c r="E20" s="22" t="str">
        <x:v>低</x:v>
      </x:c>
      <x:c r="F20" s="22" t="n">
        <x:v>87</x:v>
      </x:c>
      <x:c r="G20" s="22" t="str">
        <x:v>高台・芝生・都市近郊</x:v>
      </x:c>
      <x:c r="H20" s="22" t="str">
        <x:v>第1・第2駐車場 各約100台・有料</x:v>
      </x:c>
      <x:c r="I20" s="22" t="str">
        <x:v>公園常時／駐車場は運営案内・現地表示を確認</x:v>
      </x:c>
      <x:c r="J20" s="22" t="str">
        <x:v>景観転換・休憩</x:v>
      </x:c>
      <x:c r="K20" s="22" t="str">
        <x:v>R056 横浜港から丘陵公園へ／R119 横浜・庭園と丘陵三層</x:v>
      </x:c>
      <x:c r="L20" s="22" t="str">
        <x:v>羽田空港 第3ターミナル展望デッキ</x:v>
      </x:c>
      <x:c r="M20" s="22" t="str">
        <x:v>https://www.city.yokohama.lg.jp/kurashi/machizukuri-kankyo/midori-koen/koen/koen/daihyoteki/negishi/kouen010.html</x:v>
      </x:c>
      <x:c r="N20" s="22" t="str">
        <x:v>役割が異なる場合のみ重複採用</x:v>
      </x:c>
    </x:row>
    <x:row r="21">
      <x:c r="A21" s="22" t="str">
        <x:v>森ケ崎公園</x:v>
      </x:c>
      <x:c r="B21" s="22" t="n">
        <x:v>2</x:v>
      </x:c>
      <x:c r="C21" s="22" t="n">
        <x:v>0</x:v>
      </x:c>
      <x:c r="D21" s="22" t="n">
        <x:v>2</x:v>
      </x:c>
      <x:c r="E21" s="22" t="str">
        <x:v>低</x:v>
      </x:c>
      <x:c r="F21" s="22" t="n">
        <x:v>78</x:v>
      </x:c>
      <x:c r="G21" s="22" t="str">
        <x:v>屋上公園・飛行機・富士山</x:v>
      </x:c>
      <x:c r="H21" s="22" t="str">
        <x:v>あり・47台・30分100円</x:v>
      </x:c>
      <x:c r="I21" s="22" t="str">
        <x:v>4～11月・2～3月 6:30～21:30／12～1月 7:30～20:30</x:v>
      </x:c>
      <x:c r="J21" s="22" t="str">
        <x:v>導入・気分転換</x:v>
      </x:c>
      <x:c r="K21" s="22" t="str">
        <x:v>R136 森ケ崎・屋上から足湯へ／R144 平日夜90分・最短リセット</x:v>
      </x:c>
      <x:c r="L21" s="22" t="str">
        <x:v>HANEDA INNOVATION CITY 足湯スカイデッキ</x:v>
      </x:c>
      <x:c r="M21" s="22" t="str">
        <x:v>https://www.city.ota.tokyo.jp/shisetsu/park/morigasaki.html</x:v>
      </x:c>
      <x:c r="N21" s="22" t="str">
        <x:v>役割が異なる場合のみ重複採用</x:v>
      </x:c>
    </x:row>
    <x:row r="22">
      <x:c r="A22" s="22" t="str">
        <x:v>横浜港シンボルタワー</x:v>
      </x:c>
      <x:c r="B22" s="22" t="n">
        <x:v>0</x:v>
      </x:c>
      <x:c r="C22" s="22" t="n">
        <x:v>2</x:v>
      </x:c>
      <x:c r="D22" s="22" t="n">
        <x:v>2</x:v>
      </x:c>
      <x:c r="E22" s="22" t="str">
        <x:v>低</x:v>
      </x:c>
      <x:c r="F22" s="22" t="n">
        <x:v>76</x:v>
      </x:c>
      <x:c r="G22" s="22" t="str">
        <x:v>港・行き止まり・展望</x:v>
      </x:c>
      <x:c r="H22" s="22" t="str">
        <x:v>あり・約205台</x:v>
      </x:c>
      <x:c r="I22" s="22" t="str">
        <x:v>季節変動、夏季は概ね20時まで</x:v>
      </x:c>
      <x:c r="J22" s="22" t="str">
        <x:v>到達・余韻</x:v>
      </x:c>
      <x:c r="K22" s="22" t="str">
        <x:v>R008 本牧ふ頭の行き止まり／R089 根岸湾工業景観</x:v>
      </x:c>
      <x:c r="L22" s="22" t="str">
        <x:v>城南島海浜公園</x:v>
      </x:c>
      <x:c r="M22" s="22" t="str">
        <x:v>https://y-stw.com/</x:v>
      </x:c>
      <x:c r="N22" s="22" t="str">
        <x:v>役割が異なる場合のみ重複採用</x:v>
      </x:c>
    </x:row>
    <x:row r="23">
      <x:c r="A23" s="22" t="str">
        <x:v>横浜港大さん橋</x:v>
      </x:c>
      <x:c r="B23" s="22" t="n">
        <x:v>2</x:v>
      </x:c>
      <x:c r="C23" s="22" t="n">
        <x:v>0</x:v>
      </x:c>
      <x:c r="D23" s="22" t="n">
        <x:v>2</x:v>
      </x:c>
      <x:c r="E23" s="22" t="str">
        <x:v>低</x:v>
      </x:c>
      <x:c r="F23" s="22" t="n">
        <x:v>83</x:v>
      </x:c>
      <x:c r="G23" s="22" t="str">
        <x:v>港・都市夜景</x:v>
      </x:c>
      <x:c r="H23" s="22" t="str">
        <x:v>あり・有料</x:v>
      </x:c>
      <x:c r="I23" s="22" t="str">
        <x:v>駐車場 24時間</x:v>
      </x:c>
      <x:c r="J23" s="22" t="str">
        <x:v>導入・気分転換</x:v>
      </x:c>
      <x:c r="K23" s="22" t="str">
        <x:v>R008 本牧ふ頭の行き止まり／R056 横浜港から丘陵公園へ</x:v>
      </x:c>
      <x:c r="L23" s="22" t="str">
        <x:v>城南島海浜公園</x:v>
      </x:c>
      <x:c r="M23" s="22" t="str">
        <x:v>https://osanbashi.jp/</x:v>
      </x:c>
      <x:c r="N23" s="22" t="str">
        <x:v>役割が異なる場合のみ重複採用</x:v>
      </x:c>
    </x:row>
    <x:row r="24">
      <x:c r="A24" s="22" t="str">
        <x:v>武蔵野の森公園</x:v>
      </x:c>
      <x:c r="B24" s="22" t="n">
        <x:v>2</x:v>
      </x:c>
      <x:c r="C24" s="22" t="n">
        <x:v>0</x:v>
      </x:c>
      <x:c r="D24" s="22" t="n">
        <x:v>2</x:v>
      </x:c>
      <x:c r="E24" s="22" t="str">
        <x:v>低</x:v>
      </x:c>
      <x:c r="F24" s="22" t="n">
        <x:v>90</x:v>
      </x:c>
      <x:c r="G24" s="22" t="str">
        <x:v>飛行機・広い空・24時間駐車</x:v>
      </x:c>
      <x:c r="H24" s="22" t="str">
        <x:v>第1駐車場90台／第2駐車場143台・有料・24時間</x:v>
      </x:c>
      <x:c r="I24" s="22" t="str">
        <x:v>公園常時／駐車場24時間／北南プロムナード9:00～16:30</x:v>
      </x:c>
      <x:c r="J24" s="22" t="str">
        <x:v>導入・気分転換／景観転換・休憩</x:v>
      </x:c>
      <x:c r="K24" s="22" t="str">
        <x:v>R073 調布航空ナイト／R080 深大寺から調布飛行場へ</x:v>
      </x:c>
      <x:c r="L24" s="22" t="str">
        <x:v>城南島海浜公園</x:v>
      </x:c>
      <x:c r="M24" s="22" t="str">
        <x:v>https://www.tokyo-park.or.jp/park/musashino-no-mori/index.html</x:v>
      </x:c>
      <x:c r="N24" s="22" t="str">
        <x:v>役割が異なる場合のみ重複採用</x:v>
      </x:c>
    </x:row>
    <x:row r="25">
      <x:c r="A25" s="22" t="str">
        <x:v>潮風公園</x:v>
      </x:c>
      <x:c r="B25" s="22" t="n">
        <x:v>1</x:v>
      </x:c>
      <x:c r="C25" s="22" t="n">
        <x:v>1</x:v>
      </x:c>
      <x:c r="D25" s="22" t="n">
        <x:v>2</x:v>
      </x:c>
      <x:c r="E25" s="22" t="str">
        <x:v>低</x:v>
      </x:c>
      <x:c r="F25" s="22" t="n">
        <x:v>89</x:v>
      </x:c>
      <x:c r="G25" s="22" t="str">
        <x:v>海・都市夜景</x:v>
      </x:c>
      <x:c r="H25" s="22" t="str">
        <x:v>あり・有料</x:v>
      </x:c>
      <x:c r="I25" s="22" t="str">
        <x:v>駐車場 24時間</x:v>
      </x:c>
      <x:c r="J25" s="22" t="str">
        <x:v>導入・気分転換／到達・余韻</x:v>
      </x:c>
      <x:c r="K25" s="22" t="str">
        <x:v>R004 ゲートブリッジ夜景ショート／R097 浦安ベイ・24時間海辺線</x:v>
      </x:c>
      <x:c r="L25" s="22" t="str">
        <x:v>城南島海浜公園</x:v>
      </x:c>
      <x:c r="M25" s="22" t="str">
        <x:v>https://www.tokyo-park.or.jp/park/shiokaze/index.html</x:v>
      </x:c>
      <x:c r="N25" s="22" t="str">
        <x:v>役割が異なる場合のみ重複採用</x:v>
      </x:c>
    </x:row>
    <x:row r="26">
      <x:c r="A26" s="22" t="str">
        <x:v>生田緑地・枡形山展望台</x:v>
      </x:c>
      <x:c r="B26" s="22" t="n">
        <x:v>1</x:v>
      </x:c>
      <x:c r="C26" s="22" t="n">
        <x:v>1</x:v>
      </x:c>
      <x:c r="D26" s="22" t="n">
        <x:v>2</x:v>
      </x:c>
      <x:c r="E26" s="22" t="str">
        <x:v>低</x:v>
      </x:c>
      <x:c r="F26" s="22" t="n">
        <x:v>82</x:v>
      </x:c>
      <x:c r="G26" s="22" t="str">
        <x:v>高台・展望・文化施設</x:v>
      </x:c>
      <x:c r="H26" s="22" t="str">
        <x:v>あり・東口約140台、西口約50台・有料</x:v>
      </x:c>
      <x:c r="I26" s="22" t="str">
        <x:v>駐車場入庫5:00～22:00／出庫は22:00以降も可</x:v>
      </x:c>
      <x:c r="J26" s="22" t="str">
        <x:v>到達・余韻／景観転換・休憩</x:v>
      </x:c>
      <x:c r="K26" s="22" t="str">
        <x:v>R050 鶴見から生田へ丘陵公園線／R113 川崎丘陵・古代と現代</x:v>
      </x:c>
      <x:c r="L26" s="22" t="str">
        <x:v>羽田空港 第3ターミナル展望デッキ</x:v>
      </x:c>
      <x:c r="M26" s="22" t="str">
        <x:v>https://www.ikutaryokuti.jp/access.html</x:v>
      </x:c>
      <x:c r="N26" s="22" t="str">
        <x:v>役割が異なる場合のみ重複採用</x:v>
      </x:c>
    </x:row>
    <x:row r="27">
      <x:c r="A27" s="22" t="str">
        <x:v>県立三ツ池公園</x:v>
      </x:c>
      <x:c r="B27" s="22" t="n">
        <x:v>2</x:v>
      </x:c>
      <x:c r="C27" s="22" t="n">
        <x:v>0</x:v>
      </x:c>
      <x:c r="D27" s="22" t="n">
        <x:v>2</x:v>
      </x:c>
      <x:c r="E27" s="22" t="str">
        <x:v>低</x:v>
      </x:c>
      <x:c r="F27" s="22" t="n">
        <x:v>70</x:v>
      </x:c>
      <x:c r="G27" s="22" t="str">
        <x:v>池・丘陵・大規模公園</x:v>
      </x:c>
      <x:c r="H27" s="22" t="str">
        <x:v>あり・有料・計146台</x:v>
      </x:c>
      <x:c r="I27" s="22" t="str">
        <x:v>公園24時間／駐車場は営業時間あり</x:v>
      </x:c>
      <x:c r="J27" s="22" t="str">
        <x:v>導入・気分転換</x:v>
      </x:c>
      <x:c r="K27" s="22" t="str">
        <x:v>R050 鶴見から生田へ丘陵公園線／R055 鶴見・川崎近距離回復</x:v>
      </x:c>
      <x:c r="L27" s="22" t="str">
        <x:v>多摩川浅間神社</x:v>
      </x:c>
      <x:c r="M27" s="22" t="str">
        <x:v>https://iju-sumu.city.yokohama.lg.jp/tips/2255/</x:v>
      </x:c>
      <x:c r="N27" s="22" t="str">
        <x:v>役割が異なる場合のみ重複採用</x:v>
      </x:c>
    </x:row>
    <x:row r="28">
      <x:c r="A28" s="22" t="str">
        <x:v>県立東高根森林公園</x:v>
      </x:c>
      <x:c r="B28" s="22" t="n">
        <x:v>2</x:v>
      </x:c>
      <x:c r="C28" s="22" t="n">
        <x:v>0</x:v>
      </x:c>
      <x:c r="D28" s="22" t="n">
        <x:v>2</x:v>
      </x:c>
      <x:c r="E28" s="22" t="str">
        <x:v>低</x:v>
      </x:c>
      <x:c r="F28" s="22" t="n">
        <x:v>76</x:v>
      </x:c>
      <x:c r="G28" s="22" t="str">
        <x:v>森林・遺跡・シラカシ林</x:v>
      </x:c>
      <x:c r="H28" s="22" t="str">
        <x:v>あり・112台</x:v>
      </x:c>
      <x:c r="I28" s="22" t="str">
        <x:v>8:30～19:00</x:v>
      </x:c>
      <x:c r="J28" s="22" t="str">
        <x:v>景観転換・休憩／導入・気分転換</x:v>
      </x:c>
      <x:c r="K28" s="22" t="str">
        <x:v>R050 鶴見から生田へ丘陵公園線／R113 川崎丘陵・古代と現代</x:v>
      </x:c>
      <x:c r="L28" s="22" t="str">
        <x:v>平和の森公園</x:v>
      </x:c>
      <x:c r="M28" s="22" t="str">
        <x:v>https://higashitakane.com/about</x:v>
      </x:c>
      <x:c r="N28" s="22" t="str">
        <x:v>役割が異なる場合のみ重複採用</x:v>
      </x:c>
    </x:row>
    <x:row r="29">
      <x:c r="A29" s="22" t="str">
        <x:v>羽田空港 第2ターミナル展望デッキ／FLIGHT DECK TOKYO</x:v>
      </x:c>
      <x:c r="B29" s="22" t="n">
        <x:v>2</x:v>
      </x:c>
      <x:c r="C29" s="22" t="n">
        <x:v>0</x:v>
      </x:c>
      <x:c r="D29" s="22" t="n">
        <x:v>2</x:v>
      </x:c>
      <x:c r="E29" s="22" t="str">
        <x:v>低</x:v>
      </x:c>
      <x:c r="F29" s="22" t="n">
        <x:v>79</x:v>
      </x:c>
      <x:c r="G29" s="22" t="str">
        <x:v>飛行機・屋内展望・雨天</x:v>
      </x:c>
      <x:c r="H29" s="22" t="str">
        <x:v>P3 2,449台／P4 3,087台・有料</x:v>
      </x:c>
      <x:c r="I29" s="22" t="str">
        <x:v>屋外展望デッキ6:30～22:00／屋内FLIGHT DECK 5:00～23:00</x:v>
      </x:c>
      <x:c r="J29" s="22" t="str">
        <x:v>景観転換・休憩</x:v>
      </x:c>
      <x:c r="K29" s="22" t="str">
        <x:v>R134 羽田3ターミナル比較／R141 雨天・羽田インドア線</x:v>
      </x:c>
      <x:c r="L29" s="22" t="str">
        <x:v>羽田空港 第1ターミナル展望デッキ</x:v>
      </x:c>
      <x:c r="M29" s="22" t="str">
        <x:v>https://tokyo-haneda.com/service/facilities/observation_deck.html</x:v>
      </x:c>
      <x:c r="N29" s="22" t="str">
        <x:v>役割が異なる場合のみ重複採用</x:v>
      </x:c>
    </x:row>
    <x:row r="30">
      <x:c r="A30" s="22" t="str">
        <x:v>若洲海浜公園</x:v>
      </x:c>
      <x:c r="B30" s="22" t="n">
        <x:v>0</x:v>
      </x:c>
      <x:c r="C30" s="22" t="n">
        <x:v>2</x:v>
      </x:c>
      <x:c r="D30" s="22" t="n">
        <x:v>2</x:v>
      </x:c>
      <x:c r="E30" s="22" t="str">
        <x:v>低</x:v>
      </x:c>
      <x:c r="F30" s="22" t="n">
        <x:v>67</x:v>
      </x:c>
      <x:c r="G30" s="22" t="str">
        <x:v>橋・海・港</x:v>
      </x:c>
      <x:c r="H30" s="22" t="str">
        <x:v>東京都立若洲海浜公園駐車場322台・有料</x:v>
      </x:c>
      <x:c r="I30" s="22" t="str">
        <x:v>駐車場6:00～22:00／年末年始休場</x:v>
      </x:c>
      <x:c r="J30" s="22" t="str">
        <x:v>到達・余韻</x:v>
      </x:c>
      <x:c r="K30" s="22" t="str">
        <x:v>R004 ゲートブリッジ夜景ショート／R005 東京港・環境再生ライン</x:v>
      </x:c>
      <x:c r="L30" s="22" t="str">
        <x:v>城南島海浜公園</x:v>
      </x:c>
      <x:c r="M30" s="22" t="str">
        <x:v>https://www.tptc.co.jp/park/03_07/access</x:v>
      </x:c>
      <x:c r="N30" s="22" t="str">
        <x:v>役割が異なる場合のみ重複採用</x:v>
      </x:c>
    </x:row>
    <x:row r="31">
      <x:c r="A31" s="22" t="str">
        <x:v>葛西海浜公園</x:v>
      </x:c>
      <x:c r="B31" s="22" t="n">
        <x:v>1</x:v>
      </x:c>
      <x:c r="C31" s="22" t="n">
        <x:v>1</x:v>
      </x:c>
      <x:c r="D31" s="22" t="n">
        <x:v>2</x:v>
      </x:c>
      <x:c r="E31" s="22" t="str">
        <x:v>低</x:v>
      </x:c>
      <x:c r="F31" s="22" t="n">
        <x:v>88</x:v>
      </x:c>
      <x:c r="G31" s="22" t="str">
        <x:v>干潟・海浜・東京湾</x:v>
      </x:c>
      <x:c r="H31" s="22" t="str">
        <x:v>葛西臨海公園駐車場を利用・有料</x:v>
      </x:c>
      <x:c r="I31" s="22" t="str">
        <x:v>駐車場24時間／西なぎさ利用は季節・潮位条件を確認</x:v>
      </x:c>
      <x:c r="J31" s="22" t="str">
        <x:v>導入・気分転換／到達・余韻</x:v>
      </x:c>
      <x:c r="K31" s="22" t="str">
        <x:v>R121 湾岸・干潟から運河へ／R131 東京近距離・運河と市場</x:v>
      </x:c>
      <x:c r="L31" s="22" t="str">
        <x:v>城南島海浜公園</x:v>
      </x:c>
      <x:c r="M31" s="22" t="str">
        <x:v>https://www.tokyo-park.or.jp/park/kasaikaihin/index.html</x:v>
      </x:c>
      <x:c r="N31" s="22" t="str">
        <x:v>役割が異なる場合のみ重複採用</x:v>
      </x:c>
    </x:row>
    <x:row r="32">
      <x:c r="A32" s="22" t="str">
        <x:v>葛西臨海公園</x:v>
      </x:c>
      <x:c r="B32" s="22" t="n">
        <x:v>2</x:v>
      </x:c>
      <x:c r="C32" s="22" t="n">
        <x:v>0</x:v>
      </x:c>
      <x:c r="D32" s="22" t="n">
        <x:v>2</x:v>
      </x:c>
      <x:c r="E32" s="22" t="str">
        <x:v>低</x:v>
      </x:c>
      <x:c r="F32" s="22" t="n">
        <x:v>87</x:v>
      </x:c>
      <x:c r="G32" s="22" t="str">
        <x:v>海・観覧車・公園</x:v>
      </x:c>
      <x:c r="H32" s="22" t="str">
        <x:v>あり・有料</x:v>
      </x:c>
      <x:c r="I32" s="22" t="str">
        <x:v>駐車場 24時間</x:v>
      </x:c>
      <x:c r="J32" s="22" t="str">
        <x:v>景観転換・休憩</x:v>
      </x:c>
      <x:c r="K32" s="22" t="str">
        <x:v>R097 浦安ベイ・24時間海辺線／R121 湾岸・干潟から運河へ</x:v>
      </x:c>
      <x:c r="L32" s="22" t="str">
        <x:v>城南島海浜公園</x:v>
      </x:c>
      <x:c r="M32" s="22" t="str">
        <x:v>https://www.tokyo-park.or.jp/park/kasairinkai/index.html</x:v>
      </x:c>
      <x:c r="N32" s="22" t="str">
        <x:v>役割が異なる場合のみ重複採用</x:v>
      </x:c>
    </x:row>
    <x:row r="33">
      <x:c r="A33" s="22" t="str">
        <x:v>豊洲ぐるり公園</x:v>
      </x:c>
      <x:c r="B33" s="22" t="n">
        <x:v>2</x:v>
      </x:c>
      <x:c r="C33" s="22" t="n">
        <x:v>0</x:v>
      </x:c>
      <x:c r="D33" s="22" t="n">
        <x:v>2</x:v>
      </x:c>
      <x:c r="E33" s="22" t="str">
        <x:v>低</x:v>
      </x:c>
      <x:c r="F33" s="22" t="n">
        <x:v>88</x:v>
      </x:c>
      <x:c r="G33" s="22" t="str">
        <x:v>都市夜景・水辺</x:v>
      </x:c>
      <x:c r="H33" s="22" t="str">
        <x:v>あり・有料</x:v>
      </x:c>
      <x:c r="I33" s="22" t="str">
        <x:v>駐車場 終日</x:v>
      </x:c>
      <x:c r="J33" s="22" t="str">
        <x:v>景観転換・休憩</x:v>
      </x:c>
      <x:c r="K33" s="22" t="str">
        <x:v>R003 東京港最奥ナイト／R140 お台場から豊洲の水際夜景</x:v>
      </x:c>
      <x:c r="L33" s="22" t="str">
        <x:v>羽田空港 第3ターミナル展望デッキ</x:v>
      </x:c>
      <x:c r="M33" s="22" t="str">
        <x:v>https://www.city.koto.lg.jp/470705/kasenkouen/toyosugururipark.html</x:v>
      </x:c>
      <x:c r="N33" s="22" t="str">
        <x:v>役割が異なる場合のみ重複採用</x:v>
      </x:c>
    </x:row>
    <x:row r="34">
      <x:c r="A34" s="22" t="str">
        <x:v>道の駅 いちかわ</x:v>
      </x:c>
      <x:c r="B34" s="22" t="n">
        <x:v>1</x:v>
      </x:c>
      <x:c r="C34" s="22" t="n">
        <x:v>1</x:v>
      </x:c>
      <x:c r="D34" s="22" t="n">
        <x:v>2</x:v>
      </x:c>
      <x:c r="E34" s="22" t="str">
        <x:v>低</x:v>
      </x:c>
      <x:c r="F34" s="22" t="n">
        <x:v>76</x:v>
      </x:c>
      <x:c r="G34" s="22" t="str">
        <x:v>道の駅・外環・都市農業</x:v>
      </x:c>
      <x:c r="H34" s="22" t="str">
        <x:v>あり・小型69台ほか</x:v>
      </x:c>
      <x:c r="I34" s="22" t="str">
        <x:v>開館9:00～22:00／店舗別</x:v>
      </x:c>
      <x:c r="J34" s="22" t="str">
        <x:v>到達・余韻／景観転換・休憩</x:v>
      </x:c>
      <x:c r="K34" s="22" t="str">
        <x:v>R048 東側・確実な休憩ルート／R131 東京近距離・運河と市場</x:v>
      </x:c>
      <x:c r="L34" s="22" t="str">
        <x:v>羽田空港 第3ターミナル展望デッキ</x:v>
      </x:c>
      <x:c r="M34" s="22" t="str">
        <x:v>https://www.michinoeki-ichikawa.jp/access/</x:v>
      </x:c>
      <x:c r="N34" s="22" t="str">
        <x:v>役割が異なる場合のみ重複採用</x:v>
      </x:c>
    </x:row>
    <x:row r="35">
      <x:c r="A35" s="22" t="str">
        <x:v>高洲海浜公園</x:v>
      </x:c>
      <x:c r="B35" s="22" t="n">
        <x:v>2</x:v>
      </x:c>
      <x:c r="C35" s="22" t="n">
        <x:v>0</x:v>
      </x:c>
      <x:c r="D35" s="22" t="n">
        <x:v>2</x:v>
      </x:c>
      <x:c r="E35" s="22" t="str">
        <x:v>低</x:v>
      </x:c>
      <x:c r="F35" s="22" t="n">
        <x:v>92</x:v>
      </x:c>
      <x:c r="G35" s="22" t="str">
        <x:v>海・展望の丘・24時間駐車</x:v>
      </x:c>
      <x:c r="H35" s="22" t="str">
        <x:v>あり・152台・有料</x:v>
      </x:c>
      <x:c r="I35" s="22" t="str">
        <x:v>駐車場 年中無休・終日利用可</x:v>
      </x:c>
      <x:c r="J35" s="22" t="str">
        <x:v>導入・気分転換／景観転換・休憩</x:v>
      </x:c>
      <x:c r="K35" s="22" t="str">
        <x:v>R097 浦安ベイ・24時間海辺線／R131 東京近距離・運河と市場</x:v>
      </x:c>
      <x:c r="L35" s="22" t="str">
        <x:v>城南島海浜公園</x:v>
      </x:c>
      <x:c r="M35" s="22" t="str">
        <x:v>https://www.city.urayasu.lg.jp/shisetsu/kouen/1005634.html</x:v>
      </x:c>
      <x:c r="N35" s="22" t="str">
        <x:v>役割が異なる場合のみ重複採用</x:v>
      </x:c>
    </x:row>
    <x:row r="36">
      <x:c r="A36" s="22" t="str">
        <x:v>お台場海浜公園</x:v>
      </x:c>
      <x:c r="B36" s="22" t="n">
        <x:v>1</x:v>
      </x:c>
      <x:c r="C36" s="22" t="n">
        <x:v>0</x:v>
      </x:c>
      <x:c r="D36" s="22" t="n">
        <x:v>1</x:v>
      </x:c>
      <x:c r="E36" s="22" t="str">
        <x:v>なし</x:v>
      </x:c>
      <x:c r="F36" s="22" t="n">
        <x:v>90</x:v>
      </x:c>
      <x:c r="G36" s="22" t="str">
        <x:v>海浜・第三台場・都市夜景</x:v>
      </x:c>
      <x:c r="H36" s="22" t="str">
        <x:v>中央101台／北口244台・有料・24時間</x:v>
      </x:c>
      <x:c r="I36" s="22" t="str">
        <x:v>公園・駐車場24時間</x:v>
      </x:c>
      <x:c r="J36" s="22" t="str">
        <x:v>導入・気分転換</x:v>
      </x:c>
      <x:c r="K36" s="22" t="str">
        <x:v>R140 お台場から豊洲の水際夜景</x:v>
      </x:c>
      <x:c r="L36" s="22" t="str">
        <x:v>潮風公園</x:v>
      </x:c>
      <x:c r="M36" s="22" t="str">
        <x:v>https://www.tptc.co.jp/park/01_02/access</x:v>
      </x:c>
      <x:c r="N36" s="22" t="str">
        <x:v>積極活用可能</x:v>
      </x:c>
    </x:row>
    <x:row r="37">
      <x:c r="A37" s="22" t="str">
        <x:v>三溪園</x:v>
      </x:c>
      <x:c r="B37" s="22" t="n">
        <x:v>1</x:v>
      </x:c>
      <x:c r="C37" s="22" t="n">
        <x:v>0</x:v>
      </x:c>
      <x:c r="D37" s="22" t="n">
        <x:v>1</x:v>
      </x:c>
      <x:c r="E37" s="22" t="str">
        <x:v>なし</x:v>
      </x:c>
      <x:c r="F37" s="22" t="n">
        <x:v>86</x:v>
      </x:c>
      <x:c r="G37" s="22" t="str">
        <x:v>日本庭園・古建築・Story</x:v>
      </x:c>
      <x:c r="H37" s="22" t="str">
        <x:v>あり・通常最大約60台・有料</x:v>
      </x:c>
      <x:c r="I37" s="22" t="str">
        <x:v>9:00～17:00／最終入園・入庫16:30</x:v>
      </x:c>
      <x:c r="J37" s="22" t="str">
        <x:v>導入・気分転換</x:v>
      </x:c>
      <x:c r="K37" s="22" t="str">
        <x:v>R119 横浜・庭園と丘陵三層</x:v>
      </x:c>
      <x:c r="L37" s="22" t="str">
        <x:v>羽田空港 第3ターミナル展望デッキ</x:v>
      </x:c>
      <x:c r="M37" s="22" t="str">
        <x:v>https://www.sankeien.or.jp/price-service/</x:v>
      </x:c>
      <x:c r="N37" s="22" t="str">
        <x:v>積極活用可能</x:v>
      </x:c>
    </x:row>
    <x:row r="38">
      <x:c r="A38" s="22" t="str">
        <x:v>久良岐公園</x:v>
      </x:c>
      <x:c r="B38" s="22" t="n">
        <x:v>0</x:v>
      </x:c>
      <x:c r="C38" s="22" t="n">
        <x:v>1</x:v>
      </x:c>
      <x:c r="D38" s="22" t="n">
        <x:v>1</x:v>
      </x:c>
      <x:c r="E38" s="22" t="str">
        <x:v>なし</x:v>
      </x:c>
      <x:c r="F38" s="22" t="n">
        <x:v>76</x:v>
      </x:c>
      <x:c r="G38" s="22" t="str">
        <x:v>丘陵・池・静かな公園</x:v>
      </x:c>
      <x:c r="H38" s="22" t="str">
        <x:v>あり・88台・有料</x:v>
      </x:c>
      <x:c r="I38" s="22" t="str">
        <x:v>駐車場時間は公式案内確認</x:v>
      </x:c>
      <x:c r="J38" s="22" t="str">
        <x:v>到達・余韻</x:v>
      </x:c>
      <x:c r="K38" s="22" t="str">
        <x:v>R056 横浜港から丘陵公園へ</x:v>
      </x:c>
      <x:c r="L38" s="22" t="str">
        <x:v>多摩川浅間神社</x:v>
      </x:c>
      <x:c r="M38" s="22" t="str">
        <x:v>https://www.city.yokohama.lg.jp/kurashi/machizukuri-kankyo/midori-koen/koen/koen/daihyoteki/kuraki/kuraki.html</x:v>
      </x:c>
      <x:c r="N38" s="22" t="str">
        <x:v>積極活用可能</x:v>
      </x:c>
    </x:row>
    <x:row r="39">
      <x:c r="A39" s="22" t="str">
        <x:v>城北中央公園</x:v>
      </x:c>
      <x:c r="B39" s="22" t="n">
        <x:v>1</x:v>
      </x:c>
      <x:c r="C39" s="22" t="n">
        <x:v>0</x:v>
      </x:c>
      <x:c r="D39" s="22" t="n">
        <x:v>1</x:v>
      </x:c>
      <x:c r="E39" s="22" t="str">
        <x:v>なし</x:v>
      </x:c>
      <x:c r="F39" s="22" t="n">
        <x:v>77</x:v>
      </x:c>
      <x:c r="G39" s="22" t="str">
        <x:v>24時間駐車・遺跡・都市公園</x:v>
      </x:c>
      <x:c r="H39" s="22" t="str">
        <x:v>あり・66台、有料</x:v>
      </x:c>
      <x:c r="I39" s="22" t="str">
        <x:v>駐車場24時間</x:v>
      </x:c>
      <x:c r="J39" s="22" t="str">
        <x:v>導入・気分転換</x:v>
      </x:c>
      <x:c r="K39" s="22" t="str">
        <x:v>R093 東京北東24時間公園線</x:v>
      </x:c>
      <x:c r="L39" s="22" t="str">
        <x:v>平和の森公園</x:v>
      </x:c>
      <x:c r="M39" s="22" t="str">
        <x:v>https://www.tokyo-park.or.jp/park/johoku-chuo/index.html</x:v>
      </x:c>
      <x:c r="N39" s="22" t="str">
        <x:v>積極活用可能</x:v>
      </x:c>
    </x:row>
    <x:row r="40">
      <x:c r="A40" s="22" t="str">
        <x:v>多摩川ガス橋緑地</x:v>
      </x:c>
      <x:c r="B40" s="22" t="n">
        <x:v>1</x:v>
      </x:c>
      <x:c r="C40" s="22" t="n">
        <x:v>0</x:v>
      </x:c>
      <x:c r="D40" s="22" t="n">
        <x:v>1</x:v>
      </x:c>
      <x:c r="E40" s="22" t="str">
        <x:v>なし</x:v>
      </x:c>
      <x:c r="F40" s="22" t="n">
        <x:v>78</x:v>
      </x:c>
      <x:c r="G40" s="22" t="str">
        <x:v>河川敷・橋・芝生</x:v>
      </x:c>
      <x:c r="H40" s="22" t="str">
        <x:v>あり・196台・土日祝のみ・1日500円</x:v>
      </x:c>
      <x:c r="I40" s="22" t="str">
        <x:v>季節により5:30～19:30／冬7:30～17:30</x:v>
      </x:c>
      <x:c r="J40" s="22" t="str">
        <x:v>景観転換・休憩</x:v>
      </x:c>
      <x:c r="K40" s="22" t="str">
        <x:v>R137 多摩川・休日ショート</x:v>
      </x:c>
      <x:c r="L40" s="22" t="str">
        <x:v>多摩川六郷橋緑地</x:v>
      </x:c>
      <x:c r="M40" s="22" t="str">
        <x:v>https://www.city.ota.tokyo.jp/shisetsu/kuei_park/gasbashiryokuchi_chusyajyo.html</x:v>
      </x:c>
      <x:c r="N40" s="22" t="str">
        <x:v>積極活用可能</x:v>
      </x:c>
    </x:row>
    <x:row r="41">
      <x:c r="A41" s="22" t="str">
        <x:v>多摩川六郷橋緑地</x:v>
      </x:c>
      <x:c r="B41" s="22" t="n">
        <x:v>1</x:v>
      </x:c>
      <x:c r="C41" s="22" t="n">
        <x:v>0</x:v>
      </x:c>
      <x:c r="D41" s="22" t="n">
        <x:v>1</x:v>
      </x:c>
      <x:c r="E41" s="22" t="str">
        <x:v>なし</x:v>
      </x:c>
      <x:c r="F41" s="22" t="n">
        <x:v>78</x:v>
      </x:c>
      <x:c r="G41" s="22" t="str">
        <x:v>河川敷・橋・広い空</x:v>
      </x:c>
      <x:c r="H41" s="22" t="str">
        <x:v>あり・195台・土日祝のみ・1日500円</x:v>
      </x:c>
      <x:c r="I41" s="22" t="str">
        <x:v>季節により5:30～19:30／冬7:30～17:30</x:v>
      </x:c>
      <x:c r="J41" s="22" t="str">
        <x:v>導入・気分転換</x:v>
      </x:c>
      <x:c r="K41" s="22" t="str">
        <x:v>R137 多摩川・休日ショート</x:v>
      </x:c>
      <x:c r="L41" s="22" t="str">
        <x:v>多摩川ガス橋緑地</x:v>
      </x:c>
      <x:c r="M41" s="22" t="str">
        <x:v>https://www.city.ota.tokyo.jp/shisetsu/kuei_park/rokugobashiryokuchi_chusyajyo.html</x:v>
      </x:c>
      <x:c r="N41" s="22" t="str">
        <x:v>積極活用可能</x:v>
      </x:c>
    </x:row>
    <x:row r="42">
      <x:c r="A42" s="22" t="str">
        <x:v>多摩川浅間神社</x:v>
      </x:c>
      <x:c r="B42" s="22" t="n">
        <x:v>0</x:v>
      </x:c>
      <x:c r="C42" s="22" t="n">
        <x:v>1</x:v>
      </x:c>
      <x:c r="D42" s="22" t="n">
        <x:v>1</x:v>
      </x:c>
      <x:c r="E42" s="22" t="str">
        <x:v>なし</x:v>
      </x:c>
      <x:c r="F42" s="22" t="n">
        <x:v>81</x:v>
      </x:c>
      <x:c r="G42" s="22" t="str">
        <x:v>高台・Story</x:v>
      </x:c>
      <x:c r="H42" s="22" t="str">
        <x:v>あり・約20台</x:v>
      </x:c>
      <x:c r="I42" s="22" t="str">
        <x:v>授与所 10:00～16:00、参拝は現地掲示優先</x:v>
      </x:c>
      <x:c r="J42" s="22" t="str">
        <x:v>到達・余韻</x:v>
      </x:c>
      <x:c r="K42" s="22" t="str">
        <x:v>R137 多摩川・休日ショート</x:v>
      </x:c>
      <x:c r="L42" s="22" t="str">
        <x:v>羽田空港 第3ターミナル展望デッキ</x:v>
      </x:c>
      <x:c r="M42" s="22" t="str">
        <x:v>https://sengenjinja.info/</x:v>
      </x:c>
      <x:c r="N42" s="22" t="str">
        <x:v>積極活用可能</x:v>
      </x:c>
    </x:row>
    <x:row r="43">
      <x:c r="A43" s="22" t="str">
        <x:v>大師公園</x:v>
      </x:c>
      <x:c r="B43" s="22" t="n">
        <x:v>1</x:v>
      </x:c>
      <x:c r="C43" s="22" t="n">
        <x:v>0</x:v>
      </x:c>
      <x:c r="D43" s="22" t="n">
        <x:v>1</x:v>
      </x:c>
      <x:c r="E43" s="22" t="str">
        <x:v>なし</x:v>
      </x:c>
      <x:c r="F43" s="22" t="n">
        <x:v>92</x:v>
      </x:c>
      <x:c r="G43" s="22" t="str">
        <x:v>大規模公園・Story・近距離</x:v>
      </x:c>
      <x:c r="H43" s="22" t="str">
        <x:v>周辺駐車場利用</x:v>
      </x:c>
      <x:c r="I43" s="22" t="str">
        <x:v>公園は常時利用可</x:v>
      </x:c>
      <x:c r="J43" s="22" t="str">
        <x:v>導入・気分転換</x:v>
      </x:c>
      <x:c r="K43" s="22" t="str">
        <x:v>R059 川崎Storyショート</x:v>
      </x:c>
      <x:c r="L43" s="22" t="str">
        <x:v>平和の森公園</x:v>
      </x:c>
      <x:c r="M43" s="22" t="str">
        <x:v>https://www.city.kawasaki.jp/170/cmsfiles/contents/0000187/187611/04.pdf</x:v>
      </x:c>
      <x:c r="N43" s="22" t="str">
        <x:v>積極活用可能</x:v>
      </x:c>
    </x:row>
    <x:row r="44">
      <x:c r="A44" s="22" t="str">
        <x:v>平和島PA（上り）</x:v>
      </x:c>
      <x:c r="B44" s="22" t="n">
        <x:v>1</x:v>
      </x:c>
      <x:c r="C44" s="22" t="n">
        <x:v>0</x:v>
      </x:c>
      <x:c r="D44" s="22" t="n">
        <x:v>1</x:v>
      </x:c>
      <x:c r="E44" s="22" t="str">
        <x:v>なし</x:v>
      </x:c>
      <x:c r="F44" s="22" t="n">
        <x:v>86</x:v>
      </x:c>
      <x:c r="G44" s="22" t="str">
        <x:v>PA・近距離・夜間休憩</x:v>
      </x:c>
      <x:c r="H44" s="22" t="str">
        <x:v>あり・首都高PA</x:v>
      </x:c>
      <x:c r="I44" s="22" t="str">
        <x:v>原則24時間、工事閉鎖あり</x:v>
      </x:c>
      <x:c r="J44" s="22" t="str">
        <x:v>導入・気分転換</x:v>
      </x:c>
      <x:c r="K44" s="22" t="str">
        <x:v>R025 首都高ミニマム・ナイト</x:v>
      </x:c>
      <x:c r="L44" s="22" t="str">
        <x:v>羽田空港 第3ターミナル展望デッキ</x:v>
      </x:c>
      <x:c r="M44" s="22" t="str">
        <x:v>https://www.shutoko-sv.jp/pa/heiwajima-up</x:v>
      </x:c>
      <x:c r="N44" s="22" t="str">
        <x:v>積極活用可能</x:v>
      </x:c>
    </x:row>
    <x:row r="45">
      <x:c r="A45" s="22" t="str">
        <x:v>御幸公園</x:v>
      </x:c>
      <x:c r="B45" s="22" t="n">
        <x:v>0</x:v>
      </x:c>
      <x:c r="C45" s="22" t="n">
        <x:v>1</x:v>
      </x:c>
      <x:c r="D45" s="22" t="n">
        <x:v>1</x:v>
      </x:c>
      <x:c r="E45" s="22" t="str">
        <x:v>なし</x:v>
      </x:c>
      <x:c r="F45" s="22" t="n">
        <x:v>71</x:v>
      </x:c>
      <x:c r="G45" s="22" t="str">
        <x:v>多摩川・梅林・河川景観</x:v>
      </x:c>
      <x:c r="H45" s="22" t="str">
        <x:v>周辺駐車場利用</x:v>
      </x:c>
      <x:c r="I45" s="22" t="str">
        <x:v>公園利用時間は現地掲示優先</x:v>
      </x:c>
      <x:c r="J45" s="22" t="str">
        <x:v>到達・余韻</x:v>
      </x:c>
      <x:c r="K45" s="22" t="str">
        <x:v>R055 鶴見・川崎近距離回復</x:v>
      </x:c>
      <x:c r="L45" s="22" t="str">
        <x:v>多摩川浅間神社</x:v>
      </x:c>
      <x:c r="M45" s="22" t="str">
        <x:v>https://www.city.kawasaki.jp/170/cmsfiles/contents/0000187/187611/04.pdf</x:v>
      </x:c>
      <x:c r="N45" s="22" t="str">
        <x:v>積極活用可能</x:v>
      </x:c>
    </x:row>
    <x:row r="46">
      <x:c r="A46" s="22" t="str">
        <x:v>暁ふ頭公園</x:v>
      </x:c>
      <x:c r="B46" s="22" t="n">
        <x:v>0</x:v>
      </x:c>
      <x:c r="C46" s="22" t="n">
        <x:v>1</x:v>
      </x:c>
      <x:c r="D46" s="22" t="n">
        <x:v>1</x:v>
      </x:c>
      <x:c r="E46" s="22" t="str">
        <x:v>なし</x:v>
      </x:c>
      <x:c r="F46" s="22" t="n">
        <x:v>63</x:v>
      </x:c>
      <x:c r="G46" s="22" t="str">
        <x:v>港・行き止まり・静かな休憩</x:v>
      </x:c>
      <x:c r="H46" s="22" t="str">
        <x:v>あり・小規模有料</x:v>
      </x:c>
      <x:c r="I46" s="22" t="str">
        <x:v>駐車場運用時間は公式ページで再確認</x:v>
      </x:c>
      <x:c r="J46" s="22" t="str">
        <x:v>到達・余韻</x:v>
      </x:c>
      <x:c r="K46" s="22" t="str">
        <x:v>R003 東京港最奥ナイト</x:v>
      </x:c>
      <x:c r="L46" s="22" t="str">
        <x:v>城南島海浜公園</x:v>
      </x:c>
      <x:c r="M46" s="22" t="str">
        <x:v>https://www.tptc.co.jp/park/01_10</x:v>
      </x:c>
      <x:c r="N46" s="22" t="str">
        <x:v>積極活用可能</x:v>
      </x:c>
    </x:row>
    <x:row r="47">
      <x:c r="A47" s="22" t="str">
        <x:v>東京ゲートブリッジ</x:v>
      </x:c>
      <x:c r="B47" s="22" t="n">
        <x:v>1</x:v>
      </x:c>
      <x:c r="C47" s="22" t="n">
        <x:v>0</x:v>
      </x:c>
      <x:c r="D47" s="22" t="n">
        <x:v>1</x:v>
      </x:c>
      <x:c r="E47" s="22" t="str">
        <x:v>なし</x:v>
      </x:c>
      <x:c r="F47" s="22" t="n">
        <x:v>86</x:v>
      </x:c>
      <x:c r="G47" s="22" t="str">
        <x:v>橋・走行演出</x:v>
      </x:c>
      <x:c r="H47" s="22" t="str">
        <x:v>停車不可・走行のみ</x:v>
      </x:c>
      <x:c r="I47" s="22" t="str">
        <x:v>道路通行条件による</x:v>
      </x:c>
      <x:c r="J47" s="22" t="str">
        <x:v>走行演出</x:v>
      </x:c>
      <x:c r="K47" s="22" t="str">
        <x:v>R004 ゲートブリッジ夜景ショート</x:v>
      </x:c>
      <x:c r="L47" s="22" t="str"/>
      <x:c r="M47" s="22" t="str"/>
      <x:c r="N47" s="22" t="str">
        <x:v>積極活用可能</x:v>
      </x:c>
    </x:row>
    <x:row r="48">
      <x:c r="A48" s="22" t="str">
        <x:v>東綾瀬公園</x:v>
      </x:c>
      <x:c r="B48" s="22" t="n">
        <x:v>0</x:v>
      </x:c>
      <x:c r="C48" s="22" t="n">
        <x:v>1</x:v>
      </x:c>
      <x:c r="D48" s="22" t="n">
        <x:v>1</x:v>
      </x:c>
      <x:c r="E48" s="22" t="str">
        <x:v>なし</x:v>
      </x:c>
      <x:c r="F48" s="22" t="n">
        <x:v>85</x:v>
      </x:c>
      <x:c r="G48" s="22" t="str">
        <x:v>水辺・都市公園・24時間駐車</x:v>
      </x:c>
      <x:c r="H48" s="22" t="str">
        <x:v>あり・107台、有料</x:v>
      </x:c>
      <x:c r="I48" s="22" t="str">
        <x:v>駐車場 24時間</x:v>
      </x:c>
      <x:c r="J48" s="22" t="str">
        <x:v>到達・余韻</x:v>
      </x:c>
      <x:c r="K48" s="22" t="str">
        <x:v>R093 東京北東24時間公園線</x:v>
      </x:c>
      <x:c r="L48" s="22" t="str">
        <x:v>平和の森公園</x:v>
      </x:c>
      <x:c r="M48" s="22" t="str">
        <x:v>https://www.tokyo-park.or.jp/park/higashi-ayase/index.html</x:v>
      </x:c>
      <x:c r="N48" s="22" t="str">
        <x:v>積極活用可能</x:v>
      </x:c>
    </x:row>
    <x:row r="49">
      <x:c r="A49" s="22" t="str">
        <x:v>桜ヶ丘公園 ゆうひの丘</x:v>
      </x:c>
      <x:c r="B49" s="22" t="n">
        <x:v>0</x:v>
      </x:c>
      <x:c r="C49" s="22" t="n">
        <x:v>1</x:v>
      </x:c>
      <x:c r="D49" s="22" t="n">
        <x:v>1</x:v>
      </x:c>
      <x:c r="E49" s="22" t="str">
        <x:v>なし</x:v>
      </x:c>
      <x:c r="F49" s="22" t="n">
        <x:v>70</x:v>
      </x:c>
      <x:c r="G49" s="22" t="str">
        <x:v>高台・夕景・夜景</x:v>
      </x:c>
      <x:c r="H49" s="22" t="str">
        <x:v>あり・ゆうひの丘側約38台、無料</x:v>
      </x:c>
      <x:c r="I49" s="22" t="str">
        <x:v>8:45～20:00、夜間閉鎖</x:v>
      </x:c>
      <x:c r="J49" s="22" t="str">
        <x:v>到達・余韻</x:v>
      </x:c>
      <x:c r="K49" s="22" t="str">
        <x:v>R073 調布航空ナイト</x:v>
      </x:c>
      <x:c r="L49" s="22" t="str">
        <x:v>羽田空港 第3ターミナル展望デッキ</x:v>
      </x:c>
      <x:c r="M49" s="22" t="str">
        <x:v>https://www.tokyo-park.or.jp/park/sakuragaoka/index.html</x:v>
      </x:c>
      <x:c r="N49" s="22" t="str">
        <x:v>積極活用可能</x:v>
      </x:c>
    </x:row>
    <x:row r="50">
      <x:c r="A50" s="22" t="str">
        <x:v>池上梅園</x:v>
      </x:c>
      <x:c r="B50" s="22" t="n">
        <x:v>1</x:v>
      </x:c>
      <x:c r="C50" s="22" t="n">
        <x:v>0</x:v>
      </x:c>
      <x:c r="D50" s="22" t="n">
        <x:v>1</x:v>
      </x:c>
      <x:c r="E50" s="22" t="str">
        <x:v>なし</x:v>
      </x:c>
      <x:c r="F50" s="22" t="n">
        <x:v>73</x:v>
      </x:c>
      <x:c r="G50" s="22" t="str">
        <x:v>日本庭園・梅・茶室Story</x:v>
      </x:c>
      <x:c r="H50" s="22" t="str">
        <x:v>あり・一般6台＋身障者1台・30分100円</x:v>
      </x:c>
      <x:c r="I50" s="22" t="str">
        <x:v>9:00～16:30／入園16:00まで</x:v>
      </x:c>
      <x:c r="J50" s="22" t="str">
        <x:v>導入・気分転換</x:v>
      </x:c>
      <x:c r="K50" s="22" t="str">
        <x:v>R138 池上から大森海岸へ</x:v>
      </x:c>
      <x:c r="L50" s="22" t="str">
        <x:v>平和の森公園</x:v>
      </x:c>
      <x:c r="M50" s="22" t="str">
        <x:v>https://www.city.ota.tokyo.jp/shisetsu/park/ikegamibaien.html</x:v>
      </x:c>
      <x:c r="N50" s="22" t="str">
        <x:v>積極活用可能</x:v>
      </x:c>
    </x:row>
    <x:row r="51">
      <x:c r="A51" s="22" t="str">
        <x:v>浦安市総合公園</x:v>
      </x:c>
      <x:c r="B51" s="22" t="n">
        <x:v>1</x:v>
      </x:c>
      <x:c r="C51" s="22" t="n">
        <x:v>0</x:v>
      </x:c>
      <x:c r="D51" s="22" t="n">
        <x:v>1</x:v>
      </x:c>
      <x:c r="E51" s="22" t="str">
        <x:v>なし</x:v>
      </x:c>
      <x:c r="F51" s="22" t="n">
        <x:v>87</x:v>
      </x:c>
      <x:c r="G51" s="22" t="str">
        <x:v>海・芝生・夜間公園</x:v>
      </x:c>
      <x:c r="H51" s="22" t="str">
        <x:v>あり・251台・有料</x:v>
      </x:c>
      <x:c r="I51" s="22" t="str">
        <x:v>駐車場 終日利用可</x:v>
      </x:c>
      <x:c r="J51" s="22" t="str">
        <x:v>景観転換・休憩</x:v>
      </x:c>
      <x:c r="K51" s="22" t="str">
        <x:v>R097 浦安ベイ・24時間海辺線</x:v>
      </x:c>
      <x:c r="L51" s="22" t="str">
        <x:v>城南島海浜公園</x:v>
      </x:c>
      <x:c r="M51" s="22" t="str">
        <x:v>https://www.city.urayasu.lg.jp/shisetsu/kouen/1005625.html</x:v>
      </x:c>
      <x:c r="N51" s="22" t="str">
        <x:v>積極活用可能</x:v>
      </x:c>
    </x:row>
    <x:row r="52">
      <x:c r="A52" s="22" t="str">
        <x:v>海の公園</x:v>
      </x:c>
      <x:c r="B52" s="22" t="n">
        <x:v>1</x:v>
      </x:c>
      <x:c r="C52" s="22" t="n">
        <x:v>0</x:v>
      </x:c>
      <x:c r="D52" s="22" t="n">
        <x:v>1</x:v>
      </x:c>
      <x:c r="E52" s="22" t="str">
        <x:v>なし</x:v>
      </x:c>
      <x:c r="F52" s="22" t="n">
        <x:v>74</x:v>
      </x:c>
      <x:c r="G52" s="22" t="str">
        <x:v>人工海浜・八景島・海</x:v>
      </x:c>
      <x:c r="H52" s="22" t="str">
        <x:v>あり・柴口／磯浜／臨時駐車場、有料</x:v>
      </x:c>
      <x:c r="I52" s="22" t="str">
        <x:v>駐車場ごとの最新営業時間を公式確認</x:v>
      </x:c>
      <x:c r="J52" s="22" t="str">
        <x:v>景観転換・休憩</x:v>
      </x:c>
      <x:c r="K52" s="22" t="str">
        <x:v>R009 金沢シーサイド</x:v>
      </x:c>
      <x:c r="L52" s="22" t="str">
        <x:v>城南島海浜公園</x:v>
      </x:c>
      <x:c r="M52" s="22" t="str">
        <x:v>https://www.city.yokohama.lg.jp/kurashi/machizukuri-kankyo/midori-koen/koen/koen/daihyoteki/umikouen.html</x:v>
      </x:c>
      <x:c r="N52" s="22" t="str">
        <x:v>積極活用可能</x:v>
      </x:c>
    </x:row>
    <x:row r="53">
      <x:c r="A53" s="22" t="str">
        <x:v>海の森公園</x:v>
      </x:c>
      <x:c r="B53" s="22" t="n">
        <x:v>1</x:v>
      </x:c>
      <x:c r="C53" s="22" t="n">
        <x:v>0</x:v>
      </x:c>
      <x:c r="D53" s="22" t="n">
        <x:v>1</x:v>
      </x:c>
      <x:c r="E53" s="22" t="str">
        <x:v>なし</x:v>
      </x:c>
      <x:c r="F53" s="22" t="n">
        <x:v>83</x:v>
      </x:c>
      <x:c r="G53" s="22" t="str">
        <x:v>高台・東京港・新景観</x:v>
      </x:c>
      <x:c r="H53" s="22" t="str">
        <x:v>あり・普通車268台・有料</x:v>
      </x:c>
      <x:c r="I53" s="22" t="str">
        <x:v>閉園17:00／開園開始時刻は公式ページ間で7:00・9:00表記があるため当日確認</x:v>
      </x:c>
      <x:c r="J53" s="22" t="str">
        <x:v>景観転換・休憩</x:v>
      </x:c>
      <x:c r="K53" s="22" t="str">
        <x:v>R005 東京港・環境再生ライン</x:v>
      </x:c>
      <x:c r="L53" s="22" t="str">
        <x:v>城南島海浜公園</x:v>
      </x:c>
      <x:c r="M53" s="22" t="str">
        <x:v>https://uminomoripark.com/faq/</x:v>
      </x:c>
      <x:c r="N53" s="22" t="str">
        <x:v>積極活用可能</x:v>
      </x:c>
    </x:row>
    <x:row r="54">
      <x:c r="A54" s="22" t="str">
        <x:v>磯子海づり施設</x:v>
      </x:c>
      <x:c r="B54" s="22" t="n">
        <x:v>1</x:v>
      </x:c>
      <x:c r="C54" s="22" t="n">
        <x:v>0</x:v>
      </x:c>
      <x:c r="D54" s="22" t="n">
        <x:v>1</x:v>
      </x:c>
      <x:c r="E54" s="22" t="str">
        <x:v>なし</x:v>
      </x:c>
      <x:c r="F54" s="22" t="n">
        <x:v>81</x:v>
      </x:c>
      <x:c r="G54" s="22" t="str">
        <x:v>工業湾岸・釣り・火力発電所</x:v>
      </x:c>
      <x:c r="H54" s="22" t="str">
        <x:v>あり・85台</x:v>
      </x:c>
      <x:c r="I54" s="22" t="str">
        <x:v>通常8:00～19:00</x:v>
      </x:c>
      <x:c r="J54" s="22" t="str">
        <x:v>導入・気分転換</x:v>
      </x:c>
      <x:c r="K54" s="22" t="str">
        <x:v>R089 根岸湾工業景観</x:v>
      </x:c>
      <x:c r="L54" s="22" t="str">
        <x:v>羽田空港 第3ターミナル展望デッキ</x:v>
      </x:c>
      <x:c r="M54" s="22" t="str">
        <x:v>https://yokohama-fishingpiers.jp/isogo</x:v>
      </x:c>
      <x:c r="N54" s="22" t="str">
        <x:v>積極活用可能</x:v>
      </x:c>
    </x:row>
    <x:row r="55">
      <x:c r="A55" s="22" t="str">
        <x:v>神代植物公園・深大寺</x:v>
      </x:c>
      <x:c r="B55" s="22" t="n">
        <x:v>1</x:v>
      </x:c>
      <x:c r="C55" s="22" t="n">
        <x:v>0</x:v>
      </x:c>
      <x:c r="D55" s="22" t="n">
        <x:v>1</x:v>
      </x:c>
      <x:c r="E55" s="22" t="str">
        <x:v>なし</x:v>
      </x:c>
      <x:c r="F55" s="22" t="n">
        <x:v>91</x:v>
      </x:c>
      <x:c r="G55" s="22" t="str">
        <x:v>植物園・寺社・Story</x:v>
      </x:c>
      <x:c r="H55" s="22" t="str">
        <x:v>あり・第1/第2駐車場、有料</x:v>
      </x:c>
      <x:c r="I55" s="22" t="str">
        <x:v>駐車場 24時間／植物園は日中開園</x:v>
      </x:c>
      <x:c r="J55" s="22" t="str">
        <x:v>導入・気分転換</x:v>
      </x:c>
      <x:c r="K55" s="22" t="str">
        <x:v>R080 深大寺から調布飛行場へ</x:v>
      </x:c>
      <x:c r="L55" s="22" t="str">
        <x:v>羽田空港 第3ターミナル展望デッキ</x:v>
      </x:c>
      <x:c r="M55" s="22" t="str">
        <x:v>https://www.tokyo-park.or.jp/park/jindai/index.html</x:v>
      </x:c>
      <x:c r="N55" s="22" t="str">
        <x:v>積極活用可能</x:v>
      </x:c>
    </x:row>
    <x:row r="56">
      <x:c r="A56" s="22" t="str">
        <x:v>篠崎公園</x:v>
      </x:c>
      <x:c r="B56" s="22" t="n">
        <x:v>0</x:v>
      </x:c>
      <x:c r="C56" s="22" t="n">
        <x:v>1</x:v>
      </x:c>
      <x:c r="D56" s="22" t="n">
        <x:v>1</x:v>
      </x:c>
      <x:c r="E56" s="22" t="str">
        <x:v>なし</x:v>
      </x:c>
      <x:c r="F56" s="22" t="n">
        <x:v>85</x:v>
      </x:c>
      <x:c r="G56" s="22" t="str">
        <x:v>河川敷・公園・夜間休憩</x:v>
      </x:c>
      <x:c r="H56" s="22" t="str">
        <x:v>あり・第一駐車場有料</x:v>
      </x:c>
      <x:c r="I56" s="22" t="str">
        <x:v>駐車場 24時間</x:v>
      </x:c>
      <x:c r="J56" s="22" t="str">
        <x:v>到達・余韻</x:v>
      </x:c>
      <x:c r="K56" s="22" t="str">
        <x:v>R037 東東京・水辺ナイト</x:v>
      </x:c>
      <x:c r="L56" s="22" t="str">
        <x:v>多摩川浅間神社</x:v>
      </x:c>
      <x:c r="M56" s="22" t="str">
        <x:v>https://www.tokyo-park.or.jp/park/shinozaki/index.html</x:v>
      </x:c>
      <x:c r="N56" s="22" t="str">
        <x:v>積極活用可能</x:v>
      </x:c>
    </x:row>
    <x:row r="57">
      <x:c r="A57" s="22" t="str">
        <x:v>羽田空港 第1ターミナル展望デッキ</x:v>
      </x:c>
      <x:c r="B57" s="22" t="n">
        <x:v>1</x:v>
      </x:c>
      <x:c r="C57" s="22" t="n">
        <x:v>0</x:v>
      </x:c>
      <x:c r="D57" s="22" t="n">
        <x:v>1</x:v>
      </x:c>
      <x:c r="E57" s="22" t="str">
        <x:v>なし</x:v>
      </x:c>
      <x:c r="F57" s="22" t="n">
        <x:v>79</x:v>
      </x:c>
      <x:c r="G57" s="22" t="str">
        <x:v>飛行機・国内線・空港</x:v>
      </x:c>
      <x:c r="H57" s="22" t="str">
        <x:v>P1 2,351台／P2 2,315台・料金は時期別</x:v>
      </x:c>
      <x:c r="I57" s="22" t="str">
        <x:v>展望デッキ6:30～22:00</x:v>
      </x:c>
      <x:c r="J57" s="22" t="str">
        <x:v>導入・気分転換</x:v>
      </x:c>
      <x:c r="K57" s="22" t="str">
        <x:v>R134 羽田3ターミナル比較</x:v>
      </x:c>
      <x:c r="L57" s="22" t="str">
        <x:v>羽田空港 第2ターミナル展望デッキ／FLIGHT DECK TOKYO</x:v>
      </x:c>
      <x:c r="M57" s="22" t="str">
        <x:v>https://tokyo-haneda.com/service/facilities/observation_deck.html</x:v>
      </x:c>
      <x:c r="N57" s="22" t="str">
        <x:v>積極活用可能</x:v>
      </x:c>
    </x:row>
    <x:row r="58">
      <x:c r="A58" s="22" t="str">
        <x:v>舎人公園</x:v>
      </x:c>
      <x:c r="B58" s="22" t="n">
        <x:v>1</x:v>
      </x:c>
      <x:c r="C58" s="22" t="n">
        <x:v>0</x:v>
      </x:c>
      <x:c r="D58" s="22" t="n">
        <x:v>1</x:v>
      </x:c>
      <x:c r="E58" s="22" t="str">
        <x:v>なし</x:v>
      </x:c>
      <x:c r="F58" s="22" t="n">
        <x:v>73</x:v>
      </x:c>
      <x:c r="G58" s="22" t="str">
        <x:v>24時間駐車・池・高台・夜間</x:v>
      </x:c>
      <x:c r="H58" s="22" t="str">
        <x:v>あり・146台、有料</x:v>
      </x:c>
      <x:c r="I58" s="22" t="str">
        <x:v>駐車場24時間</x:v>
      </x:c>
      <x:c r="J58" s="22" t="str">
        <x:v>景観転換・休憩</x:v>
      </x:c>
      <x:c r="K58" s="22" t="str">
        <x:v>R093 東京北東24時間公園線</x:v>
      </x:c>
      <x:c r="L58" s="22" t="str">
        <x:v>多摩川浅間神社</x:v>
      </x:c>
      <x:c r="M58" s="22" t="str">
        <x:v>https://www.tokyo-park.or.jp/park/toneri/index.html</x:v>
      </x:c>
      <x:c r="N58" s="22" t="str">
        <x:v>積極活用可能</x:v>
      </x:c>
    </x:row>
    <x:row r="59">
      <x:c r="A59" s="22" t="str">
        <x:v>芝浦PA</x:v>
      </x:c>
      <x:c r="B59" s="22" t="n">
        <x:v>1</x:v>
      </x:c>
      <x:c r="C59" s="22" t="n">
        <x:v>0</x:v>
      </x:c>
      <x:c r="D59" s="22" t="n">
        <x:v>1</x:v>
      </x:c>
      <x:c r="E59" s="22" t="str">
        <x:v>なし</x:v>
      </x:c>
      <x:c r="F59" s="22" t="n">
        <x:v>71</x:v>
      </x:c>
      <x:c r="G59" s="22" t="str">
        <x:v>PA・高架・都市夜景</x:v>
      </x:c>
      <x:c r="H59" s="22" t="str">
        <x:v>あり・小規模</x:v>
      </x:c>
      <x:c r="I59" s="22" t="str">
        <x:v>原則24時間、夜間・工事閉鎖あり</x:v>
      </x:c>
      <x:c r="J59" s="22" t="str">
        <x:v>景観転換・休憩</x:v>
      </x:c>
      <x:c r="K59" s="22" t="str">
        <x:v>R025 首都高ミニマム・ナイト</x:v>
      </x:c>
      <x:c r="L59" s="22" t="str">
        <x:v>羽田空港 第3ターミナル展望デッキ</x:v>
      </x:c>
      <x:c r="M59" s="22" t="str">
        <x:v>https://www.shutoko-sv.jp/pa/shibaura</x:v>
      </x:c>
      <x:c r="N59" s="22" t="str">
        <x:v>積極活用可能</x:v>
      </x:c>
    </x:row>
    <x:row r="60">
      <x:c r="A60" s="22" t="str">
        <x:v>辰巳第一PA</x:v>
      </x:c>
      <x:c r="B60" s="22" t="n">
        <x:v>0</x:v>
      </x:c>
      <x:c r="C60" s="22" t="n">
        <x:v>1</x:v>
      </x:c>
      <x:c r="D60" s="22" t="n">
        <x:v>1</x:v>
      </x:c>
      <x:c r="E60" s="22" t="str">
        <x:v>なし</x:v>
      </x:c>
      <x:c r="F60" s="22" t="n">
        <x:v>86</x:v>
      </x:c>
      <x:c r="G60" s="22" t="str">
        <x:v>PA・高層夜景・首都高</x:v>
      </x:c>
      <x:c r="H60" s="22" t="str">
        <x:v>あり・普通車29台</x:v>
      </x:c>
      <x:c r="I60" s="22" t="str">
        <x:v>原則24時間、夜間・工事閉鎖あり</x:v>
      </x:c>
      <x:c r="J60" s="22" t="str">
        <x:v>到達・余韻</x:v>
      </x:c>
      <x:c r="K60" s="22" t="str">
        <x:v>R025 首都高ミニマム・ナイト</x:v>
      </x:c>
      <x:c r="L60" s="22" t="str">
        <x:v>羽田空港 第3ターミナル展望デッキ</x:v>
      </x:c>
      <x:c r="M60" s="22" t="str">
        <x:v>https://www.shutoko-sv.jp/pa/tatsumi-1</x:v>
      </x:c>
      <x:c r="N60" s="22" t="str">
        <x:v>積極活用可能</x:v>
      </x:c>
    </x:row>
    <x:row r="61">
      <x:c r="A61" s="22" t="str">
        <x:v>野島公園</x:v>
      </x:c>
      <x:c r="B61" s="22" t="n">
        <x:v>0</x:v>
      </x:c>
      <x:c r="C61" s="22" t="n">
        <x:v>1</x:v>
      </x:c>
      <x:c r="D61" s="22" t="n">
        <x:v>1</x:v>
      </x:c>
      <x:c r="E61" s="22" t="str">
        <x:v>なし</x:v>
      </x:c>
      <x:c r="F61" s="22" t="n">
        <x:v>83</x:v>
      </x:c>
      <x:c r="G61" s="22" t="str">
        <x:v>海・高台・旧別邸・港</x:v>
      </x:c>
      <x:c r="H61" s="22" t="str">
        <x:v>あり・第1 104台、第2 52台、有料</x:v>
      </x:c>
      <x:c r="I61" s="22" t="str">
        <x:v>第1駐車場 7:00～23:00</x:v>
      </x:c>
      <x:c r="J61" s="22" t="str">
        <x:v>到達・余韻</x:v>
      </x:c>
      <x:c r="K61" s="22" t="str">
        <x:v>R009 金沢シーサイド</x:v>
      </x:c>
      <x:c r="L61" s="22" t="str">
        <x:v>城南島海浜公園</x:v>
      </x:c>
      <x:c r="M61" s="22" t="str">
        <x:v>https://www.hama-midorinokyokai.or.jp/park/parking/nojima/nojima1/</x:v>
      </x:c>
      <x:c r="N61" s="22" t="str">
        <x:v>積極活用可能</x:v>
      </x:c>
    </x:row>
    <x:row r="62">
      <x:c r="A62" s="22" t="str">
        <x:v>金沢自然公園</x:v>
      </x:c>
      <x:c r="B62" s="22" t="n">
        <x:v>0</x:v>
      </x:c>
      <x:c r="C62" s="22" t="n">
        <x:v>1</x:v>
      </x:c>
      <x:c r="D62" s="22" t="n">
        <x:v>1</x:v>
      </x:c>
      <x:c r="E62" s="22" t="str">
        <x:v>なし</x:v>
      </x:c>
      <x:c r="F62" s="22" t="n">
        <x:v>79</x:v>
      </x:c>
      <x:c r="G62" s="22" t="str">
        <x:v>丘陵・動物園・円海山</x:v>
      </x:c>
      <x:c r="H62" s="22" t="str">
        <x:v>あり・正面口／高速側・有料</x:v>
      </x:c>
      <x:c r="I62" s="22" t="str">
        <x:v>正面口 9:00～17:00、最終入庫16:30</x:v>
      </x:c>
      <x:c r="J62" s="22" t="str">
        <x:v>到達・余韻</x:v>
      </x:c>
      <x:c r="K62" s="22" t="str">
        <x:v>R119 横浜・庭園と丘陵三層</x:v>
      </x:c>
      <x:c r="L62" s="22" t="str">
        <x:v>城南島海浜公園</x:v>
      </x:c>
      <x:c r="M62" s="22" t="str">
        <x:v>https://www.hama-midorinokyokai.or.jp/zoo/kanazawa/access.php</x:v>
      </x:c>
      <x:c r="N62" s="22" t="str">
        <x:v>積極活用可能</x:v>
      </x:c>
    </x:row>
  </x:sheetData>
  <x:conditionalFormatting sqref="B2:F62">
    <x:cfRule type="colorScale" priority="1">
      <x:colorScale>
        <x:cfvo type="min"/>
        <x:cfvo type="percentile" val="50"/>
        <x:cfvo type="max"/>
        <x:color rgb="FFDCFCE7"/>
        <x:color rgb="FFFEF3C7"/>
        <x:color rgb="FFFEE2E2"/>
      </x:colorScale>
    </x:cfRule>
  </x:conditionalFormatting>
  <x:pageMargins left="0.7" right="0.7" top="0.75" bottom="0.75" header="0.3" footer="0.3"/>
  <x:tableParts count="1">
    <x:tablePart xmlns:r="http://schemas.openxmlformats.org/officeDocument/2006/relationships" r:id="Rbfb3b4c925704d1c"/>
  </x:tableParts>
</x:worksheet>
</file>

<file path=xl/worksheets/sheet32.xml><?xml version="1.0" encoding="utf-8"?>
<x:worksheet xmlns:x="http://schemas.openxmlformats.org/spreadsheetml/2006/main">
  <x:sheetFormatPr defaultRowHeight="15"/>
  <x:cols>
    <x:col min="1" max="1" width="10" hidden="0" customWidth="1"/>
    <x:col min="2" max="2" width="30" hidden="0" customWidth="1"/>
    <x:col min="3" max="3" width="13" hidden="0" customWidth="1"/>
    <x:col min="4" max="4" width="13" hidden="0" customWidth="1"/>
    <x:col min="5" max="5" width="13" hidden="0" customWidth="1"/>
    <x:col min="6" max="6" width="20" hidden="0" customWidth="1"/>
    <x:col min="7" max="7" width="30" hidden="0" customWidth="1"/>
    <x:col min="8" max="8" width="34" hidden="0" customWidth="1"/>
    <x:col min="9" max="9" width="30" hidden="0" customWidth="1"/>
    <x:col min="10" max="10" width="42" hidden="0" customWidth="1"/>
  </x:cols>
  <x:sheetData>
    <x:row r="1">
      <x:c r="A1" s="383" t="str">
        <x:v>Project Cruise｜経由地の役割と多様性</x:v>
      </x:c>
      <x:c r="B1" s="383"/>
      <x:c r="C1" s="383"/>
      <x:c r="D1" s="383"/>
      <x:c r="E1" s="383"/>
      <x:c r="F1" s="383"/>
      <x:c r="G1" s="383"/>
      <x:c r="H1" s="383"/>
      <x:c r="I1" s="383"/>
      <x:c r="J1" s="383"/>
    </x:row>
    <x:row r="2">
      <x:c r="A2" s="383"/>
      <x:c r="B2" s="383"/>
      <x:c r="C2" s="383"/>
      <x:c r="D2" s="383"/>
      <x:c r="E2" s="383"/>
      <x:c r="F2" s="383"/>
      <x:c r="G2" s="383"/>
      <x:c r="H2" s="383"/>
      <x:c r="I2" s="383"/>
      <x:c r="J2" s="383"/>
    </x:row>
    <x:row r="3">
      <x:c r="A3" s="384" t="str">
        <x:v>強い地点の使い回しを抑え、経由地ごとに“何をする場所か”を固定する</x:v>
      </x:c>
      <x:c r="B3" s="384"/>
      <x:c r="C3" s="384"/>
      <x:c r="D3" s="384"/>
      <x:c r="E3" s="384"/>
      <x:c r="F3" s="384"/>
      <x:c r="G3" s="384"/>
      <x:c r="H3" s="384"/>
      <x:c r="I3" s="384"/>
      <x:c r="J3" s="384"/>
    </x:row>
    <x:row r="4">
      <x:c r="A4" s="22"/>
      <x:c r="B4" s="22"/>
      <x:c r="C4" s="22"/>
      <x:c r="D4" s="22"/>
      <x:c r="E4" s="22"/>
      <x:c r="F4" s="22"/>
      <x:c r="G4" s="22"/>
      <x:c r="H4" s="22"/>
      <x:c r="I4" s="22"/>
      <x:c r="J4" s="22"/>
    </x:row>
    <x:row r="5">
      <x:c r="A5" s="382" t="str">
        <x:v>近距離ルート</x:v>
      </x:c>
      <x:c r="B5" s="382" t="n">
        <x:v>37</x:v>
      </x:c>
      <x:c r="C5" s="382" t="str">
        <x:v>役割設計地点</x:v>
      </x:c>
      <x:c r="D5" s="382" t="n">
        <x:v>114</x:v>
      </x:c>
      <x:c r="E5" s="382" t="str">
        <x:v>平均経由地品質</x:v>
      </x:c>
      <x:c r="F5" s="382" t="n">
        <x:v>80</x:v>
      </x:c>
      <x:c r="G5" s="382" t="str">
        <x:v>平均多様性</x:v>
      </x:c>
      <x:c r="H5" s="382" t="n">
        <x:v>72</x:v>
      </x:c>
      <x:c r="I5" s="22"/>
      <x:c r="J5" s="22"/>
    </x:row>
    <x:row r="6">
      <x:c r="A6" s="382" t="str">
        <x:v>高頻度地点</x:v>
      </x:c>
      <x:c r="B6" s="382" t="n">
        <x:v>2</x:v>
      </x:c>
      <x:c r="C6" s="382" t="str">
        <x:v>中頻度地点</x:v>
      </x:c>
      <x:c r="D6" s="382" t="n">
        <x:v>2</x:v>
      </x:c>
      <x:c r="E6" s="382" t="str">
        <x:v>新規近距離復帰</x:v>
      </x:c>
      <x:c r="F6" s="382" t="n">
        <x:v>2</x:v>
      </x:c>
      <x:c r="G6" s="382" t="str">
        <x:v>追加改善ルート</x:v>
      </x:c>
      <x:c r="H6" s="382" t="n">
        <x:v>4</x:v>
      </x:c>
      <x:c r="I6" s="22"/>
      <x:c r="J6" s="22"/>
    </x:row>
    <x:row r="7">
      <x:c r="A7" s="382" t="str">
        <x:v>正式名統一</x:v>
      </x:c>
      <x:c r="B7" s="382" t="str">
        <x:v>R001</x:v>
      </x:c>
      <x:c r="C7" s="382" t="str">
        <x:v>走行演出化</x:v>
      </x:c>
      <x:c r="D7" s="382" t="str">
        <x:v>R004</x:v>
      </x:c>
      <x:c r="E7" s="382" t="str">
        <x:v>進行方向修正</x:v>
      </x:c>
      <x:c r="F7" s="382" t="str">
        <x:v>R005</x:v>
      </x:c>
      <x:c r="G7" s="382" t="str">
        <x:v>昼ルート再定義</x:v>
      </x:c>
      <x:c r="H7" s="382" t="str">
        <x:v>R080</x:v>
      </x:c>
      <x:c r="I7" s="22"/>
      <x:c r="J7" s="22"/>
    </x:row>
    <x:row r="8">
      <x:c r="A8" s="22"/>
      <x:c r="B8" s="22"/>
      <x:c r="C8" s="22"/>
      <x:c r="D8" s="22"/>
      <x:c r="E8" s="22"/>
      <x:c r="F8" s="22"/>
      <x:c r="G8" s="22"/>
      <x:c r="H8" s="22"/>
      <x:c r="I8" s="22"/>
      <x:c r="J8" s="22"/>
    </x:row>
    <x:row r="9">
      <x:c r="A9" s="363" t="str">
        <x:v>順位</x:v>
      </x:c>
      <x:c r="B9" s="363" t="str">
        <x:v>使用過多地点</x:v>
      </x:c>
      <x:c r="C9" s="363" t="str">
        <x:v>総利用</x:v>
      </x:c>
      <x:c r="D9" s="363" t="str">
        <x:v>経由利用</x:v>
      </x:c>
      <x:c r="E9" s="363" t="str">
        <x:v>最終利用</x:v>
      </x:c>
      <x:c r="F9" s="363" t="str">
        <x:v>使い回し度</x:v>
      </x:c>
      <x:c r="G9" s="363" t="str">
        <x:v>平均品質</x:v>
      </x:c>
      <x:c r="H9" s="363" t="str">
        <x:v>多様化方針</x:v>
      </x:c>
      <x:c r="I9" s="22"/>
      <x:c r="J9" s="22"/>
    </x:row>
    <x:row r="10">
      <x:c r="A10" s="22" t="n">
        <x:v>1</x:v>
      </x:c>
      <x:c r="B10" s="22" t="str">
        <x:v>HANEDA INNOVATION CITY 足湯スカイデッキ</x:v>
      </x:c>
      <x:c r="C10" s="22" t="n">
        <x:v>8</x:v>
      </x:c>
      <x:c r="D10" s="22" t="n">
        <x:v>7</x:v>
      </x:c>
      <x:c r="E10" s="22" t="n">
        <x:v>1</x:v>
      </x:c>
      <x:c r="F10" s="22" t="str">
        <x:v>高</x:v>
      </x:c>
      <x:c r="G10" s="22" t="n">
        <x:v>88</x:v>
      </x:c>
      <x:c r="H10" s="22" t="str">
        <x:v>新規ルートでは原則使わず、同系統の代替地点を優先</x:v>
      </x:c>
      <x:c r="I10" s="22"/>
      <x:c r="J10" s="22"/>
    </x:row>
    <x:row r="11">
      <x:c r="A11" s="22" t="n">
        <x:v>2</x:v>
      </x:c>
      <x:c r="B11" s="22" t="str">
        <x:v>羽田空港 第3ターミナル展望デッキ</x:v>
      </x:c>
      <x:c r="C11" s="22" t="n">
        <x:v>6</x:v>
      </x:c>
      <x:c r="D11" s="22" t="n">
        <x:v>2</x:v>
      </x:c>
      <x:c r="E11" s="22" t="n">
        <x:v>4</x:v>
      </x:c>
      <x:c r="F11" s="22" t="str">
        <x:v>高</x:v>
      </x:c>
      <x:c r="G11" s="22" t="n">
        <x:v>81</x:v>
      </x:c>
      <x:c r="H11" s="22" t="str">
        <x:v>新規ルートでは原則使わず、同系統の代替地点を優先</x:v>
      </x:c>
      <x:c r="I11" s="22"/>
      <x:c r="J11" s="22"/>
    </x:row>
    <x:row r="12">
      <x:c r="A12" s="22" t="n">
        <x:v>3</x:v>
      </x:c>
      <x:c r="B12" s="22" t="str">
        <x:v>城南島海浜公園</x:v>
      </x:c>
      <x:c r="C12" s="22" t="n">
        <x:v>5</x:v>
      </x:c>
      <x:c r="D12" s="22" t="n">
        <x:v>0</x:v>
      </x:c>
      <x:c r="E12" s="22" t="n">
        <x:v>5</x:v>
      </x:c>
      <x:c r="F12" s="22" t="str">
        <x:v>中</x:v>
      </x:c>
      <x:c r="G12" s="22" t="n">
        <x:v>76</x:v>
      </x:c>
      <x:c r="H12" s="22" t="str">
        <x:v>同じ系統のルートで連続採用しない</x:v>
      </x:c>
      <x:c r="I12" s="22"/>
      <x:c r="J12" s="22"/>
    </x:row>
    <x:row r="13">
      <x:c r="A13" s="22" t="n">
        <x:v>4</x:v>
      </x:c>
      <x:c r="B13" s="22" t="str">
        <x:v>京浜島つばさ公園</x:v>
      </x:c>
      <x:c r="C13" s="22" t="n">
        <x:v>4</x:v>
      </x:c>
      <x:c r="D13" s="22" t="n">
        <x:v>3</x:v>
      </x:c>
      <x:c r="E13" s="22" t="n">
        <x:v>1</x:v>
      </x:c>
      <x:c r="F13" s="22" t="str">
        <x:v>中</x:v>
      </x:c>
      <x:c r="G13" s="22" t="n">
        <x:v>69</x:v>
      </x:c>
      <x:c r="H13" s="22" t="str">
        <x:v>同じ系統のルートで連続採用しない</x:v>
      </x:c>
      <x:c r="I13" s="22"/>
      <x:c r="J13" s="22"/>
    </x:row>
    <x:row r="14">
      <x:c r="A14" s="22" t="n">
        <x:v>5</x:v>
      </x:c>
      <x:c r="B14" s="22" t="str">
        <x:v>ソラムナード羽田緑地</x:v>
      </x:c>
      <x:c r="C14" s="22" t="n">
        <x:v>3</x:v>
      </x:c>
      <x:c r="D14" s="22" t="n">
        <x:v>3</x:v>
      </x:c>
      <x:c r="E14" s="22" t="n">
        <x:v>0</x:v>
      </x:c>
      <x:c r="F14" s="22" t="str">
        <x:v>低</x:v>
      </x:c>
      <x:c r="G14" s="22" t="n">
        <x:v>81</x:v>
      </x:c>
      <x:c r="H14" s="22" t="str">
        <x:v>役割が異なる場合のみ重複採用</x:v>
      </x:c>
      <x:c r="I14" s="22"/>
      <x:c r="J14" s="22"/>
    </x:row>
    <x:row r="15">
      <x:c r="A15" s="22" t="n">
        <x:v>6</x:v>
      </x:c>
      <x:c r="B15" s="22" t="str">
        <x:v>大森ふるさとの浜辺公園</x:v>
      </x:c>
      <x:c r="C15" s="22" t="n">
        <x:v>3</x:v>
      </x:c>
      <x:c r="D15" s="22" t="n">
        <x:v>2</x:v>
      </x:c>
      <x:c r="E15" s="22" t="n">
        <x:v>1</x:v>
      </x:c>
      <x:c r="F15" s="22" t="str">
        <x:v>低</x:v>
      </x:c>
      <x:c r="G15" s="22" t="n">
        <x:v>89</x:v>
      </x:c>
      <x:c r="H15" s="22" t="str">
        <x:v>役割が異なる場合のみ重複採用</x:v>
      </x:c>
      <x:c r="I15" s="22"/>
      <x:c r="J15" s="22"/>
    </x:row>
    <x:row r="16">
      <x:c r="A16" s="22" t="n">
        <x:v>7</x:v>
      </x:c>
      <x:c r="B16" s="22" t="str">
        <x:v>川崎マリエン</x:v>
      </x:c>
      <x:c r="C16" s="22" t="n">
        <x:v>3</x:v>
      </x:c>
      <x:c r="D16" s="22" t="n">
        <x:v>2</x:v>
      </x:c>
      <x:c r="E16" s="22" t="n">
        <x:v>1</x:v>
      </x:c>
      <x:c r="F16" s="22" t="str">
        <x:v>低</x:v>
      </x:c>
      <x:c r="G16" s="22" t="n">
        <x:v>90</x:v>
      </x:c>
      <x:c r="H16" s="22" t="str">
        <x:v>役割が異なる場合のみ重複採用</x:v>
      </x:c>
      <x:c r="I16" s="22"/>
      <x:c r="J16" s="22"/>
    </x:row>
    <x:row r="17">
      <x:c r="A17" s="22" t="n">
        <x:v>8</x:v>
      </x:c>
      <x:c r="B17" s="22" t="str">
        <x:v>本牧山頂公園</x:v>
      </x:c>
      <x:c r="C17" s="22" t="n">
        <x:v>3</x:v>
      </x:c>
      <x:c r="D17" s="22" t="n">
        <x:v>3</x:v>
      </x:c>
      <x:c r="E17" s="22" t="n">
        <x:v>0</x:v>
      </x:c>
      <x:c r="F17" s="22" t="str">
        <x:v>低</x:v>
      </x:c>
      <x:c r="G17" s="22" t="n">
        <x:v>79</x:v>
      </x:c>
      <x:c r="H17" s="22" t="str">
        <x:v>役割が異なる場合のみ重複採用</x:v>
      </x:c>
      <x:c r="I17" s="22"/>
      <x:c r="J17" s="22"/>
    </x:row>
    <x:row r="18">
      <x:c r="A18" s="22" t="n">
        <x:v>9</x:v>
      </x:c>
      <x:c r="B18" s="22" t="str">
        <x:v>夢見ヶ崎動物公園</x:v>
      </x:c>
      <x:c r="C18" s="22" t="n">
        <x:v>2</x:v>
      </x:c>
      <x:c r="D18" s="22" t="n">
        <x:v>0</x:v>
      </x:c>
      <x:c r="E18" s="22" t="n">
        <x:v>2</x:v>
      </x:c>
      <x:c r="F18" s="22" t="str">
        <x:v>低</x:v>
      </x:c>
      <x:c r="G18" s="22" t="n">
        <x:v>71</x:v>
      </x:c>
      <x:c r="H18" s="22" t="str">
        <x:v>役割が異なる場合のみ重複採用</x:v>
      </x:c>
      <x:c r="I18" s="22"/>
      <x:c r="J18" s="22"/>
    </x:row>
    <x:row r="19">
      <x:c r="A19" s="22" t="n">
        <x:v>10</x:v>
      </x:c>
      <x:c r="B19" s="22" t="str">
        <x:v>大島小松川公園</x:v>
      </x:c>
      <x:c r="C19" s="22" t="n">
        <x:v>2</x:v>
      </x:c>
      <x:c r="D19" s="22" t="n">
        <x:v>2</x:v>
      </x:c>
      <x:c r="E19" s="22" t="n">
        <x:v>0</x:v>
      </x:c>
      <x:c r="F19" s="22" t="str">
        <x:v>低</x:v>
      </x:c>
      <x:c r="G19" s="22" t="n">
        <x:v>89</x:v>
      </x:c>
      <x:c r="H19" s="22" t="str">
        <x:v>役割が異なる場合のみ重複採用</x:v>
      </x:c>
      <x:c r="I19" s="22"/>
      <x:c r="J19" s="22"/>
    </x:row>
    <x:row r="20">
      <x:c r="A20" s="22" t="n">
        <x:v>11</x:v>
      </x:c>
      <x:c r="B20" s="22" t="str">
        <x:v>富士見公園</x:v>
      </x:c>
      <x:c r="C20" s="22" t="n">
        <x:v>2</x:v>
      </x:c>
      <x:c r="D20" s="22" t="n">
        <x:v>2</x:v>
      </x:c>
      <x:c r="E20" s="22" t="n">
        <x:v>0</x:v>
      </x:c>
      <x:c r="F20" s="22" t="str">
        <x:v>低</x:v>
      </x:c>
      <x:c r="G20" s="22" t="n">
        <x:v>79</x:v>
      </x:c>
      <x:c r="H20" s="22" t="str">
        <x:v>役割が異なる場合のみ重複採用</x:v>
      </x:c>
      <x:c r="I20" s="22"/>
      <x:c r="J20" s="22"/>
    </x:row>
    <x:row r="21">
      <x:c r="A21" s="22" t="n">
        <x:v>12</x:v>
      </x:c>
      <x:c r="B21" s="22" t="str">
        <x:v>平和の森公園</x:v>
      </x:c>
      <x:c r="C21" s="22" t="n">
        <x:v>2</x:v>
      </x:c>
      <x:c r="D21" s="22" t="n">
        <x:v>2</x:v>
      </x:c>
      <x:c r="E21" s="22" t="n">
        <x:v>0</x:v>
      </x:c>
      <x:c r="F21" s="22" t="str">
        <x:v>低</x:v>
      </x:c>
      <x:c r="G21" s="22" t="n">
        <x:v>73</x:v>
      </x:c>
      <x:c r="H21" s="22" t="str">
        <x:v>役割が異なる場合のみ重複採用</x:v>
      </x:c>
      <x:c r="I21" s="22"/>
      <x:c r="J21" s="22"/>
    </x:row>
    <x:row r="22">
      <x:c r="A22" s="22"/>
      <x:c r="B22" s="22"/>
      <x:c r="C22" s="22"/>
      <x:c r="D22" s="22"/>
      <x:c r="E22" s="22"/>
      <x:c r="F22" s="22"/>
      <x:c r="G22" s="22"/>
      <x:c r="H22" s="22"/>
      <x:c r="I22" s="22"/>
      <x:c r="J22" s="22"/>
    </x:row>
    <x:row r="23">
      <x:c r="A23" s="22"/>
      <x:c r="B23" s="22"/>
      <x:c r="C23" s="22"/>
      <x:c r="D23" s="22"/>
      <x:c r="E23" s="22"/>
      <x:c r="F23" s="22"/>
      <x:c r="G23" s="22"/>
      <x:c r="H23" s="22"/>
      <x:c r="I23" s="22"/>
      <x:c r="J23" s="22"/>
    </x:row>
    <x:row r="24">
      <x:c r="A24" s="363" t="str">
        <x:v>順位</x:v>
      </x:c>
      <x:c r="B24" s="363" t="str">
        <x:v>低多様性ルート</x:v>
      </x:c>
      <x:c r="C24" s="363" t="str">
        <x:v>多様性</x:v>
      </x:c>
      <x:c r="D24" s="363" t="str">
        <x:v>経由地品質</x:v>
      </x:c>
      <x:c r="E24" s="363" t="str">
        <x:v>使用過多罰</x:v>
      </x:c>
      <x:c r="F24" s="363" t="str">
        <x:v>ルート系統</x:v>
      </x:c>
      <x:c r="G24" s="363" t="str">
        <x:v>経由地1</x:v>
      </x:c>
      <x:c r="H24" s="363" t="str">
        <x:v>経由地2</x:v>
      </x:c>
      <x:c r="I24" s="363" t="str">
        <x:v>最終目的地</x:v>
      </x:c>
      <x:c r="J24" s="363" t="str">
        <x:v>改善方針</x:v>
      </x:c>
    </x:row>
    <x:row r="25">
      <x:c r="A25" s="22" t="n">
        <x:v>1</x:v>
      </x:c>
      <x:c r="B25" s="22" t="str">
        <x:v>雨天・羽田インドア線</x:v>
      </x:c>
      <x:c r="C25" s="22" t="n">
        <x:v>41</x:v>
      </x:c>
      <x:c r="D25" s="22" t="n">
        <x:v>83</x:v>
      </x:c>
      <x:c r="E25" s="22" t="n">
        <x:v>30</x:v>
      </x:c>
      <x:c r="F25" s="22" t="str">
        <x:v>羽田・航空</x:v>
      </x:c>
      <x:c r="G25" s="22" t="str">
        <x:v>HANEDA INNOVATION CITY 足湯スカイデッキ</x:v>
      </x:c>
      <x:c r="H25" s="22" t="str">
        <x:v>羽田空港 第2ターミナル展望デッキ／FLIGHT DECK TOKYO</x:v>
      </x:c>
      <x:c r="I25" s="22" t="str">
        <x:v>羽田空港 第3ターミナル展望デッキ</x:v>
      </x:c>
      <x:c r="J25" s="22" t="str">
        <x:v>同系統の代替経由地を探索</x:v>
      </x:c>
    </x:row>
    <x:row r="26">
      <x:c r="A26" s="22" t="n">
        <x:v>2</x:v>
      </x:c>
      <x:c r="B26" s="22" t="str">
        <x:v>羽田・航空機ショート</x:v>
      </x:c>
      <x:c r="C26" s="22" t="n">
        <x:v>49</x:v>
      </x:c>
      <x:c r="D26" s="22" t="n">
        <x:v>80</x:v>
      </x:c>
      <x:c r="E26" s="22" t="n">
        <x:v>30</x:v>
      </x:c>
      <x:c r="F26" s="22" t="str">
        <x:v>羽田・航空</x:v>
      </x:c>
      <x:c r="G26" s="22" t="str">
        <x:v>HANEDA INNOVATION CITY 足湯スカイデッキ</x:v>
      </x:c>
      <x:c r="H26" s="22" t="str">
        <x:v>羽田空港 第3ターミナル展望デッキ</x:v>
      </x:c>
      <x:c r="I26" s="22" t="str">
        <x:v>京浜島つばさ公園</x:v>
      </x:c>
      <x:c r="J26" s="22" t="str">
        <x:v>同系統の代替経由地を探索</x:v>
      </x:c>
    </x:row>
    <x:row r="27">
      <x:c r="A27" s="22" t="n">
        <x:v>3</x:v>
      </x:c>
      <x:c r="B27" s="22" t="str">
        <x:v>深夜2時間・羽田海辺</x:v>
      </x:c>
      <x:c r="C27" s="22" t="n">
        <x:v>49</x:v>
      </x:c>
      <x:c r="D27" s="22" t="n">
        <x:v>81</x:v>
      </x:c>
      <x:c r="E27" s="22" t="n">
        <x:v>30</x:v>
      </x:c>
      <x:c r="F27" s="22" t="str">
        <x:v>羽田・航空</x:v>
      </x:c>
      <x:c r="G27" s="22" t="str">
        <x:v>羽田空港 第3ターミナル展望デッキ</x:v>
      </x:c>
      <x:c r="H27" s="22" t="str">
        <x:v>HANEDA INNOVATION CITY 足湯スカイデッキ</x:v>
      </x:c>
      <x:c r="I27" s="22" t="str">
        <x:v>城南島海浜公園</x:v>
      </x:c>
      <x:c r="J27" s="22" t="str">
        <x:v>同系統の代替経由地を探索</x:v>
      </x:c>
    </x:row>
    <x:row r="28">
      <x:c r="A28" s="22" t="n">
        <x:v>4</x:v>
      </x:c>
      <x:c r="B28" s="22" t="str">
        <x:v>羽田・足湯から河口へ</x:v>
      </x:c>
      <x:c r="C28" s="22" t="n">
        <x:v>52</x:v>
      </x:c>
      <x:c r="D28" s="22" t="n">
        <x:v>84</x:v>
      </x:c>
      <x:c r="E28" s="22" t="n">
        <x:v>30</x:v>
      </x:c>
      <x:c r="F28" s="22" t="str">
        <x:v>羽田・航空</x:v>
      </x:c>
      <x:c r="G28" s="22" t="str">
        <x:v>HANEDA INNOVATION CITY 足湯スカイデッキ</x:v>
      </x:c>
      <x:c r="H28" s="22" t="str">
        <x:v>ソラムナード羽田緑地</x:v>
      </x:c>
      <x:c r="I28" s="22" t="str">
        <x:v>羽田空港 第3ターミナル展望デッキ</x:v>
      </x:c>
      <x:c r="J28" s="22" t="str">
        <x:v>同系統の代替経由地を探索</x:v>
      </x:c>
    </x:row>
    <x:row r="29">
      <x:c r="A29" s="22" t="n">
        <x:v>5</x:v>
      </x:c>
      <x:c r="B29" s="22" t="str">
        <x:v>平日夜90分・最短リセット</x:v>
      </x:c>
      <x:c r="C29" s="22" t="n">
        <x:v>52</x:v>
      </x:c>
      <x:c r="D29" s="22" t="n">
        <x:v>81</x:v>
      </x:c>
      <x:c r="E29" s="22" t="n">
        <x:v>30</x:v>
      </x:c>
      <x:c r="F29" s="22" t="str">
        <x:v>羽田・航空</x:v>
      </x:c>
      <x:c r="G29" s="22" t="str">
        <x:v>森ケ崎公園</x:v>
      </x:c>
      <x:c r="H29" s="22" t="str">
        <x:v>HANEDA INNOVATION CITY 足湯スカイデッキ</x:v>
      </x:c>
      <x:c r="I29" s="22" t="str">
        <x:v>羽田空港 第3ターミナル展望デッキ</x:v>
      </x:c>
      <x:c r="J29" s="22" t="str">
        <x:v>同系統の代替経由地を探索</x:v>
      </x:c>
    </x:row>
    <x:row r="30">
      <x:c r="A30" s="22" t="n">
        <x:v>6</x:v>
      </x:c>
      <x:c r="B30" s="22" t="str">
        <x:v>羽田河口から川崎港へ</x:v>
      </x:c>
      <x:c r="C30" s="22" t="n">
        <x:v>58</x:v>
      </x:c>
      <x:c r="D30" s="22" t="n">
        <x:v>83</x:v>
      </x:c>
      <x:c r="E30" s="22" t="n">
        <x:v>24</x:v>
      </x:c>
      <x:c r="F30" s="22" t="str">
        <x:v>川崎・工場夜景</x:v>
      </x:c>
      <x:c r="G30" s="22" t="str">
        <x:v>HANEDA INNOVATION CITY 足湯スカイデッキ</x:v>
      </x:c>
      <x:c r="H30" s="22" t="str">
        <x:v>ソラムナード羽田緑地</x:v>
      </x:c>
      <x:c r="I30" s="22" t="str">
        <x:v>川崎マリエン</x:v>
      </x:c>
      <x:c r="J30" s="22" t="str">
        <x:v>同系統の代替経由地を探索</x:v>
      </x:c>
    </x:row>
    <x:row r="31">
      <x:c r="A31" s="22" t="n">
        <x:v>7</x:v>
      </x:c>
      <x:c r="B31" s="22" t="str">
        <x:v>羽田3ターミナル比較</x:v>
      </x:c>
      <x:c r="C31" s="22" t="n">
        <x:v>59</x:v>
      </x:c>
      <x:c r="D31" s="22" t="n">
        <x:v>80</x:v>
      </x:c>
      <x:c r="E31" s="22" t="n">
        <x:v>12</x:v>
      </x:c>
      <x:c r="F31" s="22" t="str">
        <x:v>羽田・航空</x:v>
      </x:c>
      <x:c r="G31" s="22" t="str">
        <x:v>羽田空港 第1ターミナル展望デッキ</x:v>
      </x:c>
      <x:c r="H31" s="22" t="str">
        <x:v>羽田空港 第2ターミナル展望デッキ／FLIGHT DECK TOKYO</x:v>
      </x:c>
      <x:c r="I31" s="22" t="str">
        <x:v>羽田空港 第3ターミナル展望デッキ</x:v>
      </x:c>
      <x:c r="J31" s="22" t="str">
        <x:v>同系統の代替経由地を探索</x:v>
      </x:c>
    </x:row>
    <x:row r="32">
      <x:c r="A32" s="22" t="n">
        <x:v>8</x:v>
      </x:c>
      <x:c r="B32" s="22" t="str">
        <x:v>森ケ崎・屋上から足湯へ</x:v>
      </x:c>
      <x:c r="C32" s="22" t="n">
        <x:v>61</x:v>
      </x:c>
      <x:c r="D32" s="22" t="n">
        <x:v>84</x:v>
      </x:c>
      <x:c r="E32" s="22" t="n">
        <x:v>21</x:v>
      </x:c>
      <x:c r="F32" s="22" t="str">
        <x:v>羽田・航空</x:v>
      </x:c>
      <x:c r="G32" s="22" t="str">
        <x:v>森ケ崎公園</x:v>
      </x:c>
      <x:c r="H32" s="22" t="str">
        <x:v>ソラムナード羽田緑地</x:v>
      </x:c>
      <x:c r="I32" s="22" t="str">
        <x:v>HANEDA INNOVATION CITY 足湯スカイデッキ</x:v>
      </x:c>
      <x:c r="J32" s="22" t="str">
        <x:v>同系統の代替経由地を探索</x:v>
      </x:c>
    </x:row>
    <x:row r="33">
      <x:c r="A33" s="22" t="n">
        <x:v>9</x:v>
      </x:c>
      <x:c r="B33" s="22" t="str">
        <x:v>羽田から川崎工場夜景へ</x:v>
      </x:c>
      <x:c r="C33" s="22" t="n">
        <x:v>61</x:v>
      </x:c>
      <x:c r="D33" s="22" t="n">
        <x:v>82</x:v>
      </x:c>
      <x:c r="E33" s="22" t="n">
        <x:v>21</x:v>
      </x:c>
      <x:c r="F33" s="22" t="str">
        <x:v>川崎・工場夜景</x:v>
      </x:c>
      <x:c r="G33" s="22" t="str">
        <x:v>HANEDA INNOVATION CITY 足湯スカイデッキ</x:v>
      </x:c>
      <x:c r="H33" s="22" t="str">
        <x:v>川崎マリエン</x:v>
      </x:c>
      <x:c r="I33" s="22" t="str">
        <x:v>東扇島西公園</x:v>
      </x:c>
      <x:c r="J33" s="22" t="str">
        <x:v>同系統の代替経由地を探索</x:v>
      </x:c>
    </x:row>
    <x:row r="34">
      <x:c r="A34" s="22" t="n">
        <x:v>10</x:v>
      </x:c>
      <x:c r="B34" s="22" t="str">
        <x:v>大井・東京港ショート</x:v>
      </x:c>
      <x:c r="C34" s="22" t="n">
        <x:v>64</x:v>
      </x:c>
      <x:c r="D34" s="22" t="n">
        <x:v>72</x:v>
      </x:c>
      <x:c r="E34" s="22" t="n">
        <x:v>15</x:v>
      </x:c>
      <x:c r="F34" s="22" t="str">
        <x:v>羽田・航空</x:v>
      </x:c>
      <x:c r="G34" s="22" t="str">
        <x:v>東京港野鳥公園</x:v>
      </x:c>
      <x:c r="H34" s="22" t="str">
        <x:v>京浜島つばさ公園</x:v>
      </x:c>
      <x:c r="I34" s="22" t="str">
        <x:v>城南島海浜公園</x:v>
      </x:c>
      <x:c r="J34" s="22" t="str">
        <x:v>同系統の代替経由地を探索</x:v>
      </x:c>
    </x:row>
    <x:row r="35">
      <x:c r="A35" s="22"/>
      <x:c r="B35" s="22"/>
      <x:c r="C35" s="22"/>
      <x:c r="D35" s="22"/>
      <x:c r="E35" s="22"/>
      <x:c r="F35" s="22"/>
      <x:c r="G35" s="22"/>
      <x:c r="H35" s="22"/>
      <x:c r="I35" s="22"/>
      <x:c r="J35" s="22"/>
    </x:row>
    <x:row r="36">
      <x:c r="A36" s="22"/>
      <x:c r="B36" s="22"/>
      <x:c r="C36" s="22"/>
      <x:c r="D36" s="22"/>
      <x:c r="E36" s="22"/>
      <x:c r="F36" s="22"/>
      <x:c r="G36" s="22"/>
      <x:c r="H36" s="22"/>
      <x:c r="I36" s="22"/>
      <x:c r="J36" s="22"/>
    </x:row>
    <x:row r="37">
      <x:c r="A37" s="22"/>
      <x:c r="B37" s="22"/>
      <x:c r="C37" s="22"/>
      <x:c r="D37" s="22"/>
      <x:c r="E37" s="22"/>
      <x:c r="F37" s="22"/>
      <x:c r="G37" s="22"/>
      <x:c r="H37" s="22"/>
      <x:c r="I37" s="22"/>
      <x:c r="J37" s="22"/>
    </x:row>
    <x:row r="38">
      <x:c r="A38" s="22" t="str">
        <x:v>ルート</x:v>
      </x:c>
      <x:c r="B38" s="22" t="str">
        <x:v>多様性</x:v>
      </x:c>
      <x:c r="C38" s="22" t="str">
        <x:v>経由地品質</x:v>
      </x:c>
      <x:c r="D38" s="22"/>
      <x:c r="E38" s="22"/>
      <x:c r="F38" s="22"/>
      <x:c r="G38" s="22"/>
      <x:c r="H38" s="22"/>
      <x:c r="I38" s="22"/>
      <x:c r="J38" s="22"/>
    </x:row>
    <x:row r="39">
      <x:c r="A39" s="22" t="str">
        <x:v>雨天・羽田インドア線</x:v>
      </x:c>
      <x:c r="B39" s="22" t="n">
        <x:v>41</x:v>
      </x:c>
      <x:c r="C39" s="22" t="n">
        <x:v>83</x:v>
      </x:c>
      <x:c r="D39" s="22"/>
      <x:c r="E39" s="22"/>
      <x:c r="F39" s="22"/>
      <x:c r="G39" s="22"/>
      <x:c r="H39" s="22"/>
      <x:c r="I39" s="22"/>
      <x:c r="J39" s="22"/>
    </x:row>
    <x:row r="40">
      <x:c r="A40" s="22" t="str">
        <x:v>羽田・航空機ショート</x:v>
      </x:c>
      <x:c r="B40" s="22" t="n">
        <x:v>49</x:v>
      </x:c>
      <x:c r="C40" s="22" t="n">
        <x:v>80</x:v>
      </x:c>
      <x:c r="D40" s="22"/>
      <x:c r="E40" s="22"/>
      <x:c r="F40" s="22"/>
      <x:c r="G40" s="22"/>
      <x:c r="H40" s="22"/>
      <x:c r="I40" s="22"/>
      <x:c r="J40" s="22"/>
    </x:row>
    <x:row r="41">
      <x:c r="A41" t="str">
        <x:v>深夜2時間・羽田海辺</x:v>
      </x:c>
      <x:c r="B41" t="n">
        <x:v>49</x:v>
      </x:c>
      <x:c r="C41" t="n">
        <x:v>81</x:v>
      </x:c>
    </x:row>
    <x:row r="42">
      <x:c r="A42" t="str">
        <x:v>羽田・足湯から河口へ</x:v>
      </x:c>
      <x:c r="B42" t="n">
        <x:v>52</x:v>
      </x:c>
      <x:c r="C42" t="n">
        <x:v>84</x:v>
      </x:c>
    </x:row>
    <x:row r="43">
      <x:c r="A43" t="str">
        <x:v>平日夜90分・最短リセット</x:v>
      </x:c>
      <x:c r="B43" t="n">
        <x:v>52</x:v>
      </x:c>
      <x:c r="C43" t="n">
        <x:v>81</x:v>
      </x:c>
    </x:row>
    <x:row r="44">
      <x:c r="A44" t="str">
        <x:v>羽田河口から川崎港へ</x:v>
      </x:c>
      <x:c r="B44" t="n">
        <x:v>58</x:v>
      </x:c>
      <x:c r="C44" t="n">
        <x:v>83</x:v>
      </x:c>
    </x:row>
    <x:row r="45">
      <x:c r="A45" t="str">
        <x:v>羽田3ターミナル比較</x:v>
      </x:c>
      <x:c r="B45" t="n">
        <x:v>59</x:v>
      </x:c>
      <x:c r="C45" t="n">
        <x:v>80</x:v>
      </x:c>
    </x:row>
    <x:row r="46">
      <x:c r="A46" t="str">
        <x:v>森ケ崎・屋上から足湯へ</x:v>
      </x:c>
      <x:c r="B46" t="n">
        <x:v>61</x:v>
      </x:c>
      <x:c r="C46" t="n">
        <x:v>84</x:v>
      </x:c>
    </x:row>
    <x:row r="47">
      <x:c r="A47" t="str">
        <x:v>羽田から川崎工場夜景へ</x:v>
      </x:c>
      <x:c r="B47" t="n">
        <x:v>61</x:v>
      </x:c>
      <x:c r="C47" t="n">
        <x:v>82</x:v>
      </x:c>
    </x:row>
    <x:row r="48">
      <x:c r="A48" t="str">
        <x:v>大井・東京港ショート</x:v>
      </x:c>
      <x:c r="B48" t="n">
        <x:v>64</x:v>
      </x:c>
      <x:c r="C48" t="n">
        <x:v>72</x:v>
      </x:c>
    </x:row>
  </x:sheetData>
  <x:mergeCells>
    <x:mergeCell ref="A1:J2"/>
    <x:mergeCell ref="A3:J3"/>
  </x:mergeCells>
  <x:conditionalFormatting sqref="C10:G21">
    <x:cfRule type="colorScale" priority="1">
      <x:colorScale>
        <x:cfvo type="min"/>
        <x:cfvo type="percentile" val="50"/>
        <x:cfvo type="max"/>
        <x:color rgb="FFDCFCE7"/>
        <x:color rgb="FFFEF3C7"/>
        <x:color rgb="FFFEE2E2"/>
      </x:colorScale>
    </x:cfRule>
  </x:conditionalFormatting>
  <x:conditionalFormatting sqref="C25:E34">
    <x:cfRule type="colorScale" priority="2">
      <x:colorScale>
        <x:cfvo type="min"/>
        <x:cfvo type="percentile" val="50"/>
        <x:cfvo type="max"/>
        <x:color rgb="FFFEE2E2"/>
        <x:color rgb="FFFEF3C7"/>
        <x:color rgb="FFDCFCE7"/>
      </x:colorScale>
    </x:cfRule>
  </x:conditionalFormatting>
  <x:pageMargins left="0.7" right="0.7" top="0.75" bottom="0.75" header="0.3" footer="0.3"/>
  <x:drawing xmlns:r="http://schemas.openxmlformats.org/officeDocument/2006/relationships" r:id="R50cc3c32d1a24e29"/>
</x:worksheet>
</file>

<file path=xl/worksheets/sheet33.xml><?xml version="1.0" encoding="utf-8"?>
<x:worksheet xmlns:x="http://schemas.openxmlformats.org/spreadsheetml/2006/main">
  <x:sheetFormatPr defaultRowHeight="15"/>
  <x:cols>
    <x:col min="1" max="1" width="9" hidden="0" customWidth="1"/>
    <x:col min="2" max="2" width="10" hidden="0" customWidth="1"/>
    <x:col min="3" max="3" width="30" hidden="0" customWidth="1"/>
    <x:col min="4" max="4" width="8" hidden="0" customWidth="1"/>
    <x:col min="5" max="5" width="31" hidden="0" customWidth="1"/>
    <x:col min="6" max="6" width="18" hidden="0" customWidth="1"/>
    <x:col min="7" max="7" width="46" hidden="0" customWidth="1"/>
    <x:col min="8" max="8" width="12" hidden="0" customWidth="1"/>
    <x:col min="9" max="9" width="12" hidden="0" customWidth="1"/>
    <x:col min="10" max="10" width="42" hidden="0" customWidth="1"/>
    <x:col min="11" max="11" width="48" hidden="0" customWidth="1"/>
    <x:col min="12" max="12" width="10" hidden="0" customWidth="1"/>
  </x:cols>
  <x:sheetData>
    <x:row r="1">
      <x:c r="A1" s="390" t="str">
        <x:v>Project Cruise｜経由地運用カード</x:v>
      </x:c>
      <x:c r="B1" s="390"/>
      <x:c r="C1" s="390"/>
      <x:c r="D1" s="390"/>
      <x:c r="E1" s="390"/>
      <x:c r="F1" s="390"/>
      <x:c r="G1" s="390"/>
      <x:c r="H1" s="390"/>
      <x:c r="I1" s="390"/>
      <x:c r="J1" s="390"/>
      <x:c r="K1" s="390"/>
      <x:c r="L1" s="390"/>
    </x:row>
    <x:row r="2">
      <x:c r="A2" s="390"/>
      <x:c r="B2" s="390"/>
      <x:c r="C2" s="390"/>
      <x:c r="D2" s="390"/>
      <x:c r="E2" s="390"/>
      <x:c r="F2" s="390"/>
      <x:c r="G2" s="390"/>
      <x:c r="H2" s="390"/>
      <x:c r="I2" s="390"/>
      <x:c r="J2" s="390"/>
      <x:c r="K2" s="390"/>
      <x:c r="L2" s="390"/>
    </x:row>
    <x:row r="3">
      <x:c r="A3" s="393" t="str">
        <x:v>現地到着後の最初の5分、滞在上限、満車・遅延時の切替を固定</x:v>
      </x:c>
      <x:c r="B3" s="393"/>
      <x:c r="C3" s="393"/>
      <x:c r="D3" s="393"/>
      <x:c r="E3" s="393"/>
      <x:c r="F3" s="393"/>
      <x:c r="G3" s="393"/>
      <x:c r="H3" s="393"/>
      <x:c r="I3" s="393"/>
      <x:c r="J3" s="393"/>
      <x:c r="K3" s="393"/>
      <x:c r="L3" s="393"/>
    </x:row>
    <x:row r="4">
      <x:c r="A4" s="386" t="str">
        <x:v>優先度</x:v>
      </x:c>
      <x:c r="B4" s="386" t="str">
        <x:v>ルートID</x:v>
      </x:c>
      <x:c r="C4" s="386" t="str">
        <x:v>ルート</x:v>
      </x:c>
      <x:c r="D4" s="386" t="str">
        <x:v>順番</x:v>
      </x:c>
      <x:c r="E4" s="386" t="str">
        <x:v>地点</x:v>
      </x:c>
      <x:c r="F4" s="386" t="str">
        <x:v>役割</x:v>
      </x:c>
      <x:c r="G4" s="386" t="str">
        <x:v>到着後5分</x:v>
      </x:c>
      <x:c r="H4" s="386" t="str">
        <x:v>標準滞在</x:v>
      </x:c>
      <x:c r="I4" s="386" t="str">
        <x:v>最大滞在</x:v>
      </x:c>
      <x:c r="J4" s="386" t="str">
        <x:v>駐車・動線</x:v>
      </x:c>
      <x:c r="K4" s="386" t="str">
        <x:v>即省略条件</x:v>
      </x:c>
      <x:c r="L4" s="386" t="str">
        <x:v>Googleマップ</x:v>
      </x:c>
    </x:row>
    <x:row r="5">
      <x:c r="A5" s="22" t="n">
        <x:v>1</x:v>
      </x:c>
      <x:c r="B5" s="22" t="str">
        <x:v>R144</x:v>
      </x:c>
      <x:c r="C5" s="22" t="str">
        <x:v>平日夕方90分・大森から羽田へ</x:v>
      </x:c>
      <x:c r="D5" s="22" t="n">
        <x:v>1</x:v>
      </x:c>
      <x:c r="E5" s="22" t="str">
        <x:v>大森ふるさとの浜辺公園</x:v>
      </x:c>
      <x:c r="F5" s="22" t="str">
        <x:v>導入</x:v>
      </x:c>
      <x:c r="G5" s="22" t="str">
        <x:v>駐車位置を記録→水際まで歩く→風と混雑を確認</x:v>
      </x:c>
      <x:c r="H5" s="22" t="n">
        <x:v>15</x:v>
      </x:c>
      <x:c r="I5" s="22" t="n">
        <x:v>30</x:v>
      </x:c>
      <x:c r="J5" s="22" t="str">
        <x:v>共用駐車場・平日121台／土日祝142台・30分100円・24時間</x:v>
      </x:c>
      <x:c r="K5" s="22" t="str">
        <x:v>浜辺は21時閉門。休日は駐車待ちが発生。遊泳・釣り・火気は禁止。</x:v>
      </x:c>
      <x:c r="L5" s="95" t="e">
        <x:f>HYPERLINK("https://www.google.com/maps/dir/?api=1&amp;destination=%E5%A4%A7%E6%A3%AE%E3%81%B5%E3%82%8B%E3%81%95%E3%81%A8%E3%81%AE%E6%B5%9C%E8%BE%BA%E5%85%AC%E5%9C%92&amp;travelmode=driving","開く")</x:f>
      </x:c>
    </x:row>
    <x:row r="6">
      <x:c r="A6" s="22" t="n">
        <x:v>2</x:v>
      </x:c>
      <x:c r="B6" s="22" t="str">
        <x:v>R144</x:v>
      </x:c>
      <x:c r="C6" s="22" t="str">
        <x:v>平日夕方90分・大森から羽田へ</x:v>
      </x:c>
      <x:c r="D6" s="22" t="n">
        <x:v>2</x:v>
      </x:c>
      <x:c r="E6" s="22" t="str">
        <x:v>森ケ崎公園</x:v>
      </x:c>
      <x:c r="F6" s="22" t="str">
        <x:v>景観転換</x:v>
      </x:c>
      <x:c r="G6" s="22" t="str">
        <x:v>滑走路運用と風向を確認→見る方向を1つに絞る</x:v>
      </x:c>
      <x:c r="H6" s="22" t="n">
        <x:v>20</x:v>
      </x:c>
      <x:c r="I6" s="22" t="n">
        <x:v>35</x:v>
      </x:c>
      <x:c r="J6" s="22" t="str">
        <x:v>あり・47台・30分100円</x:v>
      </x:c>
      <x:c r="K6" s="22" t="str">
        <x:v>利用時間外は入出庫不可。土日祝は入場待ちが発生しやすく、急ぐ場合は近隣民間駐車場へ切替。</x:v>
      </x:c>
      <x:c r="L6" s="95" t="e">
        <x:f>HYPERLINK("https://www.google.com/maps/dir/?api=1&amp;destination=%E6%A3%AE%E3%82%B1%E5%B4%8E%E5%85%AC%E5%9C%92&amp;travelmode=driving","開く")</x:f>
      </x:c>
    </x:row>
    <x:row r="7">
      <x:c r="A7" s="22" t="n">
        <x:v>3</x:v>
      </x:c>
      <x:c r="B7" s="22" t="str">
        <x:v>R144</x:v>
      </x:c>
      <x:c r="C7" s="22" t="str">
        <x:v>平日夕方90分・大森から羽田へ</x:v>
      </x:c>
      <x:c r="D7" s="22" t="n">
        <x:v>3</x:v>
      </x:c>
      <x:c r="E7" s="22" t="str">
        <x:v>羽田空港 第3ターミナル展望デッキ</x:v>
      </x:c>
      <x:c r="F7" s="22" t="str">
        <x:v>最終目的地・余韻</x:v>
      </x:c>
      <x:c r="G7" s="22" t="str">
        <x:v>滑走路運用と風向を確認→見る方向を1つに絞る</x:v>
      </x:c>
      <x:c r="H7" s="22" t="n">
        <x:v>30</x:v>
      </x:c>
      <x:c r="I7" s="22" t="n">
        <x:v>50</x:v>
      </x:c>
      <x:c r="J7" s="22" t="str">
        <x:v>P5 2,910台・24時間・有料</x:v>
      </x:c>
      <x:c r="K7" s="22" t="str">
        <x:v>保安・悪天候・イベントで一時閉鎖の場合あり。多客期は駐車場混雑。</x:v>
      </x:c>
      <x:c r="L7" s="95" t="e">
        <x:f>HYPERLINK("https://www.google.com/maps/dir/?api=1&amp;destination=%E7%BE%BD%E7%94%B0%E7%A9%BA%E6%B8%AF%20%E7%AC%AC3%E3%82%BF%E3%83%BC%E3%83%9F%E3%83%8A%E3%83%AB%E5%B1%95%E6%9C%9B%E3%83%87%E3%83%83%E3%82%AD&amp;travelmode=driving","開く")</x:f>
      </x:c>
    </x:row>
    <x:row r="8">
      <x:c r="A8" s="22" t="n">
        <x:v>4</x:v>
      </x:c>
      <x:c r="B8" s="22" t="str">
        <x:v>R142</x:v>
      </x:c>
      <x:c r="C8" s="22" t="str">
        <x:v>深夜2時間・空港から港の端へ</x:v>
      </x:c>
      <x:c r="D8" s="22" t="n">
        <x:v>1</x:v>
      </x:c>
      <x:c r="E8" s="22" t="str">
        <x:v>羽田空港 第3ターミナル展望デッキ</x:v>
      </x:c>
      <x:c r="F8" s="22" t="str">
        <x:v>導入</x:v>
      </x:c>
      <x:c r="G8" s="22" t="str">
        <x:v>滑走路運用と風向を確認→見る方向を1つに絞る</x:v>
      </x:c>
      <x:c r="H8" s="22" t="n">
        <x:v>20</x:v>
      </x:c>
      <x:c r="I8" s="22" t="n">
        <x:v>35</x:v>
      </x:c>
      <x:c r="J8" s="22" t="str">
        <x:v>P5 2,910台・24時間・有料</x:v>
      </x:c>
      <x:c r="K8" s="22" t="str">
        <x:v>保安・悪天候・イベントで一時閉鎖の場合あり。多客期は駐車場混雑。</x:v>
      </x:c>
      <x:c r="L8" s="95" t="e">
        <x:f>HYPERLINK("https://www.google.com/maps/dir/?api=1&amp;destination=%E7%BE%BD%E7%94%B0%E7%A9%BA%E6%B8%AF%20%E7%AC%AC3%E3%82%BF%E3%83%BC%E3%83%9F%E3%83%8A%E3%83%AB%E5%B1%95%E6%9C%9B%E3%83%87%E3%83%83%E3%82%AD&amp;travelmode=driving","開く")</x:f>
      </x:c>
    </x:row>
    <x:row r="9">
      <x:c r="A9" s="22" t="n">
        <x:v>5</x:v>
      </x:c>
      <x:c r="B9" s="22" t="str">
        <x:v>R142</x:v>
      </x:c>
      <x:c r="C9" s="22" t="str">
        <x:v>深夜2時間・空港から港の端へ</x:v>
      </x:c>
      <x:c r="D9" s="22" t="n">
        <x:v>2</x:v>
      </x:c>
      <x:c r="E9" s="22" t="str">
        <x:v>東扇島西公園</x:v>
      </x:c>
      <x:c r="F9" s="22" t="str">
        <x:v>最終目的地・余韻</x:v>
      </x:c>
      <x:c r="G9" s="22" t="str">
        <x:v>駐車位置を記録→水際まで歩く→風と混雑を確認</x:v>
      </x:c>
      <x:c r="H9" s="22" t="n">
        <x:v>35</x:v>
      </x:c>
      <x:c r="I9" s="22" t="n">
        <x:v>60</x:v>
      </x:c>
      <x:c r="J9" s="22" t="str">
        <x:v>第1・第2駐車場 合計172台・有料・24時間</x:v>
      </x:c>
      <x:c r="K9" s="22" t="str">
        <x:v>土日祝・釣り時間帯は混雑。路上駐車・アイドリング禁止。臨時閉鎖を当日確認。</x:v>
      </x:c>
      <x:c r="L9" s="95" t="e">
        <x:f>HYPERLINK("https://www.google.com/maps/dir/?api=1&amp;destination=%E6%9D%B1%E6%89%87%E5%B3%B6%E8%A5%BF%E5%85%AC%E5%9C%92&amp;travelmode=driving","開く")</x:f>
      </x:c>
    </x:row>
    <x:row r="10">
      <x:c r="A10" s="22" t="n">
        <x:v>6</x:v>
      </x:c>
      <x:c r="B10" s="22" t="str">
        <x:v>R133</x:v>
      </x:c>
      <x:c r="C10" s="22" t="str">
        <x:v>羽田・足湯から河口へ</x:v>
      </x:c>
      <x:c r="D10" s="22" t="n">
        <x:v>1</x:v>
      </x:c>
      <x:c r="E10" s="22" t="str">
        <x:v>HANEDA INNOVATION CITY 足湯スカイデッキ</x:v>
      </x:c>
      <x:c r="F10" s="22" t="str">
        <x:v>導入</x:v>
      </x:c>
      <x:c r="G10" s="22" t="str">
        <x:v>駐車位置を確認→足湯の空き確認→飛行機方向を決める</x:v>
      </x:c>
      <x:c r="H10" s="22" t="n">
        <x:v>20</x:v>
      </x:c>
      <x:c r="I10" s="22" t="n">
        <x:v>35</x:v>
      </x:c>
      <x:c r="J10" s="22" t="str">
        <x:v>HIC P1 190台・24時間／P2 18台・7:00～23:00</x:v>
      </x:c>
      <x:c r="K10" s="22" t="str">
        <x:v>貸切利用時は入場不可。食事は禁止。深夜帯は静粛にし、P2は営業時間外出庫不可。</x:v>
      </x:c>
      <x:c r="L10" s="95" t="e">
        <x:f>HYPERLINK("https://www.google.com/maps/dir/?api=1&amp;destination=HANEDA%20INNOVATION%20CITY%20%E8%B6%B3%E6%B9%AF%E3%82%B9%E3%82%AB%E3%82%A4%E3%83%87%E3%83%83%E3%82%AD&amp;travelmode=driving","開く")</x:f>
      </x:c>
    </x:row>
    <x:row r="11">
      <x:c r="A11" s="22" t="n">
        <x:v>7</x:v>
      </x:c>
      <x:c r="B11" s="22" t="str">
        <x:v>R133</x:v>
      </x:c>
      <x:c r="C11" s="22" t="str">
        <x:v>羽田・足湯から河口へ</x:v>
      </x:c>
      <x:c r="D11" s="22" t="n">
        <x:v>2</x:v>
      </x:c>
      <x:c r="E11" s="22" t="str">
        <x:v>ソラムナード羽田緑地</x:v>
      </x:c>
      <x:c r="F11" s="22" t="str">
        <x:v>景観転換</x:v>
      </x:c>
      <x:c r="G11" s="22" t="str">
        <x:v>滑走路運用と風向を確認→見る方向を1つに絞る</x:v>
      </x:c>
      <x:c r="H11" s="22" t="n">
        <x:v>20</x:v>
      </x:c>
      <x:c r="I11" s="22" t="n">
        <x:v>35</x:v>
      </x:c>
      <x:c r="J11" s="22" t="str">
        <x:v>専用駐車場なし／HIC P1等の合法駐車場から徒歩</x:v>
      </x:c>
      <x:c r="K11" s="22" t="str">
        <x:v>路上駐車禁止。HICなど合法駐車場から徒歩。強風・高潮・増水時は利用を避ける。</x:v>
      </x:c>
      <x:c r="L11" s="95" t="e">
        <x:f>HYPERLINK("https://www.google.com/maps/dir/?api=1&amp;destination=%E3%82%BD%E3%83%A9%E3%83%A0%E3%83%8A%E3%83%BC%E3%83%89%E7%BE%BD%E7%94%B0%E7%B7%91%E5%9C%B0&amp;travelmode=driving","開く")</x:f>
      </x:c>
    </x:row>
    <x:row r="12">
      <x:c r="A12" s="22" t="n">
        <x:v>8</x:v>
      </x:c>
      <x:c r="B12" s="22" t="str">
        <x:v>R133</x:v>
      </x:c>
      <x:c r="C12" s="22" t="str">
        <x:v>羽田・足湯から河口へ</x:v>
      </x:c>
      <x:c r="D12" s="22" t="n">
        <x:v>3</x:v>
      </x:c>
      <x:c r="E12" s="22" t="str">
        <x:v>羽田空港 第3ターミナル展望デッキ</x:v>
      </x:c>
      <x:c r="F12" s="22" t="str">
        <x:v>最終目的地・余韻</x:v>
      </x:c>
      <x:c r="G12" s="22" t="str">
        <x:v>滑走路運用と風向を確認→見る方向を1つに絞る</x:v>
      </x:c>
      <x:c r="H12" s="22" t="n">
        <x:v>30</x:v>
      </x:c>
      <x:c r="I12" s="22" t="n">
        <x:v>50</x:v>
      </x:c>
      <x:c r="J12" s="22" t="str">
        <x:v>P5 2,910台・24時間・有料</x:v>
      </x:c>
      <x:c r="K12" s="22" t="str">
        <x:v>保安・悪天候・イベントで一時閉鎖の場合あり。多客期は駐車場混雑。</x:v>
      </x:c>
      <x:c r="L12" s="95" t="e">
        <x:f>HYPERLINK("https://www.google.com/maps/dir/?api=1&amp;destination=%E7%BE%BD%E7%94%B0%E7%A9%BA%E6%B8%AF%20%E7%AC%AC3%E3%82%BF%E3%83%BC%E3%83%9F%E3%83%8A%E3%83%AB%E5%B1%95%E6%9C%9B%E3%83%87%E3%83%83%E3%82%AD&amp;travelmode=driving","開く")</x:f>
      </x:c>
    </x:row>
    <x:row r="13">
      <x:c r="A13" s="22" t="n">
        <x:v>9</x:v>
      </x:c>
      <x:c r="B13" s="22" t="str">
        <x:v>R136</x:v>
      </x:c>
      <x:c r="C13" s="22" t="str">
        <x:v>森ケ崎・屋上から足湯へ</x:v>
      </x:c>
      <x:c r="D13" s="22" t="n">
        <x:v>1</x:v>
      </x:c>
      <x:c r="E13" s="22" t="str">
        <x:v>森ケ崎公園</x:v>
      </x:c>
      <x:c r="F13" s="22" t="str">
        <x:v>導入</x:v>
      </x:c>
      <x:c r="G13" s="22" t="str">
        <x:v>滑走路運用と風向を確認→見る方向を1つに絞る</x:v>
      </x:c>
      <x:c r="H13" s="22" t="n">
        <x:v>20</x:v>
      </x:c>
      <x:c r="I13" s="22" t="n">
        <x:v>35</x:v>
      </x:c>
      <x:c r="J13" s="22" t="str">
        <x:v>あり・47台・30分100円</x:v>
      </x:c>
      <x:c r="K13" s="22" t="str">
        <x:v>利用時間外は入出庫不可。土日祝は入場待ちが発生しやすく、急ぐ場合は近隣民間駐車場へ切替。</x:v>
      </x:c>
      <x:c r="L13" s="95" t="e">
        <x:f>HYPERLINK("https://www.google.com/maps/dir/?api=1&amp;destination=%E6%A3%AE%E3%82%B1%E5%B4%8E%E5%85%AC%E5%9C%92&amp;travelmode=driving","開く")</x:f>
      </x:c>
    </x:row>
    <x:row r="14">
      <x:c r="A14" s="22" t="n">
        <x:v>10</x:v>
      </x:c>
      <x:c r="B14" s="22" t="str">
        <x:v>R136</x:v>
      </x:c>
      <x:c r="C14" s="22" t="str">
        <x:v>森ケ崎・屋上から足湯へ</x:v>
      </x:c>
      <x:c r="D14" s="22" t="n">
        <x:v>2</x:v>
      </x:c>
      <x:c r="E14" s="22" t="str">
        <x:v>ソラムナード羽田緑地</x:v>
      </x:c>
      <x:c r="F14" s="22" t="str">
        <x:v>景観転換</x:v>
      </x:c>
      <x:c r="G14" s="22" t="str">
        <x:v>滑走路運用と風向を確認→見る方向を1つに絞る</x:v>
      </x:c>
      <x:c r="H14" s="22" t="n">
        <x:v>20</x:v>
      </x:c>
      <x:c r="I14" s="22" t="n">
        <x:v>35</x:v>
      </x:c>
      <x:c r="J14" s="22" t="str">
        <x:v>専用駐車場なし／HIC P1等の合法駐車場から徒歩</x:v>
      </x:c>
      <x:c r="K14" s="22" t="str">
        <x:v>路上駐車禁止。HICなど合法駐車場から徒歩。強風・高潮・増水時は利用を避ける。</x:v>
      </x:c>
      <x:c r="L14" s="95" t="e">
        <x:f>HYPERLINK("https://www.google.com/maps/dir/?api=1&amp;destination=%E3%82%BD%E3%83%A9%E3%83%A0%E3%83%8A%E3%83%BC%E3%83%89%E7%BE%BD%E7%94%B0%E7%B7%91%E5%9C%B0&amp;travelmode=driving","開く")</x:f>
      </x:c>
    </x:row>
    <x:row r="15">
      <x:c r="A15" s="22" t="n">
        <x:v>11</x:v>
      </x:c>
      <x:c r="B15" s="22" t="str">
        <x:v>R136</x:v>
      </x:c>
      <x:c r="C15" s="22" t="str">
        <x:v>森ケ崎・屋上から足湯へ</x:v>
      </x:c>
      <x:c r="D15" s="22" t="n">
        <x:v>3</x:v>
      </x:c>
      <x:c r="E15" s="22" t="str">
        <x:v>HANEDA INNOVATION CITY 足湯スカイデッキ</x:v>
      </x:c>
      <x:c r="F15" s="22" t="str">
        <x:v>最終目的地・余韻</x:v>
      </x:c>
      <x:c r="G15" s="22" t="str">
        <x:v>駐車位置を確認→足湯の空き確認→飛行機方向を決める</x:v>
      </x:c>
      <x:c r="H15" s="22" t="n">
        <x:v>20</x:v>
      </x:c>
      <x:c r="I15" s="22" t="n">
        <x:v>35</x:v>
      </x:c>
      <x:c r="J15" s="22" t="str">
        <x:v>HIC P1 190台・24時間／P2 18台・7:00～23:00</x:v>
      </x:c>
      <x:c r="K15" s="22" t="str">
        <x:v>貸切利用時は入場不可。食事は禁止。深夜帯は静粛にし、P2は営業時間外出庫不可。</x:v>
      </x:c>
      <x:c r="L15" s="95" t="e">
        <x:f>HYPERLINK("https://www.google.com/maps/dir/?api=1&amp;destination=HANEDA%20INNOVATION%20CITY%20%E8%B6%B3%E6%B9%AF%E3%82%B9%E3%82%AB%E3%82%A4%E3%83%87%E3%83%83%E3%82%AD&amp;travelmode=driving","開く")</x:f>
      </x:c>
    </x:row>
    <x:row r="16">
      <x:c r="A16" s="22" t="n">
        <x:v>12</x:v>
      </x:c>
      <x:c r="B16" s="22" t="str">
        <x:v>R140</x:v>
      </x:c>
      <x:c r="C16" s="22" t="str">
        <x:v>お台場から豊洲の水際夜景</x:v>
      </x:c>
      <x:c r="D16" s="22" t="n">
        <x:v>1</x:v>
      </x:c>
      <x:c r="E16" s="22" t="str">
        <x:v>お台場海浜公園</x:v>
      </x:c>
      <x:c r="F16" s="22" t="str">
        <x:v>導入</x:v>
      </x:c>
      <x:c r="G16" s="22" t="str">
        <x:v>駐車位置を記録→水際まで歩く→風と混雑を確認</x:v>
      </x:c>
      <x:c r="H16" s="22" t="n">
        <x:v>15</x:v>
      </x:c>
      <x:c r="I16" s="22" t="n">
        <x:v>30</x:v>
      </x:c>
      <x:c r="J16" s="22" t="str">
        <x:v>中央101台／北口244台・有料・24時間</x:v>
      </x:c>
      <x:c r="K16" s="22" t="str">
        <x:v>大規模イベント時は駐車場閉鎖・交通規制あり。北口のみ24時間最大料金設定。</x:v>
      </x:c>
      <x:c r="L16" s="95" t="e">
        <x:f>HYPERLINK("https://www.google.com/maps/dir/?api=1&amp;destination=%E3%81%8A%E5%8F%B0%E5%A0%B4%E6%B5%B7%E6%B5%9C%E5%85%AC%E5%9C%92&amp;travelmode=driving","開く")</x:f>
      </x:c>
    </x:row>
    <x:row r="17">
      <x:c r="A17" s="22" t="n">
        <x:v>13</x:v>
      </x:c>
      <x:c r="B17" s="22" t="str">
        <x:v>R140</x:v>
      </x:c>
      <x:c r="C17" s="22" t="str">
        <x:v>お台場から豊洲の水際夜景</x:v>
      </x:c>
      <x:c r="D17" s="22" t="n">
        <x:v>2</x:v>
      </x:c>
      <x:c r="E17" s="22" t="str">
        <x:v>豊洲ぐるり公園</x:v>
      </x:c>
      <x:c r="F17" s="22" t="str">
        <x:v>景観転換</x:v>
      </x:c>
      <x:c r="G17" s="22" t="str">
        <x:v>駐車位置と出口方向を確認→主景観を1つ見る</x:v>
      </x:c>
      <x:c r="H17" s="22" t="n">
        <x:v>15</x:v>
      </x:c>
      <x:c r="I17" s="22" t="n">
        <x:v>25</x:v>
      </x:c>
      <x:c r="J17" s="22" t="str">
        <x:v>あり・有料</x:v>
      </x:c>
      <x:c r="K17" s="22" t="str">
        <x:v>市場周辺イベント時は混雑。駐車位置と見たい景色の位置関係を確認。</x:v>
      </x:c>
      <x:c r="L17" s="95" t="e">
        <x:f>HYPERLINK("https://www.google.com/maps/dir/?api=1&amp;destination=%E8%B1%8A%E6%B4%B2%E3%81%90%E3%82%8B%E3%82%8A%E5%85%AC%E5%9C%92&amp;travelmode=driving","開く")</x:f>
      </x:c>
    </x:row>
    <x:row r="18">
      <x:c r="A18" s="22" t="n">
        <x:v>14</x:v>
      </x:c>
      <x:c r="B18" s="22" t="str">
        <x:v>R140</x:v>
      </x:c>
      <x:c r="C18" s="22" t="str">
        <x:v>お台場から豊洲の水際夜景</x:v>
      </x:c>
      <x:c r="D18" s="22" t="n">
        <x:v>3</x:v>
      </x:c>
      <x:c r="E18" s="22" t="str">
        <x:v>晴海ふ頭公園</x:v>
      </x:c>
      <x:c r="F18" s="22" t="str">
        <x:v>最終目的地・余韻</x:v>
      </x:c>
      <x:c r="G18" s="22" t="str">
        <x:v>駐車位置を記録→水際まで歩く→風と混雑を確認</x:v>
      </x:c>
      <x:c r="H18" s="22" t="n">
        <x:v>35</x:v>
      </x:c>
      <x:c r="I18" s="22" t="n">
        <x:v>60</x:v>
      </x:c>
      <x:c r="J18" s="22" t="str">
        <x:v>あり・小規模有料</x:v>
      </x:c>
      <x:c r="K18" s="22" t="str">
        <x:v>台数が少なくイベント時は入庫待ちに注意。</x:v>
      </x:c>
      <x:c r="L18" s="95" t="e">
        <x:f>HYPERLINK("https://www.google.com/maps/dir/?api=1&amp;destination=%E6%99%B4%E6%B5%B7%E3%81%B5%E9%A0%AD%E5%85%AC%E5%9C%92&amp;travelmode=driving","開く")</x:f>
      </x:c>
    </x:row>
    <x:row r="19">
      <x:c r="A19" s="22" t="n">
        <x:v>15</x:v>
      </x:c>
      <x:c r="B19" s="22" t="str">
        <x:v>R143</x:v>
      </x:c>
      <x:c r="C19" s="22" t="str">
        <x:v>羽田から川崎工場夜景へ</x:v>
      </x:c>
      <x:c r="D19" s="22" t="n">
        <x:v>1</x:v>
      </x:c>
      <x:c r="E19" s="22" t="str">
        <x:v>HANEDA INNOVATION CITY 足湯スカイデッキ</x:v>
      </x:c>
      <x:c r="F19" s="22" t="str">
        <x:v>導入</x:v>
      </x:c>
      <x:c r="G19" s="22" t="str">
        <x:v>駐車位置を確認→足湯の空き確認→飛行機方向を決める</x:v>
      </x:c>
      <x:c r="H19" s="22" t="n">
        <x:v>20</x:v>
      </x:c>
      <x:c r="I19" s="22" t="n">
        <x:v>35</x:v>
      </x:c>
      <x:c r="J19" s="22" t="str">
        <x:v>HIC P1 190台・24時間／P2 18台・7:00～23:00</x:v>
      </x:c>
      <x:c r="K19" s="22" t="str">
        <x:v>貸切利用時は入場不可。食事は禁止。深夜帯は静粛にし、P2は営業時間外出庫不可。</x:v>
      </x:c>
      <x:c r="L19" s="95" t="e">
        <x:f>HYPERLINK("https://www.google.com/maps/dir/?api=1&amp;destination=HANEDA%20INNOVATION%20CITY%20%E8%B6%B3%E6%B9%AF%E3%82%B9%E3%82%AB%E3%82%A4%E3%83%87%E3%83%83%E3%82%AD&amp;travelmode=driving","開く")</x:f>
      </x:c>
    </x:row>
    <x:row r="20">
      <x:c r="A20" s="22" t="n">
        <x:v>16</x:v>
      </x:c>
      <x:c r="B20" s="22" t="str">
        <x:v>R143</x:v>
      </x:c>
      <x:c r="C20" s="22" t="str">
        <x:v>羽田から川崎工場夜景へ</x:v>
      </x:c>
      <x:c r="D20" s="22" t="n">
        <x:v>2</x:v>
      </x:c>
      <x:c r="E20" s="22" t="str">
        <x:v>川崎マリエン</x:v>
      </x:c>
      <x:c r="F20" s="22" t="str">
        <x:v>景観転換</x:v>
      </x:c>
      <x:c r="G20" s="22" t="str">
        <x:v>駐車位置と出口方向を確認→主景観を1つ見る</x:v>
      </x:c>
      <x:c r="H20" s="22" t="n">
        <x:v>15</x:v>
      </x:c>
      <x:c r="I20" s="22" t="n">
        <x:v>25</x:v>
      </x:c>
      <x:c r="J20" s="22" t="str">
        <x:v>あり・有料</x:v>
      </x:c>
      <x:c r="K20" s="22" t="str">
        <x:v>最終入場、休館日、工事情報を当日確認。</x:v>
      </x:c>
      <x:c r="L20" s="95" t="e">
        <x:f>HYPERLINK("https://www.google.com/maps/dir/?api=1&amp;destination=%E5%B7%9D%E5%B4%8E%E3%83%9E%E3%83%AA%E3%82%A8%E3%83%B3&amp;travelmode=driving","開く")</x:f>
      </x:c>
    </x:row>
    <x:row r="21">
      <x:c r="A21" s="22" t="n">
        <x:v>17</x:v>
      </x:c>
      <x:c r="B21" s="22" t="str">
        <x:v>R143</x:v>
      </x:c>
      <x:c r="C21" s="22" t="str">
        <x:v>羽田から川崎工場夜景へ</x:v>
      </x:c>
      <x:c r="D21" s="22" t="n">
        <x:v>3</x:v>
      </x:c>
      <x:c r="E21" s="22" t="str">
        <x:v>東扇島西公園</x:v>
      </x:c>
      <x:c r="F21" s="22" t="str">
        <x:v>最終目的地・余韻</x:v>
      </x:c>
      <x:c r="G21" s="22" t="str">
        <x:v>駐車位置を記録→水際まで歩く→風と混雑を確認</x:v>
      </x:c>
      <x:c r="H21" s="22" t="n">
        <x:v>35</x:v>
      </x:c>
      <x:c r="I21" s="22" t="n">
        <x:v>60</x:v>
      </x:c>
      <x:c r="J21" s="22" t="str">
        <x:v>第1・第2駐車場 合計172台・有料・24時間</x:v>
      </x:c>
      <x:c r="K21" s="22" t="str">
        <x:v>土日祝・釣り時間帯は混雑。路上駐車・アイドリング禁止。臨時閉鎖を当日確認。</x:v>
      </x:c>
      <x:c r="L21" s="95" t="e">
        <x:f>HYPERLINK("https://www.google.com/maps/dir/?api=1&amp;destination=%E6%9D%B1%E6%89%87%E5%B3%B6%E8%A5%BF%E5%85%AC%E5%9C%92&amp;travelmode=driving","開く")</x:f>
      </x:c>
    </x:row>
    <x:row r="22">
      <x:c r="A22" s="22" t="n">
        <x:v>18</x:v>
      </x:c>
      <x:c r="B22" s="22" t="str">
        <x:v>R002</x:v>
      </x:c>
      <x:c r="C22" s="22" t="str">
        <x:v>大森海岸から飛行機へ</x:v>
      </x:c>
      <x:c r="D22" s="22" t="n">
        <x:v>1</x:v>
      </x:c>
      <x:c r="E22" s="22" t="str">
        <x:v>大森ふるさとの浜辺公園</x:v>
      </x:c>
      <x:c r="F22" s="22" t="str">
        <x:v>導入</x:v>
      </x:c>
      <x:c r="G22" s="22" t="str">
        <x:v>駐車位置を記録→水際まで歩く→風と混雑を確認</x:v>
      </x:c>
      <x:c r="H22" s="22" t="n">
        <x:v>15</x:v>
      </x:c>
      <x:c r="I22" s="22" t="n">
        <x:v>30</x:v>
      </x:c>
      <x:c r="J22" s="22" t="str">
        <x:v>共用駐車場・平日121台／土日祝142台・30分100円・24時間</x:v>
      </x:c>
      <x:c r="K22" s="22" t="str">
        <x:v>浜辺は21時閉門。休日は駐車待ちが発生。遊泳・釣り・火気は禁止。</x:v>
      </x:c>
      <x:c r="L22" s="95" t="e">
        <x:f>HYPERLINK("https://www.google.com/maps/dir/?api=1&amp;destination=%E5%A4%A7%E6%A3%AE%E3%81%B5%E3%82%8B%E3%81%95%E3%81%A8%E3%81%AE%E6%B5%9C%E8%BE%BA%E5%85%AC%E5%9C%92&amp;travelmode=driving","開く")</x:f>
      </x:c>
    </x:row>
    <x:row r="23">
      <x:c r="A23" s="22" t="n">
        <x:v>19</x:v>
      </x:c>
      <x:c r="B23" s="22" t="str">
        <x:v>R002</x:v>
      </x:c>
      <x:c r="C23" s="22" t="str">
        <x:v>大森海岸から飛行機へ</x:v>
      </x:c>
      <x:c r="D23" s="22" t="n">
        <x:v>2</x:v>
      </x:c>
      <x:c r="E23" s="22" t="str">
        <x:v>京浜島つばさ公園</x:v>
      </x:c>
      <x:c r="F23" s="22" t="str">
        <x:v>景観転換</x:v>
      </x:c>
      <x:c r="G23" s="22" t="str">
        <x:v>滑走路運用と風向を確認→見る方向を1つに絞る</x:v>
      </x:c>
      <x:c r="H23" s="22" t="n">
        <x:v>20</x:v>
      </x:c>
      <x:c r="I23" s="22" t="n">
        <x:v>35</x:v>
      </x:c>
      <x:c r="J23" s="22" t="str">
        <x:v>あり・小規模有料</x:v>
      </x:c>
      <x:c r="K23" s="22" t="str">
        <x:v>台数が少ない。満車時の路上待機・路上駐車は禁止。</x:v>
      </x:c>
      <x:c r="L23" s="95" t="e">
        <x:f>HYPERLINK("https://www.google.com/maps/dir/?api=1&amp;destination=%E4%BA%AC%E6%B5%9C%E5%B3%B6%E3%81%A4%E3%81%B0%E3%81%95%E5%85%AC%E5%9C%92&amp;travelmode=driving","開く")</x:f>
      </x:c>
    </x:row>
    <x:row r="24">
      <x:c r="A24" s="22" t="n">
        <x:v>20</x:v>
      </x:c>
      <x:c r="B24" s="22" t="str">
        <x:v>R002</x:v>
      </x:c>
      <x:c r="C24" s="22" t="str">
        <x:v>大森海岸から飛行機へ</x:v>
      </x:c>
      <x:c r="D24" s="22" t="n">
        <x:v>3</x:v>
      </x:c>
      <x:c r="E24" s="22" t="str">
        <x:v>城南島海浜公園</x:v>
      </x:c>
      <x:c r="F24" s="22" t="str">
        <x:v>最終目的地・余韻</x:v>
      </x:c>
      <x:c r="G24" s="22" t="str">
        <x:v>滑走路運用と風向を確認→見る方向を1つに絞る</x:v>
      </x:c>
      <x:c r="H24" s="22" t="n">
        <x:v>30</x:v>
      </x:c>
      <x:c r="I24" s="22" t="n">
        <x:v>50</x:v>
      </x:c>
      <x:c r="J24" s="22" t="str">
        <x:v>あり・有料</x:v>
      </x:c>
      <x:c r="K24" s="22" t="str">
        <x:v>21時以降は入出庫不可。臨時閉鎖と高さ制限を当日確認。</x:v>
      </x:c>
      <x:c r="L24" s="95" t="e">
        <x:f>HYPERLINK("https://www.google.com/maps/dir/?api=1&amp;destination=%E5%9F%8E%E5%8D%97%E5%B3%B6%E6%B5%B7%E6%B5%9C%E5%85%AC%E5%9C%92&amp;travelmode=driving","開く")</x:f>
      </x:c>
    </x:row>
    <x:row r="25">
      <x:c r="A25" s="22" t="n">
        <x:v>21</x:v>
      </x:c>
      <x:c r="B25" s="22" t="str">
        <x:v>R006</x:v>
      </x:c>
      <x:c r="C25" s="22" t="str">
        <x:v>京浜島から東扇島西端へ</x:v>
      </x:c>
      <x:c r="D25" s="22" t="n">
        <x:v>1</x:v>
      </x:c>
      <x:c r="E25" s="22" t="str">
        <x:v>京浜島つばさ公園</x:v>
      </x:c>
      <x:c r="F25" s="22" t="str">
        <x:v>導入</x:v>
      </x:c>
      <x:c r="G25" s="22" t="str">
        <x:v>滑走路運用と風向を確認→見る方向を1つに絞る</x:v>
      </x:c>
      <x:c r="H25" s="22" t="n">
        <x:v>20</x:v>
      </x:c>
      <x:c r="I25" s="22" t="n">
        <x:v>35</x:v>
      </x:c>
      <x:c r="J25" s="22" t="str">
        <x:v>あり・小規模有料</x:v>
      </x:c>
      <x:c r="K25" s="22" t="str">
        <x:v>台数が少ない。満車時の路上待機・路上駐車は禁止。</x:v>
      </x:c>
      <x:c r="L25" s="95" t="e">
        <x:f>HYPERLINK("https://www.google.com/maps/dir/?api=1&amp;destination=%E4%BA%AC%E6%B5%9C%E5%B3%B6%E3%81%A4%E3%81%B0%E3%81%95%E5%85%AC%E5%9C%92&amp;travelmode=driving","開く")</x:f>
      </x:c>
    </x:row>
    <x:row r="26">
      <x:c r="A26" s="22" t="n">
        <x:v>22</x:v>
      </x:c>
      <x:c r="B26" s="22" t="str">
        <x:v>R006</x:v>
      </x:c>
      <x:c r="C26" s="22" t="str">
        <x:v>京浜島から東扇島西端へ</x:v>
      </x:c>
      <x:c r="D26" s="22" t="n">
        <x:v>2</x:v>
      </x:c>
      <x:c r="E26" s="22" t="str">
        <x:v>川崎マリエン</x:v>
      </x:c>
      <x:c r="F26" s="22" t="str">
        <x:v>景観転換</x:v>
      </x:c>
      <x:c r="G26" s="22" t="str">
        <x:v>駐車位置と出口方向を確認→主景観を1つ見る</x:v>
      </x:c>
      <x:c r="H26" s="22" t="n">
        <x:v>15</x:v>
      </x:c>
      <x:c r="I26" s="22" t="n">
        <x:v>25</x:v>
      </x:c>
      <x:c r="J26" s="22" t="str">
        <x:v>あり・有料</x:v>
      </x:c>
      <x:c r="K26" s="22" t="str">
        <x:v>最終入場、休館日、工事情報を当日確認。</x:v>
      </x:c>
      <x:c r="L26" s="95" t="e">
        <x:f>HYPERLINK("https://www.google.com/maps/dir/?api=1&amp;destination=%E5%B7%9D%E5%B4%8E%E3%83%9E%E3%83%AA%E3%82%A8%E3%83%B3&amp;travelmode=driving","開く")</x:f>
      </x:c>
    </x:row>
    <x:row r="27">
      <x:c r="A27" s="22" t="n">
        <x:v>23</x:v>
      </x:c>
      <x:c r="B27" s="22" t="str">
        <x:v>R006</x:v>
      </x:c>
      <x:c r="C27" s="22" t="str">
        <x:v>京浜島から東扇島西端へ</x:v>
      </x:c>
      <x:c r="D27" s="22" t="n">
        <x:v>3</x:v>
      </x:c>
      <x:c r="E27" s="22" t="str">
        <x:v>東扇島西公園</x:v>
      </x:c>
      <x:c r="F27" s="22" t="str">
        <x:v>最終目的地・余韻</x:v>
      </x:c>
      <x:c r="G27" s="22" t="str">
        <x:v>駐車位置を記録→水際まで歩く→風と混雑を確認</x:v>
      </x:c>
      <x:c r="H27" s="22" t="n">
        <x:v>35</x:v>
      </x:c>
      <x:c r="I27" s="22" t="n">
        <x:v>60</x:v>
      </x:c>
      <x:c r="J27" s="22" t="str">
        <x:v>第1・第2駐車場 合計172台・有料・24時間</x:v>
      </x:c>
      <x:c r="K27" s="22" t="str">
        <x:v>土日祝・釣り時間帯は混雑。路上駐車・アイドリング禁止。臨時閉鎖を当日確認。</x:v>
      </x:c>
      <x:c r="L27" s="95" t="e">
        <x:f>HYPERLINK("https://www.google.com/maps/dir/?api=1&amp;destination=%E6%9D%B1%E6%89%87%E5%B3%B6%E8%A5%BF%E5%85%AC%E5%9C%92&amp;travelmode=driving","開く")</x:f>
      </x:c>
    </x:row>
    <x:row r="28">
      <x:c r="A28" s="22" t="n">
        <x:v>24</x:v>
      </x:c>
      <x:c r="B28" s="22" t="str">
        <x:v>R003</x:v>
      </x:c>
      <x:c r="C28" s="22" t="str">
        <x:v>東京港最奥ナイト</x:v>
      </x:c>
      <x:c r="D28" s="22" t="n">
        <x:v>1</x:v>
      </x:c>
      <x:c r="E28" s="22" t="str">
        <x:v>晴海ふ頭公園</x:v>
      </x:c>
      <x:c r="F28" s="22" t="str">
        <x:v>導入</x:v>
      </x:c>
      <x:c r="G28" s="22" t="str">
        <x:v>駐車位置を記録→水際まで歩く→風と混雑を確認</x:v>
      </x:c>
      <x:c r="H28" s="22" t="n">
        <x:v>15</x:v>
      </x:c>
      <x:c r="I28" s="22" t="n">
        <x:v>30</x:v>
      </x:c>
      <x:c r="J28" s="22" t="str">
        <x:v>あり・小規模有料</x:v>
      </x:c>
      <x:c r="K28" s="22" t="str">
        <x:v>台数が少なくイベント時は入庫待ちに注意。</x:v>
      </x:c>
      <x:c r="L28" s="95" t="e">
        <x:f>HYPERLINK("https://www.google.com/maps/dir/?api=1&amp;destination=%E6%99%B4%E6%B5%B7%E3%81%B5%E9%A0%AD%E5%85%AC%E5%9C%92&amp;travelmode=driving","開く")</x:f>
      </x:c>
    </x:row>
    <x:row r="29">
      <x:c r="A29" s="22" t="n">
        <x:v>25</x:v>
      </x:c>
      <x:c r="B29" s="22" t="str">
        <x:v>R003</x:v>
      </x:c>
      <x:c r="C29" s="22" t="str">
        <x:v>東京港最奥ナイト</x:v>
      </x:c>
      <x:c r="D29" s="22" t="n">
        <x:v>2</x:v>
      </x:c>
      <x:c r="E29" s="22" t="str">
        <x:v>豊洲ぐるり公園</x:v>
      </x:c>
      <x:c r="F29" s="22" t="str">
        <x:v>景観転換</x:v>
      </x:c>
      <x:c r="G29" s="22" t="str">
        <x:v>駐車位置と出口方向を確認→主景観を1つ見る</x:v>
      </x:c>
      <x:c r="H29" s="22" t="n">
        <x:v>15</x:v>
      </x:c>
      <x:c r="I29" s="22" t="n">
        <x:v>25</x:v>
      </x:c>
      <x:c r="J29" s="22" t="str">
        <x:v>あり・有料</x:v>
      </x:c>
      <x:c r="K29" s="22" t="str">
        <x:v>市場周辺イベント時は混雑。駐車位置と見たい景色の位置関係を確認。</x:v>
      </x:c>
      <x:c r="L29" s="95" t="e">
        <x:f>HYPERLINK("https://www.google.com/maps/dir/?api=1&amp;destination=%E8%B1%8A%E6%B4%B2%E3%81%90%E3%82%8B%E3%82%8A%E5%85%AC%E5%9C%92&amp;travelmode=driving","開く")</x:f>
      </x:c>
    </x:row>
    <x:row r="30">
      <x:c r="A30" s="22" t="n">
        <x:v>26</x:v>
      </x:c>
      <x:c r="B30" s="22" t="str">
        <x:v>R003</x:v>
      </x:c>
      <x:c r="C30" s="22" t="str">
        <x:v>東京港最奥ナイト</x:v>
      </x:c>
      <x:c r="D30" s="22" t="n">
        <x:v>3</x:v>
      </x:c>
      <x:c r="E30" s="22" t="str">
        <x:v>暁ふ頭公園</x:v>
      </x:c>
      <x:c r="F30" s="22" t="str">
        <x:v>最終目的地・余韻</x:v>
      </x:c>
      <x:c r="G30" s="22" t="str">
        <x:v>駐車位置を記録→水際まで歩く→風と混雑を確認</x:v>
      </x:c>
      <x:c r="H30" s="22" t="n">
        <x:v>35</x:v>
      </x:c>
      <x:c r="I30" s="22" t="n">
        <x:v>60</x:v>
      </x:c>
      <x:c r="J30" s="22" t="str">
        <x:v>あり・小規模有料</x:v>
      </x:c>
      <x:c r="K30" s="22" t="str">
        <x:v>港湾部で風が強い。工事・駐車運用変更を当日確認。</x:v>
      </x:c>
      <x:c r="L30" s="95" t="e">
        <x:f>HYPERLINK("https://www.google.com/maps/dir/?api=1&amp;destination=%E6%9A%81%E3%81%B5%E9%A0%AD%E5%85%AC%E5%9C%92&amp;travelmode=driving","開く")</x:f>
      </x:c>
    </x:row>
    <x:row r="31">
      <x:c r="A31" s="22" t="n">
        <x:v>27</x:v>
      </x:c>
      <x:c r="B31" s="22" t="str">
        <x:v>R004</x:v>
      </x:c>
      <x:c r="C31" s="22" t="str">
        <x:v>ゲートブリッジ夜景ショート</x:v>
      </x:c>
      <x:c r="D31" s="22" t="n">
        <x:v>1</x:v>
      </x:c>
      <x:c r="E31" s="22" t="str">
        <x:v>潮風公園</x:v>
      </x:c>
      <x:c r="F31" s="22" t="str">
        <x:v>導入</x:v>
      </x:c>
      <x:c r="G31" s="22" t="str">
        <x:v>駐車位置を記録→水際まで歩く→風と混雑を確認</x:v>
      </x:c>
      <x:c r="H31" s="22" t="n">
        <x:v>15</x:v>
      </x:c>
      <x:c r="I31" s="22" t="n">
        <x:v>30</x:v>
      </x:c>
      <x:c r="J31" s="22" t="str">
        <x:v>あり・有料</x:v>
      </x:c>
      <x:c r="K31" s="22" t="str">
        <x:v>イベント・工事による部分閉鎖を当日確認。集会や騒音行為は禁止。</x:v>
      </x:c>
      <x:c r="L31" s="95" t="e">
        <x:f>HYPERLINK("https://www.google.com/maps/dir/?api=1&amp;destination=%E6%BD%AE%E9%A2%A8%E5%85%AC%E5%9C%92&amp;travelmode=driving","開く")</x:f>
      </x:c>
    </x:row>
    <x:row r="32">
      <x:c r="A32" s="22" t="n">
        <x:v>28</x:v>
      </x:c>
      <x:c r="B32" s="22" t="str">
        <x:v>R004</x:v>
      </x:c>
      <x:c r="C32" s="22" t="str">
        <x:v>ゲートブリッジ夜景ショート</x:v>
      </x:c>
      <x:c r="D32" s="22" t="n">
        <x:v>2</x:v>
      </x:c>
      <x:c r="E32" s="22" t="str">
        <x:v>東京ゲートブリッジ</x:v>
      </x:c>
      <x:c r="F32" s="22" t="str">
        <x:v>景観転換</x:v>
      </x:c>
      <x:c r="G32" s="22" t="str">
        <x:v>停車しない。走行中に橋と東京港の高度変化を味わう</x:v>
      </x:c>
      <x:c r="H32" s="22" t="n">
        <x:v>0</x:v>
      </x:c>
      <x:c r="I32" s="22" t="n">
        <x:v>0</x:v>
      </x:c>
      <x:c r="J32" s="22" t="str">
        <x:v>停車禁止・走行演出</x:v>
      </x:c>
      <x:c r="K32" s="22" t="str">
        <x:v>渋滞・通行規制時は省略</x:v>
      </x:c>
      <x:c r="L32" s="95" t="e">
        <x:f>HYPERLINK("https://www.google.com/maps/dir/?api=1&amp;destination=%E6%9D%B1%E4%BA%AC%E3%82%B2%E3%83%BC%E3%83%88%E3%83%96%E3%83%AA%E3%83%83%E3%82%B8&amp;travelmode=driving","開く")</x:f>
      </x:c>
    </x:row>
    <x:row r="33">
      <x:c r="A33" s="22" t="n">
        <x:v>29</x:v>
      </x:c>
      <x:c r="B33" s="22" t="str">
        <x:v>R004</x:v>
      </x:c>
      <x:c r="C33" s="22" t="str">
        <x:v>ゲートブリッジ夜景ショート</x:v>
      </x:c>
      <x:c r="D33" s="22" t="n">
        <x:v>3</x:v>
      </x:c>
      <x:c r="E33" s="22" t="str">
        <x:v>若洲海浜公園</x:v>
      </x:c>
      <x:c r="F33" s="22" t="str">
        <x:v>最終目的地・余韻</x:v>
      </x:c>
      <x:c r="G33" s="22" t="str">
        <x:v>駐車位置を記録→水際まで歩く→風と混雑を確認</x:v>
      </x:c>
      <x:c r="H33" s="22" t="n">
        <x:v>35</x:v>
      </x:c>
      <x:c r="I33" s="22" t="n">
        <x:v>60</x:v>
      </x:c>
      <x:c r="J33" s="22" t="str">
        <x:v>東京都立若洲海浜公園駐車場322台・有料</x:v>
      </x:c>
      <x:c r="K33" s="22" t="str">
        <x:v>江東区立若洲公園はリニューアル工事中で、駐車場の一部・キャンプ場・貸自転車等が利用休止。強風時は滞在短縮。</x:v>
      </x:c>
      <x:c r="L33" s="95" t="e">
        <x:f>HYPERLINK("https://www.google.com/maps/dir/?api=1&amp;destination=%E8%8B%A5%E6%B4%B2%E6%B5%B7%E6%B5%9C%E5%85%AC%E5%9C%92&amp;travelmode=driving","開く")</x:f>
      </x:c>
    </x:row>
    <x:row r="34">
      <x:c r="A34" s="22" t="n">
        <x:v>30</x:v>
      </x:c>
      <x:c r="B34" s="22" t="str">
        <x:v>R005</x:v>
      </x:c>
      <x:c r="C34" s="22" t="str">
        <x:v>東京港・環境再生ライン</x:v>
      </x:c>
      <x:c r="D34" s="22" t="n">
        <x:v>1</x:v>
      </x:c>
      <x:c r="E34" s="22" t="str">
        <x:v>東京港野鳥公園</x:v>
      </x:c>
      <x:c r="F34" s="22" t="str">
        <x:v>導入</x:v>
      </x:c>
      <x:c r="G34" s="22" t="str">
        <x:v>駐車位置と出口方向を確認→主景観を1つ見る</x:v>
      </x:c>
      <x:c r="H34" s="22" t="n">
        <x:v>15</x:v>
      </x:c>
      <x:c r="I34" s="22" t="n">
        <x:v>25</x:v>
      </x:c>
      <x:c r="J34" s="22" t="str">
        <x:v>あり・無料</x:v>
      </x:c>
      <x:c r="K34" s="22" t="str">
        <x:v>休園日を確認。夕方以降は使用不可。</x:v>
      </x:c>
      <x:c r="L34" s="95" t="e">
        <x:f>HYPERLINK("https://www.google.com/maps/dir/?api=1&amp;destination=%E6%9D%B1%E4%BA%AC%E6%B8%AF%E9%87%8E%E9%B3%A5%E5%85%AC%E5%9C%92&amp;travelmode=driving","開く")</x:f>
      </x:c>
    </x:row>
    <x:row r="35">
      <x:c r="A35" s="22" t="n">
        <x:v>31</x:v>
      </x:c>
      <x:c r="B35" s="22" t="str">
        <x:v>R005</x:v>
      </x:c>
      <x:c r="C35" s="22" t="str">
        <x:v>東京港・環境再生ライン</x:v>
      </x:c>
      <x:c r="D35" s="22" t="n">
        <x:v>2</x:v>
      </x:c>
      <x:c r="E35" s="22" t="str">
        <x:v>海の森公園</x:v>
      </x:c>
      <x:c r="F35" s="22" t="str">
        <x:v>景観転換</x:v>
      </x:c>
      <x:c r="G35" s="22" t="str">
        <x:v>駐車位置を記録→水際まで歩く→風と混雑を確認</x:v>
      </x:c>
      <x:c r="H35" s="22" t="n">
        <x:v>15</x:v>
      </x:c>
      <x:c r="I35" s="22" t="n">
        <x:v>30</x:v>
      </x:c>
      <x:c r="J35" s="22" t="str">
        <x:v>あり・普通車268台・有料</x:v>
      </x:c>
      <x:c r="K35" s="22" t="str">
        <x:v>時間外は出庫不可。イベント・団体利用・公式ページの当日案内を確認。</x:v>
      </x:c>
      <x:c r="L35" s="95" t="e">
        <x:f>HYPERLINK("https://www.google.com/maps/dir/?api=1&amp;destination=%E6%B5%B7%E3%81%AE%E6%A3%AE%E5%85%AC%E5%9C%92&amp;travelmode=driving","開く")</x:f>
      </x:c>
    </x:row>
    <x:row r="36">
      <x:c r="A36" s="22" t="n">
        <x:v>32</x:v>
      </x:c>
      <x:c r="B36" s="22" t="str">
        <x:v>R005</x:v>
      </x:c>
      <x:c r="C36" s="22" t="str">
        <x:v>東京港・環境再生ライン</x:v>
      </x:c>
      <x:c r="D36" s="22" t="n">
        <x:v>3</x:v>
      </x:c>
      <x:c r="E36" s="22" t="str">
        <x:v>若洲海浜公園</x:v>
      </x:c>
      <x:c r="F36" s="22" t="str">
        <x:v>最終目的地・余韻</x:v>
      </x:c>
      <x:c r="G36" s="22" t="str">
        <x:v>駐車位置を記録→水際まで歩く→風と混雑を確認</x:v>
      </x:c>
      <x:c r="H36" s="22" t="n">
        <x:v>35</x:v>
      </x:c>
      <x:c r="I36" s="22" t="n">
        <x:v>60</x:v>
      </x:c>
      <x:c r="J36" s="22" t="str">
        <x:v>東京都立若洲海浜公園駐車場322台・有料</x:v>
      </x:c>
      <x:c r="K36" s="22" t="str">
        <x:v>江東区立若洲公園はリニューアル工事中で、駐車場の一部・キャンプ場・貸自転車等が利用休止。強風時は滞在短縮。</x:v>
      </x:c>
      <x:c r="L36" s="95" t="e">
        <x:f>HYPERLINK("https://www.google.com/maps/dir/?api=1&amp;destination=%E8%8B%A5%E6%B4%B2%E6%B5%B7%E6%B5%9C%E5%85%AC%E5%9C%92&amp;travelmode=driving","開く")</x:f>
      </x:c>
    </x:row>
    <x:row r="37">
      <x:c r="A37" s="22" t="n">
        <x:v>33</x:v>
      </x:c>
      <x:c r="B37" s="22" t="str">
        <x:v>R025</x:v>
      </x:c>
      <x:c r="C37" s="22" t="str">
        <x:v>首都高ミニマム・ナイト</x:v>
      </x:c>
      <x:c r="D37" s="22" t="n">
        <x:v>1</x:v>
      </x:c>
      <x:c r="E37" s="22" t="str">
        <x:v>平和島PA（上り）</x:v>
      </x:c>
      <x:c r="F37" s="22" t="str">
        <x:v>導入</x:v>
      </x:c>
      <x:c r="G37" s="22" t="str">
        <x:v>進行方向を確認→トイレ・飲み物だけ済ませる</x:v>
      </x:c>
      <x:c r="H37" s="22" t="n">
        <x:v>10</x:v>
      </x:c>
      <x:c r="I37" s="22" t="n">
        <x:v>20</x:v>
      </x:c>
      <x:c r="J37" s="22" t="str">
        <x:v>あり・首都高PA</x:v>
      </x:c>
      <x:c r="K37" s="22" t="str">
        <x:v>上り線専用。短時間休憩に限定し、周回目的の走行はしない。</x:v>
      </x:c>
      <x:c r="L37" s="95" t="e">
        <x:f>HYPERLINK("https://www.google.com/maps/dir/?api=1&amp;destination=%E5%B9%B3%E5%92%8C%E5%B3%B6PA%EF%BC%88%E4%B8%8A%E3%82%8A%EF%BC%89&amp;travelmode=driving","開く")</x:f>
      </x:c>
    </x:row>
    <x:row r="38">
      <x:c r="A38" s="22" t="n">
        <x:v>34</x:v>
      </x:c>
      <x:c r="B38" s="22" t="str">
        <x:v>R025</x:v>
      </x:c>
      <x:c r="C38" s="22" t="str">
        <x:v>首都高ミニマム・ナイト</x:v>
      </x:c>
      <x:c r="D38" s="22" t="n">
        <x:v>2</x:v>
      </x:c>
      <x:c r="E38" s="22" t="str">
        <x:v>芝浦PA</x:v>
      </x:c>
      <x:c r="F38" s="22" t="str">
        <x:v>景観転換</x:v>
      </x:c>
      <x:c r="G38" s="22" t="str">
        <x:v>進行方向を確認→トイレ・飲み物だけ済ませる</x:v>
      </x:c>
      <x:c r="H38" s="22" t="n">
        <x:v>10</x:v>
      </x:c>
      <x:c r="I38" s="22" t="n">
        <x:v>20</x:v>
      </x:c>
      <x:c r="J38" s="22" t="str">
        <x:v>あり・小規模</x:v>
      </x:c>
      <x:c r="K38" s="22" t="str">
        <x:v>閉鎖措置が入りやすい。満車時は通過し、待機しない。</x:v>
      </x:c>
      <x:c r="L38" s="95" t="e">
        <x:f>HYPERLINK("https://www.google.com/maps/dir/?api=1&amp;destination=%E8%8A%9D%E6%B5%A6PA&amp;travelmode=driving","開く")</x:f>
      </x:c>
    </x:row>
    <x:row r="39">
      <x:c r="A39" s="22" t="n">
        <x:v>35</x:v>
      </x:c>
      <x:c r="B39" s="22" t="str">
        <x:v>R025</x:v>
      </x:c>
      <x:c r="C39" s="22" t="str">
        <x:v>首都高ミニマム・ナイト</x:v>
      </x:c>
      <x:c r="D39" s="22" t="n">
        <x:v>3</x:v>
      </x:c>
      <x:c r="E39" s="22" t="str">
        <x:v>辰巳第一PA</x:v>
      </x:c>
      <x:c r="F39" s="22" t="str">
        <x:v>最終目的地・余韻</x:v>
      </x:c>
      <x:c r="G39" s="22" t="str">
        <x:v>進行方向を確認→トイレ・飲み物だけ済ませる</x:v>
      </x:c>
      <x:c r="H39" s="22" t="n">
        <x:v>10</x:v>
      </x:c>
      <x:c r="I39" s="22" t="n">
        <x:v>20</x:v>
      </x:c>
      <x:c r="J39" s="22" t="str">
        <x:v>あり・普通車29台</x:v>
      </x:c>
      <x:c r="K39" s="22" t="str">
        <x:v>夜間閉鎖や入口規制を確認。撮影・滞留・騒音行為は避ける。</x:v>
      </x:c>
      <x:c r="L39" s="95" t="e">
        <x:f>HYPERLINK("https://www.google.com/maps/dir/?api=1&amp;destination=%E8%BE%B0%E5%B7%B3%E7%AC%AC%E4%B8%80PA&amp;travelmode=driving","開く")</x:f>
      </x:c>
    </x:row>
    <x:row r="40">
      <x:c r="A40" s="22" t="n">
        <x:v>36</x:v>
      </x:c>
      <x:c r="B40" s="22" t="str">
        <x:v>R137</x:v>
      </x:c>
      <x:c r="C40" s="22" t="str">
        <x:v>多摩川・休日ショート</x:v>
      </x:c>
      <x:c r="D40" s="22" t="n">
        <x:v>1</x:v>
      </x:c>
      <x:c r="E40" s="22" t="str">
        <x:v>多摩川六郷橋緑地</x:v>
      </x:c>
      <x:c r="F40" s="22" t="str">
        <x:v>導入</x:v>
      </x:c>
      <x:c r="G40" s="22" t="str">
        <x:v>駐車位置を記録→水際まで歩く→風と混雑を確認</x:v>
      </x:c>
      <x:c r="H40" s="22" t="n">
        <x:v>15</x:v>
      </x:c>
      <x:c r="I40" s="22" t="n">
        <x:v>30</x:v>
      </x:c>
      <x:c r="J40" s="22" t="str">
        <x:v>あり・195台・土日祝のみ・1日500円</x:v>
      </x:c>
      <x:c r="K40" s="22" t="str">
        <x:v>平日は駐車場閉鎖。閉鎖時刻後は出庫不可。台風・増水・イベント時は閉鎖。</x:v>
      </x:c>
      <x:c r="L40" s="95" t="e">
        <x:f>HYPERLINK("https://www.google.com/maps/dir/?api=1&amp;destination=%E5%A4%9A%E6%91%A9%E5%B7%9D%E5%85%AD%E9%83%B7%E6%A9%8B%E7%B7%91%E5%9C%B0&amp;travelmode=driving","開く")</x:f>
      </x:c>
    </x:row>
    <x:row r="41">
      <x:c r="A41" s="22" t="n">
        <x:v>37</x:v>
      </x:c>
      <x:c r="B41" s="22" t="str">
        <x:v>R137</x:v>
      </x:c>
      <x:c r="C41" s="22" t="str">
        <x:v>多摩川・休日ショート</x:v>
      </x:c>
      <x:c r="D41" s="22" t="n">
        <x:v>2</x:v>
      </x:c>
      <x:c r="E41" s="22" t="str">
        <x:v>多摩川ガス橋緑地</x:v>
      </x:c>
      <x:c r="F41" s="22" t="str">
        <x:v>景観転換</x:v>
      </x:c>
      <x:c r="G41" s="22" t="str">
        <x:v>駐車位置を記録→水際まで歩く→風と混雑を確認</x:v>
      </x:c>
      <x:c r="H41" s="22" t="n">
        <x:v>15</x:v>
      </x:c>
      <x:c r="I41" s="22" t="n">
        <x:v>30</x:v>
      </x:c>
      <x:c r="J41" s="22" t="str">
        <x:v>あり・196台・土日祝のみ・1日500円</x:v>
      </x:c>
      <x:c r="K41" s="22" t="str">
        <x:v>平日は駐車場閉鎖。閉鎖時刻後は出庫不可。増水・台風・イベント時は閉鎖。</x:v>
      </x:c>
      <x:c r="L41" s="95" t="e">
        <x:f>HYPERLINK("https://www.google.com/maps/dir/?api=1&amp;destination=%E5%A4%9A%E6%91%A9%E5%B7%9D%E3%82%AC%E3%82%B9%E6%A9%8B%E7%B7%91%E5%9C%B0&amp;travelmode=driving","開く")</x:f>
      </x:c>
    </x:row>
    <x:row r="42">
      <x:c r="A42" s="22" t="n">
        <x:v>38</x:v>
      </x:c>
      <x:c r="B42" s="22" t="str">
        <x:v>R137</x:v>
      </x:c>
      <x:c r="C42" s="22" t="str">
        <x:v>多摩川・休日ショート</x:v>
      </x:c>
      <x:c r="D42" s="22" t="n">
        <x:v>3</x:v>
      </x:c>
      <x:c r="E42" s="22" t="str">
        <x:v>多摩川浅間神社</x:v>
      </x:c>
      <x:c r="F42" s="22" t="str">
        <x:v>最終目的地・余韻</x:v>
      </x:c>
      <x:c r="G42" s="22" t="str">
        <x:v>駐車位置と出口方向を確認→主景観を1つ見る</x:v>
      </x:c>
      <x:c r="H42" s="22" t="n">
        <x:v>30</x:v>
      </x:c>
      <x:c r="I42" s="22" t="n">
        <x:v>50</x:v>
      </x:c>
      <x:c r="J42" s="22" t="str">
        <x:v>あり・約20台</x:v>
      </x:c>
      <x:c r="K42" s="22" t="str">
        <x:v>住宅地と神社のため静粛必須。夜遅くより夕暮れ向け。</x:v>
      </x:c>
      <x:c r="L42" s="95" t="e">
        <x:f>HYPERLINK("https://www.google.com/maps/dir/?api=1&amp;destination=%E5%A4%9A%E6%91%A9%E5%B7%9D%E6%B5%85%E9%96%93%E7%A5%9E%E7%A4%BE&amp;travelmode=driving","開く")</x:f>
      </x:c>
    </x:row>
    <x:row r="43">
      <x:c r="A43" s="22" t="n">
        <x:v>39</x:v>
      </x:c>
      <x:c r="B43" s="22" t="str">
        <x:v>R138</x:v>
      </x:c>
      <x:c r="C43" s="22" t="str">
        <x:v>池上から大森海岸へ</x:v>
      </x:c>
      <x:c r="D43" s="22" t="n">
        <x:v>1</x:v>
      </x:c>
      <x:c r="E43" s="22" t="str">
        <x:v>池上梅園</x:v>
      </x:c>
      <x:c r="F43" s="22" t="str">
        <x:v>導入</x:v>
      </x:c>
      <x:c r="G43" s="22" t="str">
        <x:v>閉門時刻を再確認→5分だけ歩く方向を決める</x:v>
      </x:c>
      <x:c r="H43" s="22" t="n">
        <x:v>15</x:v>
      </x:c>
      <x:c r="I43" s="22" t="n">
        <x:v>30</x:v>
      </x:c>
      <x:c r="J43" s="22" t="str">
        <x:v>あり・一般6台＋身障者1台・30分100円</x:v>
      </x:c>
      <x:c r="K43" s="22" t="str">
        <x:v>梅見頃の2月・3月上旬の土日祝は駐車場利用不可。月曜休園期あり。</x:v>
      </x:c>
      <x:c r="L43" s="95" t="e">
        <x:f>HYPERLINK("https://www.google.com/maps/dir/?api=1&amp;destination=%E6%B1%A0%E4%B8%8A%E6%A2%85%E5%9C%92&amp;travelmode=driving","開く")</x:f>
      </x:c>
    </x:row>
    <x:row r="44">
      <x:c r="A44" s="22" t="n">
        <x:v>40</x:v>
      </x:c>
      <x:c r="B44" s="22" t="str">
        <x:v>R138</x:v>
      </x:c>
      <x:c r="C44" s="22" t="str">
        <x:v>池上から大森海岸へ</x:v>
      </x:c>
      <x:c r="D44" s="22" t="n">
        <x:v>2</x:v>
      </x:c>
      <x:c r="E44" s="22" t="str">
        <x:v>平和の森公園</x:v>
      </x:c>
      <x:c r="F44" s="22" t="str">
        <x:v>景観転換</x:v>
      </x:c>
      <x:c r="G44" s="22" t="str">
        <x:v>閉門時刻を再確認→5分だけ歩く方向を決める</x:v>
      </x:c>
      <x:c r="H44" s="22" t="n">
        <x:v>15</x:v>
      </x:c>
      <x:c r="I44" s="22" t="n">
        <x:v>30</x:v>
      </x:c>
      <x:c r="J44" s="22" t="str">
        <x:v>あり・186台・30分100円</x:v>
      </x:c>
      <x:c r="K44" s="22" t="str">
        <x:v>施設利用時間は個別。休日は大森ふるさとの浜辺公園と共用で混雑する。</x:v>
      </x:c>
      <x:c r="L44" s="95" t="e">
        <x:f>HYPERLINK("https://www.google.com/maps/dir/?api=1&amp;destination=%E5%B9%B3%E5%92%8C%E3%81%AE%E6%A3%AE%E5%85%AC%E5%9C%92&amp;travelmode=driving","開く")</x:f>
      </x:c>
    </x:row>
    <x:row r="45">
      <x:c r="A45" s="22" t="n">
        <x:v>41</x:v>
      </x:c>
      <x:c r="B45" s="22" t="str">
        <x:v>R138</x:v>
      </x:c>
      <x:c r="C45" s="22" t="str">
        <x:v>池上から大森海岸へ</x:v>
      </x:c>
      <x:c r="D45" s="22" t="n">
        <x:v>3</x:v>
      </x:c>
      <x:c r="E45" s="22" t="str">
        <x:v>大森ふるさとの浜辺公園</x:v>
      </x:c>
      <x:c r="F45" s="22" t="str">
        <x:v>最終目的地・余韻</x:v>
      </x:c>
      <x:c r="G45" s="22" t="str">
        <x:v>駐車位置を記録→水際まで歩く→風と混雑を確認</x:v>
      </x:c>
      <x:c r="H45" s="22" t="n">
        <x:v>35</x:v>
      </x:c>
      <x:c r="I45" s="22" t="n">
        <x:v>60</x:v>
      </x:c>
      <x:c r="J45" s="22" t="str">
        <x:v>共用駐車場・平日121台／土日祝142台・30分100円・24時間</x:v>
      </x:c>
      <x:c r="K45" s="22" t="str">
        <x:v>浜辺は21時閉門。休日は駐車待ちが発生。遊泳・釣り・火気は禁止。</x:v>
      </x:c>
      <x:c r="L45" s="95" t="e">
        <x:f>HYPERLINK("https://www.google.com/maps/dir/?api=1&amp;destination=%E5%A4%A7%E6%A3%AE%E3%81%B5%E3%82%8B%E3%81%95%E3%81%A8%E3%81%AE%E6%B5%9C%E8%BE%BA%E5%85%AC%E5%9C%92&amp;travelmode=driving","開く")</x:f>
      </x:c>
    </x:row>
    <x:row r="46">
      <x:c r="A46" s="22" t="n">
        <x:v>42</x:v>
      </x:c>
      <x:c r="B46" s="22" t="str">
        <x:v>R141</x:v>
      </x:c>
      <x:c r="C46" s="22" t="str">
        <x:v>雨天・羽田インドア線</x:v>
      </x:c>
      <x:c r="D46" s="22" t="n">
        <x:v>1</x:v>
      </x:c>
      <x:c r="E46" s="22" t="str">
        <x:v>HANEDA INNOVATION CITY 足湯スカイデッキ</x:v>
      </x:c>
      <x:c r="F46" s="22" t="str">
        <x:v>導入</x:v>
      </x:c>
      <x:c r="G46" s="22" t="str">
        <x:v>駐車位置を確認→足湯の空き確認→飛行機方向を決める</x:v>
      </x:c>
      <x:c r="H46" s="22" t="n">
        <x:v>20</x:v>
      </x:c>
      <x:c r="I46" s="22" t="n">
        <x:v>35</x:v>
      </x:c>
      <x:c r="J46" s="22" t="str">
        <x:v>HIC P1 190台・24時間／P2 18台・7:00～23:00</x:v>
      </x:c>
      <x:c r="K46" s="22" t="str">
        <x:v>貸切利用時は入場不可。食事は禁止。深夜帯は静粛にし、P2は営業時間外出庫不可。</x:v>
      </x:c>
      <x:c r="L46" s="95" t="e">
        <x:f>HYPERLINK("https://www.google.com/maps/dir/?api=1&amp;destination=HANEDA%20INNOVATION%20CITY%20%E8%B6%B3%E6%B9%AF%E3%82%B9%E3%82%AB%E3%82%A4%E3%83%87%E3%83%83%E3%82%AD&amp;travelmode=driving","開く")</x:f>
      </x:c>
    </x:row>
    <x:row r="47">
      <x:c r="A47" s="22" t="n">
        <x:v>43</x:v>
      </x:c>
      <x:c r="B47" s="22" t="str">
        <x:v>R141</x:v>
      </x:c>
      <x:c r="C47" s="22" t="str">
        <x:v>雨天・羽田インドア線</x:v>
      </x:c>
      <x:c r="D47" s="22" t="n">
        <x:v>2</x:v>
      </x:c>
      <x:c r="E47" s="22" t="str">
        <x:v>羽田空港 第2ターミナル展望デッキ／FLIGHT DECK TOKYO</x:v>
      </x:c>
      <x:c r="F47" s="22" t="str">
        <x:v>景観転換</x:v>
      </x:c>
      <x:c r="G47" s="22" t="str">
        <x:v>滑走路運用と風向を確認→見る方向を1つに絞る</x:v>
      </x:c>
      <x:c r="H47" s="22" t="n">
        <x:v>20</x:v>
      </x:c>
      <x:c r="I47" s="22" t="n">
        <x:v>35</x:v>
      </x:c>
      <x:c r="J47" s="22" t="str">
        <x:v>P3 2,449台／P4 3,087台・有料</x:v>
      </x:c>
      <x:c r="K47" s="22" t="str">
        <x:v>悪天候時は屋外閉鎖。多客期は駐車場混雑。雨天ルートでは屋内FLIGHT DECKを優先。</x:v>
      </x:c>
      <x:c r="L47" s="95" t="e">
        <x:f>HYPERLINK("https://www.google.com/maps/dir/?api=1&amp;destination=%E7%BE%BD%E7%94%B0%E7%A9%BA%E6%B8%AF%20%E7%AC%AC2%E3%82%BF%E3%83%BC%E3%83%9F%E3%83%8A%E3%83%AB%E5%B1%95%E6%9C%9B%E3%83%87%E3%83%83%E3%82%AD%EF%BC%8FFLIGHT%20DECK%20TOKYO&amp;travelmode=driving","開く")</x:f>
      </x:c>
    </x:row>
    <x:row r="48">
      <x:c r="A48" s="22" t="n">
        <x:v>44</x:v>
      </x:c>
      <x:c r="B48" s="22" t="str">
        <x:v>R141</x:v>
      </x:c>
      <x:c r="C48" s="22" t="str">
        <x:v>雨天・羽田インドア線</x:v>
      </x:c>
      <x:c r="D48" s="22" t="n">
        <x:v>3</x:v>
      </x:c>
      <x:c r="E48" s="22" t="str">
        <x:v>羽田空港 第3ターミナル展望デッキ</x:v>
      </x:c>
      <x:c r="F48" s="22" t="str">
        <x:v>最終目的地・余韻</x:v>
      </x:c>
      <x:c r="G48" s="22" t="str">
        <x:v>滑走路運用と風向を確認→見る方向を1つに絞る</x:v>
      </x:c>
      <x:c r="H48" s="22" t="n">
        <x:v>30</x:v>
      </x:c>
      <x:c r="I48" s="22" t="n">
        <x:v>50</x:v>
      </x:c>
      <x:c r="J48" s="22" t="str">
        <x:v>P5 2,910台・24時間・有料</x:v>
      </x:c>
      <x:c r="K48" s="22" t="str">
        <x:v>保安・悪天候・イベントで一時閉鎖の場合あり。多客期は駐車場混雑。</x:v>
      </x:c>
      <x:c r="L48" s="95" t="e">
        <x:f>HYPERLINK("https://www.google.com/maps/dir/?api=1&amp;destination=%E7%BE%BD%E7%94%B0%E7%A9%BA%E6%B8%AF%20%E7%AC%AC3%E3%82%BF%E3%83%BC%E3%83%9F%E3%83%8A%E3%83%AB%E5%B1%95%E6%9C%9B%E3%83%87%E3%83%83%E3%82%AD&amp;travelmode=driving","開く")</x:f>
      </x:c>
    </x:row>
  </x:sheetData>
  <x:mergeCells>
    <x:mergeCell ref="A1:L2"/>
    <x:mergeCell ref="A3:L3"/>
  </x:mergeCells>
  <x:conditionalFormatting sqref="H5:I48">
    <x:cfRule type="dataBar" priority="1">
      <x:dataBar>
        <x:cfvo type="min"/>
        <x:cfvo type="max"/>
        <x:color rgb="FF0F9ED5"/>
      </x:dataBar>
      <x:extLst>
        <x:ext xmlns:x14="http://schemas.microsoft.com/office/spreadsheetml/2009/9/main" uri="{B025F937-C7B1-47D3-B67F-A62EFF666E3E}">
          <x14:id>{F236AF19-A10F-B35D-FC97-35D5E3A5ECC4}</x14:id>
        </x:ext>
      </x:extLst>
    </x:cfRule>
  </x:conditionalFormatting>
  <x:pageMargins left="0.7" right="0.7" top="0.75" bottom="0.75" header="0.3" footer="0.3"/>
  <x:tableParts count="1">
    <x:tablePart xmlns:r="http://schemas.openxmlformats.org/officeDocument/2006/relationships" r:id="Rad7d3df3cb8e4ae9"/>
  </x:tableParts>
  <x:extLst>
    <x:ext xmlns:x14="http://schemas.microsoft.com/office/spreadsheetml/2009/9/main" xmlns:xm="http://schemas.microsoft.com/office/excel/2006/main" uri="{78C0D931-6437-407d-A8EE-F0AAD7539E65}">
      <x14:conditionalFormattings>
        <x14:conditionalFormatting>
          <x14:cfRule type="dataBar" priority="1" id="{F236AF19-A10F-B35D-FC97-35D5E3A5ECC4}">
            <x14:dataBar gradient="1">
              <x14:cfvo type="min"/>
              <x14:cfvo type="max"/>
              <x14:fillColor rgb="FF0F9ED5"/>
            </x14:dataBar>
          </x14:cfRule>
          <xm:sqref>H5:I48</xm:sqref>
        </x14:conditionalFormatting>
      </x14:conditionalFormattings>
    </x:ext>
  </x:extLst>
</x:worksheet>
</file>

<file path=xl/worksheets/sheet34.xml><?xml version="1.0" encoding="utf-8"?>
<x:worksheet xmlns:x="http://schemas.openxmlformats.org/spreadsheetml/2006/main">
  <x:sheetFormatPr defaultRowHeight="15"/>
  <x:cols>
    <x:col min="1" max="1" width="10" hidden="0" customWidth="1"/>
    <x:col min="2" max="2" width="31" hidden="0" customWidth="1"/>
    <x:col min="3" max="3" width="18" hidden="0" customWidth="1"/>
    <x:col min="4" max="4" width="30" hidden="0" customWidth="1"/>
    <x:col min="5" max="5" width="12" hidden="0" customWidth="1"/>
    <x:col min="6" max="6" width="13" hidden="0" customWidth="1"/>
    <x:col min="7" max="7" width="24" hidden="0" customWidth="1"/>
    <x:col min="8" max="8" width="11" hidden="0" customWidth="1"/>
    <x:col min="9" max="9" width="11" hidden="0" customWidth="1"/>
    <x:col min="10" max="10" width="11" hidden="0" customWidth="1"/>
    <x:col min="11" max="11" width="17" hidden="0" customWidth="1"/>
    <x:col min="12" max="12" width="34" hidden="0" customWidth="1"/>
    <x:col min="13" max="13" width="52" hidden="0" customWidth="1"/>
  </x:cols>
  <x:sheetData>
    <x:row r="1">
      <x:c r="A1" s="386" t="str">
        <x:v>ルートID</x:v>
      </x:c>
      <x:c r="B1" s="386" t="str">
        <x:v>ルート名</x:v>
      </x:c>
      <x:c r="C1" s="386" t="str">
        <x:v>主用途</x:v>
      </x:c>
      <x:c r="D1" s="386" t="str">
        <x:v>最初の閉場地点</x:v>
      </x:c>
      <x:c r="E1" s="386" t="str">
        <x:v>閉場時刻</x:v>
      </x:c>
      <x:c r="F1" s="386" t="str">
        <x:v>推奨最終出発</x:v>
      </x:c>
      <x:c r="G1" s="386" t="str">
        <x:v>方向制約</x:v>
      </x:c>
      <x:c r="H1" s="386" t="str">
        <x:v>深夜成立</x:v>
      </x:c>
      <x:c r="I1" s="386" t="str">
        <x:v>雨天成立</x:v>
      </x:c>
      <x:c r="J1" s="386" t="str">
        <x:v>経由地数</x:v>
      </x:c>
      <x:c r="K1" s="386" t="str">
        <x:v>運用判定</x:v>
      </x:c>
      <x:c r="L1" s="386" t="str">
        <x:v>短縮パターン</x:v>
      </x:c>
      <x:c r="M1" s="386" t="str">
        <x:v>注意事項</x:v>
      </x:c>
    </x:row>
    <x:row r="2">
      <x:c r="A2" s="22" t="str">
        <x:v>R001</x:v>
      </x:c>
      <x:c r="B2" s="22" t="str">
        <x:v>羽田・航空機ショート</x:v>
      </x:c>
      <x:c r="C2" s="22" t="str">
        <x:v>通常</x:v>
      </x:c>
      <x:c r="D2" s="22" t="str">
        <x:v>HANEDA INNOVATION CITY 足湯スカイデッキ</x:v>
      </x:c>
      <x:c r="E2" s="277" t="n">
        <x:v>0.9791666666666666</x:v>
      </x:c>
      <x:c r="F2" s="277" t="n">
        <x:v>0.9270833333333334</x:v>
      </x:c>
      <x:c r="G2" s="22" t="str">
        <x:v>一般道・方向制約なし</x:v>
      </x:c>
      <x:c r="H2" s="22" t="str">
        <x:v>△</x:v>
      </x:c>
      <x:c r="I2" s="22" t="str">
        <x:v>○</x:v>
      </x:c>
      <x:c r="J2" s="22" t="n">
        <x:v>3</x:v>
      </x:c>
      <x:c r="K2" s="22" t="str">
        <x:v>出発時刻管理</x:v>
      </x:c>
      <x:c r="L2" s="22" t="str">
        <x:v>HANEDA INNOVATION CITY 足湯スカイデッキを省略 → 京浜島つばさ公園</x:v>
      </x:c>
      <x:c r="M2" s="22" t="str">
        <x:v>HIC P1で足湯を短時間利用し、T3を経て京浜島へ。京浜島満車時はT3で終了。</x:v>
      </x:c>
    </x:row>
    <x:row r="3">
      <x:c r="A3" s="22" t="str">
        <x:v>R002</x:v>
      </x:c>
      <x:c r="B3" s="22" t="str">
        <x:v>大森海岸から飛行機へ</x:v>
      </x:c>
      <x:c r="C3" s="22" t="str">
        <x:v>通常</x:v>
      </x:c>
      <x:c r="D3" s="22" t="str">
        <x:v>城南島海浜公園</x:v>
      </x:c>
      <x:c r="E3" s="277" t="n">
        <x:v>0.875</x:v>
      </x:c>
      <x:c r="F3" s="277" t="n">
        <x:v>0.8229166666666666</x:v>
      </x:c>
      <x:c r="G3" s="22" t="str">
        <x:v>一般道・方向制約なし</x:v>
      </x:c>
      <x:c r="H3" s="22" t="str">
        <x:v>△</x:v>
      </x:c>
      <x:c r="I3" s="22" t="str">
        <x:v>△</x:v>
      </x:c>
      <x:c r="J3" s="22" t="n">
        <x:v>3</x:v>
      </x:c>
      <x:c r="K3" s="22" t="str">
        <x:v>出発時刻管理</x:v>
      </x:c>
      <x:c r="L3" s="22" t="str">
        <x:v>大森ふるさとの浜辺公園を省略 → 城南島海浜公園</x:v>
      </x:c>
      <x:c r="M3" s="22" t="str">
        <x:v>浜辺エリアと城南島駐車場は21時まで。20時以降は大森を省略し、京浜島→城南島へ短縮。</x:v>
      </x:c>
    </x:row>
    <x:row r="4">
      <x:c r="A4" s="22" t="str">
        <x:v>R003</x:v>
      </x:c>
      <x:c r="B4" s="22" t="str">
        <x:v>東京港最奥ナイト</x:v>
      </x:c>
      <x:c r="C4" s="22" t="str">
        <x:v>通常</x:v>
      </x:c>
      <x:c r="D4" s="22" t="str"/>
      <x:c r="E4" s="277"/>
      <x:c r="F4" s="277"/>
      <x:c r="G4" s="22" t="str">
        <x:v>一般道・方向制約なし</x:v>
      </x:c>
      <x:c r="H4" s="22" t="str">
        <x:v>○</x:v>
      </x:c>
      <x:c r="I4" s="22" t="str">
        <x:v>△</x:v>
      </x:c>
      <x:c r="J4" s="22" t="n">
        <x:v>3</x:v>
      </x:c>
      <x:c r="K4" s="22" t="str">
        <x:v>深夜主力</x:v>
      </x:c>
      <x:c r="L4" s="22" t="str">
        <x:v>晴海ふ頭公園を省略 → 暁ふ頭公園</x:v>
      </x:c>
      <x:c r="M4" s="22" t="str">
        <x:v>強風時は暁ふ頭を潮風公園へ変更。</x:v>
      </x:c>
    </x:row>
    <x:row r="5">
      <x:c r="A5" s="22" t="str">
        <x:v>R004</x:v>
      </x:c>
      <x:c r="B5" s="22" t="str">
        <x:v>ゲートブリッジ夜景ショート</x:v>
      </x:c>
      <x:c r="C5" s="22" t="str">
        <x:v>走行演出あり</x:v>
      </x:c>
      <x:c r="D5" s="22" t="str">
        <x:v>若洲海浜公園</x:v>
      </x:c>
      <x:c r="E5" s="277" t="n">
        <x:v>0.9166666666666666</x:v>
      </x:c>
      <x:c r="F5" s="277" t="n">
        <x:v>0.8645833333333334</x:v>
      </x:c>
      <x:c r="G5" s="22" t="str">
        <x:v>一般道・方向制約なし</x:v>
      </x:c>
      <x:c r="H5" s="22" t="str">
        <x:v>△</x:v>
      </x:c>
      <x:c r="I5" s="22" t="str">
        <x:v>△</x:v>
      </x:c>
      <x:c r="J5" s="22" t="n">
        <x:v>3</x:v>
      </x:c>
      <x:c r="K5" s="22" t="str">
        <x:v>出発時刻管理</x:v>
      </x:c>
      <x:c r="L5" s="22" t="str">
        <x:v>潮風公園を省略 → 若洲海浜公園</x:v>
      </x:c>
      <x:c r="M5" s="22" t="str">
        <x:v>東京ゲートブリッジは停車せず走行演出として通過。若洲駐車場は6:00～22:00で、一部工事情報を当日確認。</x:v>
      </x:c>
    </x:row>
    <x:row r="6">
      <x:c r="A6" s="22" t="str">
        <x:v>R005</x:v>
      </x:c>
      <x:c r="B6" s="22" t="str">
        <x:v>東京港・環境再生ライン</x:v>
      </x:c>
      <x:c r="C6" s="22" t="str">
        <x:v>昼専用</x:v>
      </x:c>
      <x:c r="D6" s="22" t="str">
        <x:v>東京港野鳥公園</x:v>
      </x:c>
      <x:c r="E6" s="277" t="n">
        <x:v>0.7083333333333334</x:v>
      </x:c>
      <x:c r="F6" s="277" t="n">
        <x:v>0.65625</x:v>
      </x:c>
      <x:c r="G6" s="22" t="str">
        <x:v>一般道・方向制約なし</x:v>
      </x:c>
      <x:c r="H6" s="22" t="str">
        <x:v>×</x:v>
      </x:c>
      <x:c r="I6" s="22" t="str">
        <x:v>×</x:v>
      </x:c>
      <x:c r="J6" s="22" t="n">
        <x:v>3</x:v>
      </x:c>
      <x:c r="K6" s="22" t="str">
        <x:v>出発時刻管理</x:v>
      </x:c>
      <x:c r="L6" s="22" t="str">
        <x:v>東京港野鳥公園を省略 → 若洲海浜公園</x:v>
      </x:c>
      <x:c r="M6" s="22" t="str">
        <x:v>昼専用。野鳥公園と海の森は17時まで。若洲駐車場は22時までだが、工事による一部利用休止を確認。</x:v>
      </x:c>
    </x:row>
    <x:row r="7">
      <x:c r="A7" s="22" t="str">
        <x:v>R006</x:v>
      </x:c>
      <x:c r="B7" s="22" t="str">
        <x:v>京浜島から東扇島西端へ</x:v>
      </x:c>
      <x:c r="C7" s="22" t="str">
        <x:v>通常</x:v>
      </x:c>
      <x:c r="D7" s="22" t="str"/>
      <x:c r="E7" s="277"/>
      <x:c r="F7" s="277"/>
      <x:c r="G7" s="22" t="str">
        <x:v>一般道・方向制約なし</x:v>
      </x:c>
      <x:c r="H7" s="22" t="str">
        <x:v>○</x:v>
      </x:c>
      <x:c r="I7" s="22" t="str">
        <x:v>△</x:v>
      </x:c>
      <x:c r="J7" s="22" t="n">
        <x:v>3</x:v>
      </x:c>
      <x:c r="K7" s="22" t="str">
        <x:v>深夜主力</x:v>
      </x:c>
      <x:c r="L7" s="22" t="str">
        <x:v>京浜島つばさ公園を省略 → 東扇島西公園</x:v>
      </x:c>
      <x:c r="M7" s="22" t="str">
        <x:v>川崎マリエン展望室は21時まで。遅れた場合はマリエンを省略し、24時間利用可能な東扇島西公園へ直行。</x:v>
      </x:c>
    </x:row>
    <x:row r="8">
      <x:c r="A8" s="22" t="str">
        <x:v>R008</x:v>
      </x:c>
      <x:c r="B8" s="22" t="str">
        <x:v>本牧ふ頭の行き止まり</x:v>
      </x:c>
      <x:c r="C8" s="22" t="str">
        <x:v>通常</x:v>
      </x:c>
      <x:c r="D8" s="22" t="str"/>
      <x:c r="E8" s="277"/>
      <x:c r="F8" s="277"/>
      <x:c r="G8" s="22" t="str">
        <x:v>一般道・方向制約なし</x:v>
      </x:c>
      <x:c r="H8" s="22" t="str">
        <x:v>×</x:v>
      </x:c>
      <x:c r="I8" s="22" t="str">
        <x:v>×</x:v>
      </x:c>
      <x:c r="J8" s="22" t="n">
        <x:v>3</x:v>
      </x:c>
      <x:c r="K8" s="22" t="str">
        <x:v>通常運用</x:v>
      </x:c>
      <x:c r="L8" s="22" t="str">
        <x:v>横浜港大さん橋を省略 → 横浜港シンボルタワー</x:v>
      </x:c>
      <x:c r="M8" s="22" t="str">
        <x:v>季節別閉場時間に合わせる夕方専用。</x:v>
      </x:c>
    </x:row>
    <x:row r="9">
      <x:c r="A9" s="22" t="str">
        <x:v>R009</x:v>
      </x:c>
      <x:c r="B9" s="22" t="str">
        <x:v>金沢シーサイド</x:v>
      </x:c>
      <x:c r="C9" s="22" t="str">
        <x:v>通常</x:v>
      </x:c>
      <x:c r="D9" s="22" t="str">
        <x:v>野島公園</x:v>
      </x:c>
      <x:c r="E9" s="277" t="n">
        <x:v>0.9583333333333334</x:v>
      </x:c>
      <x:c r="F9" s="277" t="n">
        <x:v>0.90625</x:v>
      </x:c>
      <x:c r="G9" s="22" t="str">
        <x:v>一般道・方向制約なし</x:v>
      </x:c>
      <x:c r="H9" s="22" t="str">
        <x:v>△</x:v>
      </x:c>
      <x:c r="I9" s="22" t="str">
        <x:v>△</x:v>
      </x:c>
      <x:c r="J9" s="22" t="n">
        <x:v>3</x:v>
      </x:c>
      <x:c r="K9" s="22" t="str">
        <x:v>出発時刻管理</x:v>
      </x:c>
      <x:c r="L9" s="22" t="str">
        <x:v>本牧山頂公園を省略 → 野島公園</x:v>
      </x:c>
      <x:c r="M9" s="22" t="str">
        <x:v>野島公園23時閉鎖。潮干狩り期は避ける。</x:v>
      </x:c>
    </x:row>
    <x:row r="10">
      <x:c r="A10" s="22" t="str">
        <x:v>R025</x:v>
      </x:c>
      <x:c r="B10" s="22" t="str">
        <x:v>首都高ミニマム・ナイト</x:v>
      </x:c>
      <x:c r="C10" s="22" t="str">
        <x:v>高速方向制約</x:v>
      </x:c>
      <x:c r="D10" s="22" t="str"/>
      <x:c r="E10" s="277"/>
      <x:c r="F10" s="277"/>
      <x:c r="G10" s="22" t="str">
        <x:v>上り・下りを公式ルートで確認</x:v>
      </x:c>
      <x:c r="H10" s="22" t="str">
        <x:v>○</x:v>
      </x:c>
      <x:c r="I10" s="22" t="str">
        <x:v>○</x:v>
      </x:c>
      <x:c r="J10" s="22" t="n">
        <x:v>3</x:v>
      </x:c>
      <x:c r="K10" s="22" t="str">
        <x:v>通常運用</x:v>
      </x:c>
      <x:c r="L10" s="22" t="str">
        <x:v>平和島PA（上り）を省略 → 辰巳第一PA</x:v>
      </x:c>
      <x:c r="M10" s="22" t="str">
        <x:v>各PAの臨時閉鎖確認。短時間休憩だけに限定。</x:v>
      </x:c>
    </x:row>
    <x:row r="11">
      <x:c r="A11" s="22" t="str">
        <x:v>R037</x:v>
      </x:c>
      <x:c r="B11" s="22" t="str">
        <x:v>東東京・水辺ナイト</x:v>
      </x:c>
      <x:c r="C11" s="22" t="str">
        <x:v>通常</x:v>
      </x:c>
      <x:c r="D11" s="22" t="str"/>
      <x:c r="E11" s="277"/>
      <x:c r="F11" s="277"/>
      <x:c r="G11" s="22" t="str">
        <x:v>一般道・方向制約なし</x:v>
      </x:c>
      <x:c r="H11" s="22" t="str">
        <x:v>△</x:v>
      </x:c>
      <x:c r="I11" s="22" t="str">
        <x:v>△</x:v>
      </x:c>
      <x:c r="J11" s="22" t="n">
        <x:v>3</x:v>
      </x:c>
      <x:c r="K11" s="22" t="str">
        <x:v>通常運用</x:v>
      </x:c>
      <x:c r="L11" s="22" t="str">
        <x:v>木場公園を省略 → 篠崎公園</x:v>
      </x:c>
      <x:c r="M11" s="22" t="str">
        <x:v>24時間駐車場をつなぐ夜間用。木場公園の重複採用は湾岸から東東京へ切り替える休憩点として有効。</x:v>
      </x:c>
    </x:row>
    <x:row r="12">
      <x:c r="A12" s="22" t="str">
        <x:v>R048</x:v>
      </x:c>
      <x:c r="B12" s="22" t="str">
        <x:v>東側・確実な休憩ルート</x:v>
      </x:c>
      <x:c r="C12" s="22" t="str">
        <x:v>通常</x:v>
      </x:c>
      <x:c r="D12" s="22" t="str">
        <x:v>道の駅 いちかわ</x:v>
      </x:c>
      <x:c r="E12" s="277" t="n">
        <x:v>0.9166666666666666</x:v>
      </x:c>
      <x:c r="F12" s="277" t="n">
        <x:v>0.8645833333333334</x:v>
      </x:c>
      <x:c r="G12" s="22" t="str">
        <x:v>一般道・方向制約なし</x:v>
      </x:c>
      <x:c r="H12" s="22" t="str">
        <x:v>△</x:v>
      </x:c>
      <x:c r="I12" s="22" t="str">
        <x:v>△</x:v>
      </x:c>
      <x:c r="J12" s="22" t="n">
        <x:v>3</x:v>
      </x:c>
      <x:c r="K12" s="22" t="str">
        <x:v>出発時刻管理</x:v>
      </x:c>
      <x:c r="L12" s="22" t="str">
        <x:v>木場公園を省略 → 道の駅 いちかわ</x:v>
      </x:c>
      <x:c r="M12" s="22" t="str">
        <x:v>木場・大島小松川の重複は、都心から外環方面へ段階的に休息を入れるため。</x:v>
      </x:c>
    </x:row>
    <x:row r="13">
      <x:c r="A13" s="22" t="str">
        <x:v>R049</x:v>
      </x:c>
      <x:c r="B13" s="22" t="str">
        <x:v>羽田河口から川崎港へ</x:v>
      </x:c>
      <x:c r="C13" s="22" t="str">
        <x:v>通常</x:v>
      </x:c>
      <x:c r="D13" s="22" t="str">
        <x:v>HANEDA INNOVATION CITY 足湯スカイデッキ</x:v>
      </x:c>
      <x:c r="E13" s="277" t="n">
        <x:v>0.9791666666666666</x:v>
      </x:c>
      <x:c r="F13" s="277" t="n">
        <x:v>0.9270833333333334</x:v>
      </x:c>
      <x:c r="G13" s="22" t="str">
        <x:v>一般道・方向制約なし</x:v>
      </x:c>
      <x:c r="H13" s="22" t="str">
        <x:v>△</x:v>
      </x:c>
      <x:c r="I13" s="22" t="str">
        <x:v>△</x:v>
      </x:c>
      <x:c r="J13" s="22" t="n">
        <x:v>3</x:v>
      </x:c>
      <x:c r="K13" s="22" t="str">
        <x:v>出発時刻管理</x:v>
      </x:c>
      <x:c r="L13" s="22" t="str">
        <x:v>HANEDA INNOVATION CITY 足湯スカイデッキを省略 → 川崎マリエン</x:v>
      </x:c>
      <x:c r="M13" s="22" t="str">
        <x:v>HIC P1に駐車し、足湯とソラムナードは徒歩連結。川崎マリエン展望室は21時まで。</x:v>
      </x:c>
    </x:row>
    <x:row r="14">
      <x:c r="A14" s="22" t="str">
        <x:v>R050</x:v>
      </x:c>
      <x:c r="B14" s="22" t="str">
        <x:v>鶴見から生田へ丘陵公園線</x:v>
      </x:c>
      <x:c r="C14" s="22" t="str">
        <x:v>昼専用</x:v>
      </x:c>
      <x:c r="D14" s="22" t="str">
        <x:v>県立東高根森林公園</x:v>
      </x:c>
      <x:c r="E14" s="277" t="n">
        <x:v>0.7916666666666666</x:v>
      </x:c>
      <x:c r="F14" s="277" t="n">
        <x:v>0.7395833333333334</x:v>
      </x:c>
      <x:c r="G14" s="22" t="str">
        <x:v>一般道・方向制約なし</x:v>
      </x:c>
      <x:c r="H14" s="22" t="str">
        <x:v>×</x:v>
      </x:c>
      <x:c r="I14" s="22" t="str">
        <x:v>×</x:v>
      </x:c>
      <x:c r="J14" s="22" t="n">
        <x:v>3</x:v>
      </x:c>
      <x:c r="K14" s="22" t="str">
        <x:v>出発時刻管理</x:v>
      </x:c>
      <x:c r="L14" s="22" t="str">
        <x:v>県立三ツ池公園を省略 → 生田緑地・枡形山展望台</x:v>
      </x:c>
      <x:c r="M14" s="22" t="str">
        <x:v>昼～夕方専用。東高根森林公園は19時まで。枡形山展望台は日没前の到着を推奨。</x:v>
      </x:c>
    </x:row>
    <x:row r="15">
      <x:c r="A15" s="22" t="str">
        <x:v>R055</x:v>
      </x:c>
      <x:c r="B15" s="22" t="str">
        <x:v>鶴見・川崎近距離回復</x:v>
      </x:c>
      <x:c r="C15" s="22" t="str">
        <x:v>通常</x:v>
      </x:c>
      <x:c r="D15" s="22" t="str"/>
      <x:c r="E15" s="277"/>
      <x:c r="F15" s="277"/>
      <x:c r="G15" s="22" t="str">
        <x:v>一般道・方向制約なし</x:v>
      </x:c>
      <x:c r="H15" s="22" t="str">
        <x:v>×</x:v>
      </x:c>
      <x:c r="I15" s="22" t="str">
        <x:v>×</x:v>
      </x:c>
      <x:c r="J15" s="22" t="n">
        <x:v>3</x:v>
      </x:c>
      <x:c r="K15" s="22" t="str">
        <x:v>通常運用</x:v>
      </x:c>
      <x:c r="L15" s="22" t="str">
        <x:v>県立三ツ池公園を省略 → 御幸公園</x:v>
      </x:c>
      <x:c r="M15" s="22" t="str">
        <x:v>三ツ池公園駐車場閉鎖時刻を確認。</x:v>
      </x:c>
    </x:row>
    <x:row r="16">
      <x:c r="A16" s="22" t="str">
        <x:v>R056</x:v>
      </x:c>
      <x:c r="B16" s="22" t="str">
        <x:v>横浜港から丘陵公園へ</x:v>
      </x:c>
      <x:c r="C16" s="22" t="str">
        <x:v>通常</x:v>
      </x:c>
      <x:c r="D16" s="22" t="str"/>
      <x:c r="E16" s="277"/>
      <x:c r="F16" s="277"/>
      <x:c r="G16" s="22" t="str">
        <x:v>一般道・方向制約なし</x:v>
      </x:c>
      <x:c r="H16" s="22" t="str">
        <x:v>×</x:v>
      </x:c>
      <x:c r="I16" s="22" t="str">
        <x:v>×</x:v>
      </x:c>
      <x:c r="J16" s="22" t="n">
        <x:v>3</x:v>
      </x:c>
      <x:c r="K16" s="22" t="str">
        <x:v>通常運用</x:v>
      </x:c>
      <x:c r="L16" s="22" t="str">
        <x:v>横浜港大さん橋を省略 → 久良岐公園</x:v>
      </x:c>
      <x:c r="M16" s="22" t="str">
        <x:v>大さん橋は24時間。根岸森林公園は桜期・休日に駐車場が混雑するため、満車時は久良岐公園へ直行。</x:v>
      </x:c>
    </x:row>
    <x:row r="17">
      <x:c r="A17" s="22" t="str">
        <x:v>R059</x:v>
      </x:c>
      <x:c r="B17" s="22" t="str">
        <x:v>川崎Storyショート</x:v>
      </x:c>
      <x:c r="C17" s="22" t="str">
        <x:v>通常</x:v>
      </x:c>
      <x:c r="D17" s="22" t="str"/>
      <x:c r="E17" s="277"/>
      <x:c r="F17" s="277"/>
      <x:c r="G17" s="22" t="str">
        <x:v>一般道・方向制約なし</x:v>
      </x:c>
      <x:c r="H17" s="22" t="str">
        <x:v>△</x:v>
      </x:c>
      <x:c r="I17" s="22" t="str">
        <x:v>△</x:v>
      </x:c>
      <x:c r="J17" s="22" t="n">
        <x:v>3</x:v>
      </x:c>
      <x:c r="K17" s="22" t="str">
        <x:v>通常運用</x:v>
      </x:c>
      <x:c r="L17" s="22" t="str">
        <x:v>大師公園を省略 → 夢見ヶ崎動物公園</x:v>
      </x:c>
      <x:c r="M17" s="22" t="str">
        <x:v>川崎大師の祭事日は中止。</x:v>
      </x:c>
    </x:row>
    <x:row r="18">
      <x:c r="A18" s="22" t="str">
        <x:v>R073</x:v>
      </x:c>
      <x:c r="B18" s="22" t="str">
        <x:v>調布航空ナイト</x:v>
      </x:c>
      <x:c r="C18" s="22" t="str">
        <x:v>通常</x:v>
      </x:c>
      <x:c r="D18" s="22" t="str">
        <x:v>桜ヶ丘公園 ゆうひの丘</x:v>
      </x:c>
      <x:c r="E18" s="277" t="n">
        <x:v>0.8333333333333334</x:v>
      </x:c>
      <x:c r="F18" s="277" t="n">
        <x:v>0.78125</x:v>
      </x:c>
      <x:c r="G18" s="22" t="str">
        <x:v>一般道・方向制約なし</x:v>
      </x:c>
      <x:c r="H18" s="22" t="str">
        <x:v>△</x:v>
      </x:c>
      <x:c r="I18" s="22" t="str">
        <x:v>△</x:v>
      </x:c>
      <x:c r="J18" s="22" t="n">
        <x:v>3</x:v>
      </x:c>
      <x:c r="K18" s="22" t="str">
        <x:v>出発時刻管理</x:v>
      </x:c>
      <x:c r="L18" s="22" t="str">
        <x:v>武蔵野の森公園を省略 → 桜ヶ丘公園 ゆうひの丘</x:v>
      </x:c>
      <x:c r="M18" s="22" t="str">
        <x:v>武蔵野の森・府中の森は駐車場24時間。北南プロムナードは16:30閉鎖、ゆうひの丘は20時閉鎖。</x:v>
      </x:c>
    </x:row>
    <x:row r="19">
      <x:c r="A19" s="22" t="str">
        <x:v>R080</x:v>
      </x:c>
      <x:c r="B19" s="22" t="str">
        <x:v>深大寺から調布飛行場へ</x:v>
      </x:c>
      <x:c r="C19" s="22" t="str">
        <x:v>昼専用</x:v>
      </x:c>
      <x:c r="D19" s="22" t="str"/>
      <x:c r="E19" s="277"/>
      <x:c r="F19" s="277"/>
      <x:c r="G19" s="22" t="str">
        <x:v>一般道・方向制約なし</x:v>
      </x:c>
      <x:c r="H19" s="22" t="str">
        <x:v>×</x:v>
      </x:c>
      <x:c r="I19" s="22" t="str">
        <x:v>×</x:v>
      </x:c>
      <x:c r="J19" s="22" t="n">
        <x:v>3</x:v>
      </x:c>
      <x:c r="K19" s="22" t="str">
        <x:v>通常運用</x:v>
      </x:c>
      <x:c r="L19" s="22" t="str">
        <x:v>神代植物公園・深大寺を省略 → 府中の森公園</x:v>
      </x:c>
      <x:c r="M19" s="22" t="str">
        <x:v>昼～夕方専用。植物園閉園後は深大寺門前のみとし、武蔵野の森公園ではプロムナード16:30閉鎖に注意。</x:v>
      </x:c>
    </x:row>
    <x:row r="20">
      <x:c r="A20" s="22" t="str">
        <x:v>R089</x:v>
      </x:c>
      <x:c r="B20" s="22" t="str">
        <x:v>根岸湾工業景観</x:v>
      </x:c>
      <x:c r="C20" s="22" t="str">
        <x:v>通常</x:v>
      </x:c>
      <x:c r="D20" s="22" t="str">
        <x:v>磯子海づり施設</x:v>
      </x:c>
      <x:c r="E20" s="277" t="n">
        <x:v>0.7916666666666666</x:v>
      </x:c>
      <x:c r="F20" s="277" t="n">
        <x:v>0.7395833333333334</x:v>
      </x:c>
      <x:c r="G20" s="22" t="str">
        <x:v>一般道・方向制約なし</x:v>
      </x:c>
      <x:c r="H20" s="22" t="str">
        <x:v>×</x:v>
      </x:c>
      <x:c r="I20" s="22" t="str">
        <x:v>×</x:v>
      </x:c>
      <x:c r="J20" s="22" t="n">
        <x:v>3</x:v>
      </x:c>
      <x:c r="K20" s="22" t="str">
        <x:v>出発時刻管理</x:v>
      </x:c>
      <x:c r="L20" s="22" t="str">
        <x:v>磯子海づり施設を省略 → 横浜港シンボルタワー</x:v>
      </x:c>
      <x:c r="M20" s="22" t="str">
        <x:v>各施設の閉場時刻を確認。工場岸壁・私道へ入らない。</x:v>
      </x:c>
    </x:row>
    <x:row r="21">
      <x:c r="A21" s="22" t="str">
        <x:v>R093</x:v>
      </x:c>
      <x:c r="B21" s="22" t="str">
        <x:v>東京北東24時間公園線</x:v>
      </x:c>
      <x:c r="C21" s="22" t="str">
        <x:v>通常</x:v>
      </x:c>
      <x:c r="D21" s="22" t="str"/>
      <x:c r="E21" s="277"/>
      <x:c r="F21" s="277"/>
      <x:c r="G21" s="22" t="str">
        <x:v>一般道・方向制約なし</x:v>
      </x:c>
      <x:c r="H21" s="22" t="str">
        <x:v>△</x:v>
      </x:c>
      <x:c r="I21" s="22" t="str">
        <x:v>△</x:v>
      </x:c>
      <x:c r="J21" s="22" t="n">
        <x:v>3</x:v>
      </x:c>
      <x:c r="K21" s="22" t="str">
        <x:v>通常運用</x:v>
      </x:c>
      <x:c r="L21" s="22" t="str">
        <x:v>城北中央公園を省略 → 東綾瀬公園</x:v>
      </x:c>
      <x:c r="M21" s="22" t="str">
        <x:v>住宅地への騒音配慮。イベント時の満車は次地点へ進む。</x:v>
      </x:c>
    </x:row>
    <x:row r="22">
      <x:c r="A22" s="22" t="str">
        <x:v>R097</x:v>
      </x:c>
      <x:c r="B22" s="22" t="str">
        <x:v>浦安ベイ・24時間海辺線</x:v>
      </x:c>
      <x:c r="C22" s="22" t="str">
        <x:v>通常</x:v>
      </x:c>
      <x:c r="D22" s="22" t="str"/>
      <x:c r="E22" s="277"/>
      <x:c r="F22" s="277"/>
      <x:c r="G22" s="22" t="str">
        <x:v>一般道・方向制約なし</x:v>
      </x:c>
      <x:c r="H22" s="22" t="str">
        <x:v>○</x:v>
      </x:c>
      <x:c r="I22" s="22" t="str">
        <x:v>△</x:v>
      </x:c>
      <x:c r="J22" s="22" t="n">
        <x:v>4</x:v>
      </x:c>
      <x:c r="K22" s="22" t="str">
        <x:v>深夜主力</x:v>
      </x:c>
      <x:c r="L22" s="22" t="str">
        <x:v>高洲海浜公園を省略 → 潮風公園</x:v>
      </x:c>
      <x:c r="M22" s="22" t="str">
        <x:v>高洲と浦安総合は終日駐車可能。海風が強い日は各地点の滞在を短縮。</x:v>
      </x:c>
    </x:row>
    <x:row r="23">
      <x:c r="A23" s="22" t="str">
        <x:v>R113</x:v>
      </x:c>
      <x:c r="B23" s="22" t="str">
        <x:v>川崎丘陵・古代と現代</x:v>
      </x:c>
      <x:c r="C23" s="22" t="str">
        <x:v>通常</x:v>
      </x:c>
      <x:c r="D23" s="22" t="str">
        <x:v>県立東高根森林公園</x:v>
      </x:c>
      <x:c r="E23" s="277" t="n">
        <x:v>0.7916666666666666</x:v>
      </x:c>
      <x:c r="F23" s="277" t="n">
        <x:v>0.7395833333333334</x:v>
      </x:c>
      <x:c r="G23" s="22" t="str">
        <x:v>一般道・方向制約なし</x:v>
      </x:c>
      <x:c r="H23" s="22" t="str">
        <x:v>×</x:v>
      </x:c>
      <x:c r="I23" s="22" t="str">
        <x:v>×</x:v>
      </x:c>
      <x:c r="J23" s="22" t="n">
        <x:v>3</x:v>
      </x:c>
      <x:c r="K23" s="22" t="str">
        <x:v>出発時刻管理</x:v>
      </x:c>
      <x:c r="L23" s="22" t="str">
        <x:v>県立東高根森林公園を省略 → 夢見ヶ崎動物公園</x:v>
      </x:c>
      <x:c r="M23" s="22" t="str">
        <x:v>東高根19時閉場。日没前に枡形山へ上がり、最後は近距離夜景。</x:v>
      </x:c>
    </x:row>
    <x:row r="24">
      <x:c r="A24" s="22" t="str">
        <x:v>R119</x:v>
      </x:c>
      <x:c r="B24" s="22" t="str">
        <x:v>横浜・庭園と丘陵三層</x:v>
      </x:c>
      <x:c r="C24" s="22" t="str">
        <x:v>昼専用</x:v>
      </x:c>
      <x:c r="D24" s="22" t="str">
        <x:v>三溪園</x:v>
      </x:c>
      <x:c r="E24" s="277" t="n">
        <x:v>0.6875</x:v>
      </x:c>
      <x:c r="F24" s="277" t="n">
        <x:v>0.6354166666666666</x:v>
      </x:c>
      <x:c r="G24" s="22" t="str">
        <x:v>一般道・方向制約なし</x:v>
      </x:c>
      <x:c r="H24" s="22" t="str">
        <x:v>×</x:v>
      </x:c>
      <x:c r="I24" s="22" t="str">
        <x:v>×</x:v>
      </x:c>
      <x:c r="J24" s="22" t="n">
        <x:v>3</x:v>
      </x:c>
      <x:c r="K24" s="22" t="str">
        <x:v>出発時刻管理</x:v>
      </x:c>
      <x:c r="L24" s="22" t="str">
        <x:v>三溪園を省略 → 金沢自然公園</x:v>
      </x:c>
      <x:c r="M24" s="22" t="str">
        <x:v>午前開始の昼専用。三溪園の最終入園16:30と金沢自然公園の入庫締切を優先。</x:v>
      </x:c>
    </x:row>
    <x:row r="25">
      <x:c r="A25" s="22" t="str">
        <x:v>R121</x:v>
      </x:c>
      <x:c r="B25" s="22" t="str">
        <x:v>湾岸・干潟から運河へ</x:v>
      </x:c>
      <x:c r="C25" s="22" t="str">
        <x:v>通常</x:v>
      </x:c>
      <x:c r="D25" s="22" t="str">
        <x:v>城南島海浜公園</x:v>
      </x:c>
      <x:c r="E25" s="277" t="n">
        <x:v>0.875</x:v>
      </x:c>
      <x:c r="F25" s="277" t="n">
        <x:v>0.8229166666666666</x:v>
      </x:c>
      <x:c r="G25" s="22" t="str">
        <x:v>一般道・方向制約なし</x:v>
      </x:c>
      <x:c r="H25" s="22" t="str">
        <x:v>△</x:v>
      </x:c>
      <x:c r="I25" s="22" t="str">
        <x:v>△</x:v>
      </x:c>
      <x:c r="J25" s="22" t="n">
        <x:v>4</x:v>
      </x:c>
      <x:c r="K25" s="22" t="str">
        <x:v>出発時刻管理</x:v>
      </x:c>
      <x:c r="L25" s="22" t="str">
        <x:v>葛西海浜公園を省略 → 城南島海浜公園</x:v>
      </x:c>
      <x:c r="M25" s="22" t="str">
        <x:v>葛西駐車場混雑時は高洲海浜公園へ差替え。東品川は時間貸し駐車場利用。</x:v>
      </x:c>
    </x:row>
    <x:row r="26">
      <x:c r="A26" s="22" t="str">
        <x:v>R131</x:v>
      </x:c>
      <x:c r="B26" s="22" t="str">
        <x:v>東京近距離・運河と市場</x:v>
      </x:c>
      <x:c r="C26" s="22" t="str">
        <x:v>通常</x:v>
      </x:c>
      <x:c r="D26" s="22" t="str">
        <x:v>道の駅 いちかわ</x:v>
      </x:c>
      <x:c r="E26" s="277" t="n">
        <x:v>0.9166666666666666</x:v>
      </x:c>
      <x:c r="F26" s="277" t="n">
        <x:v>0.8645833333333334</x:v>
      </x:c>
      <x:c r="G26" s="22" t="str">
        <x:v>一般道・方向制約なし</x:v>
      </x:c>
      <x:c r="H26" s="22" t="str">
        <x:v>△</x:v>
      </x:c>
      <x:c r="I26" s="22" t="str">
        <x:v>△</x:v>
      </x:c>
      <x:c r="J26" s="22" t="n">
        <x:v>4</x:v>
      </x:c>
      <x:c r="K26" s="22" t="str">
        <x:v>出発時刻管理</x:v>
      </x:c>
      <x:c r="L26" s="22" t="str">
        <x:v>東品川海上公園を省略 → 葛西海浜公園</x:v>
      </x:c>
      <x:c r="M26" s="22" t="str">
        <x:v>東品川は専用駐車場なし。葛西の海浜立入時間・潮位を確認。</x:v>
      </x:c>
    </x:row>
    <x:row r="27">
      <x:c r="A27" s="22" t="str">
        <x:v>R133</x:v>
      </x:c>
      <x:c r="B27" s="22" t="str">
        <x:v>羽田・足湯から河口へ</x:v>
      </x:c>
      <x:c r="C27" s="22" t="str">
        <x:v>共有駐車・徒歩連結</x:v>
      </x:c>
      <x:c r="D27" s="22" t="str">
        <x:v>HANEDA INNOVATION CITY 足湯スカイデッキ</x:v>
      </x:c>
      <x:c r="E27" s="277" t="n">
        <x:v>0.9791666666666666</x:v>
      </x:c>
      <x:c r="F27" s="277" t="n">
        <x:v>0.9270833333333334</x:v>
      </x:c>
      <x:c r="G27" s="22" t="str">
        <x:v>一般道・方向制約なし</x:v>
      </x:c>
      <x:c r="H27" s="22" t="str">
        <x:v>△</x:v>
      </x:c>
      <x:c r="I27" s="22" t="str">
        <x:v>△</x:v>
      </x:c>
      <x:c r="J27" s="22" t="n">
        <x:v>3</x:v>
      </x:c>
      <x:c r="K27" s="22" t="str">
        <x:v>出発時刻管理</x:v>
      </x:c>
      <x:c r="L27" s="22" t="str">
        <x:v>HANEDA INNOVATION CITY 足湯スカイデッキを省略 → 羽田空港 第3ターミナル展望デッキ</x:v>
      </x:c>
      <x:c r="M27" s="22" t="str">
        <x:v>平日夜の主力。HIC P1を利用し、ソラムナードは徒歩を含む。</x:v>
      </x:c>
    </x:row>
    <x:row r="28">
      <x:c r="A28" s="22" t="str">
        <x:v>R134</x:v>
      </x:c>
      <x:c r="B28" s="22" t="str">
        <x:v>羽田3ターミナル比較</x:v>
      </x:c>
      <x:c r="C28" s="22" t="str">
        <x:v>空港内移動</x:v>
      </x:c>
      <x:c r="D28" s="22" t="str">
        <x:v>羽田空港 第1ターミナル展望デッキ</x:v>
      </x:c>
      <x:c r="E28" s="277" t="n">
        <x:v>0.8333333333333334</x:v>
      </x:c>
      <x:c r="F28" s="277" t="n">
        <x:v>0.78125</x:v>
      </x:c>
      <x:c r="G28" s="22" t="str">
        <x:v>一般道・方向制約なし</x:v>
      </x:c>
      <x:c r="H28" s="22" t="str">
        <x:v>△</x:v>
      </x:c>
      <x:c r="I28" s="22" t="str">
        <x:v>○</x:v>
      </x:c>
      <x:c r="J28" s="22" t="n">
        <x:v>3</x:v>
      </x:c>
      <x:c r="K28" s="22" t="str">
        <x:v>出発時刻管理</x:v>
      </x:c>
      <x:c r="L28" s="22" t="str">
        <x:v>羽田空港 第1ターミナル展望デッキを省略 → 羽田空港 第3ターミナル展望デッキ</x:v>
      </x:c>
      <x:c r="M28" s="22" t="str">
        <x:v>P3/P4等に1回駐車し、ターミナル間は無料連絡バスを基本とする。駐車場を3回入り直さない。</x:v>
      </x:c>
    </x:row>
    <x:row r="29">
      <x:c r="A29" s="22" t="str">
        <x:v>R135</x:v>
      </x:c>
      <x:c r="B29" s="22" t="str">
        <x:v>大森・海苔の海辺線</x:v>
      </x:c>
      <x:c r="C29" s="22" t="str">
        <x:v>通常</x:v>
      </x:c>
      <x:c r="D29" s="22" t="str">
        <x:v>城南島海浜公園</x:v>
      </x:c>
      <x:c r="E29" s="277" t="n">
        <x:v>0.875</x:v>
      </x:c>
      <x:c r="F29" s="277" t="n">
        <x:v>0.8229166666666666</x:v>
      </x:c>
      <x:c r="G29" s="22" t="str">
        <x:v>一般道・方向制約なし</x:v>
      </x:c>
      <x:c r="H29" s="22" t="str">
        <x:v>△</x:v>
      </x:c>
      <x:c r="I29" s="22" t="str">
        <x:v>△</x:v>
      </x:c>
      <x:c r="J29" s="22" t="n">
        <x:v>3</x:v>
      </x:c>
      <x:c r="K29" s="22" t="str">
        <x:v>出発時刻管理</x:v>
      </x:c>
      <x:c r="L29" s="22" t="str">
        <x:v>平和の森公園を省略 → 城南島海浜公園</x:v>
      </x:c>
      <x:c r="M29" s="22" t="str">
        <x:v>浜辺21時閉門。公園共用駐車場の混雑時は城南島へ直行。</x:v>
      </x:c>
    </x:row>
    <x:row r="30">
      <x:c r="A30" s="22" t="str">
        <x:v>R136</x:v>
      </x:c>
      <x:c r="B30" s="22" t="str">
        <x:v>森ケ崎・屋上から足湯へ</x:v>
      </x:c>
      <x:c r="C30" s="22" t="str">
        <x:v>共有駐車・徒歩連結</x:v>
      </x:c>
      <x:c r="D30" s="22" t="str">
        <x:v>森ケ崎公園</x:v>
      </x:c>
      <x:c r="E30" s="277" t="n">
        <x:v>0.8541666666666666</x:v>
      </x:c>
      <x:c r="F30" s="277" t="n">
        <x:v>0.8020833333333334</x:v>
      </x:c>
      <x:c r="G30" s="22" t="str">
        <x:v>一般道・方向制約なし</x:v>
      </x:c>
      <x:c r="H30" s="22" t="str">
        <x:v>△</x:v>
      </x:c>
      <x:c r="I30" s="22" t="str">
        <x:v>△</x:v>
      </x:c>
      <x:c r="J30" s="22" t="n">
        <x:v>3</x:v>
      </x:c>
      <x:c r="K30" s="22" t="str">
        <x:v>出発時刻管理</x:v>
      </x:c>
      <x:c r="L30" s="22" t="str">
        <x:v>森ケ崎公園を省略 → HANEDA INNOVATION CITY 足湯スカイデッキ</x:v>
      </x:c>
      <x:c r="M30" s="22" t="str">
        <x:v>森ケ崎の閉園時刻がHard Gate。最後は23:30まで。</x:v>
      </x:c>
    </x:row>
    <x:row r="31">
      <x:c r="A31" s="22" t="str">
        <x:v>R137</x:v>
      </x:c>
      <x:c r="B31" s="22" t="str">
        <x:v>多摩川・休日ショート</x:v>
      </x:c>
      <x:c r="C31" s="22" t="str">
        <x:v>休日専用</x:v>
      </x:c>
      <x:c r="D31" s="22" t="str">
        <x:v>多摩川浅間神社</x:v>
      </x:c>
      <x:c r="E31" s="277" t="n">
        <x:v>0.6666666666666666</x:v>
      </x:c>
      <x:c r="F31" s="277" t="n">
        <x:v>0.6145833333333334</x:v>
      </x:c>
      <x:c r="G31" s="22" t="str">
        <x:v>一般道・方向制約なし</x:v>
      </x:c>
      <x:c r="H31" s="22" t="str">
        <x:v>×</x:v>
      </x:c>
      <x:c r="I31" s="22" t="str">
        <x:v>×</x:v>
      </x:c>
      <x:c r="J31" s="22" t="n">
        <x:v>3</x:v>
      </x:c>
      <x:c r="K31" s="22" t="str">
        <x:v>出発時刻管理</x:v>
      </x:c>
      <x:c r="L31" s="22" t="str">
        <x:v>多摩川六郷橋緑地を省略 → 多摩川浅間神社</x:v>
      </x:c>
      <x:c r="M31" s="22" t="str">
        <x:v>河川敷駐車場は土日祝のみ。閉鎖時刻と増水情報を確認。</x:v>
      </x:c>
    </x:row>
    <x:row r="32">
      <x:c r="A32" s="22" t="str">
        <x:v>R138</x:v>
      </x:c>
      <x:c r="B32" s="22" t="str">
        <x:v>池上から大森海岸へ</x:v>
      </x:c>
      <x:c r="C32" s="22" t="str">
        <x:v>昼専用</x:v>
      </x:c>
      <x:c r="D32" s="22" t="str">
        <x:v>池上梅園</x:v>
      </x:c>
      <x:c r="E32" s="277" t="n">
        <x:v>0.6666666666666666</x:v>
      </x:c>
      <x:c r="F32" s="277" t="n">
        <x:v>0.6145833333333334</x:v>
      </x:c>
      <x:c r="G32" s="22" t="str">
        <x:v>一般道・方向制約なし</x:v>
      </x:c>
      <x:c r="H32" s="22" t="str">
        <x:v>×</x:v>
      </x:c>
      <x:c r="I32" s="22" t="str">
        <x:v>×</x:v>
      </x:c>
      <x:c r="J32" s="22" t="n">
        <x:v>3</x:v>
      </x:c>
      <x:c r="K32" s="22" t="str">
        <x:v>出発時刻管理</x:v>
      </x:c>
      <x:c r="L32" s="22" t="str">
        <x:v>池上梅園を省略 → 大森ふるさとの浜辺公園</x:v>
      </x:c>
      <x:c r="M32" s="22" t="str">
        <x:v>池上梅園16:30閉園。梅期休日は駐車場利用不可。</x:v>
      </x:c>
    </x:row>
    <x:row r="33">
      <x:c r="A33" s="22" t="str">
        <x:v>R139</x:v>
      </x:c>
      <x:c r="B33" s="22" t="str">
        <x:v>大井・東京港ショート</x:v>
      </x:c>
      <x:c r="C33" s="22" t="str">
        <x:v>昼～夕方専用</x:v>
      </x:c>
      <x:c r="D33" s="22" t="str">
        <x:v>東京港野鳥公園</x:v>
      </x:c>
      <x:c r="E33" s="277" t="n">
        <x:v>0.7083333333333334</x:v>
      </x:c>
      <x:c r="F33" s="277" t="n">
        <x:v>0.65625</x:v>
      </x:c>
      <x:c r="G33" s="22" t="str">
        <x:v>一般道・方向制約なし</x:v>
      </x:c>
      <x:c r="H33" s="22" t="str">
        <x:v>△</x:v>
      </x:c>
      <x:c r="I33" s="22" t="str">
        <x:v>△</x:v>
      </x:c>
      <x:c r="J33" s="22" t="n">
        <x:v>3</x:v>
      </x:c>
      <x:c r="K33" s="22" t="str">
        <x:v>出発時刻管理</x:v>
      </x:c>
      <x:c r="L33" s="22" t="str">
        <x:v>東京港野鳥公園を省略 → 城南島海浜公園</x:v>
      </x:c>
      <x:c r="M33" s="22" t="str">
        <x:v>野鳥公園の閉園時刻を優先し、夕方以降は京浜島から開始。</x:v>
      </x:c>
    </x:row>
    <x:row r="34">
      <x:c r="A34" s="22" t="str">
        <x:v>R140</x:v>
      </x:c>
      <x:c r="B34" s="22" t="str">
        <x:v>お台場から豊洲の水際夜景</x:v>
      </x:c>
      <x:c r="C34" s="22" t="str">
        <x:v>通常</x:v>
      </x:c>
      <x:c r="D34" s="22" t="str"/>
      <x:c r="E34" s="277"/>
      <x:c r="F34" s="277"/>
      <x:c r="G34" s="22" t="str">
        <x:v>一般道・方向制約なし</x:v>
      </x:c>
      <x:c r="H34" s="22" t="str">
        <x:v>○</x:v>
      </x:c>
      <x:c r="I34" s="22" t="str">
        <x:v>△</x:v>
      </x:c>
      <x:c r="J34" s="22" t="n">
        <x:v>3</x:v>
      </x:c>
      <x:c r="K34" s="22" t="str">
        <x:v>深夜主力</x:v>
      </x:c>
      <x:c r="L34" s="22" t="str">
        <x:v>お台場海浜公園を省略 → 晴海ふ頭公園</x:v>
      </x:c>
      <x:c r="M34" s="22" t="str">
        <x:v>24時間駐車地点中心。イベント開催時はお台場を潮風公園へ、豊洲を晴海へ即時差替え。</x:v>
      </x:c>
    </x:row>
    <x:row r="35">
      <x:c r="A35" s="22" t="str">
        <x:v>R141</x:v>
      </x:c>
      <x:c r="B35" s="22" t="str">
        <x:v>雨天・羽田インドア線</x:v>
      </x:c>
      <x:c r="C35" s="22" t="str">
        <x:v>雨天・空港内移動</x:v>
      </x:c>
      <x:c r="D35" s="22" t="str">
        <x:v>羽田空港 第2ターミナル展望デッキ／FLIGHT DECK TOKYO</x:v>
      </x:c>
      <x:c r="E35" s="277" t="n">
        <x:v>0.9166666666666666</x:v>
      </x:c>
      <x:c r="F35" s="277" t="n">
        <x:v>0.8645833333333334</x:v>
      </x:c>
      <x:c r="G35" s="22" t="str">
        <x:v>一般道・方向制約なし</x:v>
      </x:c>
      <x:c r="H35" s="22" t="str">
        <x:v>△</x:v>
      </x:c>
      <x:c r="I35" s="22" t="str">
        <x:v>○</x:v>
      </x:c>
      <x:c r="J35" s="22" t="n">
        <x:v>3</x:v>
      </x:c>
      <x:c r="K35" s="22" t="str">
        <x:v>出発時刻管理</x:v>
      </x:c>
      <x:c r="L35" s="22" t="str">
        <x:v>HANEDA INNOVATION CITY 足湯スカイデッキを省略 → 羽田空港 第3ターミナル展望デッキ</x:v>
      </x:c>
      <x:c r="M35" s="22" t="str">
        <x:v>雨天はT2屋内FLIGHT DECKを主役にする。HIC足湯は強雨時に省略し、空港内移動を優先。</x:v>
      </x:c>
    </x:row>
    <x:row r="36">
      <x:c r="A36" s="22" t="str">
        <x:v>R142</x:v>
      </x:c>
      <x:c r="B36" s="22" t="str">
        <x:v>深夜2時間・空港から港の端へ</x:v>
      </x:c>
      <x:c r="C36" s="22" t="str">
        <x:v>深夜専用</x:v>
      </x:c>
      <x:c r="D36" s="22" t="str"/>
      <x:c r="E36" s="277"/>
      <x:c r="F36" s="277"/>
      <x:c r="G36" s="22" t="str">
        <x:v>一般道・方向制約なし</x:v>
      </x:c>
      <x:c r="H36" s="22" t="str">
        <x:v>○</x:v>
      </x:c>
      <x:c r="I36" s="22" t="str">
        <x:v>○</x:v>
      </x:c>
      <x:c r="J36" s="22" t="n">
        <x:v>2</x:v>
      </x:c>
      <x:c r="K36" s="22" t="str">
        <x:v>深夜主力</x:v>
      </x:c>
      <x:c r="L36" s="22" t="str">
        <x:v>東扇島西公園へ直行</x:v>
      </x:c>
      <x:c r="M36" s="22" t="str">
        <x:v>T3展望デッキと東扇島西公園は24時間利用可能。東扇島西公園は釣り利用で混雑するため、満車時は川崎マリエン外周へ変更。</x:v>
      </x:c>
    </x:row>
    <x:row r="37">
      <x:c r="A37" s="22" t="str">
        <x:v>R143</x:v>
      </x:c>
      <x:c r="B37" s="22" t="str">
        <x:v>羽田から川崎工場夜景へ</x:v>
      </x:c>
      <x:c r="C37" s="22" t="str">
        <x:v>通常</x:v>
      </x:c>
      <x:c r="D37" s="22" t="str">
        <x:v>HANEDA INNOVATION CITY 足湯スカイデッキ</x:v>
      </x:c>
      <x:c r="E37" s="277" t="n">
        <x:v>0.9791666666666666</x:v>
      </x:c>
      <x:c r="F37" s="277" t="n">
        <x:v>0.9270833333333334</x:v>
      </x:c>
      <x:c r="G37" s="22" t="str">
        <x:v>一般道・方向制約なし</x:v>
      </x:c>
      <x:c r="H37" s="22" t="str">
        <x:v>△</x:v>
      </x:c>
      <x:c r="I37" s="22" t="str">
        <x:v>△</x:v>
      </x:c>
      <x:c r="J37" s="22" t="n">
        <x:v>3</x:v>
      </x:c>
      <x:c r="K37" s="22" t="str">
        <x:v>出発時刻管理</x:v>
      </x:c>
      <x:c r="L37" s="22" t="str">
        <x:v>HANEDA INNOVATION CITY 足湯スカイデッキを省略 → 東扇島西公園</x:v>
      </x:c>
      <x:c r="M37" s="22" t="str">
        <x:v>川崎マリエン展望室は21時まで。遅れた場合はマリエンを省略し、24時間利用可能な東扇島西公園へ。</x:v>
      </x:c>
    </x:row>
    <x:row r="38">
      <x:c r="A38" s="22" t="str">
        <x:v>R144</x:v>
      </x:c>
      <x:c r="B38" s="22" t="str">
        <x:v>平日夕方90分・大森から羽田へ</x:v>
      </x:c>
      <x:c r="C38" s="22" t="str">
        <x:v>夕方専用</x:v>
      </x:c>
      <x:c r="D38" s="22" t="str">
        <x:v>森ケ崎公園</x:v>
      </x:c>
      <x:c r="E38" s="277" t="n">
        <x:v>0.8541666666666666</x:v>
      </x:c>
      <x:c r="F38" s="277" t="n">
        <x:v>0.8020833333333334</x:v>
      </x:c>
      <x:c r="G38" s="22" t="str">
        <x:v>一般道・方向制約なし</x:v>
      </x:c>
      <x:c r="H38" s="22" t="str">
        <x:v>△</x:v>
      </x:c>
      <x:c r="I38" s="22" t="str">
        <x:v>○</x:v>
      </x:c>
      <x:c r="J38" s="22" t="n">
        <x:v>3</x:v>
      </x:c>
      <x:c r="K38" s="22" t="str">
        <x:v>出発時刻管理</x:v>
      </x:c>
      <x:c r="L38" s="22" t="str">
        <x:v>大森ふるさとの浜辺公園を省略 → 羽田空港 第3ターミナル展望デッキ</x:v>
      </x:c>
      <x:c r="M38" s="22" t="str">
        <x:v>19時前後の出発を推奨。森ケ崎は季節により20:30または21:30、浜辺は21時閉門。遅れたら大森を省略。</x:v>
      </x:c>
    </x:row>
  </x:sheetData>
  <x:conditionalFormatting sqref="H2:I38">
    <x:cfRule type="expression" dxfId="3" priority="1">
      <x:formula>H2="○"</x:formula>
    </x:cfRule>
    <x:cfRule type="expression" dxfId="4" priority="2">
      <x:formula>H2="△"</x:formula>
    </x:cfRule>
    <x:cfRule type="expression" dxfId="5" priority="3">
      <x:formula>H2="×"</x:formula>
    </x:cfRule>
  </x:conditionalFormatting>
  <x:pageMargins left="0.7" right="0.7" top="0.75" bottom="0.75" header="0.3" footer="0.3"/>
  <x:tableParts count="1">
    <x:tablePart xmlns:r="http://schemas.openxmlformats.org/officeDocument/2006/relationships" r:id="R84204849f9f04b98"/>
  </x:tableParts>
</x:worksheet>
</file>

<file path=xl/worksheets/sheet35.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13" hidden="0" customWidth="1"/>
    <x:col min="5" max="5" width="10" hidden="0" customWidth="1"/>
    <x:col min="6" max="6" width="10" hidden="0" customWidth="1"/>
    <x:col min="7" max="7" width="10" hidden="0" customWidth="1"/>
    <x:col min="8" max="8" width="32" hidden="0" customWidth="1"/>
    <x:col min="9" max="9" width="44" hidden="0" customWidth="1"/>
    <x:col min="10" max="10" width="34" hidden="0" customWidth="1"/>
    <x:col min="11" max="11" width="50" hidden="0" customWidth="1"/>
    <x:col min="12" max="12" width="10" hidden="0" customWidth="1"/>
  </x:cols>
  <x:sheetData>
    <x:row r="1">
      <x:c r="A1" s="398" t="str">
        <x:v>地点</x:v>
      </x:c>
      <x:c r="B1" s="398" t="str">
        <x:v>主な役割</x:v>
      </x:c>
      <x:c r="C1" s="398" t="str">
        <x:v>適合時間帯</x:v>
      </x:c>
      <x:c r="D1" s="398" t="str">
        <x:v>駐車確実性</x:v>
      </x:c>
      <x:c r="E1" s="398" t="str">
        <x:v>雨天</x:v>
      </x:c>
      <x:c r="F1" s="398" t="str">
        <x:v>短時間</x:v>
      </x:c>
      <x:c r="G1" s="398" t="str">
        <x:v>Story</x:v>
      </x:c>
      <x:c r="H1" s="398" t="str">
        <x:v>交換対象</x:v>
      </x:c>
      <x:c r="I1" s="398" t="str">
        <x:v>交換理由</x:v>
      </x:c>
      <x:c r="J1" s="398" t="str">
        <x:v>営業時間・Hard Gate</x:v>
      </x:c>
      <x:c r="K1" s="398" t="str">
        <x:v>公式情報源</x:v>
      </x:c>
      <x:c r="L1" s="398" t="str">
        <x:v>Googleマップ</x:v>
      </x:c>
    </x:row>
    <x:row r="2">
      <x:c r="A2" s="22" t="str">
        <x:v>平和島公園</x:v>
      </x:c>
      <x:c r="B2" s="22" t="str">
        <x:v>24時間の近距離休憩・ルートEnding</x:v>
      </x:c>
      <x:c r="C2" s="22" t="str">
        <x:v>夜・深夜・休日</x:v>
      </x:c>
      <x:c r="D2" s="22" t="n">
        <x:v>5</x:v>
      </x:c>
      <x:c r="E2" s="22" t="n">
        <x:v>1</x:v>
      </x:c>
      <x:c r="F2" s="22" t="n">
        <x:v>5</x:v>
      </x:c>
      <x:c r="G2" s="22" t="n">
        <x:v>3</x:v>
      </x:c>
      <x:c r="H2" s="22" t="str">
        <x:v>平和の森公園／HIC足湯</x:v>
      </x:c>
      <x:c r="I2" s="22" t="str">
        <x:v>駐車80台・24時間で、営業時間に縛られない</x:v>
      </x:c>
      <x:c r="J2" s="22" t="str">
        <x:v>公園・駐車場24時間</x:v>
      </x:c>
      <x:c r="K2" s="22" t="str">
        <x:v>https://www.city.ota.tokyo.jp/shisetsu/park/heiwajima.html</x:v>
      </x:c>
      <x:c r="L2" s="22" t="e">
        <x:f>HYPERLINK("https://www.google.com/maps/dir/?api=1&amp;destination=%E5%B9%B3%E5%92%8C%E5%B3%B6%E5%85%AC%E5%9C%92&amp;travelmode=driving","開く")</x:f>
      </x:c>
    </x:row>
    <x:row r="3">
      <x:c r="A3" s="22" t="str">
        <x:v>しながわ区民公園</x:v>
      </x:c>
      <x:c r="B3" s="22" t="str">
        <x:v>人工湖・緑の導入地点</x:v>
      </x:c>
      <x:c r="C3" s="22" t="str">
        <x:v>昼・夕方</x:v>
      </x:c>
      <x:c r="D3" s="22" t="n">
        <x:v>4</x:v>
      </x:c>
      <x:c r="E3" s="22" t="n">
        <x:v>1</x:v>
      </x:c>
      <x:c r="F3" s="22" t="n">
        <x:v>4</x:v>
      </x:c>
      <x:c r="G3" s="22" t="n">
        <x:v>4</x:v>
      </x:c>
      <x:c r="H3" s="22" t="str">
        <x:v>東京港野鳥公園／平和の森公園</x:v>
      </x:c>
      <x:c r="I3" s="22" t="str">
        <x:v>蒲田から近く、勝島の海で水辺Storyを作れる</x:v>
      </x:c>
      <x:c r="J3" s="22" t="str">
        <x:v>20:30閉園</x:v>
      </x:c>
      <x:c r="K3" s="22" t="str">
        <x:v>https://www.city.shinagawa.tokyo.jp/PC/shisetsu/shisetsu-bunka/shisetsu-bunka-kouen/hpg000000342.html</x:v>
      </x:c>
      <x:c r="L3" s="22" t="e">
        <x:f>HYPERLINK("https://www.google.com/maps/dir/?api=1&amp;destination=%E3%81%97%E3%81%AA%E3%81%8C%E3%82%8F%E5%8C%BA%E6%B0%91%E5%85%AC%E5%9C%92&amp;travelmode=driving","開く")</x:f>
      </x:c>
    </x:row>
    <x:row r="4">
      <x:c r="A4" s="22" t="str">
        <x:v>大井ふ頭中央海浜公園</x:v>
      </x:c>
      <x:c r="B4" s="22" t="str">
        <x:v>運河・干潟・景観転換</x:v>
      </x:c>
      <x:c r="C4" s="22" t="str">
        <x:v>夕方・休日</x:v>
      </x:c>
      <x:c r="D4" s="22" t="n">
        <x:v>4</x:v>
      </x:c>
      <x:c r="E4" s="22" t="n">
        <x:v>1</x:v>
      </x:c>
      <x:c r="F4" s="22" t="n">
        <x:v>4</x:v>
      </x:c>
      <x:c r="G4" s="22" t="n">
        <x:v>4</x:v>
      </x:c>
      <x:c r="H4" s="22" t="str">
        <x:v>京浜島つばさ公園／東京港野鳥公園</x:v>
      </x:c>
      <x:c r="I4" s="22" t="str">
        <x:v>飛行機以外の京浜運河体験へ分散できる</x:v>
      </x:c>
      <x:c r="J4" s="22" t="str">
        <x:v>第2駐車場は工事中24時間／年末休業</x:v>
      </x:c>
      <x:c r="K4" s="22" t="str">
        <x:v>https://tokyo-south-seaside-parks.com/oi-hockey-access/</x:v>
      </x:c>
      <x:c r="L4" s="22" t="e">
        <x:f>HYPERLINK("https://www.google.com/maps/dir/?api=1&amp;destination=%E5%A4%A7%E4%BA%95%E3%81%B5%E9%A0%AD%E4%B8%AD%E5%A4%AE%E6%B5%B7%E6%B5%9C%E5%85%AC%E5%9C%92&amp;travelmode=driving","開く")</x:f>
      </x:c>
    </x:row>
    <x:row r="5">
      <x:c r="A5" s="22" t="str">
        <x:v>ちどり公園</x:v>
      </x:c>
      <x:c r="B5" s="22" t="str">
        <x:v>川崎港の低い目線・導入</x:v>
      </x:c>
      <x:c r="C5" s="22" t="str">
        <x:v>昼</x:v>
      </x:c>
      <x:c r="D5" s="22" t="n">
        <x:v>3</x:v>
      </x:c>
      <x:c r="E5" s="22" t="n">
        <x:v>1</x:v>
      </x:c>
      <x:c r="F5" s="22" t="n">
        <x:v>4</x:v>
      </x:c>
      <x:c r="G5" s="22" t="n">
        <x:v>4</x:v>
      </x:c>
      <x:c r="H5" s="22" t="str">
        <x:v>富士見公園／大師公園</x:v>
      </x:c>
      <x:c r="I5" s="22" t="str">
        <x:v>港湾景観のテーマ一致が強い</x:v>
      </x:c>
      <x:c r="J5" s="22" t="str">
        <x:v>駐車18:00まで</x:v>
      </x:c>
      <x:c r="K5" s="22" t="str">
        <x:v>https://www.city.kawasaki.jp/580/page/0000167054.html</x:v>
      </x:c>
      <x:c r="L5" s="22" t="e">
        <x:f>HYPERLINK("https://www.google.com/maps/dir/?api=1&amp;destination=%E3%81%A1%E3%81%A9%E3%82%8A%E5%85%AC%E5%9C%92&amp;travelmode=driving","開く")</x:f>
      </x:c>
    </x:row>
    <x:row r="6">
      <x:c r="A6" s="22" t="str">
        <x:v>東扇島中公園</x:v>
      </x:c>
      <x:c r="B6" s="22" t="str">
        <x:v>マリエン共有駐車・休憩</x:v>
      </x:c>
      <x:c r="C6" s="22" t="str">
        <x:v>夕方・夜</x:v>
      </x:c>
      <x:c r="D6" s="22" t="n">
        <x:v>4</x:v>
      </x:c>
      <x:c r="E6" s="22" t="n">
        <x:v>1</x:v>
      </x:c>
      <x:c r="F6" s="22" t="n">
        <x:v>5</x:v>
      </x:c>
      <x:c r="G6" s="22" t="n">
        <x:v>3</x:v>
      </x:c>
      <x:c r="H6" s="22" t="str">
        <x:v>HIC足湯／東扇島東公園</x:v>
      </x:c>
      <x:c r="I6" s="22" t="str">
        <x:v>再駐車なしで芝生と港湾休憩を追加できる</x:v>
      </x:c>
      <x:c r="J6" s="22" t="str">
        <x:v>22:30～6:00入出場一部制限</x:v>
      </x:c>
      <x:c r="K6" s="22" t="str">
        <x:v>https://www.city.kawasaki.jp/580/page/0000041705.html</x:v>
      </x:c>
      <x:c r="L6" s="22" t="e">
        <x:f>HYPERLINK("https://www.google.com/maps/dir/?api=1&amp;destination=%E6%9D%B1%E6%89%87%E5%B3%B6%E4%B8%AD%E5%85%AC%E5%9C%92&amp;travelmode=driving","開く")</x:f>
      </x:c>
    </x:row>
    <x:row r="7">
      <x:c r="A7" s="22" t="str">
        <x:v>ふれーゆ</x:v>
      </x:c>
      <x:c r="B7" s="22" t="str">
        <x:v>雨天・入浴・港湾展望</x:v>
      </x:c>
      <x:c r="C7" s="22" t="str">
        <x:v>昼・夕方・雨天</x:v>
      </x:c>
      <x:c r="D7" s="22" t="n">
        <x:v>5</x:v>
      </x:c>
      <x:c r="E7" s="22" t="n">
        <x:v>5</x:v>
      </x:c>
      <x:c r="F7" s="22" t="n">
        <x:v>2</x:v>
      </x:c>
      <x:c r="G7" s="22" t="n">
        <x:v>4</x:v>
      </x:c>
      <x:c r="H7" s="22" t="str">
        <x:v>屋外公園／庭園</x:v>
      </x:c>
      <x:c r="I7" s="22" t="str">
        <x:v>雨天でも60～120分の最終目的地になる</x:v>
      </x:c>
      <x:c r="J7" s="22" t="str">
        <x:v>季節・曜日で18:00～20:00閉館</x:v>
      </x:c>
      <x:c r="K7" s="22" t="str">
        <x:v>https://fure-yu.jp/access/</x:v>
      </x:c>
      <x:c r="L7" s="22" t="e">
        <x:f>HYPERLINK("https://www.google.com/maps/dir/?api=1&amp;destination=%E3%81%B5%E3%82%8C%E3%83%BC%E3%82%86&amp;travelmode=driving","開く")</x:f>
      </x:c>
    </x:row>
  </x:sheetData>
  <x:conditionalFormatting sqref="D2:G7">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dabfc37fc5bf4481"/>
  </x:tableParts>
</x:worksheet>
</file>

<file path=xl/worksheets/sheet36.xml><?xml version="1.0" encoding="utf-8"?>
<x:worksheet xmlns:x="http://schemas.openxmlformats.org/spreadsheetml/2006/main">
  <x:sheetFormatPr defaultRowHeight="15"/>
  <x:cols>
    <x:col min="1" max="1" width="10" hidden="0" customWidth="1"/>
    <x:col min="2" max="2" width="48" hidden="0" customWidth="1"/>
    <x:col min="3" max="3" width="48" hidden="0" customWidth="1"/>
    <x:col min="4" max="4" width="30" hidden="0" customWidth="1"/>
    <x:col min="5" max="5" width="45" hidden="0" customWidth="1"/>
    <x:col min="6" max="6" width="38" hidden="0" customWidth="1"/>
    <x:col min="7" max="7" width="18" hidden="0" customWidth="1"/>
    <x:col min="8" max="8" width="12" hidden="0" customWidth="1"/>
    <x:col min="9" max="9" width="12" hidden="0" customWidth="1"/>
    <x:col min="10" max="10" width="14" hidden="0" customWidth="1"/>
  </x:cols>
  <x:sheetData>
    <x:row r="1">
      <x:c r="A1" s="398" t="str">
        <x:v>ルートID</x:v>
      </x:c>
      <x:c r="B1" s="398" t="str">
        <x:v>旧構成</x:v>
      </x:c>
      <x:c r="C1" s="398" t="str">
        <x:v>新構成</x:v>
      </x:c>
      <x:c r="D1" s="398" t="str">
        <x:v>改善軸</x:v>
      </x:c>
      <x:c r="E1" s="398" t="str">
        <x:v>改善前の弱点</x:v>
      </x:c>
      <x:c r="F1" s="398" t="str">
        <x:v>新経由地の役割</x:v>
      </x:c>
      <x:c r="G1" s="398" t="str">
        <x:v>時間帯</x:v>
      </x:c>
      <x:c r="H1" s="398" t="str">
        <x:v>品質点</x:v>
      </x:c>
      <x:c r="I1" s="398" t="str">
        <x:v>多様性</x:v>
      </x:c>
      <x:c r="J1" s="398" t="str">
        <x:v>状態</x:v>
      </x:c>
    </x:row>
    <x:row r="2">
      <x:c r="A2" s="22" t="str">
        <x:v>R056</x:v>
      </x:c>
      <x:c r="B2" s="22" t="str">
        <x:v>横浜港大さん橋 → 根岸森林公園 → 久良岐公園</x:v>
      </x:c>
      <x:c r="C2" s="22" t="str">
        <x:v>横浜市高齢者保養研修施設 ふれーゆ → 横浜港大さん橋 → 横浜港シンボルタワー</x:v>
      </x:c>
      <x:c r="D2" s="22" t="str">
        <x:v>雨天耐性・港湾Story・駐車</x:v>
      </x:c>
      <x:c r="E2" s="22" t="str">
        <x:v>丘陵テーマが港ルートと分離し、雨天代替が弱い</x:v>
      </x:c>
      <x:c r="F2" s="22" t="str">
        <x:v>屋内港湾展望→都市港→ふ頭端</x:v>
      </x:c>
      <x:c r="G2" s="22" t="str">
        <x:v>昼～夕方専用</x:v>
      </x:c>
      <x:c r="H2" s="22" t="n">
        <x:v>91</x:v>
      </x:c>
      <x:c r="I2" s="22" t="n">
        <x:v>94</x:v>
      </x:c>
      <x:c r="J2" s="22" t="str">
        <x:v>差替え済</x:v>
      </x:c>
    </x:row>
    <x:row r="3">
      <x:c r="A3" s="22" t="str">
        <x:v>R059</x:v>
      </x:c>
      <x:c r="B3" s="22" t="str">
        <x:v>大師公園 → 富士見公園 → 夢見ヶ崎動物公園</x:v>
      </x:c>
      <x:c r="C3" s="22" t="str">
        <x:v>ちどり公園 → 東扇島中公園 → 川崎マリエン</x:v>
      </x:c>
      <x:c r="D3" s="22" t="str">
        <x:v>景観高度・共有駐車・テーマ一致</x:v>
      </x:c>
      <x:c r="E3" s="22" t="str">
        <x:v>市街公園が連続し、港湾目的とつながらない</x:v>
      </x:c>
      <x:c r="F3" s="22" t="str">
        <x:v>運河目線→芝生休憩→高所展望</x:v>
      </x:c>
      <x:c r="G3" s="22" t="str">
        <x:v>昼～夕方専用</x:v>
      </x:c>
      <x:c r="H3" s="22" t="n">
        <x:v>94</x:v>
      </x:c>
      <x:c r="I3" s="22" t="n">
        <x:v>93</x:v>
      </x:c>
      <x:c r="J3" s="22" t="str">
        <x:v>差替え済</x:v>
      </x:c>
    </x:row>
    <x:row r="4">
      <x:c r="A4" s="22" t="str">
        <x:v>R138</x:v>
      </x:c>
      <x:c r="B4" s="22" t="str">
        <x:v>池上梅園 → 平和の森公園 → 大森ふるさとの浜辺公園</x:v>
      </x:c>
      <x:c r="C4" s="22" t="str">
        <x:v>池上梅園 → 平和島公園 → 大森ふるさとの浜辺公園</x:v>
      </x:c>
      <x:c r="D4" s="22" t="str">
        <x:v>24時間駐車・地形Story</x:v>
      </x:c>
      <x:c r="E4" s="22" t="str">
        <x:v>平和の森と浜辺の役割が近い</x:v>
      </x:c>
      <x:c r="F4" s="22" t="str">
        <x:v>庭園→24時間公園→海の記憶</x:v>
      </x:c>
      <x:c r="G4" s="22" t="str">
        <x:v>昼～夕方専用</x:v>
      </x:c>
      <x:c r="H4" s="22" t="n">
        <x:v>91</x:v>
      </x:c>
      <x:c r="I4" s="22" t="n">
        <x:v>91</x:v>
      </x:c>
      <x:c r="J4" s="22" t="str">
        <x:v>差替え済</x:v>
      </x:c>
    </x:row>
    <x:row r="5">
      <x:c r="A5" s="22" t="str">
        <x:v>R139</x:v>
      </x:c>
      <x:c r="B5" s="22" t="str">
        <x:v>東京港野鳥公園 → 京浜島つばさ公園 → 城南島海浜公園</x:v>
      </x:c>
      <x:c r="C5" s="22" t="str">
        <x:v>しながわ区民公園 → 大井ふ頭中央海浜公園 → 平和島公園</x:v>
      </x:c>
      <x:c r="D5" s="22" t="str">
        <x:v>飛行機偏重解消・近距離密度</x:v>
      </x:c>
      <x:c r="E5" s="22" t="str">
        <x:v>京浜島・城南島の使い回しが多い</x:v>
      </x:c>
      <x:c r="F5" s="22" t="str">
        <x:v>人工湖→運河・干潟→24時間公園</x:v>
      </x:c>
      <x:c r="G5" s="22" t="str">
        <x:v>夕方専用</x:v>
      </x:c>
      <x:c r="H5" s="22" t="n">
        <x:v>95</x:v>
      </x:c>
      <x:c r="I5" s="22" t="n">
        <x:v>96</x:v>
      </x:c>
      <x:c r="J5" s="22" t="str">
        <x:v>差替え済</x:v>
      </x:c>
    </x:row>
  </x:sheetData>
  <x:conditionalFormatting sqref="H2:I5">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57e1ebc98bab415d"/>
  </x:tableParts>
</x:worksheet>
</file>

<file path=xl/worksheets/sheet37.xml><?xml version="1.0" encoding="utf-8"?>
<x:worksheet xmlns:x="http://schemas.openxmlformats.org/spreadsheetml/2006/main">
  <x:sheetFormatPr defaultRowHeight="15"/>
  <x:cols>
    <x:col min="1" max="1" width="11" hidden="0" customWidth="1"/>
    <x:col min="2" max="2" width="32" hidden="0" customWidth="1"/>
    <x:col min="3" max="3" width="30" hidden="0" customWidth="1"/>
    <x:col min="4" max="4" width="12" hidden="0" customWidth="1"/>
    <x:col min="5" max="5" width="18" hidden="0" customWidth="1"/>
    <x:col min="6" max="6" width="10" hidden="0" customWidth="1"/>
    <x:col min="7" max="7" width="10" hidden="0" customWidth="1"/>
    <x:col min="8" max="8" width="42" hidden="0" customWidth="1"/>
    <x:col min="9" max="9" width="31" hidden="0" customWidth="1"/>
    <x:col min="10" max="10" width="48" hidden="0" customWidth="1"/>
    <x:col min="11" max="11" width="10" hidden="0" customWidth="1"/>
    <x:col min="12" max="12" width="48" hidden="0" customWidth="1"/>
  </x:cols>
  <x:sheetData>
    <x:row r="1">
      <x:c r="A1" s="412" t="str">
        <x:v>Project Cruise｜大田・品川・港・新宿 重点追加</x:v>
      </x:c>
      <x:c r="B1" s="412"/>
      <x:c r="C1" s="412"/>
      <x:c r="D1" s="412"/>
      <x:c r="E1" s="412"/>
      <x:c r="F1" s="412"/>
      <x:c r="G1" s="412"/>
      <x:c r="H1" s="412"/>
      <x:c r="I1" s="412"/>
      <x:c r="J1" s="412"/>
      <x:c r="K1" s="412"/>
      <x:c r="L1" s="412"/>
    </x:row>
    <x:row r="2">
      <x:c r="A2" s="412"/>
      <x:c r="B2" s="412"/>
      <x:c r="C2" s="412"/>
      <x:c r="D2" s="412"/>
      <x:c r="E2" s="412"/>
      <x:c r="F2" s="412"/>
      <x:c r="G2" s="412"/>
      <x:c r="H2" s="412"/>
      <x:c r="I2" s="412"/>
      <x:c r="J2" s="412"/>
      <x:c r="K2" s="412"/>
      <x:c r="L2" s="412"/>
    </x:row>
    <x:row r="3">
      <x:c r="A3" s="415" t="str">
        <x:v>近距離の穴場・都市インフラ・建築・Storyを4区で補強。駐車条件と時間帯を分離して採用。</x:v>
      </x:c>
      <x:c r="B3" s="415"/>
      <x:c r="C3" s="415"/>
      <x:c r="D3" s="415"/>
      <x:c r="E3" s="415"/>
      <x:c r="F3" s="415"/>
      <x:c r="G3" s="415"/>
      <x:c r="H3" s="415"/>
      <x:c r="I3" s="415"/>
      <x:c r="J3" s="415"/>
      <x:c r="K3" s="415"/>
      <x:c r="L3" s="415"/>
    </x:row>
    <x:row r="5">
      <x:c r="A5" s="420" t="str">
        <x:v>大田区</x:v>
      </x:c>
      <x:c r="B5" s="420" t="n">
        <x:v>5</x:v>
      </x:c>
      <x:c r="C5" s="420" t="str">
        <x:v>品川区</x:v>
      </x:c>
      <x:c r="D5" s="420" t="n">
        <x:v>4</x:v>
      </x:c>
      <x:c r="E5" s="420" t="str">
        <x:v>港区</x:v>
      </x:c>
      <x:c r="F5" s="420" t="n">
        <x:v>4</x:v>
      </x:c>
      <x:c r="G5" s="420" t="str">
        <x:v>新宿区</x:v>
      </x:c>
      <x:c r="H5" s="420" t="n">
        <x:v>4</x:v>
      </x:c>
    </x:row>
    <x:row r="6">
      <x:c r="A6" s="420" t="str">
        <x:v>追加地点</x:v>
      </x:c>
      <x:c r="B6" s="420" t="n">
        <x:v>17</x:v>
      </x:c>
      <x:c r="C6" s="420" t="str">
        <x:v>新規ルート</x:v>
      </x:c>
      <x:c r="D6" s="420" t="n">
        <x:v>8</x:v>
      </x:c>
      <x:c r="E6" s="420" t="str">
        <x:v>近距離コア</x:v>
      </x:c>
      <x:c r="F6" s="420" t="n">
        <x:v>93</x:v>
      </x:c>
      <x:c r="G6" s="420" t="str">
        <x:v>累計地点</x:v>
      </x:c>
      <x:c r="H6" s="420" t="n">
        <x:v>275</x:v>
      </x:c>
    </x:row>
    <x:row r="7">
      <x:c r="A7" s="420" t="str">
        <x:v>昼・Story</x:v>
      </x:c>
      <x:c r="B7" s="420" t="n">
        <x:v>7</x:v>
      </x:c>
      <x:c r="C7" s="420" t="str">
        <x:v>夜・建築</x:v>
      </x:c>
      <x:c r="D7" s="420" t="n">
        <x:v>6</x:v>
      </x:c>
      <x:c r="E7" s="420" t="str">
        <x:v>雨天主力</x:v>
      </x:c>
      <x:c r="F7" s="420" t="n">
        <x:v>6</x:v>
      </x:c>
      <x:c r="G7" s="420" t="str">
        <x:v>現在休館注意</x:v>
      </x:c>
      <x:c r="H7" s="420" t="n">
        <x:v>1</x:v>
      </x:c>
    </x:row>
    <x:row r="10">
      <x:c r="A10" s="407" t="str">
        <x:v>区</x:v>
      </x:c>
      <x:c r="B10" s="407" t="str">
        <x:v>地点</x:v>
      </x:c>
      <x:c r="C10" s="407" t="str">
        <x:v>カテゴリ</x:v>
      </x:c>
      <x:c r="D10" s="407" t="str">
        <x:v>距離帯</x:v>
      </x:c>
      <x:c r="E10" s="407" t="str">
        <x:v>所要</x:v>
      </x:c>
      <x:c r="F10" s="407" t="str">
        <x:v>夜間</x:v>
      </x:c>
      <x:c r="G10" s="407" t="str">
        <x:v>雨天</x:v>
      </x:c>
      <x:c r="H10" s="407" t="str">
        <x:v>駐車条件</x:v>
      </x:c>
      <x:c r="I10" s="407" t="str">
        <x:v>主な使い方</x:v>
      </x:c>
      <x:c r="J10" s="407" t="str">
        <x:v>注意</x:v>
      </x:c>
      <x:c r="K10" s="407" t="str">
        <x:v>Googleマップ</x:v>
      </x:c>
      <x:c r="L10" s="407" t="str">
        <x:v>公式情報源</x:v>
      </x:c>
    </x:row>
    <x:row r="11">
      <x:c r="A11" s="22" t="str">
        <x:v>大田区</x:v>
      </x:c>
      <x:c r="B11" s="22" t="str">
        <x:v>大森 海苔のふるさと館</x:v>
      </x:c>
      <x:c r="C11" s="22" t="str">
        <x:v>産業遺産・海苔・博物館Story</x:v>
      </x:c>
      <x:c r="D11" s="22" t="str">
        <x:v>0〜10km</x:v>
      </x:c>
      <x:c r="E11" s="22" t="str">
        <x:v>通常15〜25分</x:v>
      </x:c>
      <x:c r="F11" s="22" t="n">
        <x:v>1</x:v>
      </x:c>
      <x:c r="G11" s="22" t="n">
        <x:v>5</x:v>
      </x:c>
      <x:c r="H11" s="22" t="str">
        <x:v>隣接する平和の森公園有料駐車場を利用</x:v>
      </x:c>
      <x:c r="I11" s="22" t="str">
        <x:v>昼・産業Story・雨天</x:v>
      </x:c>
      <x:c r="J11" s="22" t="str">
        <x:v>第3月曜（祝日の場合は翌日）と年末年始は休館。駐車場混雑時は大森ふるさとの浜辺公園側へ切替。</x:v>
      </x:c>
      <x:c r="K11" s="22" t="e">
        <x:f>HYPERLINK("https://www.google.com/maps/dir/?api=1&amp;destination=%E5%A4%A7%E6%A3%AE%20%E6%B5%B7%E8%8B%94%E3%81%AE%E3%81%B5%E3%82%8B%E3%81%95%E3%81%A8%E9%A4%A8&amp;travelmode=driving","開く")</x:f>
      </x:c>
      <x:c r="L11" s="22" t="str">
        <x:v>https://www.city.ota.tokyo.jp/shisetsu/hakubutsukan/oomori_norinofurusatokan.html</x:v>
      </x:c>
    </x:row>
    <x:row r="12">
      <x:c r="A12" s="22" t="str">
        <x:v>大田区</x:v>
      </x:c>
      <x:c r="B12" s="22" t="str">
        <x:v>萩中公園</x:v>
      </x:c>
      <x:c r="C12" s="22" t="str">
        <x:v>交通公園・SL・プール・家族Story</x:v>
      </x:c>
      <x:c r="D12" s="22" t="str">
        <x:v>0〜10km</x:v>
      </x:c>
      <x:c r="E12" s="22" t="str">
        <x:v>通常10〜20分</x:v>
      </x:c>
      <x:c r="F12" s="22" t="n">
        <x:v>4</x:v>
      </x:c>
      <x:c r="G12" s="22" t="n">
        <x:v>3</x:v>
      </x:c>
      <x:c r="H12" s="22" t="str">
        <x:v>一般用45台（平日）／63台（休日）＋身障者用2台・普通車30分100円・24時間</x:v>
      </x:c>
      <x:c r="I12" s="22" t="str">
        <x:v>家族・交通Story・短時間</x:v>
      </x:c>
      <x:c r="J12" s="22" t="str">
        <x:v>夜間は公園・駐車のみ成立し、保存車両・交通公園・遊具Storyは17時までが主力。土日祝は駐車場混雑。プール利用者専用駐車場ではない。</x:v>
      </x:c>
      <x:c r="K12" s="22" t="e">
        <x:f>HYPERLINK("https://www.google.com/maps/dir/?api=1&amp;destination=%E8%90%A9%E4%B8%AD%E5%85%AC%E5%9C%92&amp;travelmode=driving","開く")</x:f>
      </x:c>
      <x:c r="L12" s="22" t="str">
        <x:v>https://www.city.ota.tokyo.jp/shisetsu/park/haginaka.html</x:v>
      </x:c>
    </x:row>
    <x:row r="13">
      <x:c r="A13" s="22" t="str">
        <x:v>大田区</x:v>
      </x:c>
      <x:c r="B13" s="22" t="str">
        <x:v>大田区立郷土博物館</x:v>
      </x:c>
      <x:c r="C13" s="22" t="str">
        <x:v>郷土史・考古・民俗・雨天</x:v>
      </x:c>
      <x:c r="D13" s="22" t="str">
        <x:v>0〜10km</x:v>
      </x:c>
      <x:c r="E13" s="22" t="str">
        <x:v>通常15〜30分</x:v>
      </x:c>
      <x:c r="F13" s="22" t="n">
        <x:v>1</x:v>
      </x:c>
      <x:c r="G13" s="22" t="n">
        <x:v>5</x:v>
      </x:c>
      <x:c r="H13" s="22" t="str">
        <x:v>敷地内約6台・無料</x:v>
      </x:c>
      <x:c r="I13" s="22" t="str">
        <x:v>雨天・歴史Story・昼</x:v>
      </x:c>
      <x:c r="J13" s="22" t="str">
        <x:v>月曜・年末年始等休館。2026年11月30日～2027年3月31日は改修休館予定。駐車台数が少ないため満車時は周辺民間駐車場へ。</x:v>
      </x:c>
      <x:c r="K13" s="22" t="e">
        <x:f>HYPERLINK("https://www.google.com/maps/dir/?api=1&amp;destination=%E5%A4%A7%E7%94%B0%E5%8C%BA%E7%AB%8B%E9%83%B7%E5%9C%9F%E5%8D%9A%E7%89%A9%E9%A4%A8&amp;travelmode=driving","開く")</x:f>
      </x:c>
      <x:c r="L13" s="22" t="str">
        <x:v>https://www.city.ota.tokyo.jp/seikatsu/manabu/hakubutsukan/R8_kyoudohakubutsukan_annai.html</x:v>
      </x:c>
    </x:row>
    <x:row r="14">
      <x:c r="A14" s="22" t="str">
        <x:v>大田区</x:v>
      </x:c>
      <x:c r="B14" s="22" t="str">
        <x:v>昭和島二丁目公園</x:v>
      </x:c>
      <x:c r="C14" s="22" t="str">
        <x:v>工業島・運河・スポーツ・行き止まり</x:v>
      </x:c>
      <x:c r="D14" s="22" t="str">
        <x:v>0〜10km</x:v>
      </x:c>
      <x:c r="E14" s="22" t="str">
        <x:v>通常20〜35分</x:v>
      </x:c>
      <x:c r="F14" s="22" t="n">
        <x:v>4</x:v>
      </x:c>
      <x:c r="G14" s="22" t="n">
        <x:v>1</x:v>
      </x:c>
      <x:c r="H14" s="22" t="str">
        <x:v>43台（身障者用1台含む）・30分100円</x:v>
      </x:c>
      <x:c r="I14" s="22" t="str">
        <x:v>夕方・産業景観・穴場</x:v>
      </x:c>
      <x:c r="J14" s="22" t="str">
        <x:v>年末年始休場。競技利用・工事で混雑する場合あり。工場敷地や岸壁へ入らない。閉場後は出庫不可。</x:v>
      </x:c>
      <x:c r="K14" s="22" t="e">
        <x:f>HYPERLINK("https://www.google.com/maps/dir/?api=1&amp;destination=%E6%98%AD%E5%92%8C%E5%B3%B6%E4%BA%8C%E4%B8%81%E7%9B%AE%E5%85%AC%E5%9C%92&amp;travelmode=driving","開く")</x:f>
      </x:c>
      <x:c r="L14" s="22" t="str">
        <x:v>https://www.city.ota.tokyo.jp/shisetsu/park/shouwajima_ryokudou.html</x:v>
      </x:c>
    </x:row>
    <x:row r="15">
      <x:c r="A15" s="22" t="str">
        <x:v>大田区</x:v>
      </x:c>
      <x:c r="B15" s="22" t="str">
        <x:v>東糀谷防災公園</x:v>
      </x:c>
      <x:c r="C15" s="22" t="str">
        <x:v>防災公園・ビオトープ・都市インフラ</x:v>
      </x:c>
      <x:c r="D15" s="22" t="str">
        <x:v>0〜10km</x:v>
      </x:c>
      <x:c r="E15" s="22" t="str">
        <x:v>通常15〜25分</x:v>
      </x:c>
      <x:c r="F15" s="22" t="n">
        <x:v>4</x:v>
      </x:c>
      <x:c r="G15" s="22" t="n">
        <x:v>1</x:v>
      </x:c>
      <x:c r="H15" s="22" t="str">
        <x:v>一般用9台＋身障者用1台・30分100円・24時間</x:v>
      </x:c>
      <x:c r="I15" s="22" t="str">
        <x:v>深夜短時間・防災Story</x:v>
      </x:c>
      <x:c r="J15" s="22" t="str">
        <x:v>駐車枠は合計10台だが一般枠は9台。満車時は待たずに萩中公園またはHICへ切替。災害時は防災拠点として一般利用制限の可能性あり。</x:v>
      </x:c>
      <x:c r="K15" s="22" t="e">
        <x:f>HYPERLINK("https://www.google.com/maps/dir/?api=1&amp;destination=%E6%9D%B1%E7%B3%80%E8%B0%B7%E9%98%B2%E7%81%BD%E5%85%AC%E5%9C%92&amp;travelmode=driving","開く")</x:f>
      </x:c>
      <x:c r="L15" s="22" t="str">
        <x:v>https://www.city.ota.tokyo.jp/shisetsu/park/higasikoujiyabousai.html</x:v>
      </x:c>
    </x:row>
    <x:row r="16">
      <x:c r="A16" s="22" t="str">
        <x:v>品川区</x:v>
      </x:c>
      <x:c r="B16" s="22" t="str">
        <x:v>品川区立 品川歴史館</x:v>
      </x:c>
      <x:c r="C16" s="22" t="str">
        <x:v>東海道・大森貝塚・地域史・雨天</x:v>
      </x:c>
      <x:c r="D16" s="22" t="str">
        <x:v>0〜10km</x:v>
      </x:c>
      <x:c r="E16" s="22" t="str">
        <x:v>通常15〜30分</x:v>
      </x:c>
      <x:c r="F16" s="22" t="n">
        <x:v>1</x:v>
      </x:c>
      <x:c r="G16" s="22" t="n">
        <x:v>5</x:v>
      </x:c>
      <x:c r="H16" s="22" t="str">
        <x:v>玄関前3台・無料</x:v>
      </x:c>
      <x:c r="I16" s="22" t="str">
        <x:v>雨天・東海道Story・昼</x:v>
      </x:c>
      <x:c r="J16" s="22" t="str">
        <x:v>月曜・年末年始休館。駐車は3台のみで館利用者限定。満車時は大井町・大森周辺の時間貸し駐車場へ切替。</x:v>
      </x:c>
      <x:c r="K16" s="22" t="e">
        <x:f>HYPERLINK("https://www.google.com/maps/dir/?api=1&amp;destination=%E5%93%81%E5%B7%9D%E5%8C%BA%E7%AB%8B%20%E5%93%81%E5%B7%9D%E6%AD%B4%E5%8F%B2%E9%A4%A8&amp;travelmode=driving","開く")</x:f>
      </x:c>
      <x:c r="L16" s="22" t="str">
        <x:v>https://www.city.shinagawa.tokyo.jp/jigyo/06/historyhp/raikan/raikan.html</x:v>
      </x:c>
    </x:row>
    <x:row r="17">
      <x:c r="A17" s="22" t="str">
        <x:v>品川区</x:v>
      </x:c>
      <x:c r="B17" s="22" t="str">
        <x:v>天王洲公園</x:v>
      </x:c>
      <x:c r="C17" s="22" t="str">
        <x:v>運河・倉庫街・スポーツ・アート街区</x:v>
      </x:c>
      <x:c r="D17" s="22" t="str">
        <x:v>10〜20km</x:v>
      </x:c>
      <x:c r="E17" s="22" t="str">
        <x:v>通常25〜40分</x:v>
      </x:c>
      <x:c r="F17" s="22" t="n">
        <x:v>4</x:v>
      </x:c>
      <x:c r="G17" s="22" t="n">
        <x:v>2</x:v>
      </x:c>
      <x:c r="H17" s="22" t="str">
        <x:v>有料駐車場あり・台数は公式案内で当日確認</x:v>
      </x:c>
      <x:c r="I17" s="22" t="str">
        <x:v>夜・運河・建築・アート</x:v>
      </x:c>
      <x:c r="J17" s="22" t="str">
        <x:v>イベント・大会日は駐車混雑。運河沿いは強風時に体感が悪化。アート施設や店舗の営業時間は個別確認。</x:v>
      </x:c>
      <x:c r="K17" s="22" t="e">
        <x:f>HYPERLINK("https://www.google.com/maps/dir/?api=1&amp;destination=%E5%A4%A9%E7%8E%8B%E6%B4%B2%E5%85%AC%E5%9C%92&amp;travelmode=driving","開く")</x:f>
      </x:c>
      <x:c r="L17" s="22" t="str">
        <x:v>https://www.city.shinagawa.tokyo.jp/PC/sangyo/sangyo-bunka/sangyo-bunka-kakushisetsu/sangyo-bunka-kakushisetsu-kouen/hpg000006479.html</x:v>
      </x:c>
    </x:row>
    <x:row r="18">
      <x:c r="A18" s="22" t="str">
        <x:v>品川区</x:v>
      </x:c>
      <x:c r="B18" s="22" t="str">
        <x:v>八潮北公園</x:v>
      </x:c>
      <x:c r="C18" s="22" t="str">
        <x:v>スケート・湾岸高架・工業景観</x:v>
      </x:c>
      <x:c r="D18" s="22" t="str">
        <x:v>10〜20km</x:v>
      </x:c>
      <x:c r="E18" s="22" t="str">
        <x:v>通常20〜40分</x:v>
      </x:c>
      <x:c r="F18" s="22" t="n">
        <x:v>4</x:v>
      </x:c>
      <x:c r="G18" s="22" t="n">
        <x:v>1</x:v>
      </x:c>
      <x:c r="H18" s="22" t="str">
        <x:v>有料駐車場あり・台数は公式案内で当日確認</x:v>
      </x:c>
      <x:c r="I18" s="22" t="str">
        <x:v>夜・都市インフラ・穴場</x:v>
      </x:c>
      <x:c r="J18" s="22" t="str">
        <x:v>スケート場・球技利用で混雑。施設休場日と大会予定を確認。夜間は利用範囲と照明区域を守る。</x:v>
      </x:c>
      <x:c r="K18" s="22" t="e">
        <x:f>HYPERLINK("https://www.google.com/maps/dir/?api=1&amp;destination=%E5%85%AB%E6%BD%AE%E5%8C%97%E5%85%AC%E5%9C%92&amp;travelmode=driving","開く")</x:f>
      </x:c>
      <x:c r="L18" s="22" t="str">
        <x:v>https://www.city.shinagawa.tokyo.jp/PC/sangyo/sangyo-bunka/sangyo-bunka-kakushisetsu/sangyo-bunka-kakushisetsu-kouen/hpg000006479.html</x:v>
      </x:c>
    </x:row>
    <x:row r="19">
      <x:c r="A19" s="22" t="str">
        <x:v>品川区</x:v>
      </x:c>
      <x:c r="B19" s="22" t="str">
        <x:v>東京シティ競馬 大井競馬場</x:v>
      </x:c>
      <x:c r="C19" s="22" t="str">
        <x:v>ナイター競馬・照明・昭和娯楽Story</x:v>
      </x:c>
      <x:c r="D19" s="22" t="str">
        <x:v>0〜10km</x:v>
      </x:c>
      <x:c r="E19" s="22" t="str">
        <x:v>通常20〜35分</x:v>
      </x:c>
      <x:c r="F19" s="22" t="n">
        <x:v>5</x:v>
      </x:c>
      <x:c r="G19" s="22" t="n">
        <x:v>3</x:v>
      </x:c>
      <x:c r="H19" s="22" t="str">
        <x:v>開催日の一般車駐車場・通常2,000円／特定繁忙日3,000円・予約制の場合あり</x:v>
      </x:c>
      <x:c r="I19" s="22" t="str">
        <x:v>開催日夜・照明・娯楽Story</x:v>
      </x:c>
      <x:c r="J19" s="22" t="str">
        <x:v>非開催日は目的地として成立しにくい。繁忙日は完全予約制や料金変更あり。飲酒運転厳禁。</x:v>
      </x:c>
      <x:c r="K19" s="22" t="e">
        <x:f>HYPERLINK("https://www.google.com/maps/dir/?api=1&amp;destination=%E6%9D%B1%E4%BA%AC%E3%82%B7%E3%83%86%E3%82%A3%E7%AB%B6%E9%A6%AC%20%E5%A4%A7%E4%BA%95%E7%AB%B6%E9%A6%AC%E5%A0%B4&amp;travelmode=driving","開く")</x:f>
      </x:c>
      <x:c r="L19" s="22" t="str">
        <x:v>https://www.tokyocitykeiba.com/</x:v>
      </x:c>
    </x:row>
    <x:row r="20">
      <x:c r="A20" s="22" t="str">
        <x:v>港区</x:v>
      </x:c>
      <x:c r="B20" s="22" t="str">
        <x:v>東京タワー</x:v>
      </x:c>
      <x:c r="C20" s="22" t="str">
        <x:v>展望・建築・放送塔Story・夜景</x:v>
      </x:c>
      <x:c r="D20" s="22" t="str">
        <x:v>10〜20km</x:v>
      </x:c>
      <x:c r="E20" s="22" t="str">
        <x:v>通常30〜50分</x:v>
      </x:c>
      <x:c r="F20" s="22" t="n">
        <x:v>5</x:v>
      </x:c>
      <x:c r="G20" s="22" t="n">
        <x:v>5</x:v>
      </x:c>
      <x:c r="H20" s="22" t="str">
        <x:v>地上駐車場を利用・最初の1時間800円、以降30分400円／地下駐車場はメンテナンスのため営業見合わせ中</x:v>
      </x:c>
      <x:c r="I20" s="22" t="str">
        <x:v>夜景・建築・雨天</x:v>
      </x:c>
      <x:c r="J20" s="22" t="str">
        <x:v>地下駐車場は2026年6月1日以降、営業見合わせ中。地上駐車場満車時は近隣駐車場へ。最終入場22:30を過ぎたら外観鑑賞ルートへ変更。</x:v>
      </x:c>
      <x:c r="K20" s="22" t="e">
        <x:f>HYPERLINK("https://www.google.com/maps/dir/?api=1&amp;destination=%E6%9D%B1%E4%BA%AC%E3%82%BF%E3%83%AF%E3%83%BC&amp;travelmode=driving","開く")</x:f>
      </x:c>
      <x:c r="L20" s="22" t="str">
        <x:v>https://www.tokyotower.co.jp/information/20260601000623/</x:v>
      </x:c>
    </x:row>
    <x:row r="21">
      <x:c r="A21" s="22" t="str">
        <x:v>港区</x:v>
      </x:c>
      <x:c r="B21" s="22" t="str">
        <x:v>東京ミッドタウン／ミッドタウン・ガーデン</x:v>
      </x:c>
      <x:c r="C21" s="22" t="str">
        <x:v>現代建築・庭園・美術・雨天</x:v>
      </x:c>
      <x:c r="D21" s="22" t="str">
        <x:v>10〜20km</x:v>
      </x:c>
      <x:c r="E21" s="22" t="str">
        <x:v>通常35〜55分</x:v>
      </x:c>
      <x:c r="F21" s="22" t="n">
        <x:v>5</x:v>
      </x:c>
      <x:c r="G21" s="22" t="n">
        <x:v>5</x:v>
      </x:c>
      <x:c r="H21" s="22" t="str">
        <x:v>駐車場24時間・30分400円・台数は公式案内で当日確認</x:v>
      </x:c>
      <x:c r="I21" s="22" t="str">
        <x:v>雨天・建築・夜・食事</x:v>
      </x:c>
      <x:c r="J21" s="22" t="str">
        <x:v>イベント設営や季節催事で庭園動線が変わる。美術館・店舗の休館日を個別確認。</x:v>
      </x:c>
      <x:c r="K21" s="22" t="e">
        <x:f>HYPERLINK("https://www.google.com/maps/dir/?api=1&amp;destination=%E6%9D%B1%E4%BA%AC%E3%83%9F%E3%83%83%E3%83%89%E3%82%BF%E3%82%A6%E3%83%B3%EF%BC%8F%E3%83%9F%E3%83%83%E3%83%89%E3%82%BF%E3%82%A6%E3%83%B3%E3%83%BB%E3%82%AC%E3%83%BC%E3%83%87%E3%83%B3&amp;travelmode=driving","開く")</x:f>
      </x:c>
      <x:c r="L21" s="22" t="str">
        <x:v>https://www.tokyo-midtown.com/jp/access/</x:v>
      </x:c>
    </x:row>
    <x:row r="22">
      <x:c r="A22" s="22" t="str">
        <x:v>港区</x:v>
      </x:c>
      <x:c r="B22" s="22" t="str">
        <x:v>六本木ヒルズ 東京シティビュー</x:v>
      </x:c>
      <x:c r="C22" s="22" t="str">
        <x:v>高層展望・現代都市・美術</x:v>
      </x:c>
      <x:c r="D22" s="22" t="str">
        <x:v>10〜20km</x:v>
      </x:c>
      <x:c r="E22" s="22" t="str">
        <x:v>通常35〜60分</x:v>
      </x:c>
      <x:c r="F22" s="22" t="n">
        <x:v>5</x:v>
      </x:c>
      <x:c r="G22" s="22" t="n">
        <x:v>5</x:v>
      </x:c>
      <x:c r="H22" s="22" t="str">
        <x:v>六本木ヒルズ駐車場・24時間・15分200円を基本／入口制限あり</x:v>
      </x:c>
      <x:c r="I22" s="22" t="str">
        <x:v>夜景・建築・美術</x:v>
      </x:c>
      <x:c r="J22" s="22" t="str">
        <x:v>2026年7月29日現在は休館中。8月1日再開予定。企画展切替・貸切で営業時間変更あり。</x:v>
      </x:c>
      <x:c r="K22" s="22" t="e">
        <x:f>HYPERLINK("https://www.google.com/maps/dir/?api=1&amp;destination=%E5%85%AD%E6%9C%AC%E6%9C%A8%E3%83%92%E3%83%AB%E3%82%BA%20%E6%9D%B1%E4%BA%AC%E3%82%B7%E3%83%86%E3%82%A3%E3%83%93%E3%83%A5%E3%83%BC&amp;travelmode=driving","開く")</x:f>
      </x:c>
      <x:c r="L22" s="22" t="str">
        <x:v>https://art-view.roppongihills.com/en/info/index.html</x:v>
      </x:c>
    </x:row>
    <x:row r="23">
      <x:c r="A23" s="22" t="str">
        <x:v>港区</x:v>
      </x:c>
      <x:c r="B23" s="22" t="str">
        <x:v>品川シーズンテラス／芝浦中央公園</x:v>
      </x:c>
      <x:c r="C23" s="22" t="str">
        <x:v>水再生センター・屋上緑地・高層建築</x:v>
      </x:c>
      <x:c r="D23" s="22" t="str">
        <x:v>10〜20km</x:v>
      </x:c>
      <x:c r="E23" s="22" t="str">
        <x:v>通常25〜45分</x:v>
      </x:c>
      <x:c r="F23" s="22" t="n">
        <x:v>4</x:v>
      </x:c>
      <x:c r="G23" s="22" t="n">
        <x:v>3</x:v>
      </x:c>
      <x:c r="H23" s="22" t="str">
        <x:v>一般313台＋身障者用6台・7:00～23:00・最初の1時間600円、以降30分300円、最大2,600円</x:v>
      </x:c>
      <x:c r="I23" s="22" t="str">
        <x:v>夕方・都市インフラ・建築</x:v>
      </x:c>
      <x:c r="J23" s="22" t="str">
        <x:v>イベント時は芝生・水景施設が制限される場合あり。23時以降は入出庫不可。オフィス利用者への配慮。</x:v>
      </x:c>
      <x:c r="K23" s="22" t="e">
        <x:f>HYPERLINK("https://www.google.com/maps/dir/?api=1&amp;destination=%E5%93%81%E5%B7%9D%E3%82%B7%E3%83%BC%E3%82%BA%E3%83%B3%E3%83%86%E3%83%A9%E3%82%B9%EF%BC%8F%E8%8A%9D%E6%B5%A6%E4%B8%AD%E5%A4%AE%E5%85%AC%E5%9C%92&amp;travelmode=driving","開く")</x:f>
      </x:c>
      <x:c r="L23" s="22" t="str">
        <x:v>https://shinagawa-st.jp/access/parking.html</x:v>
      </x:c>
    </x:row>
    <x:row r="24">
      <x:c r="A24" s="22" t="str">
        <x:v>新宿区</x:v>
      </x:c>
      <x:c r="B24" s="22" t="str">
        <x:v>東京都庁展望室</x:v>
      </x:c>
      <x:c r="C24" s="22" t="str">
        <x:v>無料展望・超高層建築・都市夜景</x:v>
      </x:c>
      <x:c r="D24" s="22" t="str">
        <x:v>10〜20km</x:v>
      </x:c>
      <x:c r="E24" s="22" t="str">
        <x:v>通常40〜65分</x:v>
      </x:c>
      <x:c r="F24" s="22" t="n">
        <x:v>5</x:v>
      </x:c>
      <x:c r="G24" s="22" t="n">
        <x:v>5</x:v>
      </x:c>
      <x:c r="H24" s="22" t="str">
        <x:v>第一本庁舎駐車場・最初の1時間は30分150円、以降30分250円、当日上限2,000円</x:v>
      </x:c>
      <x:c r="I24" s="22" t="str">
        <x:v>夜景・建築・無料展望</x:v>
      </x:c>
      <x:c r="J24" s="22" t="str">
        <x:v>22:00を過ぎると出庫不可。都庁通り入口8:30、公園通り入口8:00、入庫締切21:30。展望室休室・入場待ちを確認。</x:v>
      </x:c>
      <x:c r="K24" s="22" t="e">
        <x:f>HYPERLINK("https://www.google.com/maps/dir/?api=1&amp;destination=%E6%9D%B1%E4%BA%AC%E9%83%BD%E5%BA%81%E5%B1%95%E6%9C%9B%E5%AE%A4&amp;travelmode=driving","開く")</x:f>
      </x:c>
      <x:c r="L24" s="22" t="str">
        <x:v>https://www.zaimu.metro.tokyo.lg.jp/tochousha/goannai/shisetsu</x:v>
      </x:c>
    </x:row>
    <x:row r="25">
      <x:c r="A25" s="22" t="str">
        <x:v>新宿区</x:v>
      </x:c>
      <x:c r="B25" s="22" t="str">
        <x:v>新宿御苑</x:v>
      </x:c>
      <x:c r="C25" s="22" t="str">
        <x:v>庭園・温室・都市の静けさ・Story</x:v>
      </x:c>
      <x:c r="D25" s="22" t="str">
        <x:v>10〜20km</x:v>
      </x:c>
      <x:c r="E25" s="22" t="str">
        <x:v>通常40〜65分</x:v>
      </x:c>
      <x:c r="F25" s="22" t="n">
        <x:v>1</x:v>
      </x:c>
      <x:c r="G25" s="22" t="n">
        <x:v>4</x:v>
      </x:c>
      <x:c r="H25" s="22" t="str">
        <x:v>普通車200台・7:30～21:00・入園者は120分600円、以降30分200円、最大2,900円</x:v>
      </x:c>
      <x:c r="I25" s="22" t="str">
        <x:v>休日半日・庭園・雨天温室</x:v>
      </x:c>
      <x:c r="J25" s="22" t="str">
        <x:v>開園時間は季節変動。酒類持込・遊具等の規制あり。花見期は駐車混雑と入場制限を想定。</x:v>
      </x:c>
      <x:c r="K25" s="22" t="e">
        <x:f>HYPERLINK("https://www.google.com/maps/dir/?api=1&amp;destination=%E6%96%B0%E5%AE%BF%E5%BE%A1%E8%8B%91&amp;travelmode=driving","開く")</x:f>
      </x:c>
      <x:c r="L25" s="22" t="str">
        <x:v>https://policies.env.go.jp/national-garden/shinjukugyoen/guide/information/</x:v>
      </x:c>
    </x:row>
    <x:row r="26">
      <x:c r="A26" s="22" t="str">
        <x:v>新宿区</x:v>
      </x:c>
      <x:c r="B26" s="22" t="str">
        <x:v>明治神宮外苑 聖徳記念絵画館</x:v>
      </x:c>
      <x:c r="C26" s="22" t="str">
        <x:v>近代建築・絵画・明治史Story</x:v>
      </x:c>
      <x:c r="D26" s="22" t="str">
        <x:v>10〜20km</x:v>
      </x:c>
      <x:c r="E26" s="22" t="str">
        <x:v>通常35〜60分</x:v>
      </x:c>
      <x:c r="F26" s="22" t="n">
        <x:v>2</x:v>
      </x:c>
      <x:c r="G26" s="22" t="n">
        <x:v>4</x:v>
      </x:c>
      <x:c r="H26" s="22" t="str">
        <x:v>絵画館駐車場・通常396台だが保存修理工事中は約100台減少・5:30～21:00・普通車1日2,000円</x:v>
      </x:c>
      <x:c r="I26" s="22" t="str">
        <x:v>建築・歴史Story・昼</x:v>
      </x:c>
      <x:c r="J26" s="22" t="str">
        <x:v>日曜・祝日の交通規制、イベント・スポーツ開催による駐車制限を確認。保存修理工事中は通常396台から約100台減少。</x:v>
      </x:c>
      <x:c r="K26" s="22" t="e">
        <x:f>HYPERLINK("https://www.google.com/maps/dir/?api=1&amp;destination=%E6%98%8E%E6%B2%BB%E7%A5%9E%E5%AE%AE%E5%A4%96%E8%8B%91%20%E8%81%96%E5%BE%B3%E8%A8%98%E5%BF%B5%E7%B5%B5%E7%94%BB%E9%A4%A8&amp;travelmode=driving","開く")</x:f>
      </x:c>
      <x:c r="L26" s="22" t="str">
        <x:v>https://www.meijijingugaien.jp/parking/</x:v>
      </x:c>
    </x:row>
    <x:row r="27">
      <x:c r="A27" s="22" t="str">
        <x:v>新宿区</x:v>
      </x:c>
      <x:c r="B27" s="22" t="str">
        <x:v>新宿NSビル アトリウム・大時計</x:v>
      </x:c>
      <x:c r="C27" s="22" t="str">
        <x:v>巨大吹抜け・大時計・超高層建築・雨天</x:v>
      </x:c>
      <x:c r="D27" s="22" t="str">
        <x:v>10〜20km</x:v>
      </x:c>
      <x:c r="E27" s="22" t="str">
        <x:v>通常40〜65分</x:v>
      </x:c>
      <x:c r="F27" s="22" t="n">
        <x:v>4</x:v>
      </x:c>
      <x:c r="G27" s="22" t="n">
        <x:v>5</x:v>
      </x:c>
      <x:c r="H27" s="22" t="str">
        <x:v>駐車場336台・時間貸し約100台・6:30～23:30・30分300円</x:v>
      </x:c>
      <x:c r="I27" s="22" t="str">
        <x:v>雨天・建築・夜</x:v>
      </x:c>
      <x:c r="J27" s="22" t="str">
        <x:v>イベント・テナント営業時間を確認。深夜はアトリウム立入範囲が限定される場合あり。</x:v>
      </x:c>
      <x:c r="K27" s="22" t="e">
        <x:f>HYPERLINK("https://www.google.com/maps/dir/?api=1&amp;destination=%E6%96%B0%E5%AE%BFNS%E3%83%93%E3%83%AB%20%E3%82%A2%E3%83%88%E3%83%AA%E3%82%A6%E3%83%A0%E3%83%BB%E5%A4%A7%E6%99%82%E8%A8%88&amp;travelmode=driving","開く")</x:f>
      </x:c>
      <x:c r="L27" s="22" t="str">
        <x:v>https://www.shinjuku-ns.jp/access/</x:v>
      </x:c>
    </x:row>
  </x:sheetData>
  <x:mergeCells>
    <x:mergeCell ref="A1:L2"/>
    <x:mergeCell ref="A3:L3"/>
  </x:mergeCells>
  <x:conditionalFormatting sqref="F11:G27">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d422b8ad3f124310"/>
  </x:tableParts>
</x:worksheet>
</file>

<file path=xl/worksheets/sheet38.xml><?xml version="1.0" encoding="utf-8"?>
<x:worksheet xmlns:x="http://schemas.openxmlformats.org/spreadsheetml/2006/main">
  <x:sheetFormatPr defaultRowHeight="15"/>
  <x:cols>
    <x:col min="1" max="1" width="10" hidden="0" customWidth="1"/>
    <x:col min="2" max="2" width="12" hidden="0" customWidth="1"/>
    <x:col min="3" max="3" width="31" hidden="0" customWidth="1"/>
    <x:col min="4" max="4" width="18" hidden="0" customWidth="1"/>
    <x:col min="5" max="5" width="31" hidden="0" customWidth="1"/>
    <x:col min="6" max="6" width="31" hidden="0" customWidth="1"/>
    <x:col min="7" max="7" width="32" hidden="0" customWidth="1"/>
    <x:col min="8" max="8" width="16" hidden="0" customWidth="1"/>
    <x:col min="9" max="9" width="10" hidden="0" customWidth="1"/>
    <x:col min="10" max="10" width="10" hidden="0" customWidth="1"/>
    <x:col min="11" max="11" width="10" hidden="0" customWidth="1"/>
    <x:col min="12" max="12" width="50" hidden="0" customWidth="1"/>
    <x:col min="13" max="13" width="10" hidden="0" customWidth="1"/>
  </x:cols>
  <x:sheetData>
    <x:row r="1">
      <x:c r="A1" s="426" t="str">
        <x:v>4区用途別ルート｜新規8本</x:v>
      </x:c>
      <x:c r="B1" s="426"/>
      <x:c r="C1" s="426"/>
      <x:c r="D1" s="426"/>
      <x:c r="E1" s="426"/>
      <x:c r="F1" s="426"/>
      <x:c r="G1" s="426"/>
      <x:c r="H1" s="426"/>
      <x:c r="I1" s="426"/>
      <x:c r="J1" s="426"/>
      <x:c r="K1" s="426"/>
      <x:c r="L1" s="426"/>
      <x:c r="M1" s="426"/>
    </x:row>
    <x:row r="2">
      <x:c r="A2" s="426"/>
      <x:c r="B2" s="426"/>
      <x:c r="C2" s="426"/>
      <x:c r="D2" s="426"/>
      <x:c r="E2" s="426"/>
      <x:c r="F2" s="426"/>
      <x:c r="G2" s="426"/>
      <x:c r="H2" s="426"/>
      <x:c r="I2" s="426"/>
      <x:c r="J2" s="426"/>
      <x:c r="K2" s="426"/>
      <x:c r="L2" s="426"/>
      <x:c r="M2" s="426"/>
    </x:row>
    <x:row r="4">
      <x:c r="A4" s="407" t="str">
        <x:v>ルートID</x:v>
      </x:c>
      <x:c r="B4" s="407" t="str">
        <x:v>区・系統</x:v>
      </x:c>
      <x:c r="C4" s="407" t="str">
        <x:v>タイトル</x:v>
      </x:c>
      <x:c r="D4" s="407" t="str">
        <x:v>用途</x:v>
      </x:c>
      <x:c r="E4" s="407" t="str">
        <x:v>経由地1</x:v>
      </x:c>
      <x:c r="F4" s="407" t="str">
        <x:v>経由地2</x:v>
      </x:c>
      <x:c r="G4" s="407" t="str">
        <x:v>最終目的地</x:v>
      </x:c>
      <x:c r="H4" s="407" t="str">
        <x:v>総時間</x:v>
      </x:c>
      <x:c r="I4" s="407" t="str">
        <x:v>夜間</x:v>
      </x:c>
      <x:c r="J4" s="407" t="str">
        <x:v>品質</x:v>
      </x:c>
      <x:c r="K4" s="407" t="str">
        <x:v>多様性</x:v>
      </x:c>
      <x:c r="L4" s="407" t="str">
        <x:v>注意</x:v>
      </x:c>
      <x:c r="M4" s="407" t="str">
        <x:v>Googleマップ</x:v>
      </x:c>
    </x:row>
    <x:row r="5">
      <x:c r="A5" s="22" t="str">
        <x:v>R145</x:v>
      </x:c>
      <x:c r="B5" s="22" t="str">
        <x:v>大田</x:v>
      </x:c>
      <x:c r="C5" s="22" t="str">
        <x:v>羽田手前・交通と防災の短時間線</x:v>
      </x:c>
      <x:c r="D5" s="22" t="str">
        <x:v>平日夜・家族</x:v>
      </x:c>
      <x:c r="E5" s="22" t="str">
        <x:v>萩中公園</x:v>
      </x:c>
      <x:c r="F5" s="22" t="str">
        <x:v>東糀谷防災公園</x:v>
      </x:c>
      <x:c r="G5" s="22" t="str">
        <x:v>HANEDA INNOVATION CITY 足湯スカイデッキ</x:v>
      </x:c>
      <x:c r="H5" s="22" t="str">
        <x:v>80～125分</x:v>
      </x:c>
      <x:c r="I5" s="22" t="n">
        <x:v>4</x:v>
      </x:c>
      <x:c r="J5" s="22" t="n">
        <x:v>91</x:v>
      </x:c>
      <x:c r="K5" s="22" t="n">
        <x:v>93</x:v>
      </x:c>
      <x:c r="L5" s="22" t="str">
        <x:v>萩中公園の駐車場は24時間だが、交通公園貸出は16時、ガラクタ公園は17時、スケート場は20時まで。夜出発では保存車両Storyを目的にしない。東糀谷一般枠9台が満車なら省略。</x:v>
      </x:c>
      <x:c r="M5" s="22" t="e">
        <x:f>HYPERLINK("https://www.google.com/maps/dir/?api=1&amp;destination=HANEDA%20INNOVATION%20CITY%20%E8%B6%B3%E6%B9%AF%E3%82%B9%E3%82%AB%E3%82%A4%E3%83%87%E3%83%83%E3%82%AD&amp;travelmode=driving&amp;waypoints=%E8%90%A9%E4%B8%AD%E5%85%AC%E5%9C%92%7C%E6%9D%B1%E7%B3%80%E8%B0%B7%E9%98%B2%E7%81%BD%E5%85%AC%E5%9C%92","開始")</x:f>
      </x:c>
    </x:row>
    <x:row r="6">
      <x:c r="A6" s="22" t="str">
        <x:v>R146</x:v>
      </x:c>
      <x:c r="B6" s="22" t="str">
        <x:v>大田</x:v>
      </x:c>
      <x:c r="C6" s="22" t="str">
        <x:v>大田・郷土史から工業島へ</x:v>
      </x:c>
      <x:c r="D6" s="22" t="str">
        <x:v>昼専用</x:v>
      </x:c>
      <x:c r="E6" s="22" t="str">
        <x:v>大田区立郷土博物館</x:v>
      </x:c>
      <x:c r="F6" s="22" t="str">
        <x:v>大森 海苔のふるさと館</x:v>
      </x:c>
      <x:c r="G6" s="22" t="str">
        <x:v>昭和島二丁目公園</x:v>
      </x:c>
      <x:c r="H6" s="22" t="str">
        <x:v>140～200分</x:v>
      </x:c>
      <x:c r="I6" s="22" t="n">
        <x:v>2</x:v>
      </x:c>
      <x:c r="J6" s="22" t="n">
        <x:v>94</x:v>
      </x:c>
      <x:c r="K6" s="22" t="n">
        <x:v>96</x:v>
      </x:c>
      <x:c r="L6" s="22" t="str">
        <x:v>昼専用。博物館は17時、海苔館も通常17時。昭和島は季節により21時または22時閉場。</x:v>
      </x:c>
      <x:c r="M6" s="22" t="e">
        <x:f>HYPERLINK("https://www.google.com/maps/dir/?api=1&amp;destination=%E6%98%AD%E5%92%8C%E5%B3%B6%E4%BA%8C%E4%B8%81%E7%9B%AE%E5%85%AC%E5%9C%92&amp;travelmode=driving&amp;waypoints=%E5%A4%A7%E7%94%B0%E5%8C%BA%E7%AB%8B%E9%83%B7%E5%9C%9F%E5%8D%9A%E7%89%A9%E9%A4%A8%7C%E5%A4%A7%E6%A3%AE%20%E6%B5%B7%E8%8B%94%E3%81%AE%E3%81%B5%E3%82%8B%E3%81%95%E3%81%A8%E9%A4%A8","開始")</x:f>
      </x:c>
    </x:row>
    <x:row r="7">
      <x:c r="A7" s="22" t="str">
        <x:v>R147</x:v>
      </x:c>
      <x:c r="B7" s="22" t="str">
        <x:v>品川</x:v>
      </x:c>
      <x:c r="C7" s="22" t="str">
        <x:v>品川・東海道からナイターへ</x:v>
      </x:c>
      <x:c r="D7" s="22" t="str">
        <x:v>開催日専用</x:v>
      </x:c>
      <x:c r="E7" s="22" t="str">
        <x:v>品川区立 品川歴史館</x:v>
      </x:c>
      <x:c r="F7" s="22"/>
      <x:c r="G7" s="22" t="str">
        <x:v>東京シティ競馬 大井競馬場</x:v>
      </x:c>
      <x:c r="H7" s="22" t="str">
        <x:v>150～240分</x:v>
      </x:c>
      <x:c r="I7" s="22" t="n">
        <x:v>4</x:v>
      </x:c>
      <x:c r="J7" s="22" t="n">
        <x:v>90</x:v>
      </x:c>
      <x:c r="K7" s="22" t="n">
        <x:v>95</x:v>
      </x:c>
      <x:c r="L7" s="22" t="str">
        <x:v>競馬開催日専用。歴史館は16:30最終入館。競馬場駐車料金・予約制・開門時刻を当日確認。</x:v>
      </x:c>
      <x:c r="M7" s="22" t="e">
        <x:f>HYPERLINK("https://www.google.com/maps/dir/?api=1&amp;destination=%E6%9D%B1%E4%BA%AC%E3%82%B7%E3%83%86%E3%82%A3%E7%AB%B6%E9%A6%AC%20%E5%A4%A7%E4%BA%95%E7%AB%B6%E9%A6%AC%E5%A0%B4&amp;travelmode=driving&amp;waypoints=%E5%93%81%E5%B7%9D%E5%8C%BA%E7%AB%8B%20%E5%93%81%E5%B7%9D%E6%AD%B4%E5%8F%B2%E9%A4%A8","開始")</x:f>
      </x:c>
    </x:row>
    <x:row r="8">
      <x:c r="A8" s="22" t="str">
        <x:v>R148</x:v>
      </x:c>
      <x:c r="B8" s="22" t="str">
        <x:v>品川</x:v>
      </x:c>
      <x:c r="C8" s="22" t="str">
        <x:v>品川湾岸・運河と高架の三景</x:v>
      </x:c>
      <x:c r="D8" s="22" t="str">
        <x:v>夕方～夜</x:v>
      </x:c>
      <x:c r="E8" s="22" t="str">
        <x:v>天王洲公園</x:v>
      </x:c>
      <x:c r="F8" s="22" t="str">
        <x:v>八潮北公園</x:v>
      </x:c>
      <x:c r="G8" s="22" t="str">
        <x:v>品川シーズンテラス／芝浦中央公園</x:v>
      </x:c>
      <x:c r="H8" s="22" t="str">
        <x:v>100～155分</x:v>
      </x:c>
      <x:c r="I8" s="22" t="n">
        <x:v>4</x:v>
      </x:c>
      <x:c r="J8" s="22" t="n">
        <x:v>93</x:v>
      </x:c>
      <x:c r="K8" s="22" t="n">
        <x:v>97</x:v>
      </x:c>
      <x:c r="L8" s="22" t="str">
        <x:v>天王洲・八潮の大会日を確認。東品川1丁目の路上枠は昼の短時間代替のみで、夜は路外駐車。品川シーズンテラスは23時まで。</x:v>
      </x:c>
      <x:c r="M8" s="22" t="e">
        <x:f>HYPERLINK("https://www.google.com/maps/dir/?api=1&amp;destination=%E5%93%81%E5%B7%9D%E3%82%B7%E3%83%BC%E3%82%BA%E3%83%B3%E3%83%86%E3%83%A9%E3%82%B9%EF%BC%8F%E8%8A%9D%E6%B5%A6%E4%B8%AD%E5%A4%AE%E5%85%AC%E5%9C%92&amp;travelmode=driving&amp;waypoints=%E5%A4%A9%E7%8E%8B%E6%B4%B2%E5%85%AC%E5%9C%92%7C%E5%85%AB%E6%BD%AE%E5%8C%97%E5%85%AC%E5%9C%92","開始")</x:f>
      </x:c>
    </x:row>
    <x:row r="9">
      <x:c r="A9" s="22" t="str">
        <x:v>R149</x:v>
      </x:c>
      <x:c r="B9" s="22" t="str">
        <x:v>港</x:v>
      </x:c>
      <x:c r="C9" s="22" t="str">
        <x:v>品川から東京タワーへ都市インフラ線</x:v>
      </x:c>
      <x:c r="D9" s="22" t="str">
        <x:v>平日夜</x:v>
      </x:c>
      <x:c r="E9" s="22" t="str">
        <x:v>品川シーズンテラス／芝浦中央公園</x:v>
      </x:c>
      <x:c r="F9" s="22"/>
      <x:c r="G9" s="22" t="str">
        <x:v>東京タワー</x:v>
      </x:c>
      <x:c r="H9" s="22" t="str">
        <x:v>95～145分</x:v>
      </x:c>
      <x:c r="I9" s="22" t="n">
        <x:v>5</x:v>
      </x:c>
      <x:c r="J9" s="22" t="n">
        <x:v>95</x:v>
      </x:c>
      <x:c r="K9" s="22" t="n">
        <x:v>94</x:v>
      </x:c>
      <x:c r="L9" s="22" t="str">
        <x:v>港南3丁目の時間制限駐車区間は昼の短時間観察用。東京タワー展望利用は地上・近隣駐車場を使用。最終入場22:30。</x:v>
      </x:c>
      <x:c r="M9" s="22" t="e">
        <x:f>HYPERLINK("https://www.google.com/maps/dir/?api=1&amp;destination=%E6%9D%B1%E4%BA%AC%E3%82%BF%E3%83%AF%E3%83%BC&amp;travelmode=driving&amp;waypoints=%E5%93%81%E5%B7%9D%E3%82%B7%E3%83%BC%E3%82%BA%E3%83%B3%E3%83%86%E3%83%A9%E3%82%B9%EF%BC%8F%E8%8A%9D%E6%B5%A6%E4%B8%AD%E5%A4%AE%E5%85%AC%E5%9C%92","開始")</x:f>
      </x:c>
    </x:row>
    <x:row r="10">
      <x:c r="A10" s="22" t="str">
        <x:v>R150</x:v>
      </x:c>
      <x:c r="B10" s="22" t="str">
        <x:v>港</x:v>
      </x:c>
      <x:c r="C10" s="22" t="str">
        <x:v>六本木・庭園から空中都市へ</x:v>
      </x:c>
      <x:c r="D10" s="22" t="str">
        <x:v>8月1日以降・夜</x:v>
      </x:c>
      <x:c r="E10" s="22" t="str">
        <x:v>東京ミッドタウン／ミッドタウン・ガーデン</x:v>
      </x:c>
      <x:c r="F10" s="22"/>
      <x:c r="G10" s="22" t="str">
        <x:v>六本木ヒルズ 東京シティビュー</x:v>
      </x:c>
      <x:c r="H10" s="22" t="str">
        <x:v>100～160分</x:v>
      </x:c>
      <x:c r="I10" s="22" t="n">
        <x:v>5</x:v>
      </x:c>
      <x:c r="J10" s="22" t="n">
        <x:v>92</x:v>
      </x:c>
      <x:c r="K10" s="22" t="n">
        <x:v>90</x:v>
      </x:c>
      <x:c r="L10" s="22" t="str">
        <x:v>東京シティビューは2026年7月31日まで休館。8月1日以降に使用。企画展・貸切を確認。</x:v>
      </x:c>
      <x:c r="M10" s="22" t="e">
        <x:f>HYPERLINK("https://www.google.com/maps/dir/?api=1&amp;destination=%E5%85%AD%E6%9C%AC%E6%9C%A8%E3%83%92%E3%83%AB%E3%82%BA%20%E6%9D%B1%E4%BA%AC%E3%82%B7%E3%83%86%E3%82%A3%E3%83%93%E3%83%A5%E3%83%BC&amp;travelmode=driving&amp;waypoints=%E6%9D%B1%E4%BA%AC%E3%83%9F%E3%83%83%E3%83%89%E3%82%BF%E3%82%A6%E3%83%B3%EF%BC%8F%E3%83%9F%E3%83%83%E3%83%89%E3%82%BF%E3%82%A6%E3%83%B3%E3%83%BB%E3%82%AC%E3%83%BC%E3%83%87%E3%83%B3","開始")</x:f>
      </x:c>
    </x:row>
    <x:row r="11">
      <x:c r="A11" s="22" t="str">
        <x:v>R151</x:v>
      </x:c>
      <x:c r="B11" s="22" t="str">
        <x:v>新宿</x:v>
      </x:c>
      <x:c r="C11" s="22" t="str">
        <x:v>新宿・庭園と明治建築</x:v>
      </x:c>
      <x:c r="D11" s="22" t="str">
        <x:v>休日半日・昼</x:v>
      </x:c>
      <x:c r="E11" s="22" t="str">
        <x:v>新宿御苑</x:v>
      </x:c>
      <x:c r="F11" s="22"/>
      <x:c r="G11" s="22" t="str">
        <x:v>明治神宮外苑 聖徳記念絵画館</x:v>
      </x:c>
      <x:c r="H11" s="22" t="str">
        <x:v>160～230分</x:v>
      </x:c>
      <x:c r="I11" s="22" t="n">
        <x:v>1</x:v>
      </x:c>
      <x:c r="J11" s="22" t="n">
        <x:v>94</x:v>
      </x:c>
      <x:c r="K11" s="22" t="n">
        <x:v>96</x:v>
      </x:c>
      <x:c r="L11" s="22" t="str">
        <x:v>新宿3丁目37の路上枠は40分限定で、御苑内観光には使用不可。御苑駐車場と絵画館駐車場を基本とする。</x:v>
      </x:c>
      <x:c r="M11" s="22" t="e">
        <x:f>HYPERLINK("https://www.google.com/maps/dir/?api=1&amp;destination=%E6%98%8E%E6%B2%BB%E7%A5%9E%E5%AE%AE%E5%A4%96%E8%8B%91%20%E8%81%96%E5%BE%B3%E8%A8%98%E5%BF%B5%E7%B5%B5%E7%94%BB%E9%A4%A8&amp;travelmode=driving&amp;waypoints=%E6%96%B0%E5%AE%BF%E5%BE%A1%E8%8B%91","開始")</x:f>
      </x:c>
    </x:row>
    <x:row r="12">
      <x:c r="A12" s="22" t="str">
        <x:v>R152</x:v>
      </x:c>
      <x:c r="B12" s="22" t="str">
        <x:v>新宿</x:v>
      </x:c>
      <x:c r="C12" s="22" t="str">
        <x:v>西新宿・巨大空間から都庁夜景へ</x:v>
      </x:c>
      <x:c r="D12" s="22" t="str">
        <x:v>平日夜・雨天</x:v>
      </x:c>
      <x:c r="E12" s="22" t="str">
        <x:v>新宿NSビル アトリウム・大時計</x:v>
      </x:c>
      <x:c r="F12" s="22"/>
      <x:c r="G12" s="22" t="str">
        <x:v>東京都庁展望室</x:v>
      </x:c>
      <x:c r="H12" s="22" t="str">
        <x:v>90～140分</x:v>
      </x:c>
      <x:c r="I12" s="22" t="n">
        <x:v>5</x:v>
      </x:c>
      <x:c r="J12" s="22" t="n">
        <x:v>96</x:v>
      </x:c>
      <x:c r="K12" s="22" t="n">
        <x:v>98</x:v>
      </x:c>
      <x:c r="L12" s="22" t="str">
        <x:v>西新宿6丁目の路上枠は昼の短時間建築観察用。夜はNSビルまたは都庁駐車場を使用し、都庁は21:30入庫・22:00出庫期限。</x:v>
      </x:c>
      <x:c r="M12" s="22" t="e">
        <x:f>HYPERLINK("https://www.google.com/maps/dir/?api=1&amp;destination=%E6%9D%B1%E4%BA%AC%E9%83%BD%E5%BA%81%E5%B1%95%E6%9C%9B%E5%AE%A4&amp;travelmode=driving&amp;waypoints=%E6%96%B0%E5%AE%BFNS%E3%83%93%E3%83%AB%20%E3%82%A2%E3%83%88%E3%83%AA%E3%82%A6%E3%83%A0%E3%83%BB%E5%A4%A7%E6%99%82%E8%A8%88","開始")</x:f>
      </x:c>
    </x:row>
  </x:sheetData>
  <x:mergeCells>
    <x:mergeCell ref="A1:M2"/>
  </x:mergeCells>
  <x:conditionalFormatting sqref="I5:K12">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206d52cdbfb2482e"/>
  </x:tableParts>
</x:worksheet>
</file>

<file path=xl/worksheets/sheet39.xml><?xml version="1.0" encoding="utf-8"?>
<x:worksheet xmlns:x="http://schemas.openxmlformats.org/spreadsheetml/2006/main">
  <x:sheetFormatPr defaultRowHeight="15"/>
  <x:cols>
    <x:col min="1" max="1" width="11" hidden="0" customWidth="1"/>
    <x:col min="2" max="2" width="28" hidden="0" customWidth="1"/>
    <x:col min="3" max="3" width="22" hidden="0" customWidth="1"/>
    <x:col min="4" max="4" width="42" hidden="0" customWidth="1"/>
    <x:col min="5" max="5" width="50" hidden="0" customWidth="1"/>
    <x:col min="6" max="6" width="48" hidden="0" customWidth="1"/>
    <x:col min="7" max="7" width="13" hidden="0" customWidth="1"/>
    <x:col min="8" max="8" width="50" hidden="0" customWidth="1"/>
    <x:col min="9" max="9" width="10" hidden="0" customWidth="1"/>
    <x:col min="10" max="10" width="34" hidden="0" customWidth="1"/>
    <x:col min="11" max="11" width="14" hidden="0" customWidth="1"/>
  </x:cols>
  <x:sheetData>
    <x:row r="1">
      <x:c r="A1" s="430" t="str">
        <x:v>Project Cruise｜4区 Operational Truth 監査</x:v>
      </x:c>
      <x:c r="B1" s="430"/>
      <x:c r="C1" s="430"/>
      <x:c r="D1" s="430"/>
      <x:c r="E1" s="430"/>
      <x:c r="F1" s="430"/>
      <x:c r="G1" s="430"/>
      <x:c r="H1" s="430"/>
      <x:c r="I1" s="430"/>
      <x:c r="J1" s="430"/>
      <x:c r="K1" s="430"/>
    </x:row>
    <x:row r="2">
      <x:c r="A2" s="430"/>
      <x:c r="B2" s="430"/>
      <x:c r="C2" s="430"/>
      <x:c r="D2" s="430"/>
      <x:c r="E2" s="430"/>
      <x:c r="F2" s="430"/>
      <x:c r="G2" s="430"/>
      <x:c r="H2" s="430"/>
      <x:c r="I2" s="430"/>
      <x:c r="J2" s="430"/>
      <x:c r="K2" s="430"/>
    </x:row>
    <x:row r="3">
      <x:c r="A3" s="433" t="str">
        <x:v>新規件数を増やさず、駐車枠・施設時間・出庫制限・休止状態を公式情報で分解</x:v>
      </x:c>
      <x:c r="B3" s="433"/>
      <x:c r="C3" s="433"/>
      <x:c r="D3" s="433"/>
      <x:c r="E3" s="433"/>
      <x:c r="F3" s="433"/>
      <x:c r="G3" s="433"/>
      <x:c r="H3" s="433"/>
      <x:c r="I3" s="433"/>
      <x:c r="J3" s="433"/>
      <x:c r="K3" s="433"/>
    </x:row>
    <x:row r="4">
      <x:c r="A4" s="437" t="str">
        <x:v>区</x:v>
      </x:c>
      <x:c r="B4" s="437" t="str">
        <x:v>地点</x:v>
      </x:c>
      <x:c r="C4" s="437" t="str">
        <x:v>監査対象</x:v>
      </x:c>
      <x:c r="D4" s="437" t="str">
        <x:v>修正前の弱点</x:v>
      </x:c>
      <x:c r="E4" s="437" t="str">
        <x:v>監査後のOperational Truth</x:v>
      </x:c>
      <x:c r="F4" s="437" t="str">
        <x:v>ルートへの影響</x:v>
      </x:c>
      <x:c r="G4" s="437" t="str">
        <x:v>確認日</x:v>
      </x:c>
      <x:c r="H4" s="437" t="str">
        <x:v>公式情報源</x:v>
      </x:c>
      <x:c r="I4" s="437" t="str">
        <x:v>信頼度</x:v>
      </x:c>
      <x:c r="J4" s="437" t="str">
        <x:v>次回確認条件</x:v>
      </x:c>
      <x:c r="K4" s="437" t="str">
        <x:v>状態</x:v>
      </x:c>
    </x:row>
    <x:row r="5">
      <x:c r="A5" s="22" t="str">
        <x:v>大田区</x:v>
      </x:c>
      <x:c r="B5" s="22" t="str">
        <x:v>萩中公園</x:v>
      </x:c>
      <x:c r="C5" s="22" t="str">
        <x:v>駐車・施設別時間</x:v>
      </x:c>
      <x:c r="D5" s="22" t="str">
        <x:v>公園24時間と保存車両・交通公園の利用時間が混在</x:v>
      </x:c>
      <x:c r="E5" s="22" t="str">
        <x:v>駐車場は24時間。交通公園貸出16時、ガラクタ公園17時、スケート場20時まで。</x:v>
      </x:c>
      <x:c r="F5" s="22" t="str">
        <x:v>夜ルートでは休憩・駐車は成立するが、交通Storyの主力は昼～夕方。</x:v>
      </x:c>
      <x:c r="G5" s="23" t="n">
        <x:v>46232</x:v>
      </x:c>
      <x:c r="H5" s="22" t="str">
        <x:v>https://www.city.ota.tokyo.jp/shisetsu/park/haginaka.html</x:v>
      </x:c>
      <x:c r="I5" s="22" t="str">
        <x:v>A</x:v>
      </x:c>
      <x:c r="J5" s="22" t="str">
        <x:v>料金・駐車台数・施設時間変更時</x:v>
      </x:c>
      <x:c r="K5" s="22" t="str">
        <x:v>修正済</x:v>
      </x:c>
    </x:row>
    <x:row r="6">
      <x:c r="A6" s="22" t="str">
        <x:v>大田区</x:v>
      </x:c>
      <x:c r="B6" s="22" t="str">
        <x:v>東糀谷防災公園</x:v>
      </x:c>
      <x:c r="C6" s="22" t="str">
        <x:v>駐車台数</x:v>
      </x:c>
      <x:c r="D6" s="22" t="str">
        <x:v>10台とだけ記載し、一般枠と身障者枠が不明確</x:v>
      </x:c>
      <x:c r="E6" s="22" t="str">
        <x:v>一般用9台＋身障者用1台、30分100円、24時間。</x:v>
      </x:c>
      <x:c r="F6" s="22" t="str">
        <x:v>満車率を高めに評価し、一般枠9台満車時は即省略。</x:v>
      </x:c>
      <x:c r="G6" s="23" t="n">
        <x:v>46232</x:v>
      </x:c>
      <x:c r="H6" s="22" t="str">
        <x:v>https://www.city.ota.tokyo.jp/shisetsu/park/higasikoujiyabousai.html</x:v>
      </x:c>
      <x:c r="I6" s="22" t="str">
        <x:v>A</x:v>
      </x:c>
      <x:c r="J6" s="22" t="str">
        <x:v>料金・台数変更時</x:v>
      </x:c>
      <x:c r="K6" s="22" t="str">
        <x:v>修正済</x:v>
      </x:c>
    </x:row>
    <x:row r="7">
      <x:c r="A7" s="22" t="str">
        <x:v>港区</x:v>
      </x:c>
      <x:c r="B7" s="22" t="str">
        <x:v>東京タワー</x:v>
      </x:c>
      <x:c r="C7" s="22" t="str">
        <x:v>駐車営業状態</x:v>
      </x:c>
      <x:c r="D7" s="22" t="str">
        <x:v>地下駐車場休止が注意事項に埋もれていた</x:v>
      </x:c>
      <x:c r="E7" s="22" t="str">
        <x:v>地下駐車場はメンテナンスのため営業見合わせ中。地上・近隣駐車場を利用。</x:v>
      </x:c>
      <x:c r="F7" s="22" t="str">
        <x:v>R149は地下駐車前提を禁止。22:30超過時は外観鑑賞へ変更。</x:v>
      </x:c>
      <x:c r="G7" s="23" t="n">
        <x:v>46232</x:v>
      </x:c>
      <x:c r="H7" s="22" t="str">
        <x:v>https://www.tokyotower.co.jp/information/20260601000623/</x:v>
      </x:c>
      <x:c r="I7" s="22" t="str">
        <x:v>A</x:v>
      </x:c>
      <x:c r="J7" s="22" t="str">
        <x:v>地下駐車場営業再開時</x:v>
      </x:c>
      <x:c r="K7" s="22" t="str">
        <x:v>修正済</x:v>
      </x:c>
    </x:row>
    <x:row r="8">
      <x:c r="A8" s="22" t="str">
        <x:v>新宿区</x:v>
      </x:c>
      <x:c r="B8" s="22" t="str">
        <x:v>東京都庁展望室</x:v>
      </x:c>
      <x:c r="C8" s="22" t="str">
        <x:v>入庫・出庫Hard Gate</x:v>
      </x:c>
      <x:c r="D8" s="22" t="str">
        <x:v>『駐車場8～22時』では入口別時刻と入庫締切が不足</x:v>
      </x:c>
      <x:c r="E8" s="22" t="str">
        <x:v>入口は8:00または8:30、入庫21:30まで、出庫22:00まで。当日上限2,000円。</x:v>
      </x:c>
      <x:c r="F8" s="22" t="str">
        <x:v>R152は21:30を実質Hard Gate、22:00を絶対出庫期限として扱う。</x:v>
      </x:c>
      <x:c r="G8" s="23" t="n">
        <x:v>46232</x:v>
      </x:c>
      <x:c r="H8" s="22" t="str">
        <x:v>https://www.zaimu.metro.tokyo.lg.jp/tochousha/goannai/shisetsu</x:v>
      </x:c>
      <x:c r="I8" s="22" t="str">
        <x:v>A</x:v>
      </x:c>
      <x:c r="J8" s="22" t="str">
        <x:v>駐車時間・料金変更時</x:v>
      </x:c>
      <x:c r="K8" s="22" t="str">
        <x:v>修正済</x:v>
      </x:c>
    </x:row>
    <x:row r="9">
      <x:c r="A9" s="22" t="str">
        <x:v>品川区</x:v>
      </x:c>
      <x:c r="B9" s="22" t="str">
        <x:v>天王洲公園／八潮北公園</x:v>
      </x:c>
      <x:c r="C9" s="22" t="str">
        <x:v>公園と運動施設時間</x:v>
      </x:c>
      <x:c r="D9" s="22" t="str">
        <x:v>公園全体・駐車場・運動施設の時間が混同されやすい</x:v>
      </x:c>
      <x:c r="E9" s="22" t="str">
        <x:v>公式に確認できた時間は主に運動施設枠。公園駐車条件は確証不足として当日確認を継続。</x:v>
      </x:c>
      <x:c r="F9" s="22" t="str">
        <x:v>R148では駐車確実性を過大評価せず、満車・大会時は八潮北を省略。</x:v>
      </x:c>
      <x:c r="G9" s="23" t="n">
        <x:v>46232</x:v>
      </x:c>
      <x:c r="H9" s="22" t="str">
        <x:v>https://www.city.shinagawa.tokyo.jp/ct/pdf/index_1110.pdf</x:v>
      </x:c>
      <x:c r="I9" s="22" t="str">
        <x:v>B</x:v>
      </x:c>
      <x:c r="J9" s="22" t="str">
        <x:v>公園駐車場の公式台数・料金ページ確認時</x:v>
      </x:c>
      <x:c r="K9" s="22" t="str">
        <x:v>保留継続</x:v>
      </x:c>
    </x:row>
    <x:row r="11">
      <x:c r="A11" s="442" t="str">
        <x:v>新規追加</x:v>
      </x:c>
      <x:c r="B11" s="442" t="n">
        <x:v>0</x:v>
      </x:c>
      <x:c r="C11" s="442" t="str">
        <x:v>既存ブラッシュアップ</x:v>
      </x:c>
      <x:c r="D11" s="442" t="n">
        <x:v>4</x:v>
      </x:c>
      <x:c r="E11" s="442" t="str">
        <x:v>ルート修正</x:v>
      </x:c>
      <x:c r="F11" s="442" t="n">
        <x:v>3</x:v>
      </x:c>
      <x:c r="G11" s="442" t="str">
        <x:v>遠距離移管</x:v>
      </x:c>
      <x:c r="H11" s="442" t="n">
        <x:v>0</x:v>
      </x:c>
    </x:row>
    <x:row r="12">
      <x:c r="A12" s="442" t="str">
        <x:v>確定修正</x:v>
      </x:c>
      <x:c r="B12" s="442" t="n">
        <x:v>4</x:v>
      </x:c>
      <x:c r="C12" s="442" t="str">
        <x:v>保留継続</x:v>
      </x:c>
      <x:c r="D12" s="442" t="n">
        <x:v>1</x:v>
      </x:c>
      <x:c r="E12" s="442" t="str">
        <x:v>公式一次情報</x:v>
      </x:c>
      <x:c r="F12" s="442" t="n">
        <x:v>5</x:v>
      </x:c>
      <x:c r="G12" s="442" t="str">
        <x:v>Excel更新</x:v>
      </x:c>
      <x:c r="H12" s="442" t="str">
        <x:v>あり</x:v>
      </x:c>
    </x:row>
    <x:row r="13">
      <x:c r="A13" s="442" t="str">
        <x:v>重点改善</x:v>
      </x:c>
      <x:c r="B13" s="442" t="str">
        <x:v>公園24時間と施設時間を分離</x:v>
      </x:c>
      <x:c r="C13" s="442" t="str">
        <x:v>Hard Gate</x:v>
      </x:c>
      <x:c r="D13" s="442" t="str">
        <x:v>入庫・出庫時刻を明確化</x:v>
      </x:c>
      <x:c r="E13" s="442" t="str">
        <x:v>営業状態</x:v>
      </x:c>
      <x:c r="F13" s="442" t="str">
        <x:v>休止中設備を独立管理</x:v>
      </x:c>
      <x:c r="G13" s="442" t="str">
        <x:v>確認日</x:v>
      </x:c>
      <x:c r="H13" s="443" t="n">
        <x:v>46232</x:v>
      </x:c>
    </x:row>
  </x:sheetData>
  <x:mergeCells>
    <x:mergeCell ref="A1:K2"/>
    <x:mergeCell ref="A3:K3"/>
  </x:mergeCells>
  <x:conditionalFormatting sqref="I5:I9">
    <x:cfRule type="expression" dxfId="6" priority="1">
      <x:formula>I5="A"</x:formula>
    </x:cfRule>
    <x:cfRule type="expression" dxfId="7" priority="2">
      <x:formula>I5="B"</x:formula>
    </x:cfRule>
  </x:conditionalFormatting>
  <x:pageMargins left="0.7" right="0.7" top="0.75" bottom="0.75" header="0.3" footer="0.3"/>
  <x:tableParts count="1">
    <x:tablePart xmlns:r="http://schemas.openxmlformats.org/officeDocument/2006/relationships" r:id="R6753ef697f854511"/>
  </x:tableParts>
</x:worksheet>
</file>

<file path=xl/worksheets/sheet40.xml><?xml version="1.0" encoding="utf-8"?>
<x:worksheet xmlns:x="http://schemas.openxmlformats.org/spreadsheetml/2006/main">
  <x:sheetFormatPr defaultRowHeight="15"/>
  <x:cols>
    <x:col min="1" max="1" width="9" hidden="0" customWidth="1"/>
    <x:col min="2" max="2" width="10" hidden="0" customWidth="1"/>
    <x:col min="3" max="3" width="28" hidden="0" customWidth="1"/>
    <x:col min="4" max="4" width="34" hidden="0" customWidth="1"/>
    <x:col min="5" max="5" width="38" hidden="0" customWidth="1"/>
    <x:col min="6" max="6" width="20" hidden="0" customWidth="1"/>
    <x:col min="7" max="7" width="18" hidden="0" customWidth="1"/>
    <x:col min="8" max="8" width="13" hidden="0" customWidth="1"/>
    <x:col min="9" max="9" width="12" hidden="0" customWidth="1"/>
    <x:col min="10" max="10" width="24" hidden="0" customWidth="1"/>
    <x:col min="11" max="11" width="10" hidden="0" customWidth="1"/>
    <x:col min="12" max="12" width="14" hidden="0" customWidth="1"/>
    <x:col min="13" max="13" width="12" hidden="0" customWidth="1"/>
    <x:col min="14" max="14" width="12" hidden="0" customWidth="1"/>
    <x:col min="15" max="15" width="48" hidden="0" customWidth="1"/>
    <x:col min="16" max="16" width="50" hidden="0" customWidth="1"/>
    <x:col min="17" max="17" width="50" hidden="0" customWidth="1"/>
    <x:col min="18" max="18" width="10" hidden="0" customWidth="1"/>
  </x:cols>
  <x:sheetData>
    <x:row r="1">
      <x:c r="A1" s="460" t="str">
        <x:v>Project Cruise｜合法な路上短時間駐車アクセス</x:v>
      </x:c>
      <x:c r="B1" s="460"/>
      <x:c r="C1" s="460"/>
      <x:c r="D1" s="460"/>
      <x:c r="E1" s="460"/>
      <x:c r="F1" s="460"/>
      <x:c r="G1" s="460"/>
      <x:c r="H1" s="460"/>
      <x:c r="I1" s="460"/>
      <x:c r="J1" s="460"/>
      <x:c r="K1" s="460"/>
      <x:c r="L1" s="460"/>
      <x:c r="M1" s="460"/>
      <x:c r="N1" s="460"/>
      <x:c r="O1" s="460"/>
      <x:c r="P1" s="460"/>
      <x:c r="Q1" s="460"/>
      <x:c r="R1" s="460"/>
    </x:row>
    <x:row r="2">
      <x:c r="A2" s="460"/>
      <x:c r="B2" s="460"/>
      <x:c r="C2" s="460"/>
      <x:c r="D2" s="460"/>
      <x:c r="E2" s="460"/>
      <x:c r="F2" s="460"/>
      <x:c r="G2" s="460"/>
      <x:c r="H2" s="460"/>
      <x:c r="I2" s="460"/>
      <x:c r="J2" s="460"/>
      <x:c r="K2" s="460"/>
      <x:c r="L2" s="460"/>
      <x:c r="M2" s="460"/>
      <x:c r="N2" s="460"/>
      <x:c r="O2" s="460"/>
      <x:c r="P2" s="460"/>
      <x:c r="Q2" s="460"/>
      <x:c r="R2" s="460"/>
    </x:row>
    <x:row r="3">
      <x:c r="A3" s="463" t="str">
        <x:v>正式な時間制限駐車区間を、最終目的地ではなく『短時間アクセスノード』として管理。現地標識が最終判断。</x:v>
      </x:c>
      <x:c r="B3" s="463"/>
      <x:c r="C3" s="463"/>
      <x:c r="D3" s="463"/>
      <x:c r="E3" s="463"/>
      <x:c r="F3" s="463"/>
      <x:c r="G3" s="463"/>
      <x:c r="H3" s="463"/>
      <x:c r="I3" s="463"/>
      <x:c r="J3" s="463"/>
      <x:c r="K3" s="463"/>
      <x:c r="L3" s="463"/>
      <x:c r="M3" s="463"/>
      <x:c r="N3" s="463"/>
      <x:c r="O3" s="463"/>
      <x:c r="P3" s="463"/>
      <x:c r="Q3" s="463"/>
      <x:c r="R3" s="463"/>
    </x:row>
    <x:row r="4">
      <x:c r="A4" s="447" t="str">
        <x:v>ID</x:v>
      </x:c>
      <x:c r="B4" s="447" t="str">
        <x:v>区</x:v>
      </x:c>
      <x:c r="C4" s="447" t="str">
        <x:v>路上区間・住所</x:v>
      </x:c>
      <x:c r="D4" s="447" t="str">
        <x:v>近接スポット</x:v>
      </x:c>
      <x:c r="E4" s="447" t="str">
        <x:v>主な用途</x:v>
      </x:c>
      <x:c r="F4" s="447" t="str">
        <x:v>種別</x:v>
      </x:c>
      <x:c r="G4" s="447" t="str">
        <x:v>利用時間</x:v>
      </x:c>
      <x:c r="H4" s="447" t="str">
        <x:v>制限時間</x:v>
      </x:c>
      <x:c r="I4" s="447" t="str">
        <x:v>手数料</x:v>
      </x:c>
      <x:c r="J4" s="447" t="str">
        <x:v>曜日条件</x:v>
      </x:c>
      <x:c r="K4" s="447" t="str">
        <x:v>確度</x:v>
      </x:c>
      <x:c r="L4" s="447" t="str">
        <x:v>採用判定</x:v>
      </x:c>
      <x:c r="M4" s="447" t="str">
        <x:v>夜間利用</x:v>
      </x:c>
      <x:c r="N4" s="447" t="str">
        <x:v>長時間利用</x:v>
      </x:c>
      <x:c r="O4" s="447" t="str">
        <x:v>現地確認事項</x:v>
      </x:c>
      <x:c r="P4" s="447" t="str">
        <x:v>公式基礎情報</x:v>
      </x:c>
      <x:c r="Q4" s="447" t="str">
        <x:v>位置情報源</x:v>
      </x:c>
      <x:c r="R4" s="447" t="str">
        <x:v>Googleマップ</x:v>
      </x:c>
    </x:row>
    <x:row r="5">
      <x:c r="A5" s="22" t="str">
        <x:v>S001</x:v>
      </x:c>
      <x:c r="B5" s="22" t="str">
        <x:v>大田区</x:v>
      </x:c>
      <x:c r="C5" s="22" t="str">
        <x:v>蒲田5丁目7付近</x:v>
      </x:c>
      <x:c r="D5" s="22" t="str">
        <x:v>蒲田駅東口・アロマスクエア周辺</x:v>
      </x:c>
      <x:c r="E5" s="22" t="str">
        <x:v>都市観察・食事前後の短時間停車</x:v>
      </x:c>
      <x:c r="F5" s="22" t="str">
        <x:v>パーキング・メーター</x:v>
      </x:c>
      <x:c r="G5" s="22" t="str">
        <x:v>9:00～19:00</x:v>
      </x:c>
      <x:c r="H5" s="22" t="str">
        <x:v>現地標識</x:v>
      </x:c>
      <x:c r="I5" s="22" t="str">
        <x:v>現地表示</x:v>
      </x:c>
      <x:c r="J5" s="22" t="str">
        <x:v>現地標識</x:v>
      </x:c>
      <x:c r="K5" s="22" t="str">
        <x:v>B</x:v>
      </x:c>
      <x:c r="L5" s="22" t="str">
        <x:v>条件付き採用</x:v>
      </x:c>
      <x:c r="M5" s="22" t="str">
        <x:v>不可扱い</x:v>
      </x:c>
      <x:c r="N5" s="22" t="str">
        <x:v>不可</x:v>
      </x:c>
      <x:c r="O5" s="22" t="str">
        <x:v>枠・制限時間・休日条件・駐車禁止併設を確認</x:v>
      </x:c>
      <x:c r="P5" s="22" t="str">
        <x:v>https://www.keishicho.metro.tokyo.lg.jp/kotsu/hairyo/tadashi_pking/chizu.html</x:v>
      </x:c>
      <x:c r="Q5" s="22" t="str">
        <x:v>https://www.navitime.co.jp/around/category/poi?category=0819&amp;from=view.around.other.category&amp;node=00113466</x:v>
      </x:c>
      <x:c r="R5" s="22" t="e">
        <x:f>HYPERLINK("https://www.google.com/maps/dir/?api=1&amp;destination=%E8%92%B2%E7%94%B05%E4%B8%81%E7%9B%AE7%E4%BB%98%E8%BF%91&amp;travelmode=driving","開く")</x:f>
      </x:c>
    </x:row>
    <x:row r="6">
      <x:c r="A6" s="22" t="str">
        <x:v>S002</x:v>
      </x:c>
      <x:c r="B6" s="22" t="str">
        <x:v>大田区</x:v>
      </x:c>
      <x:c r="C6" s="22" t="str">
        <x:v>西蒲田7丁目47付近</x:v>
      </x:c>
      <x:c r="D6" s="22" t="str">
        <x:v>蒲田西口・バーボンロード周辺</x:v>
      </x:c>
      <x:c r="E6" s="22" t="str">
        <x:v>商店街・夜の街の昼間短時間アクセス</x:v>
      </x:c>
      <x:c r="F6" s="22" t="str">
        <x:v>パーキング・メーター</x:v>
      </x:c>
      <x:c r="G6" s="22" t="str">
        <x:v>9:00～19:00</x:v>
      </x:c>
      <x:c r="H6" s="22" t="str">
        <x:v>現地標識</x:v>
      </x:c>
      <x:c r="I6" s="22" t="str">
        <x:v>現地表示</x:v>
      </x:c>
      <x:c r="J6" s="22" t="str">
        <x:v>現地標識</x:v>
      </x:c>
      <x:c r="K6" s="22" t="str">
        <x:v>B</x:v>
      </x:c>
      <x:c r="L6" s="22" t="str">
        <x:v>条件付き採用</x:v>
      </x:c>
      <x:c r="M6" s="22" t="str">
        <x:v>不可扱い</x:v>
      </x:c>
      <x:c r="N6" s="22" t="str">
        <x:v>不可</x:v>
      </x:c>
      <x:c r="O6" s="22" t="str">
        <x:v>19時以降を合法と推定しない。標識と白線を確認</x:v>
      </x:c>
      <x:c r="P6" s="22" t="str">
        <x:v>https://www.keishicho.metro.tokyo.lg.jp/kotsu/hairyo/tadashi_pking/chizu.html</x:v>
      </x:c>
      <x:c r="Q6" s="22" t="str">
        <x:v>https://www.navitime.co.jp/around/category/poi?category=0819&amp;from=view.around.other.category&amp;node=00113466</x:v>
      </x:c>
      <x:c r="R6" s="22" t="e">
        <x:f>HYPERLINK("https://www.google.com/maps/dir/?api=1&amp;destination=%E8%A5%BF%E8%92%B2%E7%94%B07%E4%B8%81%E7%9B%AE47%E4%BB%98%E8%BF%91&amp;travelmode=driving","開く")</x:f>
      </x:c>
    </x:row>
    <x:row r="7">
      <x:c r="A7" s="22" t="str">
        <x:v>S003</x:v>
      </x:c>
      <x:c r="B7" s="22" t="str">
        <x:v>品川区</x:v>
      </x:c>
      <x:c r="C7" s="22" t="str">
        <x:v>東品川1丁目5付近</x:v>
      </x:c>
      <x:c r="D7" s="22" t="str">
        <x:v>北品川宿・天王洲ふれあい橋・天王洲公園</x:v>
      </x:c>
      <x:c r="E7" s="22" t="str">
        <x:v>旧東海道・運河の20～60分散策</x:v>
      </x:c>
      <x:c r="F7" s="22" t="str">
        <x:v>パーキング・メーター</x:v>
      </x:c>
      <x:c r="G7" s="22" t="str">
        <x:v>概ね9:00～19:00</x:v>
      </x:c>
      <x:c r="H7" s="22" t="str">
        <x:v>現地標識</x:v>
      </x:c>
      <x:c r="I7" s="22" t="str">
        <x:v>現地表示</x:v>
      </x:c>
      <x:c r="J7" s="22" t="str">
        <x:v>現地標識</x:v>
      </x:c>
      <x:c r="K7" s="22" t="str">
        <x:v>B</x:v>
      </x:c>
      <x:c r="L7" s="22" t="str">
        <x:v>条件付き採用</x:v>
      </x:c>
      <x:c r="M7" s="22" t="str">
        <x:v>不可扱い</x:v>
      </x:c>
      <x:c r="N7" s="22" t="str">
        <x:v>不可</x:v>
      </x:c>
      <x:c r="O7" s="22" t="str">
        <x:v>普通車枠・工事休止・貨物優先枠でないことを確認</x:v>
      </x:c>
      <x:c r="P7" s="22" t="str">
        <x:v>https://www.keishicho.metro.tokyo.lg.jp/kotsu/hairyo/tadashi_pking/chizu.html</x:v>
      </x:c>
      <x:c r="Q7" s="22" t="str">
        <x:v>https://www.mapion.co.jp/phonebook/M08002/13109/ILSP0085471660_ipclm/</x:v>
      </x:c>
      <x:c r="R7" s="22" t="e">
        <x:f>HYPERLINK("https://www.google.com/maps/dir/?api=1&amp;destination=%E6%9D%B1%E5%93%81%E5%B7%9D1%E4%B8%81%E7%9B%AE5%E4%BB%98%E8%BF%91&amp;travelmode=driving","開く")</x:f>
      </x:c>
    </x:row>
    <x:row r="8">
      <x:c r="A8" s="22" t="str">
        <x:v>S004</x:v>
      </x:c>
      <x:c r="B8" s="22" t="str">
        <x:v>港区</x:v>
      </x:c>
      <x:c r="C8" s="22" t="str">
        <x:v>芝5丁目7付近</x:v>
      </x:c>
      <x:c r="D8" s="22" t="str">
        <x:v>三田・芝公園・増上寺方面</x:v>
      </x:c>
      <x:c r="E8" s="22" t="str">
        <x:v>街歩き・外観撮影・60分以内のStory回収</x:v>
      </x:c>
      <x:c r="F8" s="22" t="str">
        <x:v>パーキング・チケット</x:v>
      </x:c>
      <x:c r="G8" s="22" t="str">
        <x:v>9:00～19:00</x:v>
      </x:c>
      <x:c r="H8" s="22" t="str">
        <x:v>60分</x:v>
      </x:c>
      <x:c r="I8" s="22" t="str">
        <x:v>300円</x:v>
      </x:c>
      <x:c r="J8" s="22" t="str">
        <x:v>日曜休日・1月1～3日を除く</x:v>
      </x:c>
      <x:c r="K8" s="22" t="str">
        <x:v>A</x:v>
      </x:c>
      <x:c r="L8" s="22" t="str">
        <x:v>採用</x:v>
      </x:c>
      <x:c r="M8" s="22" t="str">
        <x:v>不可</x:v>
      </x:c>
      <x:c r="N8" s="22" t="str">
        <x:v>不可</x:v>
      </x:c>
      <x:c r="O8" s="22" t="str">
        <x:v>チケット掲示、白線枠、19時以降の駐車禁止を確認</x:v>
      </x:c>
      <x:c r="P8" s="22" t="str">
        <x:v>https://www.keishicho.metro.tokyo.lg.jp/kotsu/hairyo/tadashi_pking/chizu.html</x:v>
      </x:c>
      <x:c r="Q8" s="22" t="str">
        <x:v>https://www.navitime.co.jp/poi?spot=01411-2115</x:v>
      </x:c>
      <x:c r="R8" s="22" t="e">
        <x:f>HYPERLINK("https://www.google.com/maps/dir/?api=1&amp;destination=%E8%8A%9D5%E4%B8%81%E7%9B%AE7%E4%BB%98%E8%BF%91&amp;travelmode=driving","開く")</x:f>
      </x:c>
    </x:row>
    <x:row r="9">
      <x:c r="A9" s="22" t="str">
        <x:v>S005</x:v>
      </x:c>
      <x:c r="B9" s="22" t="str">
        <x:v>港区</x:v>
      </x:c>
      <x:c r="C9" s="22" t="str">
        <x:v>新橋4丁目3付近</x:v>
      </x:c>
      <x:c r="D9" s="22" t="str">
        <x:v>新橋・烏森神社・新虎通り</x:v>
      </x:c>
      <x:c r="E9" s="22" t="str">
        <x:v>昭和の街と再開発街区の短時間比較</x:v>
      </x:c>
      <x:c r="F9" s="22" t="str">
        <x:v>パーキング・メーター</x:v>
      </x:c>
      <x:c r="G9" s="22" t="str">
        <x:v>9:00～19:00</x:v>
      </x:c>
      <x:c r="H9" s="22" t="str">
        <x:v>60分</x:v>
      </x:c>
      <x:c r="I9" s="22" t="str">
        <x:v>300円</x:v>
      </x:c>
      <x:c r="J9" s="22" t="str">
        <x:v>日曜休日・1月1～3日を除く</x:v>
      </x:c>
      <x:c r="K9" s="22" t="str">
        <x:v>A</x:v>
      </x:c>
      <x:c r="L9" s="22" t="str">
        <x:v>採用</x:v>
      </x:c>
      <x:c r="M9" s="22" t="str">
        <x:v>不可</x:v>
      </x:c>
      <x:c r="N9" s="22" t="str">
        <x:v>不可</x:v>
      </x:c>
      <x:c r="O9" s="22" t="str">
        <x:v>先払い、60分超過不可、周辺イベント規制を確認</x:v>
      </x:c>
      <x:c r="P9" s="22" t="str">
        <x:v>https://www.keishicho.metro.tokyo.lg.jp/kotsu/hairyo/tadashi_pking/chizu.html</x:v>
      </x:c>
      <x:c r="Q9" s="22" t="str">
        <x:v>https://www.navitime.co.jp/poi?spot=01411-104</x:v>
      </x:c>
      <x:c r="R9" s="22" t="e">
        <x:f>HYPERLINK("https://www.google.com/maps/dir/?api=1&amp;destination=%E6%96%B0%E6%A9%8B4%E4%B8%81%E7%9B%AE3%E4%BB%98%E8%BF%91&amp;travelmode=driving","開く")</x:f>
      </x:c>
    </x:row>
    <x:row r="10">
      <x:c r="A10" s="22" t="str">
        <x:v>S006</x:v>
      </x:c>
      <x:c r="B10" s="22" t="str">
        <x:v>港区</x:v>
      </x:c>
      <x:c r="C10" s="22" t="str">
        <x:v>西新橋1丁目11付近</x:v>
      </x:c>
      <x:c r="D10" s="22" t="str">
        <x:v>虎ノ門・愛宕・日比谷方面</x:v>
      </x:c>
      <x:c r="E10" s="22" t="str">
        <x:v>都市建築・坂・神社Storyの短時間アクセス</x:v>
      </x:c>
      <x:c r="F10" s="22" t="str">
        <x:v>パーキング・メーター</x:v>
      </x:c>
      <x:c r="G10" s="22" t="str">
        <x:v>9:00～19:00</x:v>
      </x:c>
      <x:c r="H10" s="22" t="str">
        <x:v>60分</x:v>
      </x:c>
      <x:c r="I10" s="22" t="str">
        <x:v>300円</x:v>
      </x:c>
      <x:c r="J10" s="22" t="str">
        <x:v>日曜休日・1月1～3日を除く</x:v>
      </x:c>
      <x:c r="K10" s="22" t="str">
        <x:v>A</x:v>
      </x:c>
      <x:c r="L10" s="22" t="str">
        <x:v>採用</x:v>
      </x:c>
      <x:c r="M10" s="22" t="str">
        <x:v>不可</x:v>
      </x:c>
      <x:c r="N10" s="22" t="str">
        <x:v>不可</x:v>
      </x:c>
      <x:c r="O10" s="22" t="str">
        <x:v>普通車枠を使用。貨物枠・イベント休止・標識を確認</x:v>
      </x:c>
      <x:c r="P10" s="22" t="str">
        <x:v>https://www.keishicho.metro.tokyo.lg.jp/kotsu/hairyo/tadashi_pking/chizu.html</x:v>
      </x:c>
      <x:c r="Q10" s="22" t="str">
        <x:v>https://www.navitime.co.jp/poi?spot=01411-112</x:v>
      </x:c>
      <x:c r="R10" s="22" t="e">
        <x:f>HYPERLINK("https://www.google.com/maps/dir/?api=1&amp;destination=%E8%A5%BF%E6%96%B0%E6%A9%8B1%E4%B8%81%E7%9B%AE11%E4%BB%98%E8%BF%91&amp;travelmode=driving","開く")</x:f>
      </x:c>
    </x:row>
    <x:row r="11">
      <x:c r="A11" s="22" t="str">
        <x:v>S007</x:v>
      </x:c>
      <x:c r="B11" s="22" t="str">
        <x:v>港区</x:v>
      </x:c>
      <x:c r="C11" s="22" t="str">
        <x:v>港南3丁目2・6付近</x:v>
      </x:c>
      <x:c r="D11" s="22" t="str">
        <x:v>品川シーズンテラス・港南高層街</x:v>
      </x:c>
      <x:c r="E11" s="22" t="str">
        <x:v>水再生センター・高層街の昼間短時間観察</x:v>
      </x:c>
      <x:c r="F11" s="22" t="str">
        <x:v>パーキング・メーター</x:v>
      </x:c>
      <x:c r="G11" s="22" t="str">
        <x:v>9:00～19:00</x:v>
      </x:c>
      <x:c r="H11" s="22" t="str">
        <x:v>現地標識</x:v>
      </x:c>
      <x:c r="I11" s="22" t="str">
        <x:v>現地表示</x:v>
      </x:c>
      <x:c r="J11" s="22" t="str">
        <x:v>現地標識</x:v>
      </x:c>
      <x:c r="K11" s="22" t="str">
        <x:v>B</x:v>
      </x:c>
      <x:c r="L11" s="22" t="str">
        <x:v>条件付き採用</x:v>
      </x:c>
      <x:c r="M11" s="22" t="str">
        <x:v>不可扱い</x:v>
      </x:c>
      <x:c r="N11" s="22" t="str">
        <x:v>不可</x:v>
      </x:c>
      <x:c r="O11" s="22" t="str">
        <x:v>貨物枠、休日条件、工事休止、歩行距離を確認</x:v>
      </x:c>
      <x:c r="P11" s="22" t="str">
        <x:v>https://www.keishicho.metro.tokyo.lg.jp/kotsu/hairyo/tadashi_pking/chizu.html</x:v>
      </x:c>
      <x:c r="Q11" s="22" t="str">
        <x:v>https://www.navitime.co.jp/around/category/poi?address=13103030000&amp;category=0819</x:v>
      </x:c>
      <x:c r="R11" s="22" t="e">
        <x:f>HYPERLINK("https://www.google.com/maps/dir/?api=1&amp;destination=%E6%B8%AF%E5%8D%973%E4%B8%81%E7%9B%AE2%E3%83%BB6%E4%BB%98%E8%BF%91&amp;travelmode=driving","開く")</x:f>
      </x:c>
    </x:row>
    <x:row r="12">
      <x:c r="A12" s="22" t="str">
        <x:v>S008</x:v>
      </x:c>
      <x:c r="B12" s="22" t="str">
        <x:v>港区</x:v>
      </x:c>
      <x:c r="C12" s="22" t="str">
        <x:v>芝浦2丁目12付近</x:v>
      </x:c>
      <x:c r="D12" s="22" t="str">
        <x:v>芝浦運河・高層住宅・橋梁</x:v>
      </x:c>
      <x:c r="E12" s="22" t="str">
        <x:v>運河沿いの昼間20～60分散策</x:v>
      </x:c>
      <x:c r="F12" s="22" t="str">
        <x:v>パーキング・メーター</x:v>
      </x:c>
      <x:c r="G12" s="22" t="str">
        <x:v>9:00～19:00</x:v>
      </x:c>
      <x:c r="H12" s="22" t="str">
        <x:v>現地標識</x:v>
      </x:c>
      <x:c r="I12" s="22" t="str">
        <x:v>現地表示</x:v>
      </x:c>
      <x:c r="J12" s="22" t="str">
        <x:v>現地標識</x:v>
      </x:c>
      <x:c r="K12" s="22" t="str">
        <x:v>B</x:v>
      </x:c>
      <x:c r="L12" s="22" t="str">
        <x:v>条件付き採用</x:v>
      </x:c>
      <x:c r="M12" s="22" t="str">
        <x:v>不可扱い</x:v>
      </x:c>
      <x:c r="N12" s="22" t="str">
        <x:v>不可</x:v>
      </x:c>
      <x:c r="O12" s="22" t="str">
        <x:v>白線枠・休日条件・出入口前でないことを確認</x:v>
      </x:c>
      <x:c r="P12" s="22" t="str">
        <x:v>https://www.keishicho.metro.tokyo.lg.jp/kotsu/hairyo/tadashi_pking/chizu.html</x:v>
      </x:c>
      <x:c r="Q12" s="22" t="str">
        <x:v>https://www.navitime.co.jp/around/category/poi?address=13103030000&amp;category=0819</x:v>
      </x:c>
      <x:c r="R12" s="22" t="e">
        <x:f>HYPERLINK("https://www.google.com/maps/dir/?api=1&amp;destination=%E8%8A%9D%E6%B5%A62%E4%B8%81%E7%9B%AE12%E4%BB%98%E8%BF%91&amp;travelmode=driving","開く")</x:f>
      </x:c>
    </x:row>
    <x:row r="13">
      <x:c r="A13" s="22" t="str">
        <x:v>S009</x:v>
      </x:c>
      <x:c r="B13" s="22" t="str">
        <x:v>新宿区</x:v>
      </x:c>
      <x:c r="C13" s="22" t="str">
        <x:v>西新宿6丁目10付近</x:v>
      </x:c>
      <x:c r="D13" s="22" t="str">
        <x:v>東京都庁・新宿中央公園・NSビル</x:v>
      </x:c>
      <x:c r="E13" s="22" t="str">
        <x:v>超高層建築の昼間30～60分観察</x:v>
      </x:c>
      <x:c r="F13" s="22" t="str">
        <x:v>パーキング・メーター</x:v>
      </x:c>
      <x:c r="G13" s="22" t="str">
        <x:v>9:00～19:00</x:v>
      </x:c>
      <x:c r="H13" s="22" t="str">
        <x:v>現地標識</x:v>
      </x:c>
      <x:c r="I13" s="22" t="str">
        <x:v>現地表示</x:v>
      </x:c>
      <x:c r="J13" s="22" t="str">
        <x:v>1月1～3日を除く可能性</x:v>
      </x:c>
      <x:c r="K13" s="22" t="str">
        <x:v>B</x:v>
      </x:c>
      <x:c r="L13" s="22" t="str">
        <x:v>条件付き採用</x:v>
      </x:c>
      <x:c r="M13" s="22" t="str">
        <x:v>不可扱い</x:v>
      </x:c>
      <x:c r="N13" s="22" t="str">
        <x:v>不可</x:v>
      </x:c>
      <x:c r="O13" s="22" t="str">
        <x:v>19時以降は不可扱い。枠・制限・休日条件を確認</x:v>
      </x:c>
      <x:c r="P13" s="22" t="str">
        <x:v>https://www.keishicho.metro.tokyo.lg.jp/kotsu/hairyo/tadashi_pking/chizu.html</x:v>
      </x:c>
      <x:c r="Q13" s="22" t="str">
        <x:v>https://www.navitime.co.jp/poi?spot=00004-13183800019</x:v>
      </x:c>
      <x:c r="R13" s="22" t="e">
        <x:f>HYPERLINK("https://www.google.com/maps/dir/?api=1&amp;destination=%E8%A5%BF%E6%96%B0%E5%AE%BF6%E4%B8%81%E7%9B%AE10%E4%BB%98%E8%BF%91&amp;travelmode=driving","開く")</x:f>
      </x:c>
    </x:row>
    <x:row r="14">
      <x:c r="A14" s="22" t="str">
        <x:v>S010</x:v>
      </x:c>
      <x:c r="B14" s="22" t="str">
        <x:v>新宿区</x:v>
      </x:c>
      <x:c r="C14" s="22" t="str">
        <x:v>新宿3丁目37付近</x:v>
      </x:c>
      <x:c r="D14" s="22" t="str">
        <x:v>新宿駅東南口・新宿御苑入口方面</x:v>
      </x:c>
      <x:c r="E14" s="22" t="str">
        <x:v>入口・外観・短時間の街歩き</x:v>
      </x:c>
      <x:c r="F14" s="22" t="str">
        <x:v>パーキング・メーター</x:v>
      </x:c>
      <x:c r="G14" s="22" t="str">
        <x:v>7:00～20:00</x:v>
      </x:c>
      <x:c r="H14" s="22" t="str">
        <x:v>40分</x:v>
      </x:c>
      <x:c r="I14" s="22" t="str">
        <x:v>200円</x:v>
      </x:c>
      <x:c r="J14" s="22" t="str">
        <x:v>1月1～3日を除く</x:v>
      </x:c>
      <x:c r="K14" s="22" t="str">
        <x:v>A</x:v>
      </x:c>
      <x:c r="L14" s="22" t="str">
        <x:v>採用</x:v>
      </x:c>
      <x:c r="M14" s="22" t="str">
        <x:v>20時まで</x:v>
      </x:c>
      <x:c r="N14" s="22" t="str">
        <x:v>不可</x:v>
      </x:c>
      <x:c r="O14" s="22" t="str">
        <x:v>40分厳守。園内観光の駐車には使わない。枠外禁止</x:v>
      </x:c>
      <x:c r="P14" s="22" t="str">
        <x:v>https://www.keishicho.metro.tokyo.lg.jp/kotsu/hairyo/tadashi_pking/chizu.html</x:v>
      </x:c>
      <x:c r="Q14" s="22" t="str">
        <x:v>https://www.navitime.co.jp/poi?spot=01411-1035</x:v>
      </x:c>
      <x:c r="R14" s="22" t="e">
        <x:f>HYPERLINK("https://www.google.com/maps/dir/?api=1&amp;destination=%E6%96%B0%E5%AE%BF3%E4%B8%81%E7%9B%AE37%E4%BB%98%E8%BF%91&amp;travelmode=driving","開く")</x:f>
      </x:c>
    </x:row>
  </x:sheetData>
  <x:mergeCells>
    <x:mergeCell ref="A1:R2"/>
    <x:mergeCell ref="A3:R3"/>
  </x:mergeCells>
  <x:conditionalFormatting sqref="K5:L14">
    <x:cfRule type="expression" dxfId="8" priority="1">
      <x:formula>K5="A"</x:formula>
    </x:cfRule>
    <x:cfRule type="expression" dxfId="9" priority="2">
      <x:formula>K5="B"</x:formula>
    </x:cfRule>
  </x:conditionalFormatting>
  <x:pageMargins left="0.7" right="0.7" top="0.75" bottom="0.75" header="0.3" footer="0.3"/>
  <x:tableParts count="1">
    <x:tablePart xmlns:r="http://schemas.openxmlformats.org/officeDocument/2006/relationships" r:id="Rb5bc85e4e23c4daf"/>
  </x:tableParts>
</x:worksheet>
</file>

<file path=xl/worksheets/sheet41.xml><?xml version="1.0" encoding="utf-8"?>
<x:worksheet xmlns:x="http://schemas.openxmlformats.org/spreadsheetml/2006/main">
  <x:sheetFormatPr defaultRowHeight="15"/>
  <x:cols>
    <x:col min="1" max="1" width="16" hidden="0" customWidth="1"/>
    <x:col min="2" max="2" width="44" hidden="0" customWidth="1"/>
    <x:col min="3" max="3" width="32" hidden="0" customWidth="1"/>
    <x:col min="4" max="4" width="34" hidden="0" customWidth="1"/>
    <x:col min="5" max="5" width="13" hidden="0" customWidth="1"/>
    <x:col min="6" max="6" width="12" hidden="0" customWidth="1"/>
    <x:col min="7" max="7" width="12" hidden="0" customWidth="1"/>
    <x:col min="8" max="8" width="38" hidden="0" customWidth="1"/>
    <x:col min="9" max="9" width="35" hidden="0" customWidth="1"/>
    <x:col min="10" max="10" width="22" hidden="0" customWidth="1"/>
  </x:cols>
  <x:sheetData>
    <x:row r="1">
      <x:c r="A1" s="460" t="str">
        <x:v>Project Cruise｜路上駐車採用ルール</x:v>
      </x:c>
      <x:c r="B1" s="460"/>
      <x:c r="C1" s="460"/>
      <x:c r="D1" s="460"/>
      <x:c r="E1" s="460"/>
      <x:c r="F1" s="460"/>
      <x:c r="G1" s="460"/>
      <x:c r="H1" s="460"/>
      <x:c r="I1" s="460"/>
      <x:c r="J1" s="460"/>
    </x:row>
    <x:row r="2">
      <x:c r="A2" s="460"/>
      <x:c r="B2" s="460"/>
      <x:c r="C2" s="460"/>
      <x:c r="D2" s="460"/>
      <x:c r="E2" s="460"/>
      <x:c r="F2" s="460"/>
      <x:c r="G2" s="460"/>
      <x:c r="H2" s="460"/>
      <x:c r="I2" s="460"/>
      <x:c r="J2" s="460"/>
    </x:row>
    <x:row r="4">
      <x:c r="A4" s="447" t="str">
        <x:v>分類</x:v>
      </x:c>
      <x:c r="B4" s="447" t="str">
        <x:v>採用</x:v>
      </x:c>
      <x:c r="C4" s="447" t="str">
        <x:v>根拠</x:v>
      </x:c>
      <x:c r="D4" s="447" t="str">
        <x:v>例</x:v>
      </x:c>
      <x:c r="E4" s="447" t="str">
        <x:v>スコア加点</x:v>
      </x:c>
      <x:c r="F4" s="447" t="str">
        <x:v>夜間</x:v>
      </x:c>
      <x:c r="G4" s="447" t="str">
        <x:v>長時間</x:v>
      </x:c>
      <x:c r="H4" s="447" t="str">
        <x:v>必須確認</x:v>
      </x:c>
      <x:c r="I4" s="447" t="str">
        <x:v>除外条件</x:v>
      </x:c>
      <x:c r="J4" s="447" t="str">
        <x:v>運用</x:v>
      </x:c>
    </x:row>
    <x:row r="5">
      <x:c r="A5" s="22" t="str">
        <x:v>S</x:v>
      </x:c>
      <x:c r="B5" s="22" t="str">
        <x:v>○</x:v>
      </x:c>
      <x:c r="C5" s="22" t="str">
        <x:v>警察公式データまたは直近現地確認で、区間・時間・制限・料金を特定</x:v>
      </x:c>
      <x:c r="D5" s="22" t="str">
        <x:v>公式時間制限駐車区間を現地確認済</x:v>
      </x:c>
      <x:c r="E5" s="22" t="n">
        <x:v>5</x:v>
      </x:c>
      <x:c r="F5" s="22" t="str">
        <x:v>標識次第</x:v>
      </x:c>
      <x:c r="G5" s="22" t="str">
        <x:v>×</x:v>
      </x:c>
      <x:c r="H5" s="22" t="str">
        <x:v>白線・標識・機器・曜日</x:v>
      </x:c>
      <x:c r="I5" s="22" t="str">
        <x:v>工事休止・イベント規制</x:v>
      </x:c>
      <x:c r="J5" s="22" t="str">
        <x:v>積極採用</x:v>
      </x:c>
    </x:row>
    <x:row r="6">
      <x:c r="A6" s="22" t="str">
        <x:v>A</x:v>
      </x:c>
      <x:c r="B6" s="22" t="str">
        <x:v>○</x:v>
      </x:c>
      <x:c r="C6" s="22" t="str">
        <x:v>正確な地点・時間・制限・料金が確認でき、公式制度と一致</x:v>
      </x:c>
      <x:c r="D6" s="22" t="str">
        <x:v>芝5丁目、新橋4丁目、西新橋、新宿3丁目</x:v>
      </x:c>
      <x:c r="E6" s="22" t="n">
        <x:v>5</x:v>
      </x:c>
      <x:c r="F6" s="22" t="str">
        <x:v>原則×</x:v>
      </x:c>
      <x:c r="G6" s="22" t="str">
        <x:v>×</x:v>
      </x:c>
      <x:c r="H6" s="22" t="str">
        <x:v>現地標識を最終確認</x:v>
      </x:c>
      <x:c r="I6" s="22" t="str">
        <x:v>枠外・時間超過</x:v>
      </x:c>
      <x:c r="J6" s="22" t="str">
        <x:v>短時間候補</x:v>
      </x:c>
    </x:row>
    <x:row r="7">
      <x:c r="A7" s="22" t="str">
        <x:v>B</x:v>
      </x:c>
      <x:c r="B7" s="22" t="str">
        <x:v>△</x:v>
      </x:c>
      <x:c r="C7" s="22" t="str">
        <x:v>地点と概略時間は確認できるが、制限・料金・休日条件が未確定</x:v>
      </x:c>
      <x:c r="D7" s="22" t="str">
        <x:v>蒲田、東品川、港南、芝浦、西新宿</x:v>
      </x:c>
      <x:c r="E7" s="22" t="n">
        <x:v>3</x:v>
      </x:c>
      <x:c r="F7" s="22" t="str">
        <x:v>×扱い</x:v>
      </x:c>
      <x:c r="G7" s="22" t="str">
        <x:v>×</x:v>
      </x:c>
      <x:c r="H7" s="22" t="str">
        <x:v>全条件を現地確認</x:v>
      </x:c>
      <x:c r="I7" s="22" t="str">
        <x:v>標識不明・機器休止</x:v>
      </x:c>
      <x:c r="J7" s="22" t="str">
        <x:v>代替アクセス</x:v>
      </x:c>
    </x:row>
    <x:row r="8">
      <x:c r="A8" s="22" t="str">
        <x:v>C</x:v>
      </x:c>
      <x:c r="B8" s="22" t="str">
        <x:v>×</x:v>
      </x:c>
      <x:c r="C8" s="22" t="str">
        <x:v>『皆が停めている』という慣行だけで、合法根拠なし</x:v>
      </x:c>
      <x:c r="D8" s="22" t="str">
        <x:v>工業島の路肩、公園外周の慣行駐車</x:v>
      </x:c>
      <x:c r="E8" s="22" t="n">
        <x:v>0</x:v>
      </x:c>
      <x:c r="F8" s="22" t="str">
        <x:v>×</x:v>
      </x:c>
      <x:c r="G8" s="22" t="str">
        <x:v>×</x:v>
      </x:c>
      <x:c r="H8" s="22" t="str">
        <x:v>採用前に合法根拠取得</x:v>
      </x:c>
      <x:c r="I8" s="22" t="str">
        <x:v>路駐慣行のみ</x:v>
      </x:c>
      <x:c r="J8" s="22" t="str">
        <x:v>DB・ルートから除外</x:v>
      </x:c>
    </x:row>
    <x:row r="10">
      <x:c r="A10" s="465" t="str">
        <x:v>重要ルール</x:v>
      </x:c>
      <x:c r="B10" s="465" t="str">
        <x:v>内容</x:v>
      </x:c>
      <x:c r="C10" s="465"/>
      <x:c r="D10" s="465"/>
      <x:c r="E10" s="465"/>
      <x:c r="F10" s="465"/>
      <x:c r="G10" s="465"/>
      <x:c r="H10" s="465"/>
      <x:c r="I10" s="465"/>
      <x:c r="J10" s="465"/>
    </x:row>
    <x:row r="11">
      <x:c r="A11" s="22" t="str">
        <x:v>現地標識優先</x:v>
      </x:c>
      <x:c r="B11" s="22" t="str">
        <x:v>データベースより現地の標識・補助標識・白線・機器表示を優先する。</x:v>
      </x:c>
      <x:c r="C11" s="22"/>
      <x:c r="D11" s="22"/>
      <x:c r="E11" s="22"/>
      <x:c r="F11" s="22"/>
      <x:c r="G11" s="22"/>
      <x:c r="H11" s="22"/>
      <x:c r="I11" s="22"/>
      <x:c r="J11" s="22"/>
    </x:row>
    <x:row r="12">
      <x:c r="A12" s="22" t="str">
        <x:v>時間外</x:v>
      </x:c>
      <x:c r="B12" s="22" t="str">
        <x:v>メーターが止まっている時間でも自由に停められるとは限らない。駐車禁止併設を確認する。</x:v>
      </x:c>
      <x:c r="C12" s="22"/>
      <x:c r="D12" s="22"/>
      <x:c r="E12" s="22"/>
      <x:c r="F12" s="22"/>
      <x:c r="G12" s="22"/>
      <x:c r="H12" s="22"/>
      <x:c r="I12" s="22"/>
      <x:c r="J12" s="22"/>
    </x:row>
    <x:row r="13">
      <x:c r="A13" s="22" t="str">
        <x:v>延長禁止</x:v>
      </x:c>
      <x:c r="B13" s="22" t="str">
        <x:v>手数料を追加しても制限時間を延長できない。長時間は路外駐車場へ移動する。</x:v>
      </x:c>
      <x:c r="C13" s="22"/>
      <x:c r="D13" s="22"/>
      <x:c r="E13" s="22"/>
      <x:c r="F13" s="22"/>
      <x:c r="G13" s="22"/>
      <x:c r="H13" s="22"/>
      <x:c r="I13" s="22"/>
      <x:c r="J13" s="22"/>
    </x:row>
    <x:row r="14">
      <x:c r="A14" s="22" t="str">
        <x:v>Project Cruise基準</x:v>
      </x:c>
      <x:c r="B14" s="22" t="str">
        <x:v>路上アクセスは『地点の駐車確実性』ではなく『短時間アクセス可能性』として別採点する。</x:v>
      </x:c>
      <x:c r="C14" s="22"/>
      <x:c r="D14" s="22"/>
      <x:c r="E14" s="22"/>
      <x:c r="F14" s="22"/>
      <x:c r="G14" s="22"/>
      <x:c r="H14" s="22"/>
      <x:c r="I14" s="22"/>
      <x:c r="J14" s="22"/>
    </x:row>
  </x:sheetData>
  <x:mergeCells>
    <x:mergeCell ref="A1:J2"/>
  </x:mergeCells>
  <x:pageMargins left="0.7" right="0.7" top="0.75" bottom="0.75" header="0.3" footer="0.3"/>
</x:worksheet>
</file>